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hershpitroda/Downloads/"/>
    </mc:Choice>
  </mc:AlternateContent>
  <xr:revisionPtr revIDLastSave="0" documentId="13_ncr:1_{7DD3F48A-61AC-6F4E-926C-F8F8F87DC38F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PRICELIST" sheetId="1" r:id="rId1"/>
    <sheet name="MASTER DATA" sheetId="2" r:id="rId2"/>
    <sheet name="CALC FLX WST" sheetId="3" r:id="rId3"/>
    <sheet name="CALC STK WST" sheetId="4" r:id="rId4"/>
    <sheet name="CALC PANEL WST" sheetId="5" r:id="rId5"/>
    <sheet name="CALC ECO MEETING" sheetId="6" r:id="rId6"/>
    <sheet name="CALC LUX MEETING" sheetId="7" r:id="rId7"/>
    <sheet name="CALC CABI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2" i="8" l="1"/>
  <c r="H1323" i="8" s="1"/>
  <c r="J1321" i="8"/>
  <c r="D1321" i="8"/>
  <c r="H1315" i="8"/>
  <c r="H1316" i="8" s="1"/>
  <c r="J1314" i="8"/>
  <c r="D1314" i="8"/>
  <c r="H1308" i="8"/>
  <c r="H1309" i="8" s="1"/>
  <c r="J1307" i="8"/>
  <c r="D1307" i="8"/>
  <c r="H1301" i="8"/>
  <c r="H1302" i="8" s="1"/>
  <c r="J1300" i="8"/>
  <c r="D1300" i="8"/>
  <c r="H1294" i="8"/>
  <c r="H1295" i="8" s="1"/>
  <c r="J1293" i="8"/>
  <c r="D1293" i="8"/>
  <c r="H1287" i="8"/>
  <c r="H1288" i="8" s="1"/>
  <c r="J1286" i="8"/>
  <c r="D1286" i="8"/>
  <c r="H1280" i="8"/>
  <c r="H1281" i="8" s="1"/>
  <c r="D1280" i="8"/>
  <c r="J1279" i="8"/>
  <c r="D1279" i="8"/>
  <c r="D1281" i="8" s="1"/>
  <c r="H1273" i="8"/>
  <c r="H1274" i="8" s="1"/>
  <c r="J1272" i="8"/>
  <c r="D1272" i="8"/>
  <c r="H1266" i="8"/>
  <c r="H1267" i="8" s="1"/>
  <c r="J1265" i="8"/>
  <c r="D1265" i="8"/>
  <c r="H1259" i="8"/>
  <c r="H1260" i="8" s="1"/>
  <c r="J1258" i="8"/>
  <c r="D1258" i="8"/>
  <c r="H1252" i="8"/>
  <c r="H1253" i="8" s="1"/>
  <c r="J1251" i="8"/>
  <c r="D1251" i="8"/>
  <c r="H1245" i="8"/>
  <c r="H1246" i="8" s="1"/>
  <c r="J1244" i="8"/>
  <c r="D1244" i="8"/>
  <c r="H1238" i="8"/>
  <c r="H1239" i="8" s="1"/>
  <c r="J1237" i="8"/>
  <c r="D1237" i="8"/>
  <c r="H1231" i="8"/>
  <c r="H1232" i="8" s="1"/>
  <c r="J1230" i="8"/>
  <c r="D1230" i="8"/>
  <c r="H1224" i="8"/>
  <c r="H1225" i="8" s="1"/>
  <c r="J1223" i="8"/>
  <c r="C1223" i="8"/>
  <c r="D1223" i="8" s="1"/>
  <c r="H1217" i="8"/>
  <c r="H1218" i="8" s="1"/>
  <c r="J1216" i="8"/>
  <c r="C1216" i="8"/>
  <c r="D1216" i="8" s="1"/>
  <c r="H1210" i="8"/>
  <c r="H1211" i="8" s="1"/>
  <c r="J1209" i="8"/>
  <c r="C1209" i="8"/>
  <c r="D1209" i="8" s="1"/>
  <c r="A1206" i="8"/>
  <c r="H1203" i="8"/>
  <c r="H1204" i="8" s="1"/>
  <c r="J1202" i="8"/>
  <c r="C1202" i="8"/>
  <c r="D1202" i="8" s="1"/>
  <c r="A1199" i="8"/>
  <c r="H1196" i="8"/>
  <c r="H1197" i="8" s="1"/>
  <c r="J1195" i="8"/>
  <c r="C1195" i="8"/>
  <c r="D1195" i="8" s="1"/>
  <c r="A1192" i="8"/>
  <c r="H1189" i="8"/>
  <c r="H1190" i="8" s="1"/>
  <c r="J1188" i="8"/>
  <c r="C1188" i="8"/>
  <c r="D1188" i="8" s="1"/>
  <c r="A1185" i="8"/>
  <c r="H1182" i="8"/>
  <c r="H1183" i="8" s="1"/>
  <c r="J1181" i="8"/>
  <c r="C1181" i="8"/>
  <c r="D1181" i="8" s="1"/>
  <c r="A1178" i="8"/>
  <c r="H1175" i="8"/>
  <c r="H1176" i="8" s="1"/>
  <c r="J1174" i="8"/>
  <c r="D1174" i="8"/>
  <c r="A1171" i="8"/>
  <c r="H1168" i="8"/>
  <c r="H1169" i="8" s="1"/>
  <c r="J1167" i="8"/>
  <c r="D1167" i="8"/>
  <c r="A1164" i="8"/>
  <c r="H1161" i="8"/>
  <c r="H1162" i="8" s="1"/>
  <c r="J1160" i="8"/>
  <c r="D1160" i="8"/>
  <c r="A1157" i="8"/>
  <c r="H1154" i="8"/>
  <c r="H1155" i="8" s="1"/>
  <c r="J1153" i="8"/>
  <c r="D1153" i="8"/>
  <c r="A1150" i="8"/>
  <c r="H1147" i="8"/>
  <c r="H1148" i="8" s="1"/>
  <c r="J1146" i="8"/>
  <c r="D1146" i="8"/>
  <c r="A1143" i="8"/>
  <c r="H1140" i="8"/>
  <c r="H1141" i="8" s="1"/>
  <c r="J1139" i="8"/>
  <c r="D1139" i="8"/>
  <c r="A1136" i="8"/>
  <c r="H1133" i="8"/>
  <c r="H1134" i="8" s="1"/>
  <c r="J1132" i="8"/>
  <c r="D1132" i="8"/>
  <c r="A1129" i="8"/>
  <c r="H1126" i="8"/>
  <c r="H1127" i="8" s="1"/>
  <c r="J1125" i="8"/>
  <c r="D1125" i="8"/>
  <c r="A1122" i="8"/>
  <c r="H1119" i="8"/>
  <c r="H1120" i="8" s="1"/>
  <c r="J1118" i="8"/>
  <c r="D1118" i="8"/>
  <c r="A1115" i="8"/>
  <c r="H1112" i="8"/>
  <c r="H1113" i="8" s="1"/>
  <c r="J1111" i="8"/>
  <c r="D1111" i="8"/>
  <c r="A1108" i="8"/>
  <c r="H1105" i="8"/>
  <c r="H1106" i="8" s="1"/>
  <c r="J1104" i="8"/>
  <c r="D1104" i="8"/>
  <c r="A1101" i="8"/>
  <c r="H1098" i="8"/>
  <c r="H1099" i="8" s="1"/>
  <c r="J1097" i="8"/>
  <c r="D1097" i="8"/>
  <c r="A1094" i="8"/>
  <c r="H1091" i="8"/>
  <c r="H1092" i="8" s="1"/>
  <c r="J1090" i="8"/>
  <c r="D1090" i="8"/>
  <c r="A1087" i="8"/>
  <c r="H1084" i="8"/>
  <c r="H1085" i="8" s="1"/>
  <c r="J1083" i="8"/>
  <c r="D1083" i="8"/>
  <c r="A1080" i="8"/>
  <c r="H1077" i="8"/>
  <c r="H1078" i="8" s="1"/>
  <c r="J1076" i="8"/>
  <c r="C1076" i="8"/>
  <c r="D1076" i="8" s="1"/>
  <c r="A1073" i="8"/>
  <c r="H1070" i="8"/>
  <c r="H1071" i="8" s="1"/>
  <c r="J1069" i="8"/>
  <c r="C1069" i="8"/>
  <c r="D1069" i="8" s="1"/>
  <c r="A1066" i="8"/>
  <c r="H1063" i="8"/>
  <c r="H1064" i="8" s="1"/>
  <c r="J1062" i="8"/>
  <c r="C1062" i="8"/>
  <c r="D1062" i="8" s="1"/>
  <c r="A1059" i="8"/>
  <c r="H1056" i="8"/>
  <c r="H1057" i="8" s="1"/>
  <c r="J1055" i="8"/>
  <c r="C1055" i="8"/>
  <c r="D1055" i="8" s="1"/>
  <c r="A1052" i="8"/>
  <c r="H1049" i="8"/>
  <c r="H1050" i="8" s="1"/>
  <c r="J1048" i="8"/>
  <c r="C1048" i="8"/>
  <c r="D1048" i="8" s="1"/>
  <c r="A1045" i="8"/>
  <c r="H1042" i="8"/>
  <c r="H1043" i="8" s="1"/>
  <c r="F1042" i="8"/>
  <c r="F1049" i="8" s="1"/>
  <c r="F1056" i="8" s="1"/>
  <c r="F1063" i="8" s="1"/>
  <c r="F1070" i="8" s="1"/>
  <c r="F1077" i="8" s="1"/>
  <c r="F1084" i="8" s="1"/>
  <c r="F1091" i="8" s="1"/>
  <c r="F1098" i="8" s="1"/>
  <c r="F1105" i="8" s="1"/>
  <c r="F1112" i="8" s="1"/>
  <c r="F1119" i="8" s="1"/>
  <c r="F1126" i="8" s="1"/>
  <c r="F1133" i="8" s="1"/>
  <c r="F1140" i="8" s="1"/>
  <c r="F1147" i="8" s="1"/>
  <c r="F1154" i="8" s="1"/>
  <c r="F1161" i="8" s="1"/>
  <c r="F1168" i="8" s="1"/>
  <c r="F1175" i="8" s="1"/>
  <c r="F1182" i="8" s="1"/>
  <c r="F1189" i="8" s="1"/>
  <c r="F1196" i="8" s="1"/>
  <c r="F1203" i="8" s="1"/>
  <c r="F1210" i="8" s="1"/>
  <c r="F1217" i="8" s="1"/>
  <c r="F1224" i="8" s="1"/>
  <c r="F1231" i="8" s="1"/>
  <c r="F1238" i="8" s="1"/>
  <c r="F1245" i="8" s="1"/>
  <c r="F1252" i="8" s="1"/>
  <c r="F1259" i="8" s="1"/>
  <c r="F1266" i="8" s="1"/>
  <c r="F1273" i="8" s="1"/>
  <c r="F1280" i="8" s="1"/>
  <c r="F1287" i="8" s="1"/>
  <c r="F1294" i="8" s="1"/>
  <c r="F1301" i="8" s="1"/>
  <c r="F1308" i="8" s="1"/>
  <c r="F1315" i="8" s="1"/>
  <c r="F1322" i="8" s="1"/>
  <c r="J1041" i="8"/>
  <c r="C1041" i="8"/>
  <c r="D1041" i="8" s="1"/>
  <c r="A1038" i="8"/>
  <c r="H1035" i="8"/>
  <c r="H1036" i="8" s="1"/>
  <c r="J1034" i="8"/>
  <c r="C1034" i="8"/>
  <c r="D1034" i="8" s="1"/>
  <c r="A1031" i="8"/>
  <c r="H1028" i="8"/>
  <c r="H1029" i="8" s="1"/>
  <c r="J1027" i="8"/>
  <c r="D1027" i="8"/>
  <c r="A1024" i="8"/>
  <c r="H1021" i="8"/>
  <c r="H1022" i="8" s="1"/>
  <c r="J1020" i="8"/>
  <c r="D1020" i="8"/>
  <c r="A1017" i="8"/>
  <c r="H1014" i="8"/>
  <c r="H1015" i="8" s="1"/>
  <c r="J1013" i="8"/>
  <c r="D1013" i="8"/>
  <c r="A1010" i="8"/>
  <c r="H1007" i="8"/>
  <c r="H1008" i="8" s="1"/>
  <c r="J1006" i="8"/>
  <c r="D1006" i="8"/>
  <c r="A1003" i="8"/>
  <c r="H1000" i="8"/>
  <c r="H1001" i="8" s="1"/>
  <c r="J999" i="8"/>
  <c r="D999" i="8"/>
  <c r="A996" i="8"/>
  <c r="H993" i="8"/>
  <c r="H994" i="8" s="1"/>
  <c r="J992" i="8"/>
  <c r="D992" i="8"/>
  <c r="A989" i="8"/>
  <c r="H986" i="8"/>
  <c r="H987" i="8" s="1"/>
  <c r="J985" i="8"/>
  <c r="D985" i="8"/>
  <c r="A982" i="8"/>
  <c r="H979" i="8"/>
  <c r="H980" i="8" s="1"/>
  <c r="J978" i="8"/>
  <c r="C978" i="8"/>
  <c r="D978" i="8" s="1"/>
  <c r="A975" i="8"/>
  <c r="H972" i="8"/>
  <c r="H973" i="8" s="1"/>
  <c r="J971" i="8"/>
  <c r="C971" i="8"/>
  <c r="D971" i="8" s="1"/>
  <c r="A968" i="8"/>
  <c r="H965" i="8"/>
  <c r="H966" i="8" s="1"/>
  <c r="J964" i="8"/>
  <c r="C964" i="8"/>
  <c r="D964" i="8" s="1"/>
  <c r="A961" i="8"/>
  <c r="H958" i="8"/>
  <c r="H959" i="8" s="1"/>
  <c r="J957" i="8"/>
  <c r="C957" i="8"/>
  <c r="D957" i="8" s="1"/>
  <c r="A954" i="8"/>
  <c r="H951" i="8"/>
  <c r="H952" i="8" s="1"/>
  <c r="J950" i="8"/>
  <c r="C950" i="8"/>
  <c r="D950" i="8" s="1"/>
  <c r="A947" i="8"/>
  <c r="H944" i="8"/>
  <c r="H945" i="8" s="1"/>
  <c r="J943" i="8"/>
  <c r="C943" i="8"/>
  <c r="D943" i="8" s="1"/>
  <c r="A940" i="8"/>
  <c r="H937" i="8"/>
  <c r="H938" i="8" s="1"/>
  <c r="J936" i="8"/>
  <c r="C936" i="8"/>
  <c r="D936" i="8" s="1"/>
  <c r="D938" i="8" s="1"/>
  <c r="A933" i="8"/>
  <c r="H930" i="8"/>
  <c r="H931" i="8" s="1"/>
  <c r="J929" i="8"/>
  <c r="C929" i="8"/>
  <c r="D929" i="8" s="1"/>
  <c r="A926" i="8"/>
  <c r="H923" i="8"/>
  <c r="H924" i="8" s="1"/>
  <c r="J922" i="8"/>
  <c r="C922" i="8"/>
  <c r="D922" i="8" s="1"/>
  <c r="A919" i="8"/>
  <c r="H916" i="8"/>
  <c r="H917" i="8" s="1"/>
  <c r="J915" i="8"/>
  <c r="C915" i="8"/>
  <c r="D915" i="8" s="1"/>
  <c r="A912" i="8"/>
  <c r="H909" i="8"/>
  <c r="H910" i="8" s="1"/>
  <c r="J908" i="8"/>
  <c r="C908" i="8"/>
  <c r="D908" i="8" s="1"/>
  <c r="A905" i="8"/>
  <c r="H902" i="8"/>
  <c r="H903" i="8" s="1"/>
  <c r="J901" i="8"/>
  <c r="C901" i="8"/>
  <c r="D901" i="8" s="1"/>
  <c r="A898" i="8"/>
  <c r="H895" i="8"/>
  <c r="H896" i="8" s="1"/>
  <c r="J894" i="8"/>
  <c r="C894" i="8"/>
  <c r="D894" i="8" s="1"/>
  <c r="A891" i="8"/>
  <c r="H888" i="8"/>
  <c r="H889" i="8" s="1"/>
  <c r="J887" i="8"/>
  <c r="C887" i="8"/>
  <c r="D887" i="8" s="1"/>
  <c r="D889" i="8" s="1"/>
  <c r="F886" i="8"/>
  <c r="A884" i="8"/>
  <c r="H881" i="8"/>
  <c r="H882" i="8" s="1"/>
  <c r="J880" i="8"/>
  <c r="D880" i="8"/>
  <c r="A877" i="8"/>
  <c r="H874" i="8"/>
  <c r="H875" i="8" s="1"/>
  <c r="J873" i="8"/>
  <c r="D873" i="8"/>
  <c r="A870" i="8"/>
  <c r="H867" i="8"/>
  <c r="H868" i="8" s="1"/>
  <c r="J866" i="8"/>
  <c r="D866" i="8"/>
  <c r="A863" i="8"/>
  <c r="H860" i="8"/>
  <c r="H861" i="8" s="1"/>
  <c r="J859" i="8"/>
  <c r="D859" i="8"/>
  <c r="A856" i="8"/>
  <c r="H853" i="8"/>
  <c r="H854" i="8" s="1"/>
  <c r="J852" i="8"/>
  <c r="D852" i="8"/>
  <c r="A849" i="8"/>
  <c r="H846" i="8"/>
  <c r="H847" i="8" s="1"/>
  <c r="J845" i="8"/>
  <c r="D845" i="8"/>
  <c r="A842" i="8"/>
  <c r="H839" i="8"/>
  <c r="H840" i="8" s="1"/>
  <c r="J838" i="8"/>
  <c r="D838" i="8"/>
  <c r="D840" i="8" s="1"/>
  <c r="A835" i="8"/>
  <c r="H832" i="8"/>
  <c r="H833" i="8" s="1"/>
  <c r="J831" i="8"/>
  <c r="C831" i="8"/>
  <c r="D831" i="8" s="1"/>
  <c r="A828" i="8"/>
  <c r="H825" i="8"/>
  <c r="H826" i="8" s="1"/>
  <c r="J824" i="8"/>
  <c r="C824" i="8"/>
  <c r="D824" i="8" s="1"/>
  <c r="A821" i="8"/>
  <c r="H818" i="8"/>
  <c r="H819" i="8" s="1"/>
  <c r="J817" i="8"/>
  <c r="C817" i="8"/>
  <c r="D817" i="8" s="1"/>
  <c r="A814" i="8"/>
  <c r="H811" i="8"/>
  <c r="H812" i="8" s="1"/>
  <c r="J810" i="8"/>
  <c r="C810" i="8"/>
  <c r="D810" i="8" s="1"/>
  <c r="A807" i="8"/>
  <c r="H804" i="8"/>
  <c r="H805" i="8" s="1"/>
  <c r="J803" i="8"/>
  <c r="C803" i="8"/>
  <c r="D803" i="8" s="1"/>
  <c r="A800" i="8"/>
  <c r="H797" i="8"/>
  <c r="H798" i="8" s="1"/>
  <c r="J796" i="8"/>
  <c r="C796" i="8"/>
  <c r="D796" i="8" s="1"/>
  <c r="A793" i="8"/>
  <c r="H790" i="8"/>
  <c r="H791" i="8" s="1"/>
  <c r="J789" i="8"/>
  <c r="C789" i="8"/>
  <c r="D789" i="8" s="1"/>
  <c r="D791" i="8" s="1"/>
  <c r="A786" i="8"/>
  <c r="H783" i="8"/>
  <c r="H784" i="8" s="1"/>
  <c r="J782" i="8"/>
  <c r="C782" i="8"/>
  <c r="D782" i="8" s="1"/>
  <c r="D784" i="8" s="1"/>
  <c r="A779" i="8"/>
  <c r="H776" i="8"/>
  <c r="H777" i="8" s="1"/>
  <c r="J775" i="8"/>
  <c r="C775" i="8"/>
  <c r="D775" i="8" s="1"/>
  <c r="A772" i="8"/>
  <c r="H769" i="8"/>
  <c r="H770" i="8" s="1"/>
  <c r="J768" i="8"/>
  <c r="C768" i="8"/>
  <c r="D768" i="8" s="1"/>
  <c r="A765" i="8"/>
  <c r="H762" i="8"/>
  <c r="H763" i="8" s="1"/>
  <c r="J761" i="8"/>
  <c r="C761" i="8"/>
  <c r="D761" i="8" s="1"/>
  <c r="A758" i="8"/>
  <c r="H755" i="8"/>
  <c r="H756" i="8" s="1"/>
  <c r="J754" i="8"/>
  <c r="C754" i="8"/>
  <c r="D754" i="8" s="1"/>
  <c r="A751" i="8"/>
  <c r="H748" i="8"/>
  <c r="H749" i="8" s="1"/>
  <c r="J747" i="8"/>
  <c r="C747" i="8"/>
  <c r="D747" i="8" s="1"/>
  <c r="A744" i="8"/>
  <c r="H741" i="8"/>
  <c r="H742" i="8" s="1"/>
  <c r="J740" i="8"/>
  <c r="C740" i="8"/>
  <c r="D740" i="8" s="1"/>
  <c r="D742" i="8" s="1"/>
  <c r="A737" i="8"/>
  <c r="H734" i="8"/>
  <c r="H735" i="8" s="1"/>
  <c r="J733" i="8"/>
  <c r="D733" i="8"/>
  <c r="D735" i="8" s="1"/>
  <c r="A730" i="8"/>
  <c r="H727" i="8"/>
  <c r="H728" i="8" s="1"/>
  <c r="J726" i="8"/>
  <c r="D726" i="8"/>
  <c r="D728" i="8" s="1"/>
  <c r="A723" i="8"/>
  <c r="H720" i="8"/>
  <c r="H721" i="8" s="1"/>
  <c r="J719" i="8"/>
  <c r="D719" i="8"/>
  <c r="A716" i="8"/>
  <c r="H713" i="8"/>
  <c r="H714" i="8" s="1"/>
  <c r="J712" i="8"/>
  <c r="D712" i="8"/>
  <c r="A709" i="8"/>
  <c r="H706" i="8"/>
  <c r="H707" i="8" s="1"/>
  <c r="J705" i="8"/>
  <c r="D705" i="8"/>
  <c r="A702" i="8"/>
  <c r="H699" i="8"/>
  <c r="H700" i="8" s="1"/>
  <c r="J698" i="8"/>
  <c r="D698" i="8"/>
  <c r="A695" i="8"/>
  <c r="H692" i="8"/>
  <c r="H693" i="8" s="1"/>
  <c r="J691" i="8"/>
  <c r="D691" i="8"/>
  <c r="D693" i="8" s="1"/>
  <c r="A688" i="8"/>
  <c r="H685" i="8"/>
  <c r="H686" i="8" s="1"/>
  <c r="J684" i="8"/>
  <c r="C684" i="8"/>
  <c r="D684" i="8" s="1"/>
  <c r="D686" i="8" s="1"/>
  <c r="A681" i="8"/>
  <c r="H678" i="8"/>
  <c r="H679" i="8" s="1"/>
  <c r="J677" i="8"/>
  <c r="C677" i="8"/>
  <c r="D677" i="8" s="1"/>
  <c r="D679" i="8" s="1"/>
  <c r="A674" i="8"/>
  <c r="H671" i="8"/>
  <c r="H672" i="8" s="1"/>
  <c r="J670" i="8"/>
  <c r="C670" i="8"/>
  <c r="D670" i="8" s="1"/>
  <c r="D672" i="8" s="1"/>
  <c r="A667" i="8"/>
  <c r="H664" i="8"/>
  <c r="H665" i="8" s="1"/>
  <c r="J663" i="8"/>
  <c r="C663" i="8"/>
  <c r="D663" i="8" s="1"/>
  <c r="A660" i="8"/>
  <c r="H657" i="8"/>
  <c r="H658" i="8" s="1"/>
  <c r="J656" i="8"/>
  <c r="C656" i="8"/>
  <c r="D656" i="8" s="1"/>
  <c r="A653" i="8"/>
  <c r="H650" i="8"/>
  <c r="H651" i="8" s="1"/>
  <c r="J649" i="8"/>
  <c r="C649" i="8"/>
  <c r="D649" i="8" s="1"/>
  <c r="A646" i="8"/>
  <c r="H643" i="8"/>
  <c r="H644" i="8" s="1"/>
  <c r="J642" i="8"/>
  <c r="C642" i="8"/>
  <c r="D642" i="8" s="1"/>
  <c r="D644" i="8" s="1"/>
  <c r="A639" i="8"/>
  <c r="H636" i="8"/>
  <c r="H637" i="8" s="1"/>
  <c r="J635" i="8"/>
  <c r="C635" i="8"/>
  <c r="D635" i="8" s="1"/>
  <c r="D637" i="8" s="1"/>
  <c r="A632" i="8"/>
  <c r="H629" i="8"/>
  <c r="H630" i="8" s="1"/>
  <c r="J628" i="8"/>
  <c r="C628" i="8"/>
  <c r="D628" i="8" s="1"/>
  <c r="D630" i="8" s="1"/>
  <c r="A625" i="8"/>
  <c r="H622" i="8"/>
  <c r="H623" i="8" s="1"/>
  <c r="J621" i="8"/>
  <c r="C621" i="8"/>
  <c r="D621" i="8" s="1"/>
  <c r="D623" i="8" s="1"/>
  <c r="A618" i="8"/>
  <c r="H615" i="8"/>
  <c r="H616" i="8" s="1"/>
  <c r="J614" i="8"/>
  <c r="C614" i="8"/>
  <c r="D614" i="8" s="1"/>
  <c r="D616" i="8" s="1"/>
  <c r="A611" i="8"/>
  <c r="H608" i="8"/>
  <c r="H609" i="8" s="1"/>
  <c r="J607" i="8"/>
  <c r="D607" i="8"/>
  <c r="A604" i="8"/>
  <c r="H601" i="8"/>
  <c r="H602" i="8" s="1"/>
  <c r="J600" i="8"/>
  <c r="D600" i="8"/>
  <c r="A597" i="8"/>
  <c r="H594" i="8"/>
  <c r="H595" i="8" s="1"/>
  <c r="J593" i="8"/>
  <c r="D593" i="8"/>
  <c r="A590" i="8"/>
  <c r="H587" i="8"/>
  <c r="H588" i="8" s="1"/>
  <c r="J586" i="8"/>
  <c r="D586" i="8"/>
  <c r="A583" i="8"/>
  <c r="H580" i="8"/>
  <c r="H581" i="8" s="1"/>
  <c r="J579" i="8"/>
  <c r="D579" i="8"/>
  <c r="A576" i="8"/>
  <c r="H573" i="8"/>
  <c r="H574" i="8" s="1"/>
  <c r="J572" i="8"/>
  <c r="D572" i="8"/>
  <c r="A569" i="8"/>
  <c r="H566" i="8"/>
  <c r="H567" i="8" s="1"/>
  <c r="J565" i="8"/>
  <c r="D565" i="8"/>
  <c r="A562" i="8"/>
  <c r="H559" i="8"/>
  <c r="H560" i="8" s="1"/>
  <c r="J558" i="8"/>
  <c r="D558" i="8"/>
  <c r="A555" i="8"/>
  <c r="H552" i="8"/>
  <c r="H553" i="8" s="1"/>
  <c r="J551" i="8"/>
  <c r="D551" i="8"/>
  <c r="A548" i="8"/>
  <c r="H545" i="8"/>
  <c r="H546" i="8" s="1"/>
  <c r="J544" i="8"/>
  <c r="D544" i="8"/>
  <c r="H538" i="8"/>
  <c r="H539" i="8" s="1"/>
  <c r="J537" i="8"/>
  <c r="C537" i="8"/>
  <c r="D537" i="8" s="1"/>
  <c r="H531" i="8"/>
  <c r="H532" i="8" s="1"/>
  <c r="J530" i="8"/>
  <c r="C530" i="8"/>
  <c r="D530" i="8" s="1"/>
  <c r="H524" i="8"/>
  <c r="H525" i="8" s="1"/>
  <c r="J523" i="8"/>
  <c r="C523" i="8"/>
  <c r="D523" i="8" s="1"/>
  <c r="H517" i="8"/>
  <c r="H518" i="8" s="1"/>
  <c r="J516" i="8"/>
  <c r="C516" i="8"/>
  <c r="D516" i="8" s="1"/>
  <c r="H510" i="8"/>
  <c r="H511" i="8" s="1"/>
  <c r="J509" i="8"/>
  <c r="C509" i="8"/>
  <c r="D509" i="8" s="1"/>
  <c r="H503" i="8"/>
  <c r="H504" i="8" s="1"/>
  <c r="J502" i="8"/>
  <c r="C502" i="8"/>
  <c r="D502" i="8" s="1"/>
  <c r="H496" i="8"/>
  <c r="H497" i="8" s="1"/>
  <c r="J495" i="8"/>
  <c r="C495" i="8"/>
  <c r="D495" i="8" s="1"/>
  <c r="H489" i="8"/>
  <c r="H490" i="8" s="1"/>
  <c r="J488" i="8"/>
  <c r="D488" i="8"/>
  <c r="H482" i="8"/>
  <c r="H483" i="8" s="1"/>
  <c r="J481" i="8"/>
  <c r="D481" i="8"/>
  <c r="H475" i="8"/>
  <c r="H476" i="8" s="1"/>
  <c r="J474" i="8"/>
  <c r="D474" i="8"/>
  <c r="H468" i="8"/>
  <c r="H469" i="8" s="1"/>
  <c r="J467" i="8"/>
  <c r="D467" i="8"/>
  <c r="H461" i="8"/>
  <c r="H462" i="8" s="1"/>
  <c r="J460" i="8"/>
  <c r="D460" i="8"/>
  <c r="H454" i="8"/>
  <c r="H455" i="8" s="1"/>
  <c r="J453" i="8"/>
  <c r="D453" i="8"/>
  <c r="H447" i="8"/>
  <c r="H448" i="8" s="1"/>
  <c r="J446" i="8"/>
  <c r="D446" i="8"/>
  <c r="G445" i="8"/>
  <c r="F445" i="8"/>
  <c r="H440" i="8"/>
  <c r="H441" i="8" s="1"/>
  <c r="J439" i="8"/>
  <c r="D439" i="8"/>
  <c r="H433" i="8"/>
  <c r="H434" i="8" s="1"/>
  <c r="J432" i="8"/>
  <c r="D432" i="8"/>
  <c r="H426" i="8"/>
  <c r="H427" i="8" s="1"/>
  <c r="J425" i="8"/>
  <c r="D425" i="8"/>
  <c r="H419" i="8"/>
  <c r="H420" i="8" s="1"/>
  <c r="J418" i="8"/>
  <c r="D418" i="8"/>
  <c r="H412" i="8"/>
  <c r="H413" i="8" s="1"/>
  <c r="J411" i="8"/>
  <c r="D411" i="8"/>
  <c r="H405" i="8"/>
  <c r="H406" i="8" s="1"/>
  <c r="J404" i="8"/>
  <c r="D404" i="8"/>
  <c r="H398" i="8"/>
  <c r="H399" i="8" s="1"/>
  <c r="J397" i="8"/>
  <c r="D397" i="8"/>
  <c r="H391" i="8"/>
  <c r="H392" i="8" s="1"/>
  <c r="J390" i="8"/>
  <c r="C390" i="8"/>
  <c r="D390" i="8" s="1"/>
  <c r="H384" i="8"/>
  <c r="H385" i="8" s="1"/>
  <c r="J383" i="8"/>
  <c r="C383" i="8"/>
  <c r="D383" i="8" s="1"/>
  <c r="H377" i="8"/>
  <c r="H378" i="8" s="1"/>
  <c r="J376" i="8"/>
  <c r="C376" i="8"/>
  <c r="D376" i="8" s="1"/>
  <c r="H370" i="8"/>
  <c r="H371" i="8" s="1"/>
  <c r="J369" i="8"/>
  <c r="C369" i="8"/>
  <c r="D369" i="8" s="1"/>
  <c r="H363" i="8"/>
  <c r="H364" i="8" s="1"/>
  <c r="J362" i="8"/>
  <c r="C362" i="8"/>
  <c r="D362" i="8" s="1"/>
  <c r="H356" i="8"/>
  <c r="H357" i="8" s="1"/>
  <c r="J355" i="8"/>
  <c r="C355" i="8"/>
  <c r="D355" i="8" s="1"/>
  <c r="H349" i="8"/>
  <c r="H350" i="8" s="1"/>
  <c r="J348" i="8"/>
  <c r="C348" i="8"/>
  <c r="D348" i="8" s="1"/>
  <c r="H342" i="8"/>
  <c r="H343" i="8" s="1"/>
  <c r="J341" i="8"/>
  <c r="D341" i="8"/>
  <c r="F340" i="8"/>
  <c r="F343" i="8" s="1"/>
  <c r="A338" i="8"/>
  <c r="H335" i="8"/>
  <c r="H336" i="8" s="1"/>
  <c r="J334" i="8"/>
  <c r="D334" i="8"/>
  <c r="F333" i="8"/>
  <c r="F336" i="8" s="1"/>
  <c r="A331" i="8"/>
  <c r="H328" i="8"/>
  <c r="H329" i="8" s="1"/>
  <c r="J327" i="8"/>
  <c r="D327" i="8"/>
  <c r="F326" i="8"/>
  <c r="F329" i="8" s="1"/>
  <c r="A324" i="8"/>
  <c r="H321" i="8"/>
  <c r="H322" i="8" s="1"/>
  <c r="J320" i="8"/>
  <c r="D320" i="8"/>
  <c r="F319" i="8"/>
  <c r="F322" i="8" s="1"/>
  <c r="A317" i="8"/>
  <c r="H314" i="8"/>
  <c r="H315" i="8" s="1"/>
  <c r="J313" i="8"/>
  <c r="D313" i="8"/>
  <c r="F312" i="8"/>
  <c r="F315" i="8" s="1"/>
  <c r="A310" i="8"/>
  <c r="H307" i="8"/>
  <c r="H308" i="8" s="1"/>
  <c r="J306" i="8"/>
  <c r="D306" i="8"/>
  <c r="F305" i="8"/>
  <c r="F308" i="8" s="1"/>
  <c r="A303" i="8"/>
  <c r="H300" i="8"/>
  <c r="H301" i="8" s="1"/>
  <c r="J299" i="8"/>
  <c r="D299" i="8"/>
  <c r="F298" i="8"/>
  <c r="F301" i="8" s="1"/>
  <c r="A296" i="8"/>
  <c r="H293" i="8"/>
  <c r="H294" i="8" s="1"/>
  <c r="J292" i="8"/>
  <c r="D292" i="8"/>
  <c r="A289" i="8"/>
  <c r="H286" i="8"/>
  <c r="H287" i="8" s="1"/>
  <c r="J285" i="8"/>
  <c r="D285" i="8"/>
  <c r="A282" i="8"/>
  <c r="H279" i="8"/>
  <c r="H280" i="8" s="1"/>
  <c r="J278" i="8"/>
  <c r="D278" i="8"/>
  <c r="A275" i="8"/>
  <c r="H272" i="8"/>
  <c r="H273" i="8" s="1"/>
  <c r="J271" i="8"/>
  <c r="D271" i="8"/>
  <c r="A268" i="8"/>
  <c r="H265" i="8"/>
  <c r="H266" i="8" s="1"/>
  <c r="J264" i="8"/>
  <c r="D264" i="8"/>
  <c r="A261" i="8"/>
  <c r="H258" i="8"/>
  <c r="H259" i="8" s="1"/>
  <c r="J257" i="8"/>
  <c r="D257" i="8"/>
  <c r="A254" i="8"/>
  <c r="H251" i="8"/>
  <c r="H252" i="8" s="1"/>
  <c r="J250" i="8"/>
  <c r="D250" i="8"/>
  <c r="A247" i="8"/>
  <c r="H244" i="8"/>
  <c r="H245" i="8" s="1"/>
  <c r="J243" i="8"/>
  <c r="C243" i="8"/>
  <c r="D243" i="8" s="1"/>
  <c r="A240" i="8"/>
  <c r="H237" i="8"/>
  <c r="H238" i="8" s="1"/>
  <c r="J236" i="8"/>
  <c r="C236" i="8"/>
  <c r="D236" i="8" s="1"/>
  <c r="A233" i="8"/>
  <c r="H230" i="8"/>
  <c r="H231" i="8" s="1"/>
  <c r="J229" i="8"/>
  <c r="C229" i="8"/>
  <c r="D229" i="8" s="1"/>
  <c r="A226" i="8"/>
  <c r="H223" i="8"/>
  <c r="H224" i="8" s="1"/>
  <c r="J222" i="8"/>
  <c r="C222" i="8"/>
  <c r="D222" i="8" s="1"/>
  <c r="A219" i="8"/>
  <c r="H216" i="8"/>
  <c r="H217" i="8" s="1"/>
  <c r="J215" i="8"/>
  <c r="C215" i="8"/>
  <c r="D215" i="8" s="1"/>
  <c r="A212" i="8"/>
  <c r="H209" i="8"/>
  <c r="H210" i="8" s="1"/>
  <c r="J208" i="8"/>
  <c r="C208" i="8"/>
  <c r="D208" i="8" s="1"/>
  <c r="A205" i="8"/>
  <c r="H202" i="8"/>
  <c r="H203" i="8" s="1"/>
  <c r="J201" i="8"/>
  <c r="C201" i="8"/>
  <c r="D201" i="8" s="1"/>
  <c r="A198" i="8"/>
  <c r="H195" i="8"/>
  <c r="H196" i="8" s="1"/>
  <c r="J194" i="8"/>
  <c r="C194" i="8"/>
  <c r="D194" i="8" s="1"/>
  <c r="F193" i="8"/>
  <c r="F196" i="8" s="1"/>
  <c r="A191" i="8"/>
  <c r="H188" i="8"/>
  <c r="H189" i="8" s="1"/>
  <c r="J187" i="8"/>
  <c r="C187" i="8"/>
  <c r="D187" i="8" s="1"/>
  <c r="F186" i="8"/>
  <c r="F189" i="8" s="1"/>
  <c r="A184" i="8"/>
  <c r="H181" i="8"/>
  <c r="H182" i="8" s="1"/>
  <c r="J180" i="8"/>
  <c r="C180" i="8"/>
  <c r="D180" i="8" s="1"/>
  <c r="F179" i="8"/>
  <c r="F182" i="8" s="1"/>
  <c r="A177" i="8"/>
  <c r="H174" i="8"/>
  <c r="H175" i="8" s="1"/>
  <c r="J173" i="8"/>
  <c r="C173" i="8"/>
  <c r="D173" i="8" s="1"/>
  <c r="F172" i="8"/>
  <c r="F175" i="8" s="1"/>
  <c r="A170" i="8"/>
  <c r="H167" i="8"/>
  <c r="H168" i="8" s="1"/>
  <c r="J166" i="8"/>
  <c r="C166" i="8"/>
  <c r="D166" i="8" s="1"/>
  <c r="F165" i="8"/>
  <c r="F168" i="8" s="1"/>
  <c r="A163" i="8"/>
  <c r="H160" i="8"/>
  <c r="H161" i="8" s="1"/>
  <c r="J159" i="8"/>
  <c r="C159" i="8"/>
  <c r="D159" i="8" s="1"/>
  <c r="A156" i="8"/>
  <c r="H153" i="8"/>
  <c r="H154" i="8" s="1"/>
  <c r="J152" i="8"/>
  <c r="D152" i="8"/>
  <c r="D154" i="8" s="1"/>
  <c r="A149" i="8"/>
  <c r="H146" i="8"/>
  <c r="H147" i="8" s="1"/>
  <c r="J145" i="8"/>
  <c r="C145" i="8"/>
  <c r="D145" i="8" s="1"/>
  <c r="A142" i="8"/>
  <c r="H139" i="8"/>
  <c r="H140" i="8" s="1"/>
  <c r="J138" i="8"/>
  <c r="C138" i="8"/>
  <c r="D138" i="8" s="1"/>
  <c r="A135" i="8"/>
  <c r="H132" i="8"/>
  <c r="H133" i="8" s="1"/>
  <c r="J131" i="8"/>
  <c r="C131" i="8"/>
  <c r="D131" i="8" s="1"/>
  <c r="A128" i="8"/>
  <c r="H125" i="8"/>
  <c r="H126" i="8" s="1"/>
  <c r="J124" i="8"/>
  <c r="C124" i="8"/>
  <c r="D124" i="8" s="1"/>
  <c r="A121" i="8"/>
  <c r="H118" i="8"/>
  <c r="H119" i="8" s="1"/>
  <c r="J117" i="8"/>
  <c r="C117" i="8"/>
  <c r="D117" i="8" s="1"/>
  <c r="A114" i="8"/>
  <c r="H111" i="8"/>
  <c r="H112" i="8" s="1"/>
  <c r="J110" i="8"/>
  <c r="C110" i="8"/>
  <c r="D110" i="8" s="1"/>
  <c r="A107" i="8"/>
  <c r="H104" i="8"/>
  <c r="H105" i="8" s="1"/>
  <c r="J103" i="8"/>
  <c r="C103" i="8"/>
  <c r="D103" i="8" s="1"/>
  <c r="D105" i="8" s="1"/>
  <c r="A100" i="8"/>
  <c r="H97" i="8"/>
  <c r="H98" i="8" s="1"/>
  <c r="J96" i="8"/>
  <c r="C96" i="8"/>
  <c r="D96" i="8" s="1"/>
  <c r="A93" i="8"/>
  <c r="H90" i="8"/>
  <c r="H91" i="8" s="1"/>
  <c r="J89" i="8"/>
  <c r="C89" i="8"/>
  <c r="D89" i="8" s="1"/>
  <c r="A86" i="8"/>
  <c r="H83" i="8"/>
  <c r="H84" i="8" s="1"/>
  <c r="J82" i="8"/>
  <c r="C82" i="8"/>
  <c r="D82" i="8" s="1"/>
  <c r="A79" i="8"/>
  <c r="H76" i="8"/>
  <c r="H77" i="8" s="1"/>
  <c r="J75" i="8"/>
  <c r="C75" i="8"/>
  <c r="D75" i="8" s="1"/>
  <c r="A72" i="8"/>
  <c r="H69" i="8"/>
  <c r="H70" i="8" s="1"/>
  <c r="J68" i="8"/>
  <c r="C68" i="8"/>
  <c r="D68" i="8" s="1"/>
  <c r="A65" i="8"/>
  <c r="H62" i="8"/>
  <c r="H63" i="8" s="1"/>
  <c r="J61" i="8"/>
  <c r="C61" i="8"/>
  <c r="D61" i="8" s="1"/>
  <c r="A58" i="8"/>
  <c r="H55" i="8"/>
  <c r="H56" i="8" s="1"/>
  <c r="J54" i="8"/>
  <c r="C54" i="8"/>
  <c r="D54" i="8" s="1"/>
  <c r="D56" i="8" s="1"/>
  <c r="A51" i="8"/>
  <c r="H48" i="8"/>
  <c r="H49" i="8" s="1"/>
  <c r="D48" i="8"/>
  <c r="D97" i="8" s="1"/>
  <c r="D146" i="8" s="1"/>
  <c r="D195" i="8" s="1"/>
  <c r="D244" i="8" s="1"/>
  <c r="D293" i="8" s="1"/>
  <c r="D342" i="8" s="1"/>
  <c r="D391" i="8" s="1"/>
  <c r="D440" i="8" s="1"/>
  <c r="D489" i="8" s="1"/>
  <c r="D538" i="8" s="1"/>
  <c r="D587" i="8" s="1"/>
  <c r="D636" i="8" s="1"/>
  <c r="D685" i="8" s="1"/>
  <c r="D734" i="8" s="1"/>
  <c r="D783" i="8" s="1"/>
  <c r="D832" i="8" s="1"/>
  <c r="D881" i="8" s="1"/>
  <c r="D930" i="8" s="1"/>
  <c r="D979" i="8" s="1"/>
  <c r="D1028" i="8" s="1"/>
  <c r="D1077" i="8" s="1"/>
  <c r="D1126" i="8" s="1"/>
  <c r="D1175" i="8" s="1"/>
  <c r="D1224" i="8" s="1"/>
  <c r="D1273" i="8" s="1"/>
  <c r="D1322" i="8" s="1"/>
  <c r="J47" i="8"/>
  <c r="C47" i="8"/>
  <c r="D47" i="8" s="1"/>
  <c r="D49" i="8" s="1"/>
  <c r="A44" i="8"/>
  <c r="H41" i="8"/>
  <c r="H42" i="8" s="1"/>
  <c r="D41" i="8"/>
  <c r="D90" i="8" s="1"/>
  <c r="D139" i="8" s="1"/>
  <c r="D188" i="8" s="1"/>
  <c r="D237" i="8" s="1"/>
  <c r="D286" i="8" s="1"/>
  <c r="D335" i="8" s="1"/>
  <c r="D384" i="8" s="1"/>
  <c r="D433" i="8" s="1"/>
  <c r="D482" i="8" s="1"/>
  <c r="D531" i="8" s="1"/>
  <c r="D580" i="8" s="1"/>
  <c r="D629" i="8" s="1"/>
  <c r="D678" i="8" s="1"/>
  <c r="D727" i="8" s="1"/>
  <c r="D776" i="8" s="1"/>
  <c r="D825" i="8" s="1"/>
  <c r="D874" i="8" s="1"/>
  <c r="D923" i="8" s="1"/>
  <c r="D972" i="8" s="1"/>
  <c r="D1021" i="8" s="1"/>
  <c r="D1070" i="8" s="1"/>
  <c r="D1119" i="8" s="1"/>
  <c r="D1168" i="8" s="1"/>
  <c r="D1217" i="8" s="1"/>
  <c r="D1266" i="8" s="1"/>
  <c r="D1315" i="8" s="1"/>
  <c r="J40" i="8"/>
  <c r="C40" i="8"/>
  <c r="D40" i="8" s="1"/>
  <c r="D42" i="8" s="1"/>
  <c r="A37" i="8"/>
  <c r="H34" i="8"/>
  <c r="H35" i="8" s="1"/>
  <c r="D34" i="8"/>
  <c r="D83" i="8" s="1"/>
  <c r="D132" i="8" s="1"/>
  <c r="D181" i="8" s="1"/>
  <c r="D230" i="8" s="1"/>
  <c r="D279" i="8" s="1"/>
  <c r="D328" i="8" s="1"/>
  <c r="D377" i="8" s="1"/>
  <c r="D426" i="8" s="1"/>
  <c r="D475" i="8" s="1"/>
  <c r="D524" i="8" s="1"/>
  <c r="D573" i="8" s="1"/>
  <c r="D622" i="8" s="1"/>
  <c r="D671" i="8" s="1"/>
  <c r="D720" i="8" s="1"/>
  <c r="D769" i="8" s="1"/>
  <c r="D818" i="8" s="1"/>
  <c r="D867" i="8" s="1"/>
  <c r="D916" i="8" s="1"/>
  <c r="D965" i="8" s="1"/>
  <c r="D1014" i="8" s="1"/>
  <c r="D1063" i="8" s="1"/>
  <c r="D1112" i="8" s="1"/>
  <c r="D1161" i="8" s="1"/>
  <c r="D1210" i="8" s="1"/>
  <c r="D1259" i="8" s="1"/>
  <c r="D1308" i="8" s="1"/>
  <c r="J33" i="8"/>
  <c r="C33" i="8"/>
  <c r="D33" i="8" s="1"/>
  <c r="D35" i="8" s="1"/>
  <c r="A30" i="8"/>
  <c r="H27" i="8"/>
  <c r="H28" i="8" s="1"/>
  <c r="E27" i="8"/>
  <c r="D27" i="8"/>
  <c r="D76" i="8" s="1"/>
  <c r="D125" i="8" s="1"/>
  <c r="D174" i="8" s="1"/>
  <c r="D223" i="8" s="1"/>
  <c r="D272" i="8" s="1"/>
  <c r="D321" i="8" s="1"/>
  <c r="D370" i="8" s="1"/>
  <c r="D419" i="8" s="1"/>
  <c r="D468" i="8" s="1"/>
  <c r="D517" i="8" s="1"/>
  <c r="D566" i="8" s="1"/>
  <c r="D615" i="8" s="1"/>
  <c r="D664" i="8" s="1"/>
  <c r="D713" i="8" s="1"/>
  <c r="D762" i="8" s="1"/>
  <c r="D811" i="8" s="1"/>
  <c r="D860" i="8" s="1"/>
  <c r="D909" i="8" s="1"/>
  <c r="D958" i="8" s="1"/>
  <c r="D1007" i="8" s="1"/>
  <c r="D1056" i="8" s="1"/>
  <c r="D1105" i="8" s="1"/>
  <c r="D1154" i="8" s="1"/>
  <c r="D1203" i="8" s="1"/>
  <c r="D1252" i="8" s="1"/>
  <c r="D1301" i="8" s="1"/>
  <c r="J26" i="8"/>
  <c r="C26" i="8"/>
  <c r="D26" i="8" s="1"/>
  <c r="D28" i="8" s="1"/>
  <c r="A23" i="8"/>
  <c r="H20" i="8"/>
  <c r="H21" i="8" s="1"/>
  <c r="D20" i="8"/>
  <c r="D69" i="8" s="1"/>
  <c r="D118" i="8" s="1"/>
  <c r="D167" i="8" s="1"/>
  <c r="D216" i="8" s="1"/>
  <c r="D265" i="8" s="1"/>
  <c r="D314" i="8" s="1"/>
  <c r="D363" i="8" s="1"/>
  <c r="D412" i="8" s="1"/>
  <c r="D461" i="8" s="1"/>
  <c r="D510" i="8" s="1"/>
  <c r="D559" i="8" s="1"/>
  <c r="D608" i="8" s="1"/>
  <c r="D657" i="8" s="1"/>
  <c r="D706" i="8" s="1"/>
  <c r="D755" i="8" s="1"/>
  <c r="D804" i="8" s="1"/>
  <c r="D853" i="8" s="1"/>
  <c r="D902" i="8" s="1"/>
  <c r="D951" i="8" s="1"/>
  <c r="D1000" i="8" s="1"/>
  <c r="D1049" i="8" s="1"/>
  <c r="D1098" i="8" s="1"/>
  <c r="D1147" i="8" s="1"/>
  <c r="D1196" i="8" s="1"/>
  <c r="D1245" i="8" s="1"/>
  <c r="D1294" i="8" s="1"/>
  <c r="J19" i="8"/>
  <c r="C19" i="8"/>
  <c r="D19" i="8" s="1"/>
  <c r="D21" i="8" s="1"/>
  <c r="A16" i="8"/>
  <c r="H13" i="8"/>
  <c r="H14" i="8" s="1"/>
  <c r="D13" i="8"/>
  <c r="D62" i="8" s="1"/>
  <c r="D111" i="8" s="1"/>
  <c r="D160" i="8" s="1"/>
  <c r="D209" i="8" s="1"/>
  <c r="D258" i="8" s="1"/>
  <c r="D307" i="8" s="1"/>
  <c r="D356" i="8" s="1"/>
  <c r="D405" i="8" s="1"/>
  <c r="D454" i="8" s="1"/>
  <c r="D503" i="8" s="1"/>
  <c r="D552" i="8" s="1"/>
  <c r="D601" i="8" s="1"/>
  <c r="D650" i="8" s="1"/>
  <c r="D699" i="8" s="1"/>
  <c r="D748" i="8" s="1"/>
  <c r="D797" i="8" s="1"/>
  <c r="D846" i="8" s="1"/>
  <c r="D895" i="8" s="1"/>
  <c r="D944" i="8" s="1"/>
  <c r="D993" i="8" s="1"/>
  <c r="D1042" i="8" s="1"/>
  <c r="D1091" i="8" s="1"/>
  <c r="D1140" i="8" s="1"/>
  <c r="D1189" i="8" s="1"/>
  <c r="D1238" i="8" s="1"/>
  <c r="D1287" i="8" s="1"/>
  <c r="L12" i="8"/>
  <c r="L19" i="8" s="1"/>
  <c r="L26" i="8" s="1"/>
  <c r="L33" i="8" s="1"/>
  <c r="L40" i="8" s="1"/>
  <c r="L47" i="8" s="1"/>
  <c r="L54" i="8" s="1"/>
  <c r="L61" i="8" s="1"/>
  <c r="L68" i="8" s="1"/>
  <c r="L75" i="8" s="1"/>
  <c r="L82" i="8" s="1"/>
  <c r="L89" i="8" s="1"/>
  <c r="L96" i="8" s="1"/>
  <c r="L103" i="8" s="1"/>
  <c r="L110" i="8" s="1"/>
  <c r="L117" i="8" s="1"/>
  <c r="L124" i="8" s="1"/>
  <c r="L131" i="8" s="1"/>
  <c r="L138" i="8" s="1"/>
  <c r="L145" i="8" s="1"/>
  <c r="L152" i="8" s="1"/>
  <c r="L159" i="8" s="1"/>
  <c r="L166" i="8" s="1"/>
  <c r="L173" i="8" s="1"/>
  <c r="L180" i="8" s="1"/>
  <c r="L187" i="8" s="1"/>
  <c r="L194" i="8" s="1"/>
  <c r="L201" i="8" s="1"/>
  <c r="L208" i="8" s="1"/>
  <c r="L215" i="8" s="1"/>
  <c r="L222" i="8" s="1"/>
  <c r="L229" i="8" s="1"/>
  <c r="L236" i="8" s="1"/>
  <c r="L243" i="8" s="1"/>
  <c r="L250" i="8" s="1"/>
  <c r="L257" i="8" s="1"/>
  <c r="L264" i="8" s="1"/>
  <c r="L271" i="8" s="1"/>
  <c r="L278" i="8" s="1"/>
  <c r="L285" i="8" s="1"/>
  <c r="L292" i="8" s="1"/>
  <c r="L299" i="8" s="1"/>
  <c r="L306" i="8" s="1"/>
  <c r="L313" i="8" s="1"/>
  <c r="L320" i="8" s="1"/>
  <c r="L327" i="8" s="1"/>
  <c r="L334" i="8" s="1"/>
  <c r="L341" i="8" s="1"/>
  <c r="L348" i="8" s="1"/>
  <c r="L355" i="8" s="1"/>
  <c r="L362" i="8" s="1"/>
  <c r="L369" i="8" s="1"/>
  <c r="L376" i="8" s="1"/>
  <c r="L383" i="8" s="1"/>
  <c r="L390" i="8" s="1"/>
  <c r="L397" i="8" s="1"/>
  <c r="L404" i="8" s="1"/>
  <c r="L411" i="8" s="1"/>
  <c r="L418" i="8" s="1"/>
  <c r="L425" i="8" s="1"/>
  <c r="L432" i="8" s="1"/>
  <c r="L439" i="8" s="1"/>
  <c r="L446" i="8" s="1"/>
  <c r="L453" i="8" s="1"/>
  <c r="L460" i="8" s="1"/>
  <c r="L467" i="8" s="1"/>
  <c r="L474" i="8" s="1"/>
  <c r="L481" i="8" s="1"/>
  <c r="L488" i="8" s="1"/>
  <c r="L495" i="8" s="1"/>
  <c r="L502" i="8" s="1"/>
  <c r="L509" i="8" s="1"/>
  <c r="L516" i="8" s="1"/>
  <c r="L523" i="8" s="1"/>
  <c r="L530" i="8" s="1"/>
  <c r="L537" i="8" s="1"/>
  <c r="L544" i="8" s="1"/>
  <c r="L551" i="8" s="1"/>
  <c r="L558" i="8" s="1"/>
  <c r="L565" i="8" s="1"/>
  <c r="L572" i="8" s="1"/>
  <c r="L579" i="8" s="1"/>
  <c r="L586" i="8" s="1"/>
  <c r="L593" i="8" s="1"/>
  <c r="L600" i="8" s="1"/>
  <c r="L607" i="8" s="1"/>
  <c r="L614" i="8" s="1"/>
  <c r="L621" i="8" s="1"/>
  <c r="L628" i="8" s="1"/>
  <c r="L635" i="8" s="1"/>
  <c r="L642" i="8" s="1"/>
  <c r="L649" i="8" s="1"/>
  <c r="L656" i="8" s="1"/>
  <c r="L663" i="8" s="1"/>
  <c r="L670" i="8" s="1"/>
  <c r="L677" i="8" s="1"/>
  <c r="L684" i="8" s="1"/>
  <c r="L691" i="8" s="1"/>
  <c r="L698" i="8" s="1"/>
  <c r="L705" i="8" s="1"/>
  <c r="L712" i="8" s="1"/>
  <c r="L719" i="8" s="1"/>
  <c r="L726" i="8" s="1"/>
  <c r="L733" i="8" s="1"/>
  <c r="L740" i="8" s="1"/>
  <c r="L747" i="8" s="1"/>
  <c r="L754" i="8" s="1"/>
  <c r="L761" i="8" s="1"/>
  <c r="L768" i="8" s="1"/>
  <c r="L775" i="8" s="1"/>
  <c r="L782" i="8" s="1"/>
  <c r="L789" i="8" s="1"/>
  <c r="L796" i="8" s="1"/>
  <c r="L803" i="8" s="1"/>
  <c r="L810" i="8" s="1"/>
  <c r="L817" i="8" s="1"/>
  <c r="L824" i="8" s="1"/>
  <c r="L831" i="8" s="1"/>
  <c r="L838" i="8" s="1"/>
  <c r="L845" i="8" s="1"/>
  <c r="L852" i="8" s="1"/>
  <c r="L859" i="8" s="1"/>
  <c r="L866" i="8" s="1"/>
  <c r="L873" i="8" s="1"/>
  <c r="L880" i="8" s="1"/>
  <c r="L887" i="8" s="1"/>
  <c r="L894" i="8" s="1"/>
  <c r="L901" i="8" s="1"/>
  <c r="L908" i="8" s="1"/>
  <c r="L915" i="8" s="1"/>
  <c r="L922" i="8" s="1"/>
  <c r="L929" i="8" s="1"/>
  <c r="L936" i="8" s="1"/>
  <c r="L943" i="8" s="1"/>
  <c r="L950" i="8" s="1"/>
  <c r="L957" i="8" s="1"/>
  <c r="L964" i="8" s="1"/>
  <c r="L971" i="8" s="1"/>
  <c r="L978" i="8" s="1"/>
  <c r="L985" i="8" s="1"/>
  <c r="L992" i="8" s="1"/>
  <c r="L999" i="8" s="1"/>
  <c r="L1006" i="8" s="1"/>
  <c r="L1013" i="8" s="1"/>
  <c r="L1020" i="8" s="1"/>
  <c r="L1027" i="8" s="1"/>
  <c r="L1034" i="8" s="1"/>
  <c r="L1041" i="8" s="1"/>
  <c r="L1048" i="8" s="1"/>
  <c r="L1055" i="8" s="1"/>
  <c r="L1062" i="8" s="1"/>
  <c r="L1069" i="8" s="1"/>
  <c r="L1076" i="8" s="1"/>
  <c r="L1083" i="8" s="1"/>
  <c r="L1090" i="8" s="1"/>
  <c r="L1097" i="8" s="1"/>
  <c r="L1104" i="8" s="1"/>
  <c r="L1111" i="8" s="1"/>
  <c r="L1118" i="8" s="1"/>
  <c r="L1125" i="8" s="1"/>
  <c r="L1132" i="8" s="1"/>
  <c r="L1139" i="8" s="1"/>
  <c r="L1146" i="8" s="1"/>
  <c r="L1153" i="8" s="1"/>
  <c r="L1160" i="8" s="1"/>
  <c r="L1167" i="8" s="1"/>
  <c r="L1174" i="8" s="1"/>
  <c r="L1181" i="8" s="1"/>
  <c r="L1188" i="8" s="1"/>
  <c r="L1195" i="8" s="1"/>
  <c r="L1202" i="8" s="1"/>
  <c r="L1209" i="8" s="1"/>
  <c r="L1216" i="8" s="1"/>
  <c r="L1223" i="8" s="1"/>
  <c r="L1230" i="8" s="1"/>
  <c r="L1237" i="8" s="1"/>
  <c r="L1244" i="8" s="1"/>
  <c r="L1251" i="8" s="1"/>
  <c r="L1258" i="8" s="1"/>
  <c r="L1265" i="8" s="1"/>
  <c r="L1272" i="8" s="1"/>
  <c r="L1279" i="8" s="1"/>
  <c r="L1286" i="8" s="1"/>
  <c r="L1293" i="8" s="1"/>
  <c r="L1300" i="8" s="1"/>
  <c r="L1307" i="8" s="1"/>
  <c r="L1314" i="8" s="1"/>
  <c r="L1321" i="8" s="1"/>
  <c r="K12" i="8"/>
  <c r="J12" i="8"/>
  <c r="C12" i="8"/>
  <c r="D12" i="8" s="1"/>
  <c r="D14" i="8" s="1"/>
  <c r="J11" i="8"/>
  <c r="A9" i="8"/>
  <c r="K7" i="8"/>
  <c r="H6" i="8"/>
  <c r="H7" i="8" s="1"/>
  <c r="E6" i="8"/>
  <c r="D6" i="8"/>
  <c r="D55" i="8" s="1"/>
  <c r="D104" i="8" s="1"/>
  <c r="D153" i="8" s="1"/>
  <c r="D202" i="8" s="1"/>
  <c r="D251" i="8" s="1"/>
  <c r="D300" i="8" s="1"/>
  <c r="D349" i="8" s="1"/>
  <c r="D398" i="8" s="1"/>
  <c r="D447" i="8" s="1"/>
  <c r="D496" i="8" s="1"/>
  <c r="D545" i="8" s="1"/>
  <c r="D594" i="8" s="1"/>
  <c r="D643" i="8" s="1"/>
  <c r="D692" i="8" s="1"/>
  <c r="D741" i="8" s="1"/>
  <c r="D790" i="8" s="1"/>
  <c r="D839" i="8" s="1"/>
  <c r="D888" i="8" s="1"/>
  <c r="D937" i="8" s="1"/>
  <c r="D986" i="8" s="1"/>
  <c r="D1035" i="8" s="1"/>
  <c r="D1084" i="8" s="1"/>
  <c r="D1133" i="8" s="1"/>
  <c r="D1182" i="8" s="1"/>
  <c r="D1231" i="8" s="1"/>
  <c r="J5" i="8"/>
  <c r="J7" i="8" s="1"/>
  <c r="C5" i="8"/>
  <c r="D5" i="8" s="1"/>
  <c r="D7" i="8" s="1"/>
  <c r="O4" i="8"/>
  <c r="O11" i="8" s="1"/>
  <c r="O18" i="8" s="1"/>
  <c r="O25" i="8" s="1"/>
  <c r="O32" i="8" s="1"/>
  <c r="O39" i="8" s="1"/>
  <c r="O46" i="8" s="1"/>
  <c r="O53" i="8" s="1"/>
  <c r="O60" i="8" s="1"/>
  <c r="O67" i="8" s="1"/>
  <c r="O74" i="8" s="1"/>
  <c r="O81" i="8" s="1"/>
  <c r="O88" i="8" s="1"/>
  <c r="O95" i="8" s="1"/>
  <c r="O102" i="8" s="1"/>
  <c r="O109" i="8" s="1"/>
  <c r="O116" i="8" s="1"/>
  <c r="O123" i="8" s="1"/>
  <c r="O130" i="8" s="1"/>
  <c r="O137" i="8" s="1"/>
  <c r="O144" i="8" s="1"/>
  <c r="O151" i="8" s="1"/>
  <c r="O158" i="8" s="1"/>
  <c r="O165" i="8" s="1"/>
  <c r="O172" i="8" s="1"/>
  <c r="O179" i="8" s="1"/>
  <c r="O186" i="8" s="1"/>
  <c r="O193" i="8" s="1"/>
  <c r="O200" i="8" s="1"/>
  <c r="O207" i="8" s="1"/>
  <c r="O214" i="8" s="1"/>
  <c r="O221" i="8" s="1"/>
  <c r="O228" i="8" s="1"/>
  <c r="O235" i="8" s="1"/>
  <c r="O242" i="8" s="1"/>
  <c r="O249" i="8" s="1"/>
  <c r="O256" i="8" s="1"/>
  <c r="O263" i="8" s="1"/>
  <c r="O270" i="8" s="1"/>
  <c r="O277" i="8" s="1"/>
  <c r="O284" i="8" s="1"/>
  <c r="O291" i="8" s="1"/>
  <c r="O298" i="8" s="1"/>
  <c r="O305" i="8" s="1"/>
  <c r="O312" i="8" s="1"/>
  <c r="O319" i="8" s="1"/>
  <c r="O326" i="8" s="1"/>
  <c r="O333" i="8" s="1"/>
  <c r="O340" i="8" s="1"/>
  <c r="O347" i="8" s="1"/>
  <c r="O354" i="8" s="1"/>
  <c r="O361" i="8" s="1"/>
  <c r="O368" i="8" s="1"/>
  <c r="O375" i="8" s="1"/>
  <c r="O382" i="8" s="1"/>
  <c r="O389" i="8" s="1"/>
  <c r="O396" i="8" s="1"/>
  <c r="O403" i="8" s="1"/>
  <c r="O410" i="8" s="1"/>
  <c r="O417" i="8" s="1"/>
  <c r="O424" i="8" s="1"/>
  <c r="O431" i="8" s="1"/>
  <c r="O438" i="8" s="1"/>
  <c r="O445" i="8" s="1"/>
  <c r="O452" i="8" s="1"/>
  <c r="O459" i="8" s="1"/>
  <c r="O466" i="8" s="1"/>
  <c r="O473" i="8" s="1"/>
  <c r="O480" i="8" s="1"/>
  <c r="O487" i="8" s="1"/>
  <c r="O494" i="8" s="1"/>
  <c r="O501" i="8" s="1"/>
  <c r="O508" i="8" s="1"/>
  <c r="O515" i="8" s="1"/>
  <c r="O522" i="8" s="1"/>
  <c r="O529" i="8" s="1"/>
  <c r="O536" i="8" s="1"/>
  <c r="O543" i="8" s="1"/>
  <c r="O550" i="8" s="1"/>
  <c r="O557" i="8" s="1"/>
  <c r="O564" i="8" s="1"/>
  <c r="O571" i="8" s="1"/>
  <c r="O578" i="8" s="1"/>
  <c r="O585" i="8" s="1"/>
  <c r="O592" i="8" s="1"/>
  <c r="O599" i="8" s="1"/>
  <c r="O606" i="8" s="1"/>
  <c r="O613" i="8" s="1"/>
  <c r="O620" i="8" s="1"/>
  <c r="O627" i="8" s="1"/>
  <c r="O634" i="8" s="1"/>
  <c r="O641" i="8" s="1"/>
  <c r="O648" i="8" s="1"/>
  <c r="O655" i="8" s="1"/>
  <c r="O662" i="8" s="1"/>
  <c r="O669" i="8" s="1"/>
  <c r="O676" i="8" s="1"/>
  <c r="O683" i="8" s="1"/>
  <c r="O690" i="8" s="1"/>
  <c r="O697" i="8" s="1"/>
  <c r="O704" i="8" s="1"/>
  <c r="O711" i="8" s="1"/>
  <c r="O718" i="8" s="1"/>
  <c r="O725" i="8" s="1"/>
  <c r="O732" i="8" s="1"/>
  <c r="O739" i="8" s="1"/>
  <c r="O746" i="8" s="1"/>
  <c r="O753" i="8" s="1"/>
  <c r="O760" i="8" s="1"/>
  <c r="O767" i="8" s="1"/>
  <c r="O774" i="8" s="1"/>
  <c r="O781" i="8" s="1"/>
  <c r="O788" i="8" s="1"/>
  <c r="O795" i="8" s="1"/>
  <c r="O802" i="8" s="1"/>
  <c r="O809" i="8" s="1"/>
  <c r="O816" i="8" s="1"/>
  <c r="O823" i="8" s="1"/>
  <c r="O830" i="8" s="1"/>
  <c r="O837" i="8" s="1"/>
  <c r="O844" i="8" s="1"/>
  <c r="O851" i="8" s="1"/>
  <c r="O858" i="8" s="1"/>
  <c r="O865" i="8" s="1"/>
  <c r="O872" i="8" s="1"/>
  <c r="O879" i="8" s="1"/>
  <c r="O886" i="8" s="1"/>
  <c r="O893" i="8" s="1"/>
  <c r="O900" i="8" s="1"/>
  <c r="O907" i="8" s="1"/>
  <c r="O914" i="8" s="1"/>
  <c r="O921" i="8" s="1"/>
  <c r="O928" i="8" s="1"/>
  <c r="O935" i="8" s="1"/>
  <c r="O942" i="8" s="1"/>
  <c r="O949" i="8" s="1"/>
  <c r="O956" i="8" s="1"/>
  <c r="O963" i="8" s="1"/>
  <c r="O970" i="8" s="1"/>
  <c r="O977" i="8" s="1"/>
  <c r="O984" i="8" s="1"/>
  <c r="O991" i="8" s="1"/>
  <c r="O998" i="8" s="1"/>
  <c r="O1005" i="8" s="1"/>
  <c r="O1012" i="8" s="1"/>
  <c r="O1019" i="8" s="1"/>
  <c r="O1026" i="8" s="1"/>
  <c r="O1033" i="8" s="1"/>
  <c r="O1040" i="8" s="1"/>
  <c r="O1047" i="8" s="1"/>
  <c r="O1054" i="8" s="1"/>
  <c r="O1061" i="8" s="1"/>
  <c r="O1068" i="8" s="1"/>
  <c r="O1075" i="8" s="1"/>
  <c r="O1082" i="8" s="1"/>
  <c r="O1089" i="8" s="1"/>
  <c r="O1096" i="8" s="1"/>
  <c r="O1103" i="8" s="1"/>
  <c r="O1110" i="8" s="1"/>
  <c r="O1117" i="8" s="1"/>
  <c r="O1124" i="8" s="1"/>
  <c r="O1131" i="8" s="1"/>
  <c r="O1138" i="8" s="1"/>
  <c r="O1145" i="8" s="1"/>
  <c r="O1152" i="8" s="1"/>
  <c r="O1159" i="8" s="1"/>
  <c r="O1166" i="8" s="1"/>
  <c r="O1173" i="8" s="1"/>
  <c r="O1180" i="8" s="1"/>
  <c r="O1187" i="8" s="1"/>
  <c r="O1194" i="8" s="1"/>
  <c r="O1201" i="8" s="1"/>
  <c r="O1208" i="8" s="1"/>
  <c r="O1215" i="8" s="1"/>
  <c r="O1222" i="8" s="1"/>
  <c r="O1229" i="8" s="1"/>
  <c r="O1236" i="8" s="1"/>
  <c r="O1243" i="8" s="1"/>
  <c r="O1250" i="8" s="1"/>
  <c r="O1257" i="8" s="1"/>
  <c r="O1264" i="8" s="1"/>
  <c r="O1271" i="8" s="1"/>
  <c r="O1278" i="8" s="1"/>
  <c r="O1285" i="8" s="1"/>
  <c r="O1292" i="8" s="1"/>
  <c r="O1299" i="8" s="1"/>
  <c r="O1306" i="8" s="1"/>
  <c r="O1313" i="8" s="1"/>
  <c r="O1320" i="8" s="1"/>
  <c r="L4" i="8"/>
  <c r="I4" i="8"/>
  <c r="G4" i="8"/>
  <c r="F4" i="8"/>
  <c r="A2" i="8"/>
  <c r="F503" i="7"/>
  <c r="F504" i="7" s="1"/>
  <c r="I502" i="7"/>
  <c r="I504" i="7" s="1"/>
  <c r="H502" i="7"/>
  <c r="D502" i="7"/>
  <c r="A499" i="7"/>
  <c r="F496" i="7"/>
  <c r="F497" i="7" s="1"/>
  <c r="I495" i="7"/>
  <c r="I497" i="7" s="1"/>
  <c r="H495" i="7"/>
  <c r="D495" i="7"/>
  <c r="A492" i="7"/>
  <c r="F489" i="7"/>
  <c r="F490" i="7" s="1"/>
  <c r="I488" i="7"/>
  <c r="I490" i="7" s="1"/>
  <c r="H488" i="7"/>
  <c r="D488" i="7"/>
  <c r="A485" i="7"/>
  <c r="F482" i="7"/>
  <c r="F483" i="7" s="1"/>
  <c r="I481" i="7"/>
  <c r="I483" i="7" s="1"/>
  <c r="H481" i="7"/>
  <c r="D481" i="7"/>
  <c r="A478" i="7"/>
  <c r="F475" i="7"/>
  <c r="F476" i="7" s="1"/>
  <c r="I474" i="7"/>
  <c r="I476" i="7" s="1"/>
  <c r="H474" i="7"/>
  <c r="D474" i="7"/>
  <c r="A471" i="7"/>
  <c r="F468" i="7"/>
  <c r="F469" i="7" s="1"/>
  <c r="J467" i="7"/>
  <c r="J474" i="7" s="1"/>
  <c r="J481" i="7" s="1"/>
  <c r="J488" i="7" s="1"/>
  <c r="J495" i="7" s="1"/>
  <c r="J502" i="7" s="1"/>
  <c r="I467" i="7"/>
  <c r="I469" i="7" s="1"/>
  <c r="H467" i="7"/>
  <c r="D467" i="7"/>
  <c r="A464" i="7"/>
  <c r="F461" i="7"/>
  <c r="F462" i="7" s="1"/>
  <c r="E461" i="7"/>
  <c r="I460" i="7"/>
  <c r="I462" i="7" s="1"/>
  <c r="H460" i="7"/>
  <c r="D460" i="7"/>
  <c r="A457" i="7"/>
  <c r="F454" i="7"/>
  <c r="F455" i="7" s="1"/>
  <c r="I453" i="7"/>
  <c r="I455" i="7" s="1"/>
  <c r="H453" i="7"/>
  <c r="D453" i="7"/>
  <c r="A450" i="7"/>
  <c r="F447" i="7"/>
  <c r="F448" i="7" s="1"/>
  <c r="I446" i="7"/>
  <c r="I448" i="7" s="1"/>
  <c r="H446" i="7"/>
  <c r="D446" i="7"/>
  <c r="A443" i="7"/>
  <c r="F440" i="7"/>
  <c r="F441" i="7" s="1"/>
  <c r="I439" i="7"/>
  <c r="I441" i="7" s="1"/>
  <c r="H439" i="7"/>
  <c r="D439" i="7"/>
  <c r="A436" i="7"/>
  <c r="F433" i="7"/>
  <c r="F434" i="7" s="1"/>
  <c r="I432" i="7"/>
  <c r="I434" i="7" s="1"/>
  <c r="H432" i="7"/>
  <c r="D432" i="7"/>
  <c r="A429" i="7"/>
  <c r="F426" i="7"/>
  <c r="F427" i="7" s="1"/>
  <c r="I425" i="7"/>
  <c r="I427" i="7" s="1"/>
  <c r="H425" i="7"/>
  <c r="D425" i="7"/>
  <c r="A422" i="7"/>
  <c r="F419" i="7"/>
  <c r="F420" i="7" s="1"/>
  <c r="I418" i="7"/>
  <c r="I420" i="7" s="1"/>
  <c r="H418" i="7"/>
  <c r="D418" i="7"/>
  <c r="A415" i="7"/>
  <c r="F412" i="7"/>
  <c r="F413" i="7" s="1"/>
  <c r="I411" i="7"/>
  <c r="I413" i="7" s="1"/>
  <c r="H411" i="7"/>
  <c r="D411" i="7"/>
  <c r="A408" i="7"/>
  <c r="F405" i="7"/>
  <c r="F406" i="7" s="1"/>
  <c r="E405" i="7"/>
  <c r="I404" i="7"/>
  <c r="I406" i="7" s="1"/>
  <c r="H404" i="7"/>
  <c r="D404" i="7"/>
  <c r="A401" i="7"/>
  <c r="F398" i="7"/>
  <c r="F399" i="7" s="1"/>
  <c r="I397" i="7"/>
  <c r="I399" i="7" s="1"/>
  <c r="H397" i="7"/>
  <c r="D397" i="7"/>
  <c r="A394" i="7"/>
  <c r="F391" i="7"/>
  <c r="F392" i="7" s="1"/>
  <c r="J390" i="7"/>
  <c r="J397" i="7" s="1"/>
  <c r="J404" i="7" s="1"/>
  <c r="J411" i="7" s="1"/>
  <c r="J418" i="7" s="1"/>
  <c r="J425" i="7" s="1"/>
  <c r="J432" i="7" s="1"/>
  <c r="J439" i="7" s="1"/>
  <c r="J446" i="7" s="1"/>
  <c r="J453" i="7" s="1"/>
  <c r="I390" i="7"/>
  <c r="I392" i="7" s="1"/>
  <c r="H390" i="7"/>
  <c r="D390" i="7"/>
  <c r="A387" i="7"/>
  <c r="F384" i="7"/>
  <c r="F385" i="7" s="1"/>
  <c r="I383" i="7"/>
  <c r="I385" i="7" s="1"/>
  <c r="H383" i="7"/>
  <c r="D383" i="7"/>
  <c r="A380" i="7"/>
  <c r="F377" i="7"/>
  <c r="F378" i="7" s="1"/>
  <c r="I376" i="7"/>
  <c r="I378" i="7" s="1"/>
  <c r="H376" i="7"/>
  <c r="D376" i="7"/>
  <c r="A373" i="7"/>
  <c r="F370" i="7"/>
  <c r="F371" i="7" s="1"/>
  <c r="I369" i="7"/>
  <c r="I371" i="7" s="1"/>
  <c r="H369" i="7"/>
  <c r="D369" i="7"/>
  <c r="A366" i="7"/>
  <c r="F363" i="7"/>
  <c r="F364" i="7" s="1"/>
  <c r="I362" i="7"/>
  <c r="I364" i="7" s="1"/>
  <c r="H362" i="7"/>
  <c r="D362" i="7"/>
  <c r="A359" i="7"/>
  <c r="F356" i="7"/>
  <c r="F357" i="7" s="1"/>
  <c r="I355" i="7"/>
  <c r="I357" i="7" s="1"/>
  <c r="H355" i="7"/>
  <c r="D355" i="7"/>
  <c r="E353" i="7"/>
  <c r="E360" i="7" s="1"/>
  <c r="E367" i="7" s="1"/>
  <c r="E374" i="7" s="1"/>
  <c r="E381" i="7" s="1"/>
  <c r="E388" i="7" s="1"/>
  <c r="E395" i="7" s="1"/>
  <c r="E402" i="7" s="1"/>
  <c r="E409" i="7" s="1"/>
  <c r="E416" i="7" s="1"/>
  <c r="E423" i="7" s="1"/>
  <c r="E430" i="7" s="1"/>
  <c r="E437" i="7" s="1"/>
  <c r="E444" i="7" s="1"/>
  <c r="E451" i="7" s="1"/>
  <c r="E458" i="7" s="1"/>
  <c r="E465" i="7" s="1"/>
  <c r="E472" i="7" s="1"/>
  <c r="E479" i="7" s="1"/>
  <c r="E486" i="7" s="1"/>
  <c r="E493" i="7" s="1"/>
  <c r="E500" i="7" s="1"/>
  <c r="A352" i="7"/>
  <c r="F349" i="7"/>
  <c r="F350" i="7" s="1"/>
  <c r="E349" i="7"/>
  <c r="J348" i="7"/>
  <c r="J355" i="7" s="1"/>
  <c r="J362" i="7" s="1"/>
  <c r="J369" i="7" s="1"/>
  <c r="J376" i="7" s="1"/>
  <c r="I348" i="7"/>
  <c r="I350" i="7" s="1"/>
  <c r="H348" i="7"/>
  <c r="D348" i="7"/>
  <c r="H347" i="7"/>
  <c r="A345" i="7"/>
  <c r="F342" i="7"/>
  <c r="F343" i="7" s="1"/>
  <c r="I341" i="7"/>
  <c r="I343" i="7" s="1"/>
  <c r="H341" i="7"/>
  <c r="H343" i="7" s="1"/>
  <c r="D341" i="7"/>
  <c r="E340" i="7"/>
  <c r="A338" i="7"/>
  <c r="F335" i="7"/>
  <c r="F336" i="7" s="1"/>
  <c r="I334" i="7"/>
  <c r="I336" i="7" s="1"/>
  <c r="H334" i="7"/>
  <c r="D334" i="7"/>
  <c r="A331" i="7"/>
  <c r="F328" i="7"/>
  <c r="F329" i="7" s="1"/>
  <c r="I327" i="7"/>
  <c r="I329" i="7" s="1"/>
  <c r="H327" i="7"/>
  <c r="D327" i="7"/>
  <c r="A324" i="7"/>
  <c r="F321" i="7"/>
  <c r="F322" i="7" s="1"/>
  <c r="I320" i="7"/>
  <c r="I322" i="7" s="1"/>
  <c r="H320" i="7"/>
  <c r="D320" i="7"/>
  <c r="A317" i="7"/>
  <c r="F314" i="7"/>
  <c r="F315" i="7" s="1"/>
  <c r="I313" i="7"/>
  <c r="I315" i="7" s="1"/>
  <c r="H313" i="7"/>
  <c r="D313" i="7"/>
  <c r="A310" i="7"/>
  <c r="F307" i="7"/>
  <c r="F308" i="7" s="1"/>
  <c r="I306" i="7"/>
  <c r="I308" i="7" s="1"/>
  <c r="H306" i="7"/>
  <c r="D306" i="7"/>
  <c r="A303" i="7"/>
  <c r="F300" i="7"/>
  <c r="F301" i="7" s="1"/>
  <c r="I299" i="7"/>
  <c r="I301" i="7" s="1"/>
  <c r="H299" i="7"/>
  <c r="D299" i="7"/>
  <c r="A296" i="7"/>
  <c r="F293" i="7"/>
  <c r="F294" i="7" s="1"/>
  <c r="E293" i="7"/>
  <c r="J292" i="7"/>
  <c r="J299" i="7" s="1"/>
  <c r="J306" i="7" s="1"/>
  <c r="J313" i="7" s="1"/>
  <c r="J320" i="7" s="1"/>
  <c r="J327" i="7" s="1"/>
  <c r="J334" i="7" s="1"/>
  <c r="I292" i="7"/>
  <c r="I294" i="7" s="1"/>
  <c r="H292" i="7"/>
  <c r="D292" i="7"/>
  <c r="A289" i="7"/>
  <c r="F286" i="7"/>
  <c r="F287" i="7" s="1"/>
  <c r="I285" i="7"/>
  <c r="I287" i="7" s="1"/>
  <c r="H285" i="7"/>
  <c r="D285" i="7"/>
  <c r="F279" i="7"/>
  <c r="F280" i="7" s="1"/>
  <c r="I278" i="7"/>
  <c r="I280" i="7" s="1"/>
  <c r="H278" i="7"/>
  <c r="D278" i="7"/>
  <c r="F272" i="7"/>
  <c r="F273" i="7" s="1"/>
  <c r="I271" i="7"/>
  <c r="I273" i="7" s="1"/>
  <c r="H271" i="7"/>
  <c r="D271" i="7"/>
  <c r="F265" i="7"/>
  <c r="F266" i="7" s="1"/>
  <c r="I264" i="7"/>
  <c r="I266" i="7" s="1"/>
  <c r="H264" i="7"/>
  <c r="D264" i="7"/>
  <c r="F258" i="7"/>
  <c r="F259" i="7" s="1"/>
  <c r="I257" i="7"/>
  <c r="I259" i="7" s="1"/>
  <c r="H257" i="7"/>
  <c r="D257" i="7"/>
  <c r="F251" i="7"/>
  <c r="F252" i="7" s="1"/>
  <c r="I250" i="7"/>
  <c r="I252" i="7" s="1"/>
  <c r="H250" i="7"/>
  <c r="D250" i="7"/>
  <c r="F244" i="7"/>
  <c r="F245" i="7" s="1"/>
  <c r="I243" i="7"/>
  <c r="I245" i="7" s="1"/>
  <c r="H243" i="7"/>
  <c r="D243" i="7"/>
  <c r="F237" i="7"/>
  <c r="F238" i="7" s="1"/>
  <c r="E237" i="7"/>
  <c r="I236" i="7"/>
  <c r="I238" i="7" s="1"/>
  <c r="H236" i="7"/>
  <c r="D236" i="7"/>
  <c r="F230" i="7"/>
  <c r="F231" i="7" s="1"/>
  <c r="I229" i="7"/>
  <c r="I231" i="7" s="1"/>
  <c r="H229" i="7"/>
  <c r="D229" i="7"/>
  <c r="F223" i="7"/>
  <c r="F224" i="7" s="1"/>
  <c r="J222" i="7"/>
  <c r="J229" i="7" s="1"/>
  <c r="J236" i="7" s="1"/>
  <c r="J243" i="7" s="1"/>
  <c r="J250" i="7" s="1"/>
  <c r="J257" i="7" s="1"/>
  <c r="J264" i="7" s="1"/>
  <c r="J271" i="7" s="1"/>
  <c r="J278" i="7" s="1"/>
  <c r="I222" i="7"/>
  <c r="I224" i="7" s="1"/>
  <c r="H222" i="7"/>
  <c r="D222" i="7"/>
  <c r="F216" i="7"/>
  <c r="F217" i="7" s="1"/>
  <c r="I215" i="7"/>
  <c r="I217" i="7" s="1"/>
  <c r="H215" i="7"/>
  <c r="D215" i="7"/>
  <c r="F209" i="7"/>
  <c r="F210" i="7" s="1"/>
  <c r="I208" i="7"/>
  <c r="I210" i="7" s="1"/>
  <c r="H208" i="7"/>
  <c r="D208" i="7"/>
  <c r="F202" i="7"/>
  <c r="F203" i="7" s="1"/>
  <c r="I201" i="7"/>
  <c r="I203" i="7" s="1"/>
  <c r="H201" i="7"/>
  <c r="D201" i="7"/>
  <c r="F195" i="7"/>
  <c r="F196" i="7" s="1"/>
  <c r="I194" i="7"/>
  <c r="I196" i="7" s="1"/>
  <c r="H194" i="7"/>
  <c r="D194" i="7"/>
  <c r="F188" i="7"/>
  <c r="F189" i="7" s="1"/>
  <c r="I187" i="7"/>
  <c r="I189" i="7" s="1"/>
  <c r="H187" i="7"/>
  <c r="D187" i="7"/>
  <c r="E185" i="7"/>
  <c r="E192" i="7" s="1"/>
  <c r="E199" i="7" s="1"/>
  <c r="E206" i="7" s="1"/>
  <c r="E213" i="7" s="1"/>
  <c r="E220" i="7" s="1"/>
  <c r="E227" i="7" s="1"/>
  <c r="E234" i="7" s="1"/>
  <c r="E241" i="7" s="1"/>
  <c r="E248" i="7" s="1"/>
  <c r="E255" i="7" s="1"/>
  <c r="E262" i="7" s="1"/>
  <c r="E269" i="7" s="1"/>
  <c r="E276" i="7" s="1"/>
  <c r="E283" i="7" s="1"/>
  <c r="E290" i="7" s="1"/>
  <c r="E297" i="7" s="1"/>
  <c r="E304" i="7" s="1"/>
  <c r="E311" i="7" s="1"/>
  <c r="E318" i="7" s="1"/>
  <c r="E325" i="7" s="1"/>
  <c r="E332" i="7" s="1"/>
  <c r="F181" i="7"/>
  <c r="F182" i="7" s="1"/>
  <c r="E181" i="7"/>
  <c r="J180" i="7"/>
  <c r="J187" i="7" s="1"/>
  <c r="J194" i="7" s="1"/>
  <c r="J201" i="7" s="1"/>
  <c r="J208" i="7" s="1"/>
  <c r="I180" i="7"/>
  <c r="I182" i="7" s="1"/>
  <c r="H180" i="7"/>
  <c r="D180" i="7"/>
  <c r="H179" i="7"/>
  <c r="F174" i="7"/>
  <c r="F175" i="7" s="1"/>
  <c r="I173" i="7"/>
  <c r="I175" i="7" s="1"/>
  <c r="H173" i="7"/>
  <c r="H175" i="7" s="1"/>
  <c r="D173" i="7"/>
  <c r="E172" i="7"/>
  <c r="F167" i="7"/>
  <c r="F168" i="7" s="1"/>
  <c r="I166" i="7"/>
  <c r="I168" i="7" s="1"/>
  <c r="H166" i="7"/>
  <c r="D166" i="7"/>
  <c r="F160" i="7"/>
  <c r="F161" i="7" s="1"/>
  <c r="I159" i="7"/>
  <c r="I161" i="7" s="1"/>
  <c r="H159" i="7"/>
  <c r="D159" i="7"/>
  <c r="F153" i="7"/>
  <c r="F154" i="7" s="1"/>
  <c r="I152" i="7"/>
  <c r="I154" i="7" s="1"/>
  <c r="H152" i="7"/>
  <c r="D152" i="7"/>
  <c r="F146" i="7"/>
  <c r="F147" i="7" s="1"/>
  <c r="I145" i="7"/>
  <c r="I147" i="7" s="1"/>
  <c r="H145" i="7"/>
  <c r="D145" i="7"/>
  <c r="F139" i="7"/>
  <c r="F140" i="7" s="1"/>
  <c r="I138" i="7"/>
  <c r="I140" i="7" s="1"/>
  <c r="H138" i="7"/>
  <c r="D138" i="7"/>
  <c r="A135" i="7"/>
  <c r="F132" i="7"/>
  <c r="F133" i="7" s="1"/>
  <c r="I131" i="7"/>
  <c r="I133" i="7" s="1"/>
  <c r="H131" i="7"/>
  <c r="D131" i="7"/>
  <c r="A128" i="7"/>
  <c r="F125" i="7"/>
  <c r="F126" i="7" s="1"/>
  <c r="J124" i="7"/>
  <c r="J131" i="7" s="1"/>
  <c r="J138" i="7" s="1"/>
  <c r="J145" i="7" s="1"/>
  <c r="J152" i="7" s="1"/>
  <c r="J159" i="7" s="1"/>
  <c r="J166" i="7" s="1"/>
  <c r="I124" i="7"/>
  <c r="I126" i="7" s="1"/>
  <c r="H124" i="7"/>
  <c r="D124" i="7"/>
  <c r="A121" i="7"/>
  <c r="F118" i="7"/>
  <c r="F119" i="7" s="1"/>
  <c r="I117" i="7"/>
  <c r="I119" i="7" s="1"/>
  <c r="H117" i="7"/>
  <c r="D117" i="7"/>
  <c r="A114" i="7"/>
  <c r="F111" i="7"/>
  <c r="F112" i="7" s="1"/>
  <c r="I110" i="7"/>
  <c r="I112" i="7" s="1"/>
  <c r="H110" i="7"/>
  <c r="D110" i="7"/>
  <c r="D112" i="7" s="1"/>
  <c r="A107" i="7"/>
  <c r="F104" i="7"/>
  <c r="F105" i="7" s="1"/>
  <c r="I103" i="7"/>
  <c r="I105" i="7" s="1"/>
  <c r="H103" i="7"/>
  <c r="D103" i="7"/>
  <c r="A100" i="7"/>
  <c r="F97" i="7"/>
  <c r="F98" i="7" s="1"/>
  <c r="I96" i="7"/>
  <c r="I98" i="7" s="1"/>
  <c r="H96" i="7"/>
  <c r="D96" i="7"/>
  <c r="D98" i="7" s="1"/>
  <c r="A93" i="7"/>
  <c r="F90" i="7"/>
  <c r="F91" i="7" s="1"/>
  <c r="I89" i="7"/>
  <c r="I91" i="7" s="1"/>
  <c r="H89" i="7"/>
  <c r="D89" i="7"/>
  <c r="A86" i="7"/>
  <c r="F83" i="7"/>
  <c r="F84" i="7" s="1"/>
  <c r="I82" i="7"/>
  <c r="I84" i="7" s="1"/>
  <c r="H82" i="7"/>
  <c r="D82" i="7"/>
  <c r="A79" i="7"/>
  <c r="F76" i="7"/>
  <c r="F77" i="7" s="1"/>
  <c r="I75" i="7"/>
  <c r="I77" i="7" s="1"/>
  <c r="H75" i="7"/>
  <c r="D75" i="7"/>
  <c r="A72" i="7"/>
  <c r="F69" i="7"/>
  <c r="F70" i="7" s="1"/>
  <c r="I68" i="7"/>
  <c r="I70" i="7" s="1"/>
  <c r="H68" i="7"/>
  <c r="D68" i="7"/>
  <c r="A65" i="7"/>
  <c r="F62" i="7"/>
  <c r="F63" i="7" s="1"/>
  <c r="I61" i="7"/>
  <c r="I63" i="7" s="1"/>
  <c r="H61" i="7"/>
  <c r="D61" i="7"/>
  <c r="A58" i="7"/>
  <c r="F55" i="7"/>
  <c r="F56" i="7" s="1"/>
  <c r="D55" i="7"/>
  <c r="D111" i="7" s="1"/>
  <c r="J54" i="7"/>
  <c r="J61" i="7" s="1"/>
  <c r="J68" i="7" s="1"/>
  <c r="J75" i="7" s="1"/>
  <c r="J82" i="7" s="1"/>
  <c r="J89" i="7" s="1"/>
  <c r="J96" i="7" s="1"/>
  <c r="J103" i="7" s="1"/>
  <c r="J110" i="7" s="1"/>
  <c r="I54" i="7"/>
  <c r="I56" i="7" s="1"/>
  <c r="H54" i="7"/>
  <c r="D54" i="7"/>
  <c r="D56" i="7" s="1"/>
  <c r="A51" i="7"/>
  <c r="F48" i="7"/>
  <c r="F49" i="7" s="1"/>
  <c r="I47" i="7"/>
  <c r="I49" i="7" s="1"/>
  <c r="H47" i="7"/>
  <c r="D47" i="7"/>
  <c r="A44" i="7"/>
  <c r="F41" i="7"/>
  <c r="F42" i="7" s="1"/>
  <c r="D41" i="7"/>
  <c r="D97" i="7" s="1"/>
  <c r="I40" i="7"/>
  <c r="I42" i="7" s="1"/>
  <c r="H40" i="7"/>
  <c r="D40" i="7"/>
  <c r="D42" i="7" s="1"/>
  <c r="A37" i="7"/>
  <c r="F34" i="7"/>
  <c r="F35" i="7" s="1"/>
  <c r="D34" i="7"/>
  <c r="D90" i="7" s="1"/>
  <c r="I33" i="7"/>
  <c r="I35" i="7" s="1"/>
  <c r="H33" i="7"/>
  <c r="D33" i="7"/>
  <c r="D35" i="7" s="1"/>
  <c r="A30" i="7"/>
  <c r="F27" i="7"/>
  <c r="F28" i="7" s="1"/>
  <c r="D27" i="7"/>
  <c r="I26" i="7"/>
  <c r="I28" i="7" s="1"/>
  <c r="H26" i="7"/>
  <c r="D26" i="7"/>
  <c r="D28" i="7" s="1"/>
  <c r="A23" i="7"/>
  <c r="F20" i="7"/>
  <c r="F21" i="7" s="1"/>
  <c r="D20" i="7"/>
  <c r="I19" i="7"/>
  <c r="I21" i="7" s="1"/>
  <c r="H19" i="7"/>
  <c r="D19" i="7"/>
  <c r="D21" i="7" s="1"/>
  <c r="A16" i="7"/>
  <c r="F13" i="7"/>
  <c r="F14" i="7" s="1"/>
  <c r="D13" i="7"/>
  <c r="J12" i="7"/>
  <c r="J19" i="7" s="1"/>
  <c r="J26" i="7" s="1"/>
  <c r="J33" i="7" s="1"/>
  <c r="J40" i="7" s="1"/>
  <c r="I12" i="7"/>
  <c r="I14" i="7" s="1"/>
  <c r="H12" i="7"/>
  <c r="D12" i="7"/>
  <c r="D14" i="7" s="1"/>
  <c r="H11" i="7"/>
  <c r="A9" i="7"/>
  <c r="F6" i="7"/>
  <c r="F7" i="7" s="1"/>
  <c r="D6" i="7"/>
  <c r="I5" i="7"/>
  <c r="I7" i="7" s="1"/>
  <c r="H5" i="7"/>
  <c r="H7" i="7" s="1"/>
  <c r="D5" i="7"/>
  <c r="D7" i="7" s="1"/>
  <c r="M4" i="7"/>
  <c r="M11" i="7" s="1"/>
  <c r="M18" i="7" s="1"/>
  <c r="M25" i="7" s="1"/>
  <c r="M32" i="7" s="1"/>
  <c r="M39" i="7" s="1"/>
  <c r="M46" i="7" s="1"/>
  <c r="M53" i="7" s="1"/>
  <c r="M60" i="7" s="1"/>
  <c r="M67" i="7" s="1"/>
  <c r="M74" i="7" s="1"/>
  <c r="M81" i="7" s="1"/>
  <c r="M88" i="7" s="1"/>
  <c r="M95" i="7" s="1"/>
  <c r="M102" i="7" s="1"/>
  <c r="M109" i="7" s="1"/>
  <c r="J4" i="7"/>
  <c r="G4" i="7"/>
  <c r="E4" i="7"/>
  <c r="A2" i="7"/>
  <c r="H335" i="6"/>
  <c r="H336" i="6" s="1"/>
  <c r="K334" i="6"/>
  <c r="K336" i="6" s="1"/>
  <c r="J334" i="6"/>
  <c r="J336" i="6" s="1"/>
  <c r="D334" i="6"/>
  <c r="A331" i="6"/>
  <c r="H328" i="6"/>
  <c r="H329" i="6" s="1"/>
  <c r="K327" i="6"/>
  <c r="K329" i="6" s="1"/>
  <c r="J327" i="6"/>
  <c r="J329" i="6" s="1"/>
  <c r="D327" i="6"/>
  <c r="A324" i="6"/>
  <c r="H321" i="6"/>
  <c r="H322" i="6" s="1"/>
  <c r="K320" i="6"/>
  <c r="K322" i="6" s="1"/>
  <c r="J320" i="6"/>
  <c r="J322" i="6" s="1"/>
  <c r="D320" i="6"/>
  <c r="A317" i="6"/>
  <c r="H314" i="6"/>
  <c r="H315" i="6" s="1"/>
  <c r="K313" i="6"/>
  <c r="K315" i="6" s="1"/>
  <c r="J313" i="6"/>
  <c r="J315" i="6" s="1"/>
  <c r="D313" i="6"/>
  <c r="A310" i="6"/>
  <c r="H307" i="6"/>
  <c r="H308" i="6" s="1"/>
  <c r="L306" i="6"/>
  <c r="L313" i="6" s="1"/>
  <c r="L320" i="6" s="1"/>
  <c r="L327" i="6" s="1"/>
  <c r="L334" i="6" s="1"/>
  <c r="K306" i="6"/>
  <c r="K308" i="6" s="1"/>
  <c r="J306" i="6"/>
  <c r="J308" i="6" s="1"/>
  <c r="D306" i="6"/>
  <c r="A303" i="6"/>
  <c r="H300" i="6"/>
  <c r="H301" i="6" s="1"/>
  <c r="K299" i="6"/>
  <c r="K301" i="6" s="1"/>
  <c r="J299" i="6"/>
  <c r="J301" i="6" s="1"/>
  <c r="D299" i="6"/>
  <c r="A296" i="6"/>
  <c r="H293" i="6"/>
  <c r="H294" i="6" s="1"/>
  <c r="K292" i="6"/>
  <c r="K294" i="6" s="1"/>
  <c r="J292" i="6"/>
  <c r="J294" i="6" s="1"/>
  <c r="D292" i="6"/>
  <c r="A289" i="6"/>
  <c r="H286" i="6"/>
  <c r="H287" i="6" s="1"/>
  <c r="K285" i="6"/>
  <c r="K287" i="6" s="1"/>
  <c r="J285" i="6"/>
  <c r="J287" i="6" s="1"/>
  <c r="D285" i="6"/>
  <c r="A282" i="6"/>
  <c r="H279" i="6"/>
  <c r="H280" i="6" s="1"/>
  <c r="K278" i="6"/>
  <c r="K280" i="6" s="1"/>
  <c r="J278" i="6"/>
  <c r="J280" i="6" s="1"/>
  <c r="D278" i="6"/>
  <c r="A275" i="6"/>
  <c r="H272" i="6"/>
  <c r="H273" i="6" s="1"/>
  <c r="K271" i="6"/>
  <c r="K273" i="6" s="1"/>
  <c r="J271" i="6"/>
  <c r="J273" i="6" s="1"/>
  <c r="D271" i="6"/>
  <c r="A268" i="6"/>
  <c r="H265" i="6"/>
  <c r="H266" i="6" s="1"/>
  <c r="L264" i="6"/>
  <c r="L271" i="6" s="1"/>
  <c r="L278" i="6" s="1"/>
  <c r="L285" i="6" s="1"/>
  <c r="L292" i="6" s="1"/>
  <c r="K264" i="6"/>
  <c r="K266" i="6" s="1"/>
  <c r="J264" i="6"/>
  <c r="J266" i="6" s="1"/>
  <c r="D264" i="6"/>
  <c r="A261" i="6"/>
  <c r="H258" i="6"/>
  <c r="H259" i="6" s="1"/>
  <c r="K257" i="6"/>
  <c r="K259" i="6" s="1"/>
  <c r="J257" i="6"/>
  <c r="J259" i="6" s="1"/>
  <c r="D257" i="6"/>
  <c r="A254" i="6"/>
  <c r="H251" i="6"/>
  <c r="H252" i="6" s="1"/>
  <c r="K250" i="6"/>
  <c r="K252" i="6" s="1"/>
  <c r="J250" i="6"/>
  <c r="J252" i="6" s="1"/>
  <c r="D250" i="6"/>
  <c r="A247" i="6"/>
  <c r="H244" i="6"/>
  <c r="H245" i="6" s="1"/>
  <c r="K243" i="6"/>
  <c r="K245" i="6" s="1"/>
  <c r="J243" i="6"/>
  <c r="J245" i="6" s="1"/>
  <c r="D243" i="6"/>
  <c r="A240" i="6"/>
  <c r="H237" i="6"/>
  <c r="H238" i="6" s="1"/>
  <c r="K236" i="6"/>
  <c r="K238" i="6" s="1"/>
  <c r="J236" i="6"/>
  <c r="J238" i="6" s="1"/>
  <c r="D236" i="6"/>
  <c r="A233" i="6"/>
  <c r="H230" i="6"/>
  <c r="H231" i="6" s="1"/>
  <c r="K229" i="6"/>
  <c r="K231" i="6" s="1"/>
  <c r="J229" i="6"/>
  <c r="J231" i="6" s="1"/>
  <c r="D229" i="6"/>
  <c r="A226" i="6"/>
  <c r="H223" i="6"/>
  <c r="H224" i="6" s="1"/>
  <c r="L222" i="6"/>
  <c r="L229" i="6" s="1"/>
  <c r="L236" i="6" s="1"/>
  <c r="L243" i="6" s="1"/>
  <c r="L250" i="6" s="1"/>
  <c r="K222" i="6"/>
  <c r="K224" i="6" s="1"/>
  <c r="J222" i="6"/>
  <c r="J224" i="6" s="1"/>
  <c r="D222" i="6"/>
  <c r="A219" i="6"/>
  <c r="H216" i="6"/>
  <c r="H217" i="6" s="1"/>
  <c r="K215" i="6"/>
  <c r="K217" i="6" s="1"/>
  <c r="J215" i="6"/>
  <c r="J217" i="6" s="1"/>
  <c r="D215" i="6"/>
  <c r="A212" i="6"/>
  <c r="H209" i="6"/>
  <c r="H210" i="6" s="1"/>
  <c r="D209" i="6"/>
  <c r="D251" i="6" s="1"/>
  <c r="D293" i="6" s="1"/>
  <c r="D335" i="6" s="1"/>
  <c r="L208" i="6"/>
  <c r="K208" i="6"/>
  <c r="K210" i="6" s="1"/>
  <c r="J208" i="6"/>
  <c r="J210" i="6" s="1"/>
  <c r="D208" i="6"/>
  <c r="D210" i="6" s="1"/>
  <c r="A205" i="6"/>
  <c r="H202" i="6"/>
  <c r="H203" i="6" s="1"/>
  <c r="D202" i="6"/>
  <c r="D244" i="6" s="1"/>
  <c r="D286" i="6" s="1"/>
  <c r="D328" i="6" s="1"/>
  <c r="L201" i="6"/>
  <c r="K201" i="6"/>
  <c r="K203" i="6" s="1"/>
  <c r="J201" i="6"/>
  <c r="J203" i="6" s="1"/>
  <c r="D201" i="6"/>
  <c r="D203" i="6" s="1"/>
  <c r="A198" i="6"/>
  <c r="H195" i="6"/>
  <c r="H196" i="6" s="1"/>
  <c r="D195" i="6"/>
  <c r="D237" i="6" s="1"/>
  <c r="D279" i="6" s="1"/>
  <c r="D321" i="6" s="1"/>
  <c r="L194" i="6"/>
  <c r="K194" i="6"/>
  <c r="K196" i="6" s="1"/>
  <c r="J194" i="6"/>
  <c r="J196" i="6" s="1"/>
  <c r="D194" i="6"/>
  <c r="D196" i="6" s="1"/>
  <c r="A191" i="6"/>
  <c r="H188" i="6"/>
  <c r="H189" i="6" s="1"/>
  <c r="D188" i="6"/>
  <c r="D230" i="6" s="1"/>
  <c r="D272" i="6" s="1"/>
  <c r="D314" i="6" s="1"/>
  <c r="L187" i="6"/>
  <c r="K187" i="6"/>
  <c r="K189" i="6" s="1"/>
  <c r="J187" i="6"/>
  <c r="J189" i="6" s="1"/>
  <c r="D187" i="6"/>
  <c r="D189" i="6" s="1"/>
  <c r="A184" i="6"/>
  <c r="H181" i="6"/>
  <c r="H182" i="6" s="1"/>
  <c r="D181" i="6"/>
  <c r="D223" i="6" s="1"/>
  <c r="D265" i="6" s="1"/>
  <c r="D307" i="6" s="1"/>
  <c r="L180" i="6"/>
  <c r="K180" i="6"/>
  <c r="K182" i="6" s="1"/>
  <c r="J180" i="6"/>
  <c r="J182" i="6" s="1"/>
  <c r="D180" i="6"/>
  <c r="D182" i="6" s="1"/>
  <c r="A177" i="6"/>
  <c r="H174" i="6"/>
  <c r="H175" i="6" s="1"/>
  <c r="L173" i="6"/>
  <c r="K173" i="6"/>
  <c r="K175" i="6" s="1"/>
  <c r="J173" i="6"/>
  <c r="J175" i="6" s="1"/>
  <c r="D173" i="6"/>
  <c r="G172" i="6"/>
  <c r="F172" i="6"/>
  <c r="E172" i="6"/>
  <c r="A170" i="6"/>
  <c r="H167" i="6"/>
  <c r="H168" i="6" s="1"/>
  <c r="K166" i="6"/>
  <c r="K168" i="6" s="1"/>
  <c r="J166" i="6"/>
  <c r="J168" i="6" s="1"/>
  <c r="D166" i="6"/>
  <c r="A163" i="6"/>
  <c r="H160" i="6"/>
  <c r="H161" i="6" s="1"/>
  <c r="K159" i="6"/>
  <c r="K161" i="6" s="1"/>
  <c r="J159" i="6"/>
  <c r="J161" i="6" s="1"/>
  <c r="D159" i="6"/>
  <c r="A156" i="6"/>
  <c r="H153" i="6"/>
  <c r="H154" i="6" s="1"/>
  <c r="K152" i="6"/>
  <c r="K154" i="6" s="1"/>
  <c r="J152" i="6"/>
  <c r="J154" i="6" s="1"/>
  <c r="D152" i="6"/>
  <c r="A149" i="6"/>
  <c r="H146" i="6"/>
  <c r="H147" i="6" s="1"/>
  <c r="K145" i="6"/>
  <c r="K147" i="6" s="1"/>
  <c r="J145" i="6"/>
  <c r="J147" i="6" s="1"/>
  <c r="D145" i="6"/>
  <c r="A142" i="6"/>
  <c r="H139" i="6"/>
  <c r="H140" i="6" s="1"/>
  <c r="L138" i="6"/>
  <c r="L145" i="6" s="1"/>
  <c r="L152" i="6" s="1"/>
  <c r="L159" i="6" s="1"/>
  <c r="L166" i="6" s="1"/>
  <c r="K138" i="6"/>
  <c r="K140" i="6" s="1"/>
  <c r="J138" i="6"/>
  <c r="J140" i="6" s="1"/>
  <c r="D138" i="6"/>
  <c r="A135" i="6"/>
  <c r="H132" i="6"/>
  <c r="H133" i="6" s="1"/>
  <c r="K131" i="6"/>
  <c r="K133" i="6" s="1"/>
  <c r="J131" i="6"/>
  <c r="J133" i="6" s="1"/>
  <c r="D131" i="6"/>
  <c r="A128" i="6"/>
  <c r="H125" i="6"/>
  <c r="H126" i="6" s="1"/>
  <c r="K124" i="6"/>
  <c r="K126" i="6" s="1"/>
  <c r="J124" i="6"/>
  <c r="J126" i="6" s="1"/>
  <c r="D124" i="6"/>
  <c r="A121" i="6"/>
  <c r="H118" i="6"/>
  <c r="H119" i="6" s="1"/>
  <c r="K117" i="6"/>
  <c r="K119" i="6" s="1"/>
  <c r="J117" i="6"/>
  <c r="J119" i="6" s="1"/>
  <c r="D117" i="6"/>
  <c r="A114" i="6"/>
  <c r="H111" i="6"/>
  <c r="H112" i="6" s="1"/>
  <c r="K110" i="6"/>
  <c r="K112" i="6" s="1"/>
  <c r="J110" i="6"/>
  <c r="J112" i="6" s="1"/>
  <c r="D110" i="6"/>
  <c r="A107" i="6"/>
  <c r="H104" i="6"/>
  <c r="H105" i="6" s="1"/>
  <c r="K103" i="6"/>
  <c r="K105" i="6" s="1"/>
  <c r="J103" i="6"/>
  <c r="J105" i="6" s="1"/>
  <c r="D103" i="6"/>
  <c r="A100" i="6"/>
  <c r="H97" i="6"/>
  <c r="H98" i="6" s="1"/>
  <c r="L96" i="6"/>
  <c r="L103" i="6" s="1"/>
  <c r="L110" i="6" s="1"/>
  <c r="L117" i="6" s="1"/>
  <c r="L124" i="6" s="1"/>
  <c r="K96" i="6"/>
  <c r="K98" i="6" s="1"/>
  <c r="J96" i="6"/>
  <c r="J98" i="6" s="1"/>
  <c r="D96" i="6"/>
  <c r="A93" i="6"/>
  <c r="H90" i="6"/>
  <c r="H91" i="6" s="1"/>
  <c r="K89" i="6"/>
  <c r="K91" i="6" s="1"/>
  <c r="J89" i="6"/>
  <c r="J91" i="6" s="1"/>
  <c r="D89" i="6"/>
  <c r="A86" i="6"/>
  <c r="H83" i="6"/>
  <c r="H84" i="6" s="1"/>
  <c r="K82" i="6"/>
  <c r="K84" i="6" s="1"/>
  <c r="J82" i="6"/>
  <c r="J84" i="6" s="1"/>
  <c r="D82" i="6"/>
  <c r="A79" i="6"/>
  <c r="H76" i="6"/>
  <c r="H77" i="6" s="1"/>
  <c r="K75" i="6"/>
  <c r="K77" i="6" s="1"/>
  <c r="J75" i="6"/>
  <c r="J77" i="6" s="1"/>
  <c r="D75" i="6"/>
  <c r="A72" i="6"/>
  <c r="H69" i="6"/>
  <c r="H70" i="6" s="1"/>
  <c r="K68" i="6"/>
  <c r="K70" i="6" s="1"/>
  <c r="J68" i="6"/>
  <c r="J70" i="6" s="1"/>
  <c r="D68" i="6"/>
  <c r="A65" i="6"/>
  <c r="H62" i="6"/>
  <c r="H63" i="6" s="1"/>
  <c r="K61" i="6"/>
  <c r="K63" i="6" s="1"/>
  <c r="J61" i="6"/>
  <c r="J63" i="6" s="1"/>
  <c r="D61" i="6"/>
  <c r="A58" i="6"/>
  <c r="H55" i="6"/>
  <c r="H56" i="6" s="1"/>
  <c r="L54" i="6"/>
  <c r="L61" i="6" s="1"/>
  <c r="L68" i="6" s="1"/>
  <c r="L75" i="6" s="1"/>
  <c r="L82" i="6" s="1"/>
  <c r="K54" i="6"/>
  <c r="K56" i="6" s="1"/>
  <c r="J54" i="6"/>
  <c r="J56" i="6" s="1"/>
  <c r="D54" i="6"/>
  <c r="A51" i="6"/>
  <c r="H48" i="6"/>
  <c r="H49" i="6" s="1"/>
  <c r="K47" i="6"/>
  <c r="K49" i="6" s="1"/>
  <c r="J47" i="6"/>
  <c r="J49" i="6" s="1"/>
  <c r="D47" i="6"/>
  <c r="I46" i="6"/>
  <c r="A44" i="6"/>
  <c r="H41" i="6"/>
  <c r="H42" i="6" s="1"/>
  <c r="D41" i="6"/>
  <c r="D83" i="6" s="1"/>
  <c r="D125" i="6" s="1"/>
  <c r="D167" i="6" s="1"/>
  <c r="L40" i="6"/>
  <c r="K40" i="6"/>
  <c r="K42" i="6" s="1"/>
  <c r="J40" i="6"/>
  <c r="J42" i="6" s="1"/>
  <c r="D40" i="6"/>
  <c r="D42" i="6" s="1"/>
  <c r="A37" i="6"/>
  <c r="H34" i="6"/>
  <c r="H35" i="6" s="1"/>
  <c r="D34" i="6"/>
  <c r="D76" i="6" s="1"/>
  <c r="D118" i="6" s="1"/>
  <c r="D160" i="6" s="1"/>
  <c r="L33" i="6"/>
  <c r="K33" i="6"/>
  <c r="K35" i="6" s="1"/>
  <c r="J33" i="6"/>
  <c r="J35" i="6" s="1"/>
  <c r="D33" i="6"/>
  <c r="D35" i="6" s="1"/>
  <c r="A30" i="6"/>
  <c r="H27" i="6"/>
  <c r="H28" i="6" s="1"/>
  <c r="D27" i="6"/>
  <c r="D69" i="6" s="1"/>
  <c r="D111" i="6" s="1"/>
  <c r="D153" i="6" s="1"/>
  <c r="L26" i="6"/>
  <c r="K26" i="6"/>
  <c r="K28" i="6" s="1"/>
  <c r="J26" i="6"/>
  <c r="J28" i="6" s="1"/>
  <c r="D26" i="6"/>
  <c r="D28" i="6" s="1"/>
  <c r="A23" i="6"/>
  <c r="H20" i="6"/>
  <c r="H21" i="6" s="1"/>
  <c r="D20" i="6"/>
  <c r="D62" i="6" s="1"/>
  <c r="D104" i="6" s="1"/>
  <c r="D146" i="6" s="1"/>
  <c r="L19" i="6"/>
  <c r="K19" i="6"/>
  <c r="K21" i="6" s="1"/>
  <c r="J19" i="6"/>
  <c r="J21" i="6" s="1"/>
  <c r="D19" i="6"/>
  <c r="D21" i="6" s="1"/>
  <c r="A16" i="6"/>
  <c r="H13" i="6"/>
  <c r="H14" i="6" s="1"/>
  <c r="D13" i="6"/>
  <c r="D55" i="6" s="1"/>
  <c r="D97" i="6" s="1"/>
  <c r="D139" i="6" s="1"/>
  <c r="L12" i="6"/>
  <c r="K12" i="6"/>
  <c r="K14" i="6" s="1"/>
  <c r="J12" i="6"/>
  <c r="J14" i="6" s="1"/>
  <c r="D12" i="6"/>
  <c r="D14" i="6" s="1"/>
  <c r="A9" i="6"/>
  <c r="H6" i="6"/>
  <c r="H7" i="6" s="1"/>
  <c r="D6" i="6"/>
  <c r="L5" i="6"/>
  <c r="K5" i="6"/>
  <c r="K7" i="6" s="1"/>
  <c r="J5" i="6"/>
  <c r="J7" i="6" s="1"/>
  <c r="D5" i="6"/>
  <c r="D7" i="6" s="1"/>
  <c r="O4" i="6"/>
  <c r="O11" i="6" s="1"/>
  <c r="O18" i="6" s="1"/>
  <c r="O25" i="6" s="1"/>
  <c r="O32" i="6" s="1"/>
  <c r="O39" i="6" s="1"/>
  <c r="O46" i="6" s="1"/>
  <c r="O53" i="6" s="1"/>
  <c r="O60" i="6" s="1"/>
  <c r="O67" i="6" s="1"/>
  <c r="O74" i="6" s="1"/>
  <c r="O81" i="6" s="1"/>
  <c r="O88" i="6" s="1"/>
  <c r="O95" i="6" s="1"/>
  <c r="O102" i="6" s="1"/>
  <c r="O109" i="6" s="1"/>
  <c r="O116" i="6" s="1"/>
  <c r="O123" i="6" s="1"/>
  <c r="L4" i="6"/>
  <c r="I4" i="6"/>
  <c r="G4" i="6"/>
  <c r="F4" i="6"/>
  <c r="E4" i="6"/>
  <c r="A2" i="6"/>
  <c r="F41" i="5"/>
  <c r="F42" i="5" s="1"/>
  <c r="G40" i="5"/>
  <c r="G42" i="5" s="1"/>
  <c r="E40" i="5"/>
  <c r="D40" i="5"/>
  <c r="G33" i="5"/>
  <c r="G35" i="5" s="1"/>
  <c r="B33" i="5"/>
  <c r="F27" i="5"/>
  <c r="F28" i="5" s="1"/>
  <c r="G26" i="5"/>
  <c r="G28" i="5" s="1"/>
  <c r="C26" i="5"/>
  <c r="F20" i="5"/>
  <c r="F21" i="5" s="1"/>
  <c r="G19" i="5"/>
  <c r="G21" i="5" s="1"/>
  <c r="E19" i="5"/>
  <c r="D19" i="5"/>
  <c r="J15" i="5"/>
  <c r="G12" i="5"/>
  <c r="G14" i="5" s="1"/>
  <c r="B12" i="5"/>
  <c r="D6" i="5"/>
  <c r="D13" i="5" s="1"/>
  <c r="D20" i="5" s="1"/>
  <c r="D27" i="5" s="1"/>
  <c r="D34" i="5" s="1"/>
  <c r="D41" i="5" s="1"/>
  <c r="G5" i="5"/>
  <c r="G7" i="5" s="1"/>
  <c r="C5" i="5"/>
  <c r="B5" i="5"/>
  <c r="J4" i="5"/>
  <c r="J11" i="5" s="1"/>
  <c r="J18" i="5" s="1"/>
  <c r="J25" i="5" s="1"/>
  <c r="J32" i="5" s="1"/>
  <c r="J39" i="5" s="1"/>
  <c r="E4" i="5"/>
  <c r="E11" i="5" s="1"/>
  <c r="E18" i="5" s="1"/>
  <c r="E25" i="5" s="1"/>
  <c r="E32" i="5" s="1"/>
  <c r="E39" i="5" s="1"/>
  <c r="H1385" i="4"/>
  <c r="F1385" i="4"/>
  <c r="F1386" i="4" s="1"/>
  <c r="N1384" i="4"/>
  <c r="M1384" i="4"/>
  <c r="L1384" i="4"/>
  <c r="K1384" i="4"/>
  <c r="I1384" i="4"/>
  <c r="F1384" i="4"/>
  <c r="C1384" i="4"/>
  <c r="D1384" i="4" s="1"/>
  <c r="F1383" i="4"/>
  <c r="A1381" i="4"/>
  <c r="F1379" i="4"/>
  <c r="H1378" i="4"/>
  <c r="N1377" i="4"/>
  <c r="M1377" i="4"/>
  <c r="L1377" i="4"/>
  <c r="K1377" i="4"/>
  <c r="I1377" i="4"/>
  <c r="C1377" i="4"/>
  <c r="D1377" i="4" s="1"/>
  <c r="A1374" i="4"/>
  <c r="H1371" i="4"/>
  <c r="F1371" i="4"/>
  <c r="F1372" i="4" s="1"/>
  <c r="N1370" i="4"/>
  <c r="M1370" i="4"/>
  <c r="L1370" i="4"/>
  <c r="K1370" i="4"/>
  <c r="I1370" i="4"/>
  <c r="F1370" i="4"/>
  <c r="C1370" i="4"/>
  <c r="D1370" i="4" s="1"/>
  <c r="F1369" i="4"/>
  <c r="A1367" i="4"/>
  <c r="F1365" i="4"/>
  <c r="H1364" i="4"/>
  <c r="N1363" i="4"/>
  <c r="M1363" i="4"/>
  <c r="L1363" i="4"/>
  <c r="K1363" i="4"/>
  <c r="I1363" i="4"/>
  <c r="C1363" i="4"/>
  <c r="D1363" i="4" s="1"/>
  <c r="H1357" i="4"/>
  <c r="F1357" i="4"/>
  <c r="F1358" i="4" s="1"/>
  <c r="N1356" i="4"/>
  <c r="M1356" i="4"/>
  <c r="L1356" i="4"/>
  <c r="K1356" i="4"/>
  <c r="I1356" i="4"/>
  <c r="F1356" i="4"/>
  <c r="C1356" i="4"/>
  <c r="D1356" i="4" s="1"/>
  <c r="F1355" i="4"/>
  <c r="H1350" i="4"/>
  <c r="F1350" i="4"/>
  <c r="F1351" i="4" s="1"/>
  <c r="N1349" i="4"/>
  <c r="M1349" i="4"/>
  <c r="L1349" i="4"/>
  <c r="K1349" i="4"/>
  <c r="I1349" i="4"/>
  <c r="F1349" i="4"/>
  <c r="C1349" i="4"/>
  <c r="D1349" i="4" s="1"/>
  <c r="F1348" i="4"/>
  <c r="F1344" i="4"/>
  <c r="H1343" i="4"/>
  <c r="N1342" i="4"/>
  <c r="M1342" i="4"/>
  <c r="L1342" i="4"/>
  <c r="K1342" i="4"/>
  <c r="I1342" i="4"/>
  <c r="C1342" i="4"/>
  <c r="D1342" i="4" s="1"/>
  <c r="H1336" i="4"/>
  <c r="F1336" i="4"/>
  <c r="F1337" i="4" s="1"/>
  <c r="N1335" i="4"/>
  <c r="M1335" i="4"/>
  <c r="L1335" i="4"/>
  <c r="K1335" i="4"/>
  <c r="I1335" i="4"/>
  <c r="F1335" i="4"/>
  <c r="C1335" i="4"/>
  <c r="D1335" i="4" s="1"/>
  <c r="F1334" i="4"/>
  <c r="F1330" i="4"/>
  <c r="H1329" i="4"/>
  <c r="N1328" i="4"/>
  <c r="M1328" i="4"/>
  <c r="L1328" i="4"/>
  <c r="K1328" i="4"/>
  <c r="I1328" i="4"/>
  <c r="C1328" i="4"/>
  <c r="D1328" i="4" s="1"/>
  <c r="H1322" i="4"/>
  <c r="F1322" i="4"/>
  <c r="F1323" i="4" s="1"/>
  <c r="N1321" i="4"/>
  <c r="M1321" i="4"/>
  <c r="L1321" i="4"/>
  <c r="K1321" i="4"/>
  <c r="I1321" i="4"/>
  <c r="F1321" i="4"/>
  <c r="C1321" i="4"/>
  <c r="D1321" i="4" s="1"/>
  <c r="D1323" i="4" s="1"/>
  <c r="F1320" i="4"/>
  <c r="H1315" i="4"/>
  <c r="F1315" i="4"/>
  <c r="F1316" i="4" s="1"/>
  <c r="N1314" i="4"/>
  <c r="M1314" i="4"/>
  <c r="L1314" i="4"/>
  <c r="K1314" i="4"/>
  <c r="I1314" i="4"/>
  <c r="F1314" i="4"/>
  <c r="C1314" i="4"/>
  <c r="D1314" i="4" s="1"/>
  <c r="D1316" i="4" s="1"/>
  <c r="F1313" i="4"/>
  <c r="F1309" i="4"/>
  <c r="H1308" i="4"/>
  <c r="N1307" i="4"/>
  <c r="M1307" i="4"/>
  <c r="L1307" i="4"/>
  <c r="K1307" i="4"/>
  <c r="I1307" i="4"/>
  <c r="C1307" i="4"/>
  <c r="D1307" i="4" s="1"/>
  <c r="H1301" i="4"/>
  <c r="F1301" i="4"/>
  <c r="F1302" i="4" s="1"/>
  <c r="N1300" i="4"/>
  <c r="M1300" i="4"/>
  <c r="L1300" i="4"/>
  <c r="K1300" i="4"/>
  <c r="I1300" i="4"/>
  <c r="F1300" i="4"/>
  <c r="C1300" i="4"/>
  <c r="D1300" i="4" s="1"/>
  <c r="F1299" i="4"/>
  <c r="F1295" i="4"/>
  <c r="H1294" i="4"/>
  <c r="N1293" i="4"/>
  <c r="M1293" i="4"/>
  <c r="L1293" i="4"/>
  <c r="K1293" i="4"/>
  <c r="I1293" i="4"/>
  <c r="C1293" i="4"/>
  <c r="D1293" i="4" s="1"/>
  <c r="H1287" i="4"/>
  <c r="F1287" i="4"/>
  <c r="F1288" i="4" s="1"/>
  <c r="N1286" i="4"/>
  <c r="M1286" i="4"/>
  <c r="L1286" i="4"/>
  <c r="K1286" i="4"/>
  <c r="I1286" i="4"/>
  <c r="F1286" i="4"/>
  <c r="C1286" i="4"/>
  <c r="D1286" i="4" s="1"/>
  <c r="F1285" i="4"/>
  <c r="H1280" i="4"/>
  <c r="F1280" i="4"/>
  <c r="F1281" i="4" s="1"/>
  <c r="N1279" i="4"/>
  <c r="M1279" i="4"/>
  <c r="L1279" i="4"/>
  <c r="K1279" i="4"/>
  <c r="I1279" i="4"/>
  <c r="F1279" i="4"/>
  <c r="C1279" i="4"/>
  <c r="D1279" i="4" s="1"/>
  <c r="F1278" i="4"/>
  <c r="D1278" i="4"/>
  <c r="D1285" i="4" s="1"/>
  <c r="D1292" i="4" s="1"/>
  <c r="D1299" i="4" s="1"/>
  <c r="D1306" i="4" s="1"/>
  <c r="D1313" i="4" s="1"/>
  <c r="D1320" i="4" s="1"/>
  <c r="D1327" i="4" s="1"/>
  <c r="D1334" i="4" s="1"/>
  <c r="D1341" i="4" s="1"/>
  <c r="D1348" i="4" s="1"/>
  <c r="D1355" i="4" s="1"/>
  <c r="D1362" i="4" s="1"/>
  <c r="D1369" i="4" s="1"/>
  <c r="D1376" i="4" s="1"/>
  <c r="D1383" i="4" s="1"/>
  <c r="B1278" i="4"/>
  <c r="B1285" i="4" s="1"/>
  <c r="B1292" i="4" s="1"/>
  <c r="B1299" i="4" s="1"/>
  <c r="B1306" i="4" s="1"/>
  <c r="B1313" i="4" s="1"/>
  <c r="B1320" i="4" s="1"/>
  <c r="B1327" i="4" s="1"/>
  <c r="B1334" i="4" s="1"/>
  <c r="B1341" i="4" s="1"/>
  <c r="B1348" i="4" s="1"/>
  <c r="B1355" i="4" s="1"/>
  <c r="B1362" i="4" s="1"/>
  <c r="B1369" i="4" s="1"/>
  <c r="B1376" i="4" s="1"/>
  <c r="B1383" i="4" s="1"/>
  <c r="A1278" i="4"/>
  <c r="A1285" i="4" s="1"/>
  <c r="A1292" i="4" s="1"/>
  <c r="A1299" i="4" s="1"/>
  <c r="A1306" i="4" s="1"/>
  <c r="A1313" i="4" s="1"/>
  <c r="A1320" i="4" s="1"/>
  <c r="A1327" i="4" s="1"/>
  <c r="A1334" i="4" s="1"/>
  <c r="A1341" i="4" s="1"/>
  <c r="A1348" i="4" s="1"/>
  <c r="A1355" i="4" s="1"/>
  <c r="A1362" i="4" s="1"/>
  <c r="A1369" i="4" s="1"/>
  <c r="A1376" i="4" s="1"/>
  <c r="A1383" i="4" s="1"/>
  <c r="F1274" i="4"/>
  <c r="H1273" i="4"/>
  <c r="N1272" i="4"/>
  <c r="M1272" i="4"/>
  <c r="L1272" i="4"/>
  <c r="K1272" i="4"/>
  <c r="I1272" i="4"/>
  <c r="C1272" i="4"/>
  <c r="D1272" i="4" s="1"/>
  <c r="R1271" i="4"/>
  <c r="P1271" i="4"/>
  <c r="P1278" i="4" s="1"/>
  <c r="P1285" i="4" s="1"/>
  <c r="P1292" i="4" s="1"/>
  <c r="P1299" i="4" s="1"/>
  <c r="P1306" i="4" s="1"/>
  <c r="P1313" i="4" s="1"/>
  <c r="P1320" i="4" s="1"/>
  <c r="P1327" i="4" s="1"/>
  <c r="P1334" i="4" s="1"/>
  <c r="P1341" i="4" s="1"/>
  <c r="P1348" i="4" s="1"/>
  <c r="P1355" i="4" s="1"/>
  <c r="P1362" i="4" s="1"/>
  <c r="P1369" i="4" s="1"/>
  <c r="P1376" i="4" s="1"/>
  <c r="P1383" i="4" s="1"/>
  <c r="O1271" i="4"/>
  <c r="O1278" i="4" s="1"/>
  <c r="O1285" i="4" s="1"/>
  <c r="O1292" i="4" s="1"/>
  <c r="O1299" i="4" s="1"/>
  <c r="O1306" i="4" s="1"/>
  <c r="O1313" i="4" s="1"/>
  <c r="O1320" i="4" s="1"/>
  <c r="O1327" i="4" s="1"/>
  <c r="O1334" i="4" s="1"/>
  <c r="O1341" i="4" s="1"/>
  <c r="O1348" i="4" s="1"/>
  <c r="O1355" i="4" s="1"/>
  <c r="O1362" i="4" s="1"/>
  <c r="O1369" i="4" s="1"/>
  <c r="O1376" i="4" s="1"/>
  <c r="O1383" i="4" s="1"/>
  <c r="N1271" i="4"/>
  <c r="L1271" i="4"/>
  <c r="K1271" i="4"/>
  <c r="H1271" i="4"/>
  <c r="H1266" i="4"/>
  <c r="H1267" i="4" s="1"/>
  <c r="F1266" i="4"/>
  <c r="F1267" i="4" s="1"/>
  <c r="N1265" i="4"/>
  <c r="N1267" i="4" s="1"/>
  <c r="M1265" i="4"/>
  <c r="L1265" i="4"/>
  <c r="L1267" i="4" s="1"/>
  <c r="K1265" i="4"/>
  <c r="K1267" i="4" s="1"/>
  <c r="I1265" i="4"/>
  <c r="F1265" i="4"/>
  <c r="C1265" i="4"/>
  <c r="D1265" i="4" s="1"/>
  <c r="F1264" i="4"/>
  <c r="F1260" i="4"/>
  <c r="H1259" i="4"/>
  <c r="N1258" i="4"/>
  <c r="M1258" i="4"/>
  <c r="L1258" i="4"/>
  <c r="K1258" i="4"/>
  <c r="I1258" i="4"/>
  <c r="D1258" i="4"/>
  <c r="F1253" i="4"/>
  <c r="H1252" i="4"/>
  <c r="N1251" i="4"/>
  <c r="M1251" i="4"/>
  <c r="L1251" i="4"/>
  <c r="K1251" i="4"/>
  <c r="I1251" i="4"/>
  <c r="D1251" i="4"/>
  <c r="F1246" i="4"/>
  <c r="H1245" i="4"/>
  <c r="N1244" i="4"/>
  <c r="M1244" i="4"/>
  <c r="L1244" i="4"/>
  <c r="K1244" i="4"/>
  <c r="I1244" i="4"/>
  <c r="D1244" i="4"/>
  <c r="F1239" i="4"/>
  <c r="H1238" i="4"/>
  <c r="N1237" i="4"/>
  <c r="M1237" i="4"/>
  <c r="L1237" i="4"/>
  <c r="K1237" i="4"/>
  <c r="I1237" i="4"/>
  <c r="D1237" i="4"/>
  <c r="F1232" i="4"/>
  <c r="H1231" i="4"/>
  <c r="N1230" i="4"/>
  <c r="M1230" i="4"/>
  <c r="L1230" i="4"/>
  <c r="K1230" i="4"/>
  <c r="I1230" i="4"/>
  <c r="D1230" i="4"/>
  <c r="F1225" i="4"/>
  <c r="H1224" i="4"/>
  <c r="N1223" i="4"/>
  <c r="M1223" i="4"/>
  <c r="L1223" i="4"/>
  <c r="K1223" i="4"/>
  <c r="I1223" i="4"/>
  <c r="D1223" i="4"/>
  <c r="F1218" i="4"/>
  <c r="H1217" i="4"/>
  <c r="N1216" i="4"/>
  <c r="M1216" i="4"/>
  <c r="L1216" i="4"/>
  <c r="K1216" i="4"/>
  <c r="I1216" i="4"/>
  <c r="D1216" i="4"/>
  <c r="F1211" i="4"/>
  <c r="H1210" i="4"/>
  <c r="N1209" i="4"/>
  <c r="M1209" i="4"/>
  <c r="L1209" i="4"/>
  <c r="K1209" i="4"/>
  <c r="I1209" i="4"/>
  <c r="D1209" i="4"/>
  <c r="F1204" i="4"/>
  <c r="H1203" i="4"/>
  <c r="N1202" i="4"/>
  <c r="M1202" i="4"/>
  <c r="L1202" i="4"/>
  <c r="K1202" i="4"/>
  <c r="I1202" i="4"/>
  <c r="D1202" i="4"/>
  <c r="F1197" i="4"/>
  <c r="H1196" i="4"/>
  <c r="N1195" i="4"/>
  <c r="M1195" i="4"/>
  <c r="L1195" i="4"/>
  <c r="K1195" i="4"/>
  <c r="I1195" i="4"/>
  <c r="D1195" i="4"/>
  <c r="F1190" i="4"/>
  <c r="H1189" i="4"/>
  <c r="N1188" i="4"/>
  <c r="M1188" i="4"/>
  <c r="L1188" i="4"/>
  <c r="K1188" i="4"/>
  <c r="I1188" i="4"/>
  <c r="D1188" i="4"/>
  <c r="F1183" i="4"/>
  <c r="H1182" i="4"/>
  <c r="D1182" i="4"/>
  <c r="D1189" i="4" s="1"/>
  <c r="D1308" i="4" s="1"/>
  <c r="D1315" i="4" s="1"/>
  <c r="D1322" i="4" s="1"/>
  <c r="N1181" i="4"/>
  <c r="M1181" i="4"/>
  <c r="L1181" i="4"/>
  <c r="K1181" i="4"/>
  <c r="I1181" i="4"/>
  <c r="D1181" i="4"/>
  <c r="D1183" i="4" s="1"/>
  <c r="P1180" i="4"/>
  <c r="P1187" i="4" s="1"/>
  <c r="P1194" i="4" s="1"/>
  <c r="P1201" i="4" s="1"/>
  <c r="P1208" i="4" s="1"/>
  <c r="P1215" i="4" s="1"/>
  <c r="P1222" i="4" s="1"/>
  <c r="P1229" i="4" s="1"/>
  <c r="P1236" i="4" s="1"/>
  <c r="P1243" i="4" s="1"/>
  <c r="P1250" i="4" s="1"/>
  <c r="P1257" i="4" s="1"/>
  <c r="O1180" i="4"/>
  <c r="O1187" i="4" s="1"/>
  <c r="O1194" i="4" s="1"/>
  <c r="O1201" i="4" s="1"/>
  <c r="O1208" i="4" s="1"/>
  <c r="O1215" i="4" s="1"/>
  <c r="O1222" i="4" s="1"/>
  <c r="O1229" i="4" s="1"/>
  <c r="O1236" i="4" s="1"/>
  <c r="O1243" i="4" s="1"/>
  <c r="O1250" i="4" s="1"/>
  <c r="O1257" i="4" s="1"/>
  <c r="N1180" i="4"/>
  <c r="L1180" i="4"/>
  <c r="K1180" i="4"/>
  <c r="H1180" i="4"/>
  <c r="F1176" i="4"/>
  <c r="H1175" i="4"/>
  <c r="H1176" i="4" s="1"/>
  <c r="N1174" i="4"/>
  <c r="N1176" i="4" s="1"/>
  <c r="M1174" i="4"/>
  <c r="L1174" i="4"/>
  <c r="L1176" i="4" s="1"/>
  <c r="K1174" i="4"/>
  <c r="K1176" i="4" s="1"/>
  <c r="I1174" i="4"/>
  <c r="D1174" i="4"/>
  <c r="Q1170" i="4"/>
  <c r="H1168" i="4"/>
  <c r="H1169" i="4" s="1"/>
  <c r="F1168" i="4"/>
  <c r="F1169" i="4" s="1"/>
  <c r="N1167" i="4"/>
  <c r="N1169" i="4" s="1"/>
  <c r="M1167" i="4"/>
  <c r="L1167" i="4"/>
  <c r="L1169" i="4" s="1"/>
  <c r="K1167" i="4"/>
  <c r="K1169" i="4" s="1"/>
  <c r="I1167" i="4"/>
  <c r="F1167" i="4"/>
  <c r="D1167" i="4"/>
  <c r="F1166" i="4"/>
  <c r="F1162" i="4"/>
  <c r="H1161" i="4"/>
  <c r="H1162" i="4" s="1"/>
  <c r="N1160" i="4"/>
  <c r="N1162" i="4" s="1"/>
  <c r="M1160" i="4"/>
  <c r="L1160" i="4"/>
  <c r="L1162" i="4" s="1"/>
  <c r="K1160" i="4"/>
  <c r="K1162" i="4" s="1"/>
  <c r="I1160" i="4"/>
  <c r="D1160" i="4"/>
  <c r="H1154" i="4"/>
  <c r="H1155" i="4" s="1"/>
  <c r="F1154" i="4"/>
  <c r="F1155" i="4" s="1"/>
  <c r="N1153" i="4"/>
  <c r="N1155" i="4" s="1"/>
  <c r="M1153" i="4"/>
  <c r="L1153" i="4"/>
  <c r="L1155" i="4" s="1"/>
  <c r="K1153" i="4"/>
  <c r="K1155" i="4" s="1"/>
  <c r="I1153" i="4"/>
  <c r="F1153" i="4"/>
  <c r="D1153" i="4"/>
  <c r="F1152" i="4"/>
  <c r="Q1149" i="4"/>
  <c r="H1147" i="4"/>
  <c r="H1148" i="4" s="1"/>
  <c r="F1147" i="4"/>
  <c r="F1148" i="4" s="1"/>
  <c r="N1146" i="4"/>
  <c r="N1148" i="4" s="1"/>
  <c r="M1146" i="4"/>
  <c r="L1146" i="4"/>
  <c r="L1148" i="4" s="1"/>
  <c r="K1146" i="4"/>
  <c r="K1148" i="4" s="1"/>
  <c r="I1146" i="4"/>
  <c r="F1146" i="4"/>
  <c r="D1146" i="4"/>
  <c r="F1145" i="4"/>
  <c r="F1141" i="4"/>
  <c r="H1140" i="4"/>
  <c r="H1141" i="4" s="1"/>
  <c r="N1139" i="4"/>
  <c r="N1141" i="4" s="1"/>
  <c r="M1139" i="4"/>
  <c r="L1139" i="4"/>
  <c r="L1141" i="4" s="1"/>
  <c r="K1139" i="4"/>
  <c r="K1141" i="4" s="1"/>
  <c r="I1139" i="4"/>
  <c r="D1139" i="4"/>
  <c r="H1133" i="4"/>
  <c r="N1132" i="4"/>
  <c r="M1132" i="4"/>
  <c r="L1132" i="4"/>
  <c r="K1132" i="4"/>
  <c r="I1132" i="4"/>
  <c r="C1132" i="4"/>
  <c r="D1132" i="4" s="1"/>
  <c r="H1126" i="4"/>
  <c r="N1125" i="4"/>
  <c r="M1125" i="4"/>
  <c r="L1125" i="4"/>
  <c r="K1125" i="4"/>
  <c r="I1125" i="4"/>
  <c r="C1125" i="4"/>
  <c r="D1125" i="4" s="1"/>
  <c r="H1119" i="4"/>
  <c r="N1118" i="4"/>
  <c r="M1118" i="4"/>
  <c r="L1118" i="4"/>
  <c r="K1118" i="4"/>
  <c r="I1118" i="4"/>
  <c r="C1118" i="4"/>
  <c r="D1118" i="4" s="1"/>
  <c r="H1112" i="4"/>
  <c r="N1111" i="4"/>
  <c r="M1111" i="4"/>
  <c r="L1111" i="4"/>
  <c r="K1111" i="4"/>
  <c r="I1111" i="4"/>
  <c r="C1111" i="4"/>
  <c r="D1111" i="4" s="1"/>
  <c r="H1105" i="4"/>
  <c r="N1104" i="4"/>
  <c r="M1104" i="4"/>
  <c r="L1104" i="4"/>
  <c r="K1104" i="4"/>
  <c r="I1104" i="4"/>
  <c r="C1104" i="4"/>
  <c r="D1104" i="4" s="1"/>
  <c r="H1098" i="4"/>
  <c r="N1097" i="4"/>
  <c r="M1097" i="4"/>
  <c r="L1097" i="4"/>
  <c r="K1097" i="4"/>
  <c r="I1097" i="4"/>
  <c r="C1097" i="4"/>
  <c r="D1097" i="4" s="1"/>
  <c r="H1091" i="4"/>
  <c r="N1090" i="4"/>
  <c r="M1090" i="4"/>
  <c r="L1090" i="4"/>
  <c r="K1090" i="4"/>
  <c r="I1090" i="4"/>
  <c r="C1090" i="4"/>
  <c r="D1090" i="4" s="1"/>
  <c r="H1084" i="4"/>
  <c r="N1083" i="4"/>
  <c r="M1083" i="4"/>
  <c r="L1083" i="4"/>
  <c r="K1083" i="4"/>
  <c r="I1083" i="4"/>
  <c r="C1083" i="4"/>
  <c r="D1083" i="4" s="1"/>
  <c r="H1077" i="4"/>
  <c r="N1076" i="4"/>
  <c r="M1076" i="4"/>
  <c r="L1076" i="4"/>
  <c r="K1076" i="4"/>
  <c r="I1076" i="4"/>
  <c r="C1076" i="4"/>
  <c r="D1076" i="4" s="1"/>
  <c r="H1070" i="4"/>
  <c r="N1069" i="4"/>
  <c r="M1069" i="4"/>
  <c r="L1069" i="4"/>
  <c r="K1069" i="4"/>
  <c r="I1069" i="4"/>
  <c r="C1069" i="4"/>
  <c r="D1069" i="4" s="1"/>
  <c r="H1063" i="4"/>
  <c r="N1062" i="4"/>
  <c r="M1062" i="4"/>
  <c r="L1062" i="4"/>
  <c r="K1062" i="4"/>
  <c r="I1062" i="4"/>
  <c r="C1062" i="4"/>
  <c r="D1062" i="4" s="1"/>
  <c r="H1056" i="4"/>
  <c r="N1055" i="4"/>
  <c r="M1055" i="4"/>
  <c r="L1055" i="4"/>
  <c r="K1055" i="4"/>
  <c r="I1055" i="4"/>
  <c r="C1055" i="4"/>
  <c r="D1055" i="4" s="1"/>
  <c r="H1049" i="4"/>
  <c r="N1048" i="4"/>
  <c r="M1048" i="4"/>
  <c r="L1048" i="4"/>
  <c r="K1048" i="4"/>
  <c r="I1048" i="4"/>
  <c r="C1048" i="4"/>
  <c r="D1048" i="4" s="1"/>
  <c r="H1042" i="4"/>
  <c r="N1041" i="4"/>
  <c r="M1041" i="4"/>
  <c r="L1041" i="4"/>
  <c r="K1041" i="4"/>
  <c r="I1041" i="4"/>
  <c r="C1041" i="4"/>
  <c r="D1041" i="4" s="1"/>
  <c r="H1035" i="4"/>
  <c r="N1034" i="4"/>
  <c r="M1034" i="4"/>
  <c r="L1034" i="4"/>
  <c r="K1034" i="4"/>
  <c r="I1034" i="4"/>
  <c r="C1034" i="4"/>
  <c r="D1034" i="4" s="1"/>
  <c r="H1028" i="4"/>
  <c r="N1027" i="4"/>
  <c r="M1027" i="4"/>
  <c r="L1027" i="4"/>
  <c r="K1027" i="4"/>
  <c r="I1027" i="4"/>
  <c r="C1027" i="4"/>
  <c r="D1027" i="4" s="1"/>
  <c r="D1026" i="4"/>
  <c r="D1033" i="4" s="1"/>
  <c r="D1040" i="4" s="1"/>
  <c r="D1047" i="4" s="1"/>
  <c r="D1054" i="4" s="1"/>
  <c r="D1061" i="4" s="1"/>
  <c r="D1068" i="4" s="1"/>
  <c r="D1075" i="4" s="1"/>
  <c r="D1082" i="4" s="1"/>
  <c r="D1089" i="4" s="1"/>
  <c r="D1096" i="4" s="1"/>
  <c r="D1103" i="4" s="1"/>
  <c r="D1110" i="4" s="1"/>
  <c r="D1117" i="4" s="1"/>
  <c r="D1124" i="4" s="1"/>
  <c r="D1131" i="4" s="1"/>
  <c r="D1138" i="4" s="1"/>
  <c r="D1145" i="4" s="1"/>
  <c r="D1152" i="4" s="1"/>
  <c r="D1159" i="4" s="1"/>
  <c r="D1166" i="4" s="1"/>
  <c r="D1173" i="4" s="1"/>
  <c r="D1180" i="4" s="1"/>
  <c r="D1187" i="4" s="1"/>
  <c r="D1194" i="4" s="1"/>
  <c r="D1201" i="4" s="1"/>
  <c r="D1208" i="4" s="1"/>
  <c r="D1215" i="4" s="1"/>
  <c r="D1222" i="4" s="1"/>
  <c r="D1229" i="4" s="1"/>
  <c r="D1236" i="4" s="1"/>
  <c r="D1243" i="4" s="1"/>
  <c r="D1250" i="4" s="1"/>
  <c r="D1257" i="4" s="1"/>
  <c r="B1026" i="4"/>
  <c r="B1033" i="4" s="1"/>
  <c r="B1040" i="4" s="1"/>
  <c r="B1047" i="4" s="1"/>
  <c r="B1054" i="4" s="1"/>
  <c r="B1061" i="4" s="1"/>
  <c r="B1068" i="4" s="1"/>
  <c r="B1075" i="4" s="1"/>
  <c r="B1082" i="4" s="1"/>
  <c r="B1089" i="4" s="1"/>
  <c r="B1096" i="4" s="1"/>
  <c r="B1103" i="4" s="1"/>
  <c r="B1110" i="4" s="1"/>
  <c r="B1117" i="4" s="1"/>
  <c r="B1124" i="4" s="1"/>
  <c r="B1131" i="4" s="1"/>
  <c r="A1026" i="4"/>
  <c r="A1033" i="4" s="1"/>
  <c r="A1040" i="4" s="1"/>
  <c r="A1047" i="4" s="1"/>
  <c r="A1054" i="4" s="1"/>
  <c r="A1061" i="4" s="1"/>
  <c r="A1068" i="4" s="1"/>
  <c r="A1075" i="4" s="1"/>
  <c r="A1082" i="4" s="1"/>
  <c r="A1089" i="4" s="1"/>
  <c r="A1096" i="4" s="1"/>
  <c r="A1103" i="4" s="1"/>
  <c r="A1110" i="4" s="1"/>
  <c r="A1117" i="4" s="1"/>
  <c r="A1124" i="4" s="1"/>
  <c r="A1131" i="4" s="1"/>
  <c r="H1021" i="4"/>
  <c r="N1020" i="4"/>
  <c r="M1020" i="4"/>
  <c r="L1020" i="4"/>
  <c r="K1020" i="4"/>
  <c r="I1020" i="4"/>
  <c r="C1020" i="4"/>
  <c r="D1020" i="4" s="1"/>
  <c r="R1019" i="4"/>
  <c r="P1019" i="4"/>
  <c r="P1026" i="4" s="1"/>
  <c r="P1033" i="4" s="1"/>
  <c r="P1040" i="4" s="1"/>
  <c r="P1047" i="4" s="1"/>
  <c r="P1054" i="4" s="1"/>
  <c r="P1061" i="4" s="1"/>
  <c r="P1068" i="4" s="1"/>
  <c r="P1075" i="4" s="1"/>
  <c r="P1082" i="4" s="1"/>
  <c r="P1089" i="4" s="1"/>
  <c r="P1096" i="4" s="1"/>
  <c r="P1103" i="4" s="1"/>
  <c r="P1110" i="4" s="1"/>
  <c r="P1117" i="4" s="1"/>
  <c r="P1124" i="4" s="1"/>
  <c r="P1131" i="4" s="1"/>
  <c r="O1019" i="4"/>
  <c r="O1026" i="4" s="1"/>
  <c r="O1033" i="4" s="1"/>
  <c r="O1040" i="4" s="1"/>
  <c r="O1047" i="4" s="1"/>
  <c r="O1054" i="4" s="1"/>
  <c r="O1061" i="4" s="1"/>
  <c r="O1068" i="4" s="1"/>
  <c r="O1075" i="4" s="1"/>
  <c r="O1082" i="4" s="1"/>
  <c r="O1089" i="4" s="1"/>
  <c r="O1096" i="4" s="1"/>
  <c r="O1103" i="4" s="1"/>
  <c r="O1110" i="4" s="1"/>
  <c r="O1117" i="4" s="1"/>
  <c r="O1124" i="4" s="1"/>
  <c r="O1131" i="4" s="1"/>
  <c r="N1019" i="4"/>
  <c r="L1019" i="4"/>
  <c r="K1019" i="4"/>
  <c r="H1019" i="4"/>
  <c r="H1014" i="4"/>
  <c r="H1015" i="4" s="1"/>
  <c r="N1013" i="4"/>
  <c r="N1015" i="4" s="1"/>
  <c r="M1013" i="4"/>
  <c r="L1013" i="4"/>
  <c r="L1015" i="4" s="1"/>
  <c r="K1013" i="4"/>
  <c r="K1015" i="4" s="1"/>
  <c r="I1013" i="4"/>
  <c r="C1013" i="4"/>
  <c r="D1013" i="4" s="1"/>
  <c r="H1007" i="4"/>
  <c r="N1006" i="4"/>
  <c r="M1006" i="4"/>
  <c r="L1006" i="4"/>
  <c r="K1006" i="4"/>
  <c r="I1006" i="4"/>
  <c r="C1006" i="4"/>
  <c r="D1006" i="4" s="1"/>
  <c r="H1000" i="4"/>
  <c r="N999" i="4"/>
  <c r="M999" i="4"/>
  <c r="L999" i="4"/>
  <c r="K999" i="4"/>
  <c r="I999" i="4"/>
  <c r="C999" i="4"/>
  <c r="D999" i="4" s="1"/>
  <c r="H993" i="4"/>
  <c r="N992" i="4"/>
  <c r="M992" i="4"/>
  <c r="L992" i="4"/>
  <c r="K992" i="4"/>
  <c r="I992" i="4"/>
  <c r="C992" i="4"/>
  <c r="D992" i="4" s="1"/>
  <c r="H986" i="4"/>
  <c r="N985" i="4"/>
  <c r="M985" i="4"/>
  <c r="L985" i="4"/>
  <c r="K985" i="4"/>
  <c r="I985" i="4"/>
  <c r="C985" i="4"/>
  <c r="D985" i="4" s="1"/>
  <c r="H979" i="4"/>
  <c r="N978" i="4"/>
  <c r="M978" i="4"/>
  <c r="L978" i="4"/>
  <c r="K978" i="4"/>
  <c r="I978" i="4"/>
  <c r="C978" i="4"/>
  <c r="D978" i="4" s="1"/>
  <c r="H972" i="4"/>
  <c r="N971" i="4"/>
  <c r="M971" i="4"/>
  <c r="L971" i="4"/>
  <c r="K971" i="4"/>
  <c r="I971" i="4"/>
  <c r="C971" i="4"/>
  <c r="D971" i="4" s="1"/>
  <c r="H965" i="4"/>
  <c r="N964" i="4"/>
  <c r="M964" i="4"/>
  <c r="L964" i="4"/>
  <c r="K964" i="4"/>
  <c r="I964" i="4"/>
  <c r="C964" i="4"/>
  <c r="D964" i="4" s="1"/>
  <c r="H958" i="4"/>
  <c r="N957" i="4"/>
  <c r="M957" i="4"/>
  <c r="L957" i="4"/>
  <c r="K957" i="4"/>
  <c r="I957" i="4"/>
  <c r="C957" i="4"/>
  <c r="D957" i="4" s="1"/>
  <c r="H951" i="4"/>
  <c r="N950" i="4"/>
  <c r="M950" i="4"/>
  <c r="L950" i="4"/>
  <c r="K950" i="4"/>
  <c r="I950" i="4"/>
  <c r="C950" i="4"/>
  <c r="D950" i="4" s="1"/>
  <c r="H944" i="4"/>
  <c r="N943" i="4"/>
  <c r="M943" i="4"/>
  <c r="L943" i="4"/>
  <c r="K943" i="4"/>
  <c r="I943" i="4"/>
  <c r="C943" i="4"/>
  <c r="D943" i="4" s="1"/>
  <c r="H937" i="4"/>
  <c r="N936" i="4"/>
  <c r="M936" i="4"/>
  <c r="L936" i="4"/>
  <c r="K936" i="4"/>
  <c r="I936" i="4"/>
  <c r="C936" i="4"/>
  <c r="D936" i="4" s="1"/>
  <c r="H930" i="4"/>
  <c r="N929" i="4"/>
  <c r="M929" i="4"/>
  <c r="L929" i="4"/>
  <c r="K929" i="4"/>
  <c r="I929" i="4"/>
  <c r="C929" i="4"/>
  <c r="D929" i="4" s="1"/>
  <c r="H923" i="4"/>
  <c r="N922" i="4"/>
  <c r="M922" i="4"/>
  <c r="L922" i="4"/>
  <c r="K922" i="4"/>
  <c r="I922" i="4"/>
  <c r="C922" i="4"/>
  <c r="D922" i="4" s="1"/>
  <c r="H916" i="4"/>
  <c r="N915" i="4"/>
  <c r="M915" i="4"/>
  <c r="L915" i="4"/>
  <c r="K915" i="4"/>
  <c r="I915" i="4"/>
  <c r="C915" i="4"/>
  <c r="D915" i="4" s="1"/>
  <c r="H909" i="4"/>
  <c r="N908" i="4"/>
  <c r="M908" i="4"/>
  <c r="L908" i="4"/>
  <c r="K908" i="4"/>
  <c r="I908" i="4"/>
  <c r="C908" i="4"/>
  <c r="D908" i="4" s="1"/>
  <c r="H902" i="4"/>
  <c r="N901" i="4"/>
  <c r="M901" i="4"/>
  <c r="L901" i="4"/>
  <c r="K901" i="4"/>
  <c r="I901" i="4"/>
  <c r="C901" i="4"/>
  <c r="D901" i="4" s="1"/>
  <c r="D900" i="4"/>
  <c r="D907" i="4" s="1"/>
  <c r="D914" i="4" s="1"/>
  <c r="D921" i="4" s="1"/>
  <c r="D928" i="4" s="1"/>
  <c r="D935" i="4" s="1"/>
  <c r="D942" i="4" s="1"/>
  <c r="D949" i="4" s="1"/>
  <c r="D956" i="4" s="1"/>
  <c r="D963" i="4" s="1"/>
  <c r="D970" i="4" s="1"/>
  <c r="D977" i="4" s="1"/>
  <c r="D984" i="4" s="1"/>
  <c r="D991" i="4" s="1"/>
  <c r="D998" i="4" s="1"/>
  <c r="D1005" i="4" s="1"/>
  <c r="B900" i="4"/>
  <c r="B907" i="4" s="1"/>
  <c r="B914" i="4" s="1"/>
  <c r="B921" i="4" s="1"/>
  <c r="B928" i="4" s="1"/>
  <c r="B935" i="4" s="1"/>
  <c r="B942" i="4" s="1"/>
  <c r="B949" i="4" s="1"/>
  <c r="B956" i="4" s="1"/>
  <c r="B963" i="4" s="1"/>
  <c r="B970" i="4" s="1"/>
  <c r="B977" i="4" s="1"/>
  <c r="B984" i="4" s="1"/>
  <c r="B991" i="4" s="1"/>
  <c r="B998" i="4" s="1"/>
  <c r="B1005" i="4" s="1"/>
  <c r="A900" i="4"/>
  <c r="A907" i="4" s="1"/>
  <c r="A914" i="4" s="1"/>
  <c r="A921" i="4" s="1"/>
  <c r="A928" i="4" s="1"/>
  <c r="A935" i="4" s="1"/>
  <c r="A942" i="4" s="1"/>
  <c r="A949" i="4" s="1"/>
  <c r="A956" i="4" s="1"/>
  <c r="A963" i="4" s="1"/>
  <c r="A970" i="4" s="1"/>
  <c r="A977" i="4" s="1"/>
  <c r="A984" i="4" s="1"/>
  <c r="A991" i="4" s="1"/>
  <c r="A998" i="4" s="1"/>
  <c r="A1005" i="4" s="1"/>
  <c r="H895" i="4"/>
  <c r="N894" i="4"/>
  <c r="M894" i="4"/>
  <c r="L894" i="4"/>
  <c r="K894" i="4"/>
  <c r="I894" i="4"/>
  <c r="C894" i="4"/>
  <c r="D894" i="4" s="1"/>
  <c r="R893" i="4"/>
  <c r="P893" i="4"/>
  <c r="P900" i="4" s="1"/>
  <c r="P907" i="4" s="1"/>
  <c r="P914" i="4" s="1"/>
  <c r="P921" i="4" s="1"/>
  <c r="P928" i="4" s="1"/>
  <c r="P935" i="4" s="1"/>
  <c r="P942" i="4" s="1"/>
  <c r="P949" i="4" s="1"/>
  <c r="P956" i="4" s="1"/>
  <c r="P963" i="4" s="1"/>
  <c r="P970" i="4" s="1"/>
  <c r="P977" i="4" s="1"/>
  <c r="P984" i="4" s="1"/>
  <c r="P991" i="4" s="1"/>
  <c r="P998" i="4" s="1"/>
  <c r="P1005" i="4" s="1"/>
  <c r="O893" i="4"/>
  <c r="O900" i="4" s="1"/>
  <c r="O907" i="4" s="1"/>
  <c r="O914" i="4" s="1"/>
  <c r="O921" i="4" s="1"/>
  <c r="O928" i="4" s="1"/>
  <c r="O935" i="4" s="1"/>
  <c r="O942" i="4" s="1"/>
  <c r="O949" i="4" s="1"/>
  <c r="O956" i="4" s="1"/>
  <c r="O963" i="4" s="1"/>
  <c r="O970" i="4" s="1"/>
  <c r="O977" i="4" s="1"/>
  <c r="O984" i="4" s="1"/>
  <c r="O991" i="4" s="1"/>
  <c r="O998" i="4" s="1"/>
  <c r="O1005" i="4" s="1"/>
  <c r="N893" i="4"/>
  <c r="L893" i="4"/>
  <c r="K893" i="4"/>
  <c r="H893" i="4"/>
  <c r="H888" i="4"/>
  <c r="H889" i="4" s="1"/>
  <c r="N887" i="4"/>
  <c r="N889" i="4" s="1"/>
  <c r="M887" i="4"/>
  <c r="L887" i="4"/>
  <c r="L889" i="4" s="1"/>
  <c r="K887" i="4"/>
  <c r="K889" i="4" s="1"/>
  <c r="I887" i="4"/>
  <c r="C887" i="4"/>
  <c r="D887" i="4" s="1"/>
  <c r="H881" i="4"/>
  <c r="N880" i="4"/>
  <c r="M880" i="4"/>
  <c r="L880" i="4"/>
  <c r="K880" i="4"/>
  <c r="I880" i="4"/>
  <c r="C880" i="4"/>
  <c r="D880" i="4" s="1"/>
  <c r="H874" i="4"/>
  <c r="N873" i="4"/>
  <c r="M873" i="4"/>
  <c r="L873" i="4"/>
  <c r="K873" i="4"/>
  <c r="I873" i="4"/>
  <c r="C873" i="4"/>
  <c r="D873" i="4" s="1"/>
  <c r="H867" i="4"/>
  <c r="N866" i="4"/>
  <c r="M866" i="4"/>
  <c r="L866" i="4"/>
  <c r="K866" i="4"/>
  <c r="I866" i="4"/>
  <c r="C866" i="4"/>
  <c r="D866" i="4" s="1"/>
  <c r="H860" i="4"/>
  <c r="N859" i="4"/>
  <c r="M859" i="4"/>
  <c r="L859" i="4"/>
  <c r="K859" i="4"/>
  <c r="I859" i="4"/>
  <c r="C859" i="4"/>
  <c r="D859" i="4" s="1"/>
  <c r="H853" i="4"/>
  <c r="N852" i="4"/>
  <c r="M852" i="4"/>
  <c r="L852" i="4"/>
  <c r="K852" i="4"/>
  <c r="I852" i="4"/>
  <c r="C852" i="4"/>
  <c r="D852" i="4" s="1"/>
  <c r="H846" i="4"/>
  <c r="N845" i="4"/>
  <c r="M845" i="4"/>
  <c r="L845" i="4"/>
  <c r="K845" i="4"/>
  <c r="I845" i="4"/>
  <c r="C845" i="4"/>
  <c r="D845" i="4" s="1"/>
  <c r="H839" i="4"/>
  <c r="N838" i="4"/>
  <c r="M838" i="4"/>
  <c r="L838" i="4"/>
  <c r="K838" i="4"/>
  <c r="I838" i="4"/>
  <c r="C838" i="4"/>
  <c r="D838" i="4" s="1"/>
  <c r="H832" i="4"/>
  <c r="N831" i="4"/>
  <c r="M831" i="4"/>
  <c r="L831" i="4"/>
  <c r="K831" i="4"/>
  <c r="I831" i="4"/>
  <c r="C831" i="4"/>
  <c r="D831" i="4" s="1"/>
  <c r="H825" i="4"/>
  <c r="N824" i="4"/>
  <c r="M824" i="4"/>
  <c r="L824" i="4"/>
  <c r="K824" i="4"/>
  <c r="I824" i="4"/>
  <c r="C824" i="4"/>
  <c r="D824" i="4" s="1"/>
  <c r="H818" i="4"/>
  <c r="N817" i="4"/>
  <c r="M817" i="4"/>
  <c r="L817" i="4"/>
  <c r="K817" i="4"/>
  <c r="I817" i="4"/>
  <c r="C817" i="4"/>
  <c r="D817" i="4" s="1"/>
  <c r="H811" i="4"/>
  <c r="N810" i="4"/>
  <c r="M810" i="4"/>
  <c r="L810" i="4"/>
  <c r="K810" i="4"/>
  <c r="I810" i="4"/>
  <c r="C810" i="4"/>
  <c r="D810" i="4" s="1"/>
  <c r="H804" i="4"/>
  <c r="D804" i="4"/>
  <c r="D811" i="4" s="1"/>
  <c r="N803" i="4"/>
  <c r="M803" i="4"/>
  <c r="L803" i="4"/>
  <c r="K803" i="4"/>
  <c r="I803" i="4"/>
  <c r="C803" i="4"/>
  <c r="D803" i="4" s="1"/>
  <c r="D805" i="4" s="1"/>
  <c r="H797" i="4"/>
  <c r="N796" i="4"/>
  <c r="M796" i="4"/>
  <c r="L796" i="4"/>
  <c r="K796" i="4"/>
  <c r="I796" i="4"/>
  <c r="C796" i="4"/>
  <c r="D796" i="4" s="1"/>
  <c r="H790" i="4"/>
  <c r="N789" i="4"/>
  <c r="M789" i="4"/>
  <c r="L789" i="4"/>
  <c r="K789" i="4"/>
  <c r="I789" i="4"/>
  <c r="C789" i="4"/>
  <c r="D789" i="4" s="1"/>
  <c r="H783" i="4"/>
  <c r="D783" i="4"/>
  <c r="N782" i="4"/>
  <c r="M782" i="4"/>
  <c r="L782" i="4"/>
  <c r="K782" i="4"/>
  <c r="I782" i="4"/>
  <c r="C782" i="4"/>
  <c r="D782" i="4" s="1"/>
  <c r="D784" i="4" s="1"/>
  <c r="H776" i="4"/>
  <c r="N775" i="4"/>
  <c r="M775" i="4"/>
  <c r="L775" i="4"/>
  <c r="K775" i="4"/>
  <c r="I775" i="4"/>
  <c r="C775" i="4"/>
  <c r="D775" i="4" s="1"/>
  <c r="D774" i="4"/>
  <c r="D781" i="4" s="1"/>
  <c r="D788" i="4" s="1"/>
  <c r="D795" i="4" s="1"/>
  <c r="D802" i="4" s="1"/>
  <c r="D809" i="4" s="1"/>
  <c r="D816" i="4" s="1"/>
  <c r="D823" i="4" s="1"/>
  <c r="D830" i="4" s="1"/>
  <c r="D837" i="4" s="1"/>
  <c r="D844" i="4" s="1"/>
  <c r="D851" i="4" s="1"/>
  <c r="D858" i="4" s="1"/>
  <c r="D865" i="4" s="1"/>
  <c r="D872" i="4" s="1"/>
  <c r="D879" i="4" s="1"/>
  <c r="B774" i="4"/>
  <c r="B781" i="4" s="1"/>
  <c r="B788" i="4" s="1"/>
  <c r="B795" i="4" s="1"/>
  <c r="B802" i="4" s="1"/>
  <c r="B809" i="4" s="1"/>
  <c r="B816" i="4" s="1"/>
  <c r="B823" i="4" s="1"/>
  <c r="B830" i="4" s="1"/>
  <c r="B837" i="4" s="1"/>
  <c r="B844" i="4" s="1"/>
  <c r="B851" i="4" s="1"/>
  <c r="B858" i="4" s="1"/>
  <c r="B865" i="4" s="1"/>
  <c r="B872" i="4" s="1"/>
  <c r="B879" i="4" s="1"/>
  <c r="A774" i="4"/>
  <c r="A781" i="4" s="1"/>
  <c r="A788" i="4" s="1"/>
  <c r="A795" i="4" s="1"/>
  <c r="A802" i="4" s="1"/>
  <c r="A809" i="4" s="1"/>
  <c r="A816" i="4" s="1"/>
  <c r="A823" i="4" s="1"/>
  <c r="A830" i="4" s="1"/>
  <c r="A837" i="4" s="1"/>
  <c r="A844" i="4" s="1"/>
  <c r="A851" i="4" s="1"/>
  <c r="A858" i="4" s="1"/>
  <c r="A865" i="4" s="1"/>
  <c r="A872" i="4" s="1"/>
  <c r="A879" i="4" s="1"/>
  <c r="Q771" i="4"/>
  <c r="H769" i="4"/>
  <c r="N768" i="4"/>
  <c r="M768" i="4"/>
  <c r="L768" i="4"/>
  <c r="K768" i="4"/>
  <c r="I768" i="4"/>
  <c r="C768" i="4"/>
  <c r="D768" i="4" s="1"/>
  <c r="R767" i="4"/>
  <c r="P767" i="4"/>
  <c r="P774" i="4" s="1"/>
  <c r="P781" i="4" s="1"/>
  <c r="P788" i="4" s="1"/>
  <c r="P795" i="4" s="1"/>
  <c r="P802" i="4" s="1"/>
  <c r="P809" i="4" s="1"/>
  <c r="P816" i="4" s="1"/>
  <c r="P823" i="4" s="1"/>
  <c r="P830" i="4" s="1"/>
  <c r="P837" i="4" s="1"/>
  <c r="P844" i="4" s="1"/>
  <c r="P851" i="4" s="1"/>
  <c r="P858" i="4" s="1"/>
  <c r="P865" i="4" s="1"/>
  <c r="P872" i="4" s="1"/>
  <c r="P879" i="4" s="1"/>
  <c r="O767" i="4"/>
  <c r="O774" i="4" s="1"/>
  <c r="O781" i="4" s="1"/>
  <c r="O788" i="4" s="1"/>
  <c r="O795" i="4" s="1"/>
  <c r="O802" i="4" s="1"/>
  <c r="O809" i="4" s="1"/>
  <c r="O816" i="4" s="1"/>
  <c r="O823" i="4" s="1"/>
  <c r="O830" i="4" s="1"/>
  <c r="O837" i="4" s="1"/>
  <c r="O844" i="4" s="1"/>
  <c r="O851" i="4" s="1"/>
  <c r="O858" i="4" s="1"/>
  <c r="O865" i="4" s="1"/>
  <c r="O872" i="4" s="1"/>
  <c r="O879" i="4" s="1"/>
  <c r="N767" i="4"/>
  <c r="L767" i="4"/>
  <c r="K767" i="4"/>
  <c r="H767" i="4"/>
  <c r="H762" i="4"/>
  <c r="H763" i="4" s="1"/>
  <c r="N761" i="4"/>
  <c r="N763" i="4" s="1"/>
  <c r="M761" i="4"/>
  <c r="L761" i="4"/>
  <c r="L763" i="4" s="1"/>
  <c r="K761" i="4"/>
  <c r="K763" i="4" s="1"/>
  <c r="I761" i="4"/>
  <c r="C761" i="4"/>
  <c r="D761" i="4" s="1"/>
  <c r="N754" i="4"/>
  <c r="M754" i="4"/>
  <c r="K754" i="4"/>
  <c r="C754" i="4"/>
  <c r="B754" i="4"/>
  <c r="N747" i="4"/>
  <c r="M747" i="4"/>
  <c r="K747" i="4"/>
  <c r="C747" i="4"/>
  <c r="B747" i="4"/>
  <c r="N740" i="4"/>
  <c r="M740" i="4"/>
  <c r="K740" i="4"/>
  <c r="C740" i="4"/>
  <c r="B740" i="4"/>
  <c r="N733" i="4"/>
  <c r="M733" i="4"/>
  <c r="K733" i="4"/>
  <c r="C733" i="4"/>
  <c r="B733" i="4"/>
  <c r="N726" i="4"/>
  <c r="M726" i="4"/>
  <c r="K726" i="4"/>
  <c r="C726" i="4"/>
  <c r="B726" i="4"/>
  <c r="N719" i="4"/>
  <c r="M719" i="4"/>
  <c r="K719" i="4"/>
  <c r="C719" i="4"/>
  <c r="B719" i="4"/>
  <c r="N712" i="4"/>
  <c r="M712" i="4"/>
  <c r="K712" i="4"/>
  <c r="C712" i="4"/>
  <c r="B712" i="4"/>
  <c r="N705" i="4"/>
  <c r="M705" i="4"/>
  <c r="K705" i="4"/>
  <c r="C705" i="4"/>
  <c r="B705" i="4"/>
  <c r="N698" i="4"/>
  <c r="M698" i="4"/>
  <c r="K698" i="4"/>
  <c r="C698" i="4"/>
  <c r="B698" i="4"/>
  <c r="N691" i="4"/>
  <c r="M691" i="4"/>
  <c r="K691" i="4"/>
  <c r="C691" i="4"/>
  <c r="B691" i="4"/>
  <c r="N684" i="4"/>
  <c r="M684" i="4"/>
  <c r="K684" i="4"/>
  <c r="C684" i="4"/>
  <c r="B684" i="4"/>
  <c r="N677" i="4"/>
  <c r="M677" i="4"/>
  <c r="K677" i="4"/>
  <c r="C677" i="4"/>
  <c r="B677" i="4"/>
  <c r="N670" i="4"/>
  <c r="M670" i="4"/>
  <c r="K670" i="4"/>
  <c r="C670" i="4"/>
  <c r="B670" i="4"/>
  <c r="N663" i="4"/>
  <c r="M663" i="4"/>
  <c r="K663" i="4"/>
  <c r="C663" i="4"/>
  <c r="B663" i="4"/>
  <c r="N656" i="4"/>
  <c r="M656" i="4"/>
  <c r="K656" i="4"/>
  <c r="C656" i="4"/>
  <c r="B656" i="4"/>
  <c r="N649" i="4"/>
  <c r="M649" i="4"/>
  <c r="K649" i="4"/>
  <c r="C649" i="4"/>
  <c r="B649" i="4"/>
  <c r="D648" i="4"/>
  <c r="D655" i="4" s="1"/>
  <c r="D662" i="4" s="1"/>
  <c r="D669" i="4" s="1"/>
  <c r="D676" i="4" s="1"/>
  <c r="D683" i="4" s="1"/>
  <c r="D690" i="4" s="1"/>
  <c r="D697" i="4" s="1"/>
  <c r="D704" i="4" s="1"/>
  <c r="D711" i="4" s="1"/>
  <c r="D718" i="4" s="1"/>
  <c r="D725" i="4" s="1"/>
  <c r="D732" i="4" s="1"/>
  <c r="D739" i="4" s="1"/>
  <c r="D746" i="4" s="1"/>
  <c r="D753" i="4" s="1"/>
  <c r="D760" i="4" s="1"/>
  <c r="B648" i="4"/>
  <c r="B655" i="4" s="1"/>
  <c r="B662" i="4" s="1"/>
  <c r="B669" i="4" s="1"/>
  <c r="B676" i="4" s="1"/>
  <c r="B683" i="4" s="1"/>
  <c r="B690" i="4" s="1"/>
  <c r="B697" i="4" s="1"/>
  <c r="B704" i="4" s="1"/>
  <c r="B711" i="4" s="1"/>
  <c r="B718" i="4" s="1"/>
  <c r="B725" i="4" s="1"/>
  <c r="B732" i="4" s="1"/>
  <c r="B739" i="4" s="1"/>
  <c r="B746" i="4" s="1"/>
  <c r="B753" i="4" s="1"/>
  <c r="A648" i="4"/>
  <c r="A655" i="4" s="1"/>
  <c r="A662" i="4" s="1"/>
  <c r="A669" i="4" s="1"/>
  <c r="A676" i="4" s="1"/>
  <c r="A683" i="4" s="1"/>
  <c r="A690" i="4" s="1"/>
  <c r="A697" i="4" s="1"/>
  <c r="A704" i="4" s="1"/>
  <c r="A711" i="4" s="1"/>
  <c r="A718" i="4" s="1"/>
  <c r="A725" i="4" s="1"/>
  <c r="A732" i="4" s="1"/>
  <c r="A739" i="4" s="1"/>
  <c r="A746" i="4" s="1"/>
  <c r="A753" i="4" s="1"/>
  <c r="N642" i="4"/>
  <c r="M642" i="4"/>
  <c r="K642" i="4"/>
  <c r="C642" i="4"/>
  <c r="B642" i="4"/>
  <c r="R641" i="4"/>
  <c r="P641" i="4"/>
  <c r="P648" i="4" s="1"/>
  <c r="P655" i="4" s="1"/>
  <c r="P662" i="4" s="1"/>
  <c r="P669" i="4" s="1"/>
  <c r="P676" i="4" s="1"/>
  <c r="P683" i="4" s="1"/>
  <c r="P690" i="4" s="1"/>
  <c r="P697" i="4" s="1"/>
  <c r="P704" i="4" s="1"/>
  <c r="P711" i="4" s="1"/>
  <c r="P718" i="4" s="1"/>
  <c r="P725" i="4" s="1"/>
  <c r="P732" i="4" s="1"/>
  <c r="P739" i="4" s="1"/>
  <c r="P746" i="4" s="1"/>
  <c r="P753" i="4" s="1"/>
  <c r="O641" i="4"/>
  <c r="O648" i="4" s="1"/>
  <c r="O655" i="4" s="1"/>
  <c r="O662" i="4" s="1"/>
  <c r="O669" i="4" s="1"/>
  <c r="O676" i="4" s="1"/>
  <c r="O683" i="4" s="1"/>
  <c r="O690" i="4" s="1"/>
  <c r="O697" i="4" s="1"/>
  <c r="O704" i="4" s="1"/>
  <c r="O711" i="4" s="1"/>
  <c r="O718" i="4" s="1"/>
  <c r="O725" i="4" s="1"/>
  <c r="O732" i="4" s="1"/>
  <c r="O739" i="4" s="1"/>
  <c r="O746" i="4" s="1"/>
  <c r="O753" i="4" s="1"/>
  <c r="N641" i="4"/>
  <c r="L641" i="4"/>
  <c r="K641" i="4"/>
  <c r="H641" i="4"/>
  <c r="N635" i="4"/>
  <c r="N637" i="4" s="1"/>
  <c r="M635" i="4"/>
  <c r="K635" i="4"/>
  <c r="K637" i="4" s="1"/>
  <c r="C635" i="4"/>
  <c r="B635" i="4"/>
  <c r="N628" i="4"/>
  <c r="M628" i="4"/>
  <c r="K628" i="4"/>
  <c r="C628" i="4"/>
  <c r="B628" i="4"/>
  <c r="N621" i="4"/>
  <c r="M621" i="4"/>
  <c r="K621" i="4"/>
  <c r="C621" i="4"/>
  <c r="B621" i="4"/>
  <c r="N614" i="4"/>
  <c r="M614" i="4"/>
  <c r="K614" i="4"/>
  <c r="C614" i="4"/>
  <c r="B614" i="4"/>
  <c r="N607" i="4"/>
  <c r="M607" i="4"/>
  <c r="K607" i="4"/>
  <c r="C607" i="4"/>
  <c r="B607" i="4"/>
  <c r="N600" i="4"/>
  <c r="M600" i="4"/>
  <c r="K600" i="4"/>
  <c r="C600" i="4"/>
  <c r="B600" i="4"/>
  <c r="N593" i="4"/>
  <c r="M593" i="4"/>
  <c r="K593" i="4"/>
  <c r="C593" i="4"/>
  <c r="B593" i="4"/>
  <c r="N586" i="4"/>
  <c r="M586" i="4"/>
  <c r="K586" i="4"/>
  <c r="C586" i="4"/>
  <c r="B586" i="4"/>
  <c r="N579" i="4"/>
  <c r="M579" i="4"/>
  <c r="K579" i="4"/>
  <c r="C579" i="4"/>
  <c r="B579" i="4"/>
  <c r="N572" i="4"/>
  <c r="M572" i="4"/>
  <c r="K572" i="4"/>
  <c r="C572" i="4"/>
  <c r="B572" i="4"/>
  <c r="N565" i="4"/>
  <c r="M565" i="4"/>
  <c r="K565" i="4"/>
  <c r="C565" i="4"/>
  <c r="B565" i="4"/>
  <c r="N558" i="4"/>
  <c r="M558" i="4"/>
  <c r="K558" i="4"/>
  <c r="C558" i="4"/>
  <c r="B558" i="4"/>
  <c r="N551" i="4"/>
  <c r="M551" i="4"/>
  <c r="K551" i="4"/>
  <c r="C551" i="4"/>
  <c r="B551" i="4"/>
  <c r="N544" i="4"/>
  <c r="M544" i="4"/>
  <c r="K544" i="4"/>
  <c r="C544" i="4"/>
  <c r="B544" i="4"/>
  <c r="N537" i="4"/>
  <c r="M537" i="4"/>
  <c r="K537" i="4"/>
  <c r="C537" i="4"/>
  <c r="B537" i="4"/>
  <c r="N530" i="4"/>
  <c r="M530" i="4"/>
  <c r="K530" i="4"/>
  <c r="C530" i="4"/>
  <c r="B530" i="4"/>
  <c r="N523" i="4"/>
  <c r="M523" i="4"/>
  <c r="K523" i="4"/>
  <c r="C523" i="4"/>
  <c r="B523" i="4"/>
  <c r="D522" i="4"/>
  <c r="D529" i="4" s="1"/>
  <c r="D536" i="4" s="1"/>
  <c r="D543" i="4" s="1"/>
  <c r="D550" i="4" s="1"/>
  <c r="D557" i="4" s="1"/>
  <c r="D564" i="4" s="1"/>
  <c r="D571" i="4" s="1"/>
  <c r="D578" i="4" s="1"/>
  <c r="D585" i="4" s="1"/>
  <c r="D592" i="4" s="1"/>
  <c r="D599" i="4" s="1"/>
  <c r="D606" i="4" s="1"/>
  <c r="D613" i="4" s="1"/>
  <c r="D620" i="4" s="1"/>
  <c r="D627" i="4" s="1"/>
  <c r="B522" i="4"/>
  <c r="B529" i="4" s="1"/>
  <c r="B536" i="4" s="1"/>
  <c r="B543" i="4" s="1"/>
  <c r="B550" i="4" s="1"/>
  <c r="B557" i="4" s="1"/>
  <c r="B564" i="4" s="1"/>
  <c r="B571" i="4" s="1"/>
  <c r="B578" i="4" s="1"/>
  <c r="B585" i="4" s="1"/>
  <c r="B592" i="4" s="1"/>
  <c r="B599" i="4" s="1"/>
  <c r="B606" i="4" s="1"/>
  <c r="B613" i="4" s="1"/>
  <c r="B620" i="4" s="1"/>
  <c r="B627" i="4" s="1"/>
  <c r="A522" i="4"/>
  <c r="A529" i="4" s="1"/>
  <c r="A536" i="4" s="1"/>
  <c r="A543" i="4" s="1"/>
  <c r="A550" i="4" s="1"/>
  <c r="A557" i="4" s="1"/>
  <c r="A564" i="4" s="1"/>
  <c r="A571" i="4" s="1"/>
  <c r="A578" i="4" s="1"/>
  <c r="A585" i="4" s="1"/>
  <c r="A592" i="4" s="1"/>
  <c r="A599" i="4" s="1"/>
  <c r="A606" i="4" s="1"/>
  <c r="A613" i="4" s="1"/>
  <c r="A620" i="4" s="1"/>
  <c r="A627" i="4" s="1"/>
  <c r="N516" i="4"/>
  <c r="M516" i="4"/>
  <c r="K516" i="4"/>
  <c r="C516" i="4"/>
  <c r="B516" i="4"/>
  <c r="R515" i="4"/>
  <c r="P515" i="4"/>
  <c r="P522" i="4" s="1"/>
  <c r="P529" i="4" s="1"/>
  <c r="P536" i="4" s="1"/>
  <c r="P543" i="4" s="1"/>
  <c r="P550" i="4" s="1"/>
  <c r="P557" i="4" s="1"/>
  <c r="P564" i="4" s="1"/>
  <c r="P571" i="4" s="1"/>
  <c r="P578" i="4" s="1"/>
  <c r="P585" i="4" s="1"/>
  <c r="P592" i="4" s="1"/>
  <c r="P599" i="4" s="1"/>
  <c r="P606" i="4" s="1"/>
  <c r="P613" i="4" s="1"/>
  <c r="P620" i="4" s="1"/>
  <c r="P627" i="4" s="1"/>
  <c r="O515" i="4"/>
  <c r="O522" i="4" s="1"/>
  <c r="O529" i="4" s="1"/>
  <c r="O536" i="4" s="1"/>
  <c r="O543" i="4" s="1"/>
  <c r="O550" i="4" s="1"/>
  <c r="O557" i="4" s="1"/>
  <c r="O564" i="4" s="1"/>
  <c r="O571" i="4" s="1"/>
  <c r="O578" i="4" s="1"/>
  <c r="O585" i="4" s="1"/>
  <c r="O592" i="4" s="1"/>
  <c r="O599" i="4" s="1"/>
  <c r="O606" i="4" s="1"/>
  <c r="O613" i="4" s="1"/>
  <c r="O620" i="4" s="1"/>
  <c r="O627" i="4" s="1"/>
  <c r="N515" i="4"/>
  <c r="L515" i="4"/>
  <c r="K515" i="4"/>
  <c r="H515" i="4"/>
  <c r="N509" i="4"/>
  <c r="N511" i="4" s="1"/>
  <c r="M509" i="4"/>
  <c r="K509" i="4"/>
  <c r="K511" i="4" s="1"/>
  <c r="C509" i="4"/>
  <c r="B509" i="4"/>
  <c r="N502" i="4"/>
  <c r="M502" i="4"/>
  <c r="K502" i="4"/>
  <c r="C502" i="4"/>
  <c r="B502" i="4"/>
  <c r="N495" i="4"/>
  <c r="M495" i="4"/>
  <c r="K495" i="4"/>
  <c r="C495" i="4"/>
  <c r="B495" i="4"/>
  <c r="N488" i="4"/>
  <c r="M488" i="4"/>
  <c r="K488" i="4"/>
  <c r="C488" i="4"/>
  <c r="B488" i="4"/>
  <c r="N481" i="4"/>
  <c r="M481" i="4"/>
  <c r="K481" i="4"/>
  <c r="C481" i="4"/>
  <c r="B481" i="4"/>
  <c r="N474" i="4"/>
  <c r="M474" i="4"/>
  <c r="K474" i="4"/>
  <c r="C474" i="4"/>
  <c r="B474" i="4"/>
  <c r="N467" i="4"/>
  <c r="M467" i="4"/>
  <c r="K467" i="4"/>
  <c r="C467" i="4"/>
  <c r="B467" i="4"/>
  <c r="N460" i="4"/>
  <c r="M460" i="4"/>
  <c r="K460" i="4"/>
  <c r="C460" i="4"/>
  <c r="B460" i="4"/>
  <c r="N453" i="4"/>
  <c r="M453" i="4"/>
  <c r="K453" i="4"/>
  <c r="C453" i="4"/>
  <c r="B453" i="4"/>
  <c r="N446" i="4"/>
  <c r="M446" i="4"/>
  <c r="K446" i="4"/>
  <c r="C446" i="4"/>
  <c r="B446" i="4"/>
  <c r="N439" i="4"/>
  <c r="M439" i="4"/>
  <c r="K439" i="4"/>
  <c r="C439" i="4"/>
  <c r="B439" i="4"/>
  <c r="N432" i="4"/>
  <c r="M432" i="4"/>
  <c r="K432" i="4"/>
  <c r="C432" i="4"/>
  <c r="B432" i="4"/>
  <c r="D426" i="4"/>
  <c r="D433" i="4" s="1"/>
  <c r="D552" i="4" s="1"/>
  <c r="D559" i="4" s="1"/>
  <c r="N425" i="4"/>
  <c r="M425" i="4"/>
  <c r="K425" i="4"/>
  <c r="C425" i="4"/>
  <c r="B425" i="4"/>
  <c r="N418" i="4"/>
  <c r="M418" i="4"/>
  <c r="K418" i="4"/>
  <c r="C418" i="4"/>
  <c r="B418" i="4"/>
  <c r="N411" i="4"/>
  <c r="M411" i="4"/>
  <c r="K411" i="4"/>
  <c r="C411" i="4"/>
  <c r="B411" i="4"/>
  <c r="D405" i="4"/>
  <c r="N404" i="4"/>
  <c r="M404" i="4"/>
  <c r="K404" i="4"/>
  <c r="C404" i="4"/>
  <c r="B404" i="4"/>
  <c r="N397" i="4"/>
  <c r="M397" i="4"/>
  <c r="K397" i="4"/>
  <c r="C397" i="4"/>
  <c r="B397" i="4"/>
  <c r="D396" i="4"/>
  <c r="D403" i="4" s="1"/>
  <c r="D410" i="4" s="1"/>
  <c r="D417" i="4" s="1"/>
  <c r="D424" i="4" s="1"/>
  <c r="D431" i="4" s="1"/>
  <c r="D438" i="4" s="1"/>
  <c r="D445" i="4" s="1"/>
  <c r="D452" i="4" s="1"/>
  <c r="D459" i="4" s="1"/>
  <c r="D466" i="4" s="1"/>
  <c r="D473" i="4" s="1"/>
  <c r="D480" i="4" s="1"/>
  <c r="D487" i="4" s="1"/>
  <c r="D494" i="4" s="1"/>
  <c r="D501" i="4" s="1"/>
  <c r="B396" i="4"/>
  <c r="B403" i="4" s="1"/>
  <c r="B410" i="4" s="1"/>
  <c r="B417" i="4" s="1"/>
  <c r="B424" i="4" s="1"/>
  <c r="B431" i="4" s="1"/>
  <c r="B438" i="4" s="1"/>
  <c r="B445" i="4" s="1"/>
  <c r="B452" i="4" s="1"/>
  <c r="B459" i="4" s="1"/>
  <c r="B466" i="4" s="1"/>
  <c r="B473" i="4" s="1"/>
  <c r="B480" i="4" s="1"/>
  <c r="B487" i="4" s="1"/>
  <c r="B494" i="4" s="1"/>
  <c r="B501" i="4" s="1"/>
  <c r="A396" i="4"/>
  <c r="A403" i="4" s="1"/>
  <c r="A410" i="4" s="1"/>
  <c r="A417" i="4" s="1"/>
  <c r="A424" i="4" s="1"/>
  <c r="A431" i="4" s="1"/>
  <c r="A438" i="4" s="1"/>
  <c r="A445" i="4" s="1"/>
  <c r="A452" i="4" s="1"/>
  <c r="A459" i="4" s="1"/>
  <c r="A466" i="4" s="1"/>
  <c r="A473" i="4" s="1"/>
  <c r="A480" i="4" s="1"/>
  <c r="A487" i="4" s="1"/>
  <c r="A494" i="4" s="1"/>
  <c r="A501" i="4" s="1"/>
  <c r="Q393" i="4"/>
  <c r="N390" i="4"/>
  <c r="M390" i="4"/>
  <c r="K390" i="4"/>
  <c r="C390" i="4"/>
  <c r="B390" i="4"/>
  <c r="R389" i="4"/>
  <c r="P389" i="4"/>
  <c r="P396" i="4" s="1"/>
  <c r="P403" i="4" s="1"/>
  <c r="P410" i="4" s="1"/>
  <c r="P417" i="4" s="1"/>
  <c r="P424" i="4" s="1"/>
  <c r="P431" i="4" s="1"/>
  <c r="P438" i="4" s="1"/>
  <c r="P445" i="4" s="1"/>
  <c r="P452" i="4" s="1"/>
  <c r="P459" i="4" s="1"/>
  <c r="P466" i="4" s="1"/>
  <c r="P473" i="4" s="1"/>
  <c r="P480" i="4" s="1"/>
  <c r="P487" i="4" s="1"/>
  <c r="P494" i="4" s="1"/>
  <c r="P501" i="4" s="1"/>
  <c r="O389" i="4"/>
  <c r="O396" i="4" s="1"/>
  <c r="O403" i="4" s="1"/>
  <c r="O410" i="4" s="1"/>
  <c r="O417" i="4" s="1"/>
  <c r="O424" i="4" s="1"/>
  <c r="O431" i="4" s="1"/>
  <c r="O438" i="4" s="1"/>
  <c r="O445" i="4" s="1"/>
  <c r="O452" i="4" s="1"/>
  <c r="O459" i="4" s="1"/>
  <c r="O466" i="4" s="1"/>
  <c r="O473" i="4" s="1"/>
  <c r="O480" i="4" s="1"/>
  <c r="O487" i="4" s="1"/>
  <c r="O494" i="4" s="1"/>
  <c r="O501" i="4" s="1"/>
  <c r="N389" i="4"/>
  <c r="L389" i="4"/>
  <c r="K389" i="4"/>
  <c r="H389" i="4"/>
  <c r="N383" i="4"/>
  <c r="N385" i="4" s="1"/>
  <c r="M383" i="4"/>
  <c r="K383" i="4"/>
  <c r="K385" i="4" s="1"/>
  <c r="C383" i="4"/>
  <c r="B383" i="4"/>
  <c r="N376" i="4"/>
  <c r="M376" i="4"/>
  <c r="K376" i="4"/>
  <c r="B376" i="4"/>
  <c r="N369" i="4"/>
  <c r="M369" i="4"/>
  <c r="K369" i="4"/>
  <c r="B369" i="4"/>
  <c r="N362" i="4"/>
  <c r="M362" i="4"/>
  <c r="K362" i="4"/>
  <c r="B362" i="4"/>
  <c r="N355" i="4"/>
  <c r="M355" i="4"/>
  <c r="K355" i="4"/>
  <c r="B355" i="4"/>
  <c r="N348" i="4"/>
  <c r="M348" i="4"/>
  <c r="K348" i="4"/>
  <c r="B348" i="4"/>
  <c r="N341" i="4"/>
  <c r="M341" i="4"/>
  <c r="K341" i="4"/>
  <c r="B341" i="4"/>
  <c r="N334" i="4"/>
  <c r="M334" i="4"/>
  <c r="K334" i="4"/>
  <c r="B334" i="4"/>
  <c r="N327" i="4"/>
  <c r="M327" i="4"/>
  <c r="K327" i="4"/>
  <c r="B327" i="4"/>
  <c r="N320" i="4"/>
  <c r="M320" i="4"/>
  <c r="K320" i="4"/>
  <c r="B320" i="4"/>
  <c r="N313" i="4"/>
  <c r="M313" i="4"/>
  <c r="K313" i="4"/>
  <c r="B313" i="4"/>
  <c r="N306" i="4"/>
  <c r="M306" i="4"/>
  <c r="K306" i="4"/>
  <c r="B306" i="4"/>
  <c r="N299" i="4"/>
  <c r="M299" i="4"/>
  <c r="K299" i="4"/>
  <c r="B299" i="4"/>
  <c r="N292" i="4"/>
  <c r="M292" i="4"/>
  <c r="K292" i="4"/>
  <c r="B292" i="4"/>
  <c r="N285" i="4"/>
  <c r="M285" i="4"/>
  <c r="K285" i="4"/>
  <c r="B285" i="4"/>
  <c r="N278" i="4"/>
  <c r="M278" i="4"/>
  <c r="K278" i="4"/>
  <c r="B278" i="4"/>
  <c r="N271" i="4"/>
  <c r="M271" i="4"/>
  <c r="K271" i="4"/>
  <c r="B271" i="4"/>
  <c r="D270" i="4"/>
  <c r="D277" i="4" s="1"/>
  <c r="D284" i="4" s="1"/>
  <c r="D291" i="4" s="1"/>
  <c r="D298" i="4" s="1"/>
  <c r="D305" i="4" s="1"/>
  <c r="D312" i="4" s="1"/>
  <c r="D319" i="4" s="1"/>
  <c r="D326" i="4" s="1"/>
  <c r="D333" i="4" s="1"/>
  <c r="D340" i="4" s="1"/>
  <c r="D347" i="4" s="1"/>
  <c r="D354" i="4" s="1"/>
  <c r="D361" i="4" s="1"/>
  <c r="D368" i="4" s="1"/>
  <c r="D375" i="4" s="1"/>
  <c r="D382" i="4" s="1"/>
  <c r="C270" i="4"/>
  <c r="C277" i="4" s="1"/>
  <c r="C284" i="4" s="1"/>
  <c r="C291" i="4" s="1"/>
  <c r="C298" i="4" s="1"/>
  <c r="C305" i="4" s="1"/>
  <c r="C312" i="4" s="1"/>
  <c r="C319" i="4" s="1"/>
  <c r="C326" i="4" s="1"/>
  <c r="C333" i="4" s="1"/>
  <c r="C340" i="4" s="1"/>
  <c r="C347" i="4" s="1"/>
  <c r="C354" i="4" s="1"/>
  <c r="C361" i="4" s="1"/>
  <c r="C368" i="4" s="1"/>
  <c r="C375" i="4" s="1"/>
  <c r="B270" i="4"/>
  <c r="B277" i="4" s="1"/>
  <c r="B284" i="4" s="1"/>
  <c r="B291" i="4" s="1"/>
  <c r="B298" i="4" s="1"/>
  <c r="B305" i="4" s="1"/>
  <c r="B312" i="4" s="1"/>
  <c r="B319" i="4" s="1"/>
  <c r="B326" i="4" s="1"/>
  <c r="B333" i="4" s="1"/>
  <c r="B340" i="4" s="1"/>
  <c r="B347" i="4" s="1"/>
  <c r="B354" i="4" s="1"/>
  <c r="B361" i="4" s="1"/>
  <c r="B368" i="4" s="1"/>
  <c r="B375" i="4" s="1"/>
  <c r="A270" i="4"/>
  <c r="A277" i="4" s="1"/>
  <c r="A284" i="4" s="1"/>
  <c r="A291" i="4" s="1"/>
  <c r="A298" i="4" s="1"/>
  <c r="A305" i="4" s="1"/>
  <c r="A312" i="4" s="1"/>
  <c r="A319" i="4" s="1"/>
  <c r="A326" i="4" s="1"/>
  <c r="A333" i="4" s="1"/>
  <c r="A340" i="4" s="1"/>
  <c r="A347" i="4" s="1"/>
  <c r="A354" i="4" s="1"/>
  <c r="A361" i="4" s="1"/>
  <c r="A368" i="4" s="1"/>
  <c r="A375" i="4" s="1"/>
  <c r="N264" i="4"/>
  <c r="M264" i="4"/>
  <c r="K264" i="4"/>
  <c r="B264" i="4"/>
  <c r="R263" i="4"/>
  <c r="P263" i="4"/>
  <c r="P270" i="4" s="1"/>
  <c r="P277" i="4" s="1"/>
  <c r="P284" i="4" s="1"/>
  <c r="P291" i="4" s="1"/>
  <c r="P298" i="4" s="1"/>
  <c r="P305" i="4" s="1"/>
  <c r="P312" i="4" s="1"/>
  <c r="P319" i="4" s="1"/>
  <c r="P326" i="4" s="1"/>
  <c r="P333" i="4" s="1"/>
  <c r="P340" i="4" s="1"/>
  <c r="P347" i="4" s="1"/>
  <c r="P354" i="4" s="1"/>
  <c r="P361" i="4" s="1"/>
  <c r="P368" i="4" s="1"/>
  <c r="P375" i="4" s="1"/>
  <c r="O263" i="4"/>
  <c r="O270" i="4" s="1"/>
  <c r="O277" i="4" s="1"/>
  <c r="O284" i="4" s="1"/>
  <c r="O291" i="4" s="1"/>
  <c r="O298" i="4" s="1"/>
  <c r="O305" i="4" s="1"/>
  <c r="O312" i="4" s="1"/>
  <c r="O319" i="4" s="1"/>
  <c r="O326" i="4" s="1"/>
  <c r="O333" i="4" s="1"/>
  <c r="O340" i="4" s="1"/>
  <c r="O347" i="4" s="1"/>
  <c r="O354" i="4" s="1"/>
  <c r="O361" i="4" s="1"/>
  <c r="O368" i="4" s="1"/>
  <c r="O375" i="4" s="1"/>
  <c r="N263" i="4"/>
  <c r="L263" i="4"/>
  <c r="K263" i="4"/>
  <c r="H263" i="4"/>
  <c r="N257" i="4"/>
  <c r="N259" i="4" s="1"/>
  <c r="M257" i="4"/>
  <c r="K257" i="4"/>
  <c r="K259" i="4" s="1"/>
  <c r="B257" i="4"/>
  <c r="N250" i="4"/>
  <c r="M250" i="4"/>
  <c r="K250" i="4"/>
  <c r="B250" i="4"/>
  <c r="N243" i="4"/>
  <c r="M243" i="4"/>
  <c r="K243" i="4"/>
  <c r="B243" i="4"/>
  <c r="N236" i="4"/>
  <c r="M236" i="4"/>
  <c r="K236" i="4"/>
  <c r="B236" i="4"/>
  <c r="N229" i="4"/>
  <c r="M229" i="4"/>
  <c r="K229" i="4"/>
  <c r="B229" i="4"/>
  <c r="N222" i="4"/>
  <c r="M222" i="4"/>
  <c r="K222" i="4"/>
  <c r="B222" i="4"/>
  <c r="N215" i="4"/>
  <c r="M215" i="4"/>
  <c r="K215" i="4"/>
  <c r="B215" i="4"/>
  <c r="N208" i="4"/>
  <c r="M208" i="4"/>
  <c r="K208" i="4"/>
  <c r="B208" i="4"/>
  <c r="N201" i="4"/>
  <c r="M201" i="4"/>
  <c r="K201" i="4"/>
  <c r="B201" i="4"/>
  <c r="N194" i="4"/>
  <c r="M194" i="4"/>
  <c r="K194" i="4"/>
  <c r="B194" i="4"/>
  <c r="N187" i="4"/>
  <c r="M187" i="4"/>
  <c r="K187" i="4"/>
  <c r="B187" i="4"/>
  <c r="N180" i="4"/>
  <c r="M180" i="4"/>
  <c r="K180" i="4"/>
  <c r="B180" i="4"/>
  <c r="N173" i="4"/>
  <c r="M173" i="4"/>
  <c r="K173" i="4"/>
  <c r="B173" i="4"/>
  <c r="N166" i="4"/>
  <c r="M166" i="4"/>
  <c r="K166" i="4"/>
  <c r="B166" i="4"/>
  <c r="N159" i="4"/>
  <c r="M159" i="4"/>
  <c r="K159" i="4"/>
  <c r="B159" i="4"/>
  <c r="N152" i="4"/>
  <c r="M152" i="4"/>
  <c r="K152" i="4"/>
  <c r="B152" i="4"/>
  <c r="N145" i="4"/>
  <c r="M145" i="4"/>
  <c r="K145" i="4"/>
  <c r="B145" i="4"/>
  <c r="D144" i="4"/>
  <c r="D151" i="4" s="1"/>
  <c r="D158" i="4" s="1"/>
  <c r="D165" i="4" s="1"/>
  <c r="D172" i="4" s="1"/>
  <c r="D179" i="4" s="1"/>
  <c r="D186" i="4" s="1"/>
  <c r="D193" i="4" s="1"/>
  <c r="D200" i="4" s="1"/>
  <c r="D207" i="4" s="1"/>
  <c r="D214" i="4" s="1"/>
  <c r="D221" i="4" s="1"/>
  <c r="D228" i="4" s="1"/>
  <c r="D235" i="4" s="1"/>
  <c r="D242" i="4" s="1"/>
  <c r="D249" i="4" s="1"/>
  <c r="C144" i="4"/>
  <c r="C151" i="4" s="1"/>
  <c r="C158" i="4" s="1"/>
  <c r="C165" i="4" s="1"/>
  <c r="C172" i="4" s="1"/>
  <c r="C179" i="4" s="1"/>
  <c r="C186" i="4" s="1"/>
  <c r="C193" i="4" s="1"/>
  <c r="C200" i="4" s="1"/>
  <c r="C207" i="4" s="1"/>
  <c r="C214" i="4" s="1"/>
  <c r="C221" i="4" s="1"/>
  <c r="C228" i="4" s="1"/>
  <c r="C235" i="4" s="1"/>
  <c r="C242" i="4" s="1"/>
  <c r="C249" i="4" s="1"/>
  <c r="B144" i="4"/>
  <c r="B151" i="4" s="1"/>
  <c r="B158" i="4" s="1"/>
  <c r="B165" i="4" s="1"/>
  <c r="B172" i="4" s="1"/>
  <c r="B179" i="4" s="1"/>
  <c r="B186" i="4" s="1"/>
  <c r="B193" i="4" s="1"/>
  <c r="B200" i="4" s="1"/>
  <c r="B207" i="4" s="1"/>
  <c r="B214" i="4" s="1"/>
  <c r="B221" i="4" s="1"/>
  <c r="B228" i="4" s="1"/>
  <c r="B235" i="4" s="1"/>
  <c r="B242" i="4" s="1"/>
  <c r="B249" i="4" s="1"/>
  <c r="A144" i="4"/>
  <c r="A151" i="4" s="1"/>
  <c r="A158" i="4" s="1"/>
  <c r="A165" i="4" s="1"/>
  <c r="A172" i="4" s="1"/>
  <c r="A179" i="4" s="1"/>
  <c r="A186" i="4" s="1"/>
  <c r="A193" i="4" s="1"/>
  <c r="A200" i="4" s="1"/>
  <c r="A207" i="4" s="1"/>
  <c r="A214" i="4" s="1"/>
  <c r="A221" i="4" s="1"/>
  <c r="A228" i="4" s="1"/>
  <c r="A235" i="4" s="1"/>
  <c r="A242" i="4" s="1"/>
  <c r="A249" i="4" s="1"/>
  <c r="N138" i="4"/>
  <c r="M138" i="4"/>
  <c r="K138" i="4"/>
  <c r="B138" i="4"/>
  <c r="R137" i="4"/>
  <c r="P137" i="4"/>
  <c r="P144" i="4" s="1"/>
  <c r="P151" i="4" s="1"/>
  <c r="P158" i="4" s="1"/>
  <c r="P165" i="4" s="1"/>
  <c r="P172" i="4" s="1"/>
  <c r="P179" i="4" s="1"/>
  <c r="P186" i="4" s="1"/>
  <c r="P193" i="4" s="1"/>
  <c r="P200" i="4" s="1"/>
  <c r="P207" i="4" s="1"/>
  <c r="P214" i="4" s="1"/>
  <c r="P221" i="4" s="1"/>
  <c r="P228" i="4" s="1"/>
  <c r="P235" i="4" s="1"/>
  <c r="P242" i="4" s="1"/>
  <c r="P249" i="4" s="1"/>
  <c r="O137" i="4"/>
  <c r="O144" i="4" s="1"/>
  <c r="O151" i="4" s="1"/>
  <c r="O158" i="4" s="1"/>
  <c r="O165" i="4" s="1"/>
  <c r="O172" i="4" s="1"/>
  <c r="O179" i="4" s="1"/>
  <c r="O186" i="4" s="1"/>
  <c r="O193" i="4" s="1"/>
  <c r="O200" i="4" s="1"/>
  <c r="O207" i="4" s="1"/>
  <c r="O214" i="4" s="1"/>
  <c r="O221" i="4" s="1"/>
  <c r="O228" i="4" s="1"/>
  <c r="O235" i="4" s="1"/>
  <c r="O242" i="4" s="1"/>
  <c r="O249" i="4" s="1"/>
  <c r="N137" i="4"/>
  <c r="L137" i="4"/>
  <c r="K137" i="4"/>
  <c r="H137" i="4"/>
  <c r="N131" i="4"/>
  <c r="N133" i="4" s="1"/>
  <c r="M131" i="4"/>
  <c r="K131" i="4"/>
  <c r="K133" i="4" s="1"/>
  <c r="B131" i="4"/>
  <c r="N124" i="4"/>
  <c r="M124" i="4"/>
  <c r="K124" i="4"/>
  <c r="B124" i="4"/>
  <c r="N117" i="4"/>
  <c r="M117" i="4"/>
  <c r="K117" i="4"/>
  <c r="B117" i="4"/>
  <c r="D111" i="4"/>
  <c r="N110" i="4"/>
  <c r="M110" i="4"/>
  <c r="K110" i="4"/>
  <c r="B110" i="4"/>
  <c r="N103" i="4"/>
  <c r="M103" i="4"/>
  <c r="K103" i="4"/>
  <c r="B103" i="4"/>
  <c r="N96" i="4"/>
  <c r="M96" i="4"/>
  <c r="K96" i="4"/>
  <c r="B96" i="4"/>
  <c r="D90" i="4"/>
  <c r="D97" i="4" s="1"/>
  <c r="N89" i="4"/>
  <c r="M89" i="4"/>
  <c r="K89" i="4"/>
  <c r="B89" i="4"/>
  <c r="N82" i="4"/>
  <c r="M82" i="4"/>
  <c r="K82" i="4"/>
  <c r="B82" i="4"/>
  <c r="N75" i="4"/>
  <c r="M75" i="4"/>
  <c r="K75" i="4"/>
  <c r="B75" i="4"/>
  <c r="D69" i="4"/>
  <c r="D76" i="4" s="1"/>
  <c r="D83" i="4" s="1"/>
  <c r="D195" i="4" s="1"/>
  <c r="D202" i="4" s="1"/>
  <c r="D209" i="4" s="1"/>
  <c r="D321" i="4" s="1"/>
  <c r="D328" i="4" s="1"/>
  <c r="N68" i="4"/>
  <c r="M68" i="4"/>
  <c r="K68" i="4"/>
  <c r="B68" i="4"/>
  <c r="N61" i="4"/>
  <c r="M61" i="4"/>
  <c r="K61" i="4"/>
  <c r="B61" i="4"/>
  <c r="N54" i="4"/>
  <c r="M54" i="4"/>
  <c r="K54" i="4"/>
  <c r="B54" i="4"/>
  <c r="D48" i="4"/>
  <c r="D55" i="4" s="1"/>
  <c r="N47" i="4"/>
  <c r="M47" i="4"/>
  <c r="K47" i="4"/>
  <c r="B47" i="4"/>
  <c r="N40" i="4"/>
  <c r="M40" i="4"/>
  <c r="K40" i="4"/>
  <c r="B40" i="4"/>
  <c r="N33" i="4"/>
  <c r="M33" i="4"/>
  <c r="K33" i="4"/>
  <c r="B33" i="4"/>
  <c r="D27" i="4"/>
  <c r="N26" i="4"/>
  <c r="M26" i="4"/>
  <c r="K26" i="4"/>
  <c r="B26" i="4"/>
  <c r="N19" i="4"/>
  <c r="M19" i="4"/>
  <c r="K19" i="4"/>
  <c r="B19" i="4"/>
  <c r="I18" i="4"/>
  <c r="D18" i="4"/>
  <c r="D25" i="4" s="1"/>
  <c r="D32" i="4" s="1"/>
  <c r="D39" i="4" s="1"/>
  <c r="D46" i="4" s="1"/>
  <c r="D53" i="4" s="1"/>
  <c r="D60" i="4" s="1"/>
  <c r="D67" i="4" s="1"/>
  <c r="D74" i="4" s="1"/>
  <c r="D81" i="4" s="1"/>
  <c r="D88" i="4" s="1"/>
  <c r="D95" i="4" s="1"/>
  <c r="D102" i="4" s="1"/>
  <c r="D109" i="4" s="1"/>
  <c r="D116" i="4" s="1"/>
  <c r="D123" i="4" s="1"/>
  <c r="C18" i="4"/>
  <c r="C25" i="4" s="1"/>
  <c r="C32" i="4" s="1"/>
  <c r="C39" i="4" s="1"/>
  <c r="C46" i="4" s="1"/>
  <c r="C53" i="4" s="1"/>
  <c r="C60" i="4" s="1"/>
  <c r="C67" i="4" s="1"/>
  <c r="C74" i="4" s="1"/>
  <c r="C81" i="4" s="1"/>
  <c r="C88" i="4" s="1"/>
  <c r="C95" i="4" s="1"/>
  <c r="C102" i="4" s="1"/>
  <c r="C109" i="4" s="1"/>
  <c r="C116" i="4" s="1"/>
  <c r="C123" i="4" s="1"/>
  <c r="B18" i="4"/>
  <c r="B25" i="4" s="1"/>
  <c r="B32" i="4" s="1"/>
  <c r="B39" i="4" s="1"/>
  <c r="B46" i="4" s="1"/>
  <c r="B53" i="4" s="1"/>
  <c r="B60" i="4" s="1"/>
  <c r="B67" i="4" s="1"/>
  <c r="B74" i="4" s="1"/>
  <c r="B81" i="4" s="1"/>
  <c r="B88" i="4" s="1"/>
  <c r="B95" i="4" s="1"/>
  <c r="B102" i="4" s="1"/>
  <c r="B109" i="4" s="1"/>
  <c r="B116" i="4" s="1"/>
  <c r="B123" i="4" s="1"/>
  <c r="A18" i="4"/>
  <c r="A25" i="4" s="1"/>
  <c r="A32" i="4" s="1"/>
  <c r="A39" i="4" s="1"/>
  <c r="A46" i="4" s="1"/>
  <c r="A53" i="4" s="1"/>
  <c r="A60" i="4" s="1"/>
  <c r="A67" i="4" s="1"/>
  <c r="A74" i="4" s="1"/>
  <c r="A81" i="4" s="1"/>
  <c r="A88" i="4" s="1"/>
  <c r="A95" i="4" s="1"/>
  <c r="A102" i="4" s="1"/>
  <c r="A109" i="4" s="1"/>
  <c r="A116" i="4" s="1"/>
  <c r="A123" i="4" s="1"/>
  <c r="Q15" i="4"/>
  <c r="N12" i="4"/>
  <c r="M12" i="4"/>
  <c r="K12" i="4"/>
  <c r="B12" i="4"/>
  <c r="R11" i="4"/>
  <c r="P11" i="4"/>
  <c r="P18" i="4" s="1"/>
  <c r="P25" i="4" s="1"/>
  <c r="P32" i="4" s="1"/>
  <c r="P39" i="4" s="1"/>
  <c r="P46" i="4" s="1"/>
  <c r="P53" i="4" s="1"/>
  <c r="P60" i="4" s="1"/>
  <c r="P67" i="4" s="1"/>
  <c r="P74" i="4" s="1"/>
  <c r="P81" i="4" s="1"/>
  <c r="P88" i="4" s="1"/>
  <c r="P95" i="4" s="1"/>
  <c r="P102" i="4" s="1"/>
  <c r="P109" i="4" s="1"/>
  <c r="P116" i="4" s="1"/>
  <c r="P123" i="4" s="1"/>
  <c r="O11" i="4"/>
  <c r="O18" i="4" s="1"/>
  <c r="O25" i="4" s="1"/>
  <c r="O32" i="4" s="1"/>
  <c r="O39" i="4" s="1"/>
  <c r="O46" i="4" s="1"/>
  <c r="O53" i="4" s="1"/>
  <c r="O60" i="4" s="1"/>
  <c r="O67" i="4" s="1"/>
  <c r="O74" i="4" s="1"/>
  <c r="O81" i="4" s="1"/>
  <c r="O88" i="4" s="1"/>
  <c r="O95" i="4" s="1"/>
  <c r="O102" i="4" s="1"/>
  <c r="O109" i="4" s="1"/>
  <c r="O116" i="4" s="1"/>
  <c r="O123" i="4" s="1"/>
  <c r="N11" i="4"/>
  <c r="L11" i="4"/>
  <c r="K11" i="4"/>
  <c r="I11" i="4"/>
  <c r="H11" i="4"/>
  <c r="D6" i="4"/>
  <c r="N5" i="4"/>
  <c r="N7" i="4" s="1"/>
  <c r="M5" i="4"/>
  <c r="K5" i="4"/>
  <c r="K7" i="4" s="1"/>
  <c r="B5" i="4"/>
  <c r="Q4" i="4"/>
  <c r="Q11" i="4" s="1"/>
  <c r="Q18" i="4" s="1"/>
  <c r="Q25" i="4" s="1"/>
  <c r="Q32" i="4" s="1"/>
  <c r="Q39" i="4" s="1"/>
  <c r="Q46" i="4" s="1"/>
  <c r="Q53" i="4" s="1"/>
  <c r="Q60" i="4" s="1"/>
  <c r="Q67" i="4" s="1"/>
  <c r="Q74" i="4" s="1"/>
  <c r="Q81" i="4" s="1"/>
  <c r="Q88" i="4" s="1"/>
  <c r="Q95" i="4" s="1"/>
  <c r="Q102" i="4" s="1"/>
  <c r="Q109" i="4" s="1"/>
  <c r="Q116" i="4" s="1"/>
  <c r="Q123" i="4" s="1"/>
  <c r="Q130" i="4" s="1"/>
  <c r="Q137" i="4" s="1"/>
  <c r="Q144" i="4" s="1"/>
  <c r="Q151" i="4" s="1"/>
  <c r="Q158" i="4" s="1"/>
  <c r="Q165" i="4" s="1"/>
  <c r="Q172" i="4" s="1"/>
  <c r="Q179" i="4" s="1"/>
  <c r="Q186" i="4" s="1"/>
  <c r="Q193" i="4" s="1"/>
  <c r="Q200" i="4" s="1"/>
  <c r="Q207" i="4" s="1"/>
  <c r="Q214" i="4" s="1"/>
  <c r="Q221" i="4" s="1"/>
  <c r="Q228" i="4" s="1"/>
  <c r="Q235" i="4" s="1"/>
  <c r="Q242" i="4" s="1"/>
  <c r="Q249" i="4" s="1"/>
  <c r="Q256" i="4" s="1"/>
  <c r="Q263" i="4" s="1"/>
  <c r="Q270" i="4" s="1"/>
  <c r="Q277" i="4" s="1"/>
  <c r="Q284" i="4" s="1"/>
  <c r="Q291" i="4" s="1"/>
  <c r="Q298" i="4" s="1"/>
  <c r="Q305" i="4" s="1"/>
  <c r="Q312" i="4" s="1"/>
  <c r="Q319" i="4" s="1"/>
  <c r="Q326" i="4" s="1"/>
  <c r="Q333" i="4" s="1"/>
  <c r="Q340" i="4" s="1"/>
  <c r="Q347" i="4" s="1"/>
  <c r="Q354" i="4" s="1"/>
  <c r="Q361" i="4" s="1"/>
  <c r="Q368" i="4" s="1"/>
  <c r="Q375" i="4" s="1"/>
  <c r="Q382" i="4" s="1"/>
  <c r="Q389" i="4" s="1"/>
  <c r="Q396" i="4" s="1"/>
  <c r="Q403" i="4" s="1"/>
  <c r="Q410" i="4" s="1"/>
  <c r="Q417" i="4" s="1"/>
  <c r="Q424" i="4" s="1"/>
  <c r="Q431" i="4" s="1"/>
  <c r="Q438" i="4" s="1"/>
  <c r="Q445" i="4" s="1"/>
  <c r="Q452" i="4" s="1"/>
  <c r="Q459" i="4" s="1"/>
  <c r="Q466" i="4" s="1"/>
  <c r="Q473" i="4" s="1"/>
  <c r="Q480" i="4" s="1"/>
  <c r="Q487" i="4" s="1"/>
  <c r="Q494" i="4" s="1"/>
  <c r="Q501" i="4" s="1"/>
  <c r="Q508" i="4" s="1"/>
  <c r="Q515" i="4" s="1"/>
  <c r="Q522" i="4" s="1"/>
  <c r="Q529" i="4" s="1"/>
  <c r="Q536" i="4" s="1"/>
  <c r="Q543" i="4" s="1"/>
  <c r="Q550" i="4" s="1"/>
  <c r="Q557" i="4" s="1"/>
  <c r="Q564" i="4" s="1"/>
  <c r="Q571" i="4" s="1"/>
  <c r="Q578" i="4" s="1"/>
  <c r="Q585" i="4" s="1"/>
  <c r="Q592" i="4" s="1"/>
  <c r="Q599" i="4" s="1"/>
  <c r="Q606" i="4" s="1"/>
  <c r="Q613" i="4" s="1"/>
  <c r="Q620" i="4" s="1"/>
  <c r="Q627" i="4" s="1"/>
  <c r="Q634" i="4" s="1"/>
  <c r="Q641" i="4" s="1"/>
  <c r="Q648" i="4" s="1"/>
  <c r="Q655" i="4" s="1"/>
  <c r="Q662" i="4" s="1"/>
  <c r="Q669" i="4" s="1"/>
  <c r="Q676" i="4" s="1"/>
  <c r="Q683" i="4" s="1"/>
  <c r="Q690" i="4" s="1"/>
  <c r="Q697" i="4" s="1"/>
  <c r="Q704" i="4" s="1"/>
  <c r="Q711" i="4" s="1"/>
  <c r="Q718" i="4" s="1"/>
  <c r="Q725" i="4" s="1"/>
  <c r="Q732" i="4" s="1"/>
  <c r="Q739" i="4" s="1"/>
  <c r="Q746" i="4" s="1"/>
  <c r="Q753" i="4" s="1"/>
  <c r="Q760" i="4" s="1"/>
  <c r="Q767" i="4" s="1"/>
  <c r="Q774" i="4" s="1"/>
  <c r="Q781" i="4" s="1"/>
  <c r="Q788" i="4" s="1"/>
  <c r="Q795" i="4" s="1"/>
  <c r="Q802" i="4" s="1"/>
  <c r="Q809" i="4" s="1"/>
  <c r="Q816" i="4" s="1"/>
  <c r="Q823" i="4" s="1"/>
  <c r="Q830" i="4" s="1"/>
  <c r="Q837" i="4" s="1"/>
  <c r="Q844" i="4" s="1"/>
  <c r="Q851" i="4" s="1"/>
  <c r="Q858" i="4" s="1"/>
  <c r="Q865" i="4" s="1"/>
  <c r="Q872" i="4" s="1"/>
  <c r="Q879" i="4" s="1"/>
  <c r="Q886" i="4" s="1"/>
  <c r="Q893" i="4" s="1"/>
  <c r="Q900" i="4" s="1"/>
  <c r="Q907" i="4" s="1"/>
  <c r="Q914" i="4" s="1"/>
  <c r="Q921" i="4" s="1"/>
  <c r="Q928" i="4" s="1"/>
  <c r="Q935" i="4" s="1"/>
  <c r="Q942" i="4" s="1"/>
  <c r="Q949" i="4" s="1"/>
  <c r="Q956" i="4" s="1"/>
  <c r="Q963" i="4" s="1"/>
  <c r="Q970" i="4" s="1"/>
  <c r="Q977" i="4" s="1"/>
  <c r="Q984" i="4" s="1"/>
  <c r="Q991" i="4" s="1"/>
  <c r="Q998" i="4" s="1"/>
  <c r="Q1005" i="4" s="1"/>
  <c r="Q1012" i="4" s="1"/>
  <c r="Q1019" i="4" s="1"/>
  <c r="Q1026" i="4" s="1"/>
  <c r="Q1033" i="4" s="1"/>
  <c r="Q1040" i="4" s="1"/>
  <c r="Q1047" i="4" s="1"/>
  <c r="Q1054" i="4" s="1"/>
  <c r="Q1061" i="4" s="1"/>
  <c r="Q1068" i="4" s="1"/>
  <c r="Q1075" i="4" s="1"/>
  <c r="Q1082" i="4" s="1"/>
  <c r="Q1089" i="4" s="1"/>
  <c r="Q1096" i="4" s="1"/>
  <c r="Q1103" i="4" s="1"/>
  <c r="Q1110" i="4" s="1"/>
  <c r="Q1117" i="4" s="1"/>
  <c r="Q1124" i="4" s="1"/>
  <c r="Q1131" i="4" s="1"/>
  <c r="Q1138" i="4" s="1"/>
  <c r="Q1145" i="4" s="1"/>
  <c r="Q1152" i="4" s="1"/>
  <c r="Q1159" i="4" s="1"/>
  <c r="Q1166" i="4" s="1"/>
  <c r="Q1173" i="4" s="1"/>
  <c r="Q1180" i="4" s="1"/>
  <c r="Q1187" i="4" s="1"/>
  <c r="Q1194" i="4" s="1"/>
  <c r="Q1201" i="4" s="1"/>
  <c r="Q1208" i="4" s="1"/>
  <c r="Q1215" i="4" s="1"/>
  <c r="Q1222" i="4" s="1"/>
  <c r="Q1229" i="4" s="1"/>
  <c r="Q1236" i="4" s="1"/>
  <c r="Q1243" i="4" s="1"/>
  <c r="Q1250" i="4" s="1"/>
  <c r="Q1257" i="4" s="1"/>
  <c r="Q1264" i="4" s="1"/>
  <c r="Q1271" i="4" s="1"/>
  <c r="Q1278" i="4" s="1"/>
  <c r="Q1285" i="4" s="1"/>
  <c r="Q1292" i="4" s="1"/>
  <c r="Q1299" i="4" s="1"/>
  <c r="Q1306" i="4" s="1"/>
  <c r="Q1313" i="4" s="1"/>
  <c r="Q1320" i="4" s="1"/>
  <c r="Q1327" i="4" s="1"/>
  <c r="Q1334" i="4" s="1"/>
  <c r="Q1341" i="4" s="1"/>
  <c r="Q1348" i="4" s="1"/>
  <c r="Q1355" i="4" s="1"/>
  <c r="Q1362" i="4" s="1"/>
  <c r="Q1369" i="4" s="1"/>
  <c r="Q1376" i="4" s="1"/>
  <c r="Q1383" i="4" s="1"/>
  <c r="M4" i="4"/>
  <c r="J4" i="4"/>
  <c r="I4" i="4"/>
  <c r="G4" i="4"/>
  <c r="F4" i="4"/>
  <c r="E4" i="4"/>
  <c r="H1385" i="3"/>
  <c r="F1385" i="3"/>
  <c r="F1386" i="3" s="1"/>
  <c r="N1384" i="3"/>
  <c r="M1384" i="3"/>
  <c r="L1384" i="3"/>
  <c r="K1384" i="3"/>
  <c r="I1384" i="3"/>
  <c r="F1384" i="3"/>
  <c r="C1384" i="3"/>
  <c r="D1384" i="3" s="1"/>
  <c r="F1383" i="3"/>
  <c r="A1381" i="3"/>
  <c r="F1379" i="3"/>
  <c r="H1378" i="3"/>
  <c r="N1377" i="3"/>
  <c r="M1377" i="3"/>
  <c r="L1377" i="3"/>
  <c r="K1377" i="3"/>
  <c r="I1377" i="3"/>
  <c r="C1377" i="3"/>
  <c r="D1377" i="3" s="1"/>
  <c r="A1374" i="3"/>
  <c r="H1371" i="3"/>
  <c r="F1371" i="3"/>
  <c r="F1372" i="3" s="1"/>
  <c r="N1370" i="3"/>
  <c r="M1370" i="3"/>
  <c r="L1370" i="3"/>
  <c r="K1370" i="3"/>
  <c r="I1370" i="3"/>
  <c r="F1370" i="3"/>
  <c r="C1370" i="3"/>
  <c r="D1370" i="3" s="1"/>
  <c r="F1369" i="3"/>
  <c r="A1367" i="3"/>
  <c r="F1365" i="3"/>
  <c r="H1364" i="3"/>
  <c r="N1363" i="3"/>
  <c r="M1363" i="3"/>
  <c r="L1363" i="3"/>
  <c r="K1363" i="3"/>
  <c r="I1363" i="3"/>
  <c r="C1363" i="3"/>
  <c r="D1363" i="3" s="1"/>
  <c r="A1360" i="3"/>
  <c r="H1357" i="3"/>
  <c r="F1357" i="3"/>
  <c r="F1358" i="3" s="1"/>
  <c r="N1356" i="3"/>
  <c r="M1356" i="3"/>
  <c r="L1356" i="3"/>
  <c r="K1356" i="3"/>
  <c r="I1356" i="3"/>
  <c r="F1356" i="3"/>
  <c r="C1356" i="3"/>
  <c r="D1356" i="3" s="1"/>
  <c r="F1355" i="3"/>
  <c r="A1353" i="3"/>
  <c r="H1350" i="3"/>
  <c r="F1350" i="3"/>
  <c r="F1351" i="3" s="1"/>
  <c r="N1349" i="3"/>
  <c r="M1349" i="3"/>
  <c r="L1349" i="3"/>
  <c r="K1349" i="3"/>
  <c r="I1349" i="3"/>
  <c r="F1349" i="3"/>
  <c r="C1349" i="3"/>
  <c r="D1349" i="3" s="1"/>
  <c r="F1348" i="3"/>
  <c r="A1346" i="3"/>
  <c r="F1344" i="3"/>
  <c r="H1343" i="3"/>
  <c r="N1342" i="3"/>
  <c r="M1342" i="3"/>
  <c r="L1342" i="3"/>
  <c r="K1342" i="3"/>
  <c r="I1342" i="3"/>
  <c r="C1342" i="3"/>
  <c r="D1342" i="3" s="1"/>
  <c r="A1339" i="3"/>
  <c r="H1336" i="3"/>
  <c r="F1336" i="3"/>
  <c r="F1337" i="3" s="1"/>
  <c r="N1335" i="3"/>
  <c r="M1335" i="3"/>
  <c r="L1335" i="3"/>
  <c r="K1335" i="3"/>
  <c r="I1335" i="3"/>
  <c r="F1335" i="3"/>
  <c r="C1335" i="3"/>
  <c r="D1335" i="3" s="1"/>
  <c r="F1334" i="3"/>
  <c r="A1332" i="3"/>
  <c r="F1330" i="3"/>
  <c r="H1329" i="3"/>
  <c r="N1328" i="3"/>
  <c r="M1328" i="3"/>
  <c r="L1328" i="3"/>
  <c r="K1328" i="3"/>
  <c r="I1328" i="3"/>
  <c r="C1328" i="3"/>
  <c r="D1328" i="3" s="1"/>
  <c r="A1325" i="3"/>
  <c r="H1322" i="3"/>
  <c r="F1322" i="3"/>
  <c r="F1323" i="3" s="1"/>
  <c r="N1321" i="3"/>
  <c r="M1321" i="3"/>
  <c r="L1321" i="3"/>
  <c r="K1321" i="3"/>
  <c r="I1321" i="3"/>
  <c r="F1321" i="3"/>
  <c r="C1321" i="3"/>
  <c r="D1321" i="3" s="1"/>
  <c r="F1320" i="3"/>
  <c r="A1318" i="3"/>
  <c r="H1315" i="3"/>
  <c r="F1315" i="3"/>
  <c r="F1316" i="3" s="1"/>
  <c r="N1314" i="3"/>
  <c r="M1314" i="3"/>
  <c r="L1314" i="3"/>
  <c r="K1314" i="3"/>
  <c r="I1314" i="3"/>
  <c r="F1314" i="3"/>
  <c r="C1314" i="3"/>
  <c r="D1314" i="3" s="1"/>
  <c r="F1313" i="3"/>
  <c r="A1311" i="3"/>
  <c r="F1309" i="3"/>
  <c r="H1308" i="3"/>
  <c r="N1307" i="3"/>
  <c r="M1307" i="3"/>
  <c r="L1307" i="3"/>
  <c r="K1307" i="3"/>
  <c r="I1307" i="3"/>
  <c r="C1307" i="3"/>
  <c r="D1307" i="3" s="1"/>
  <c r="A1304" i="3"/>
  <c r="H1301" i="3"/>
  <c r="F1301" i="3"/>
  <c r="F1302" i="3" s="1"/>
  <c r="N1300" i="3"/>
  <c r="M1300" i="3"/>
  <c r="L1300" i="3"/>
  <c r="K1300" i="3"/>
  <c r="I1300" i="3"/>
  <c r="F1300" i="3"/>
  <c r="C1300" i="3"/>
  <c r="D1300" i="3" s="1"/>
  <c r="F1299" i="3"/>
  <c r="A1297" i="3"/>
  <c r="F1295" i="3"/>
  <c r="H1294" i="3"/>
  <c r="N1293" i="3"/>
  <c r="M1293" i="3"/>
  <c r="L1293" i="3"/>
  <c r="K1293" i="3"/>
  <c r="I1293" i="3"/>
  <c r="C1293" i="3"/>
  <c r="D1293" i="3" s="1"/>
  <c r="A1290" i="3"/>
  <c r="H1287" i="3"/>
  <c r="F1287" i="3"/>
  <c r="F1288" i="3" s="1"/>
  <c r="N1286" i="3"/>
  <c r="M1286" i="3"/>
  <c r="L1286" i="3"/>
  <c r="K1286" i="3"/>
  <c r="I1286" i="3"/>
  <c r="F1286" i="3"/>
  <c r="C1286" i="3"/>
  <c r="D1286" i="3" s="1"/>
  <c r="F1285" i="3"/>
  <c r="A1283" i="3"/>
  <c r="H1280" i="3"/>
  <c r="F1280" i="3"/>
  <c r="F1281" i="3" s="1"/>
  <c r="N1279" i="3"/>
  <c r="M1279" i="3"/>
  <c r="L1279" i="3"/>
  <c r="K1279" i="3"/>
  <c r="I1279" i="3"/>
  <c r="F1279" i="3"/>
  <c r="C1279" i="3"/>
  <c r="D1279" i="3" s="1"/>
  <c r="F1278" i="3"/>
  <c r="D1278" i="3"/>
  <c r="D1285" i="3" s="1"/>
  <c r="D1292" i="3" s="1"/>
  <c r="D1299" i="3" s="1"/>
  <c r="D1306" i="3" s="1"/>
  <c r="D1313" i="3" s="1"/>
  <c r="D1320" i="3" s="1"/>
  <c r="D1327" i="3" s="1"/>
  <c r="D1334" i="3" s="1"/>
  <c r="D1341" i="3" s="1"/>
  <c r="D1348" i="3" s="1"/>
  <c r="D1355" i="3" s="1"/>
  <c r="D1362" i="3" s="1"/>
  <c r="D1369" i="3" s="1"/>
  <c r="D1376" i="3" s="1"/>
  <c r="D1383" i="3" s="1"/>
  <c r="B1278" i="3"/>
  <c r="B1285" i="3" s="1"/>
  <c r="B1292" i="3" s="1"/>
  <c r="B1299" i="3" s="1"/>
  <c r="B1306" i="3" s="1"/>
  <c r="B1313" i="3" s="1"/>
  <c r="B1320" i="3" s="1"/>
  <c r="B1327" i="3" s="1"/>
  <c r="B1334" i="3" s="1"/>
  <c r="B1341" i="3" s="1"/>
  <c r="B1348" i="3" s="1"/>
  <c r="B1355" i="3" s="1"/>
  <c r="B1362" i="3" s="1"/>
  <c r="B1369" i="3" s="1"/>
  <c r="B1376" i="3" s="1"/>
  <c r="B1383" i="3" s="1"/>
  <c r="A1278" i="3"/>
  <c r="A1285" i="3" s="1"/>
  <c r="A1292" i="3" s="1"/>
  <c r="A1299" i="3" s="1"/>
  <c r="A1306" i="3" s="1"/>
  <c r="A1313" i="3" s="1"/>
  <c r="A1320" i="3" s="1"/>
  <c r="A1327" i="3" s="1"/>
  <c r="A1334" i="3" s="1"/>
  <c r="A1341" i="3" s="1"/>
  <c r="A1348" i="3" s="1"/>
  <c r="A1355" i="3" s="1"/>
  <c r="A1362" i="3" s="1"/>
  <c r="A1369" i="3" s="1"/>
  <c r="A1376" i="3" s="1"/>
  <c r="A1383" i="3" s="1"/>
  <c r="F1274" i="3"/>
  <c r="H1273" i="3"/>
  <c r="N1272" i="3"/>
  <c r="M1272" i="3"/>
  <c r="L1272" i="3"/>
  <c r="K1272" i="3"/>
  <c r="I1272" i="3"/>
  <c r="C1272" i="3"/>
  <c r="D1272" i="3" s="1"/>
  <c r="R1271" i="3"/>
  <c r="P1271" i="3"/>
  <c r="P1278" i="3" s="1"/>
  <c r="P1285" i="3" s="1"/>
  <c r="P1292" i="3" s="1"/>
  <c r="P1299" i="3" s="1"/>
  <c r="P1306" i="3" s="1"/>
  <c r="P1313" i="3" s="1"/>
  <c r="P1320" i="3" s="1"/>
  <c r="P1327" i="3" s="1"/>
  <c r="P1334" i="3" s="1"/>
  <c r="P1341" i="3" s="1"/>
  <c r="P1348" i="3" s="1"/>
  <c r="P1355" i="3" s="1"/>
  <c r="P1362" i="3" s="1"/>
  <c r="P1369" i="3" s="1"/>
  <c r="P1376" i="3" s="1"/>
  <c r="P1383" i="3" s="1"/>
  <c r="O1271" i="3"/>
  <c r="O1278" i="3" s="1"/>
  <c r="O1285" i="3" s="1"/>
  <c r="O1292" i="3" s="1"/>
  <c r="O1299" i="3" s="1"/>
  <c r="O1306" i="3" s="1"/>
  <c r="O1313" i="3" s="1"/>
  <c r="O1320" i="3" s="1"/>
  <c r="O1327" i="3" s="1"/>
  <c r="O1334" i="3" s="1"/>
  <c r="O1341" i="3" s="1"/>
  <c r="O1348" i="3" s="1"/>
  <c r="O1355" i="3" s="1"/>
  <c r="O1362" i="3" s="1"/>
  <c r="O1369" i="3" s="1"/>
  <c r="O1376" i="3" s="1"/>
  <c r="O1383" i="3" s="1"/>
  <c r="N1271" i="3"/>
  <c r="L1271" i="3"/>
  <c r="K1271" i="3"/>
  <c r="H1271" i="3"/>
  <c r="H1266" i="3"/>
  <c r="H1267" i="3" s="1"/>
  <c r="F1266" i="3"/>
  <c r="F1267" i="3" s="1"/>
  <c r="N1265" i="3"/>
  <c r="N1267" i="3" s="1"/>
  <c r="M1265" i="3"/>
  <c r="L1265" i="3"/>
  <c r="L1267" i="3" s="1"/>
  <c r="K1265" i="3"/>
  <c r="K1267" i="3" s="1"/>
  <c r="I1265" i="3"/>
  <c r="F1265" i="3"/>
  <c r="C1265" i="3"/>
  <c r="D1265" i="3" s="1"/>
  <c r="F1264" i="3"/>
  <c r="F1260" i="3"/>
  <c r="H1259" i="3"/>
  <c r="N1258" i="3"/>
  <c r="M1258" i="3"/>
  <c r="L1258" i="3"/>
  <c r="K1258" i="3"/>
  <c r="I1258" i="3"/>
  <c r="D1258" i="3"/>
  <c r="A1255" i="3"/>
  <c r="F1253" i="3"/>
  <c r="H1252" i="3"/>
  <c r="N1251" i="3"/>
  <c r="M1251" i="3"/>
  <c r="L1251" i="3"/>
  <c r="K1251" i="3"/>
  <c r="I1251" i="3"/>
  <c r="D1251" i="3"/>
  <c r="A1248" i="3"/>
  <c r="F1246" i="3"/>
  <c r="H1245" i="3"/>
  <c r="N1244" i="3"/>
  <c r="M1244" i="3"/>
  <c r="L1244" i="3"/>
  <c r="K1244" i="3"/>
  <c r="I1244" i="3"/>
  <c r="D1244" i="3"/>
  <c r="A1241" i="3"/>
  <c r="F1239" i="3"/>
  <c r="H1238" i="3"/>
  <c r="N1237" i="3"/>
  <c r="M1237" i="3"/>
  <c r="L1237" i="3"/>
  <c r="K1237" i="3"/>
  <c r="I1237" i="3"/>
  <c r="D1237" i="3"/>
  <c r="A1234" i="3"/>
  <c r="F1232" i="3"/>
  <c r="H1231" i="3"/>
  <c r="N1230" i="3"/>
  <c r="M1230" i="3"/>
  <c r="L1230" i="3"/>
  <c r="K1230" i="3"/>
  <c r="I1230" i="3"/>
  <c r="D1230" i="3"/>
  <c r="A1227" i="3"/>
  <c r="F1225" i="3"/>
  <c r="H1224" i="3"/>
  <c r="N1223" i="3"/>
  <c r="M1223" i="3"/>
  <c r="L1223" i="3"/>
  <c r="K1223" i="3"/>
  <c r="I1223" i="3"/>
  <c r="D1223" i="3"/>
  <c r="A1220" i="3"/>
  <c r="F1218" i="3"/>
  <c r="H1217" i="3"/>
  <c r="N1216" i="3"/>
  <c r="M1216" i="3"/>
  <c r="L1216" i="3"/>
  <c r="K1216" i="3"/>
  <c r="I1216" i="3"/>
  <c r="D1216" i="3"/>
  <c r="A1213" i="3"/>
  <c r="F1211" i="3"/>
  <c r="H1210" i="3"/>
  <c r="N1209" i="3"/>
  <c r="M1209" i="3"/>
  <c r="L1209" i="3"/>
  <c r="K1209" i="3"/>
  <c r="I1209" i="3"/>
  <c r="D1209" i="3"/>
  <c r="A1206" i="3"/>
  <c r="F1204" i="3"/>
  <c r="H1203" i="3"/>
  <c r="N1202" i="3"/>
  <c r="M1202" i="3"/>
  <c r="L1202" i="3"/>
  <c r="K1202" i="3"/>
  <c r="I1202" i="3"/>
  <c r="D1202" i="3"/>
  <c r="A1199" i="3"/>
  <c r="F1197" i="3"/>
  <c r="H1196" i="3"/>
  <c r="N1195" i="3"/>
  <c r="M1195" i="3"/>
  <c r="L1195" i="3"/>
  <c r="K1195" i="3"/>
  <c r="I1195" i="3"/>
  <c r="D1195" i="3"/>
  <c r="A1192" i="3"/>
  <c r="F1190" i="3"/>
  <c r="H1189" i="3"/>
  <c r="N1188" i="3"/>
  <c r="M1188" i="3"/>
  <c r="L1188" i="3"/>
  <c r="K1188" i="3"/>
  <c r="I1188" i="3"/>
  <c r="D1188" i="3"/>
  <c r="A1185" i="3"/>
  <c r="F1183" i="3"/>
  <c r="H1182" i="3"/>
  <c r="D1182" i="3"/>
  <c r="D1189" i="3" s="1"/>
  <c r="D1308" i="3" s="1"/>
  <c r="D1315" i="3" s="1"/>
  <c r="D1322" i="3" s="1"/>
  <c r="N1181" i="3"/>
  <c r="M1181" i="3"/>
  <c r="L1181" i="3"/>
  <c r="K1181" i="3"/>
  <c r="I1181" i="3"/>
  <c r="D1181" i="3"/>
  <c r="D1183" i="3" s="1"/>
  <c r="P1180" i="3"/>
  <c r="P1187" i="3" s="1"/>
  <c r="P1194" i="3" s="1"/>
  <c r="P1201" i="3" s="1"/>
  <c r="P1208" i="3" s="1"/>
  <c r="P1215" i="3" s="1"/>
  <c r="P1222" i="3" s="1"/>
  <c r="P1229" i="3" s="1"/>
  <c r="P1236" i="3" s="1"/>
  <c r="P1243" i="3" s="1"/>
  <c r="P1250" i="3" s="1"/>
  <c r="P1257" i="3" s="1"/>
  <c r="O1180" i="3"/>
  <c r="O1187" i="3" s="1"/>
  <c r="O1194" i="3" s="1"/>
  <c r="O1201" i="3" s="1"/>
  <c r="O1208" i="3" s="1"/>
  <c r="O1215" i="3" s="1"/>
  <c r="O1222" i="3" s="1"/>
  <c r="O1229" i="3" s="1"/>
  <c r="O1236" i="3" s="1"/>
  <c r="O1243" i="3" s="1"/>
  <c r="O1250" i="3" s="1"/>
  <c r="O1257" i="3" s="1"/>
  <c r="N1180" i="3"/>
  <c r="L1180" i="3"/>
  <c r="K1180" i="3"/>
  <c r="H1180" i="3"/>
  <c r="A1178" i="3"/>
  <c r="F1176" i="3"/>
  <c r="H1175" i="3"/>
  <c r="H1176" i="3" s="1"/>
  <c r="N1174" i="3"/>
  <c r="N1176" i="3" s="1"/>
  <c r="M1174" i="3"/>
  <c r="L1174" i="3"/>
  <c r="L1176" i="3" s="1"/>
  <c r="K1174" i="3"/>
  <c r="K1176" i="3" s="1"/>
  <c r="I1174" i="3"/>
  <c r="D1174" i="3"/>
  <c r="A1171" i="3"/>
  <c r="Q1170" i="3"/>
  <c r="H1168" i="3"/>
  <c r="H1169" i="3" s="1"/>
  <c r="F1168" i="3"/>
  <c r="F1169" i="3" s="1"/>
  <c r="N1167" i="3"/>
  <c r="N1169" i="3" s="1"/>
  <c r="M1167" i="3"/>
  <c r="L1167" i="3"/>
  <c r="L1169" i="3" s="1"/>
  <c r="K1167" i="3"/>
  <c r="K1169" i="3" s="1"/>
  <c r="I1167" i="3"/>
  <c r="F1167" i="3"/>
  <c r="D1167" i="3"/>
  <c r="F1166" i="3"/>
  <c r="A1164" i="3"/>
  <c r="F1162" i="3"/>
  <c r="H1161" i="3"/>
  <c r="H1162" i="3" s="1"/>
  <c r="N1160" i="3"/>
  <c r="N1162" i="3" s="1"/>
  <c r="M1160" i="3"/>
  <c r="L1160" i="3"/>
  <c r="L1162" i="3" s="1"/>
  <c r="K1160" i="3"/>
  <c r="K1162" i="3" s="1"/>
  <c r="I1160" i="3"/>
  <c r="D1160" i="3"/>
  <c r="A1157" i="3"/>
  <c r="H1154" i="3"/>
  <c r="H1155" i="3" s="1"/>
  <c r="F1154" i="3"/>
  <c r="F1155" i="3" s="1"/>
  <c r="N1153" i="3"/>
  <c r="N1155" i="3" s="1"/>
  <c r="M1153" i="3"/>
  <c r="L1153" i="3"/>
  <c r="L1155" i="3" s="1"/>
  <c r="K1153" i="3"/>
  <c r="K1155" i="3" s="1"/>
  <c r="I1153" i="3"/>
  <c r="F1153" i="3"/>
  <c r="D1153" i="3"/>
  <c r="F1152" i="3"/>
  <c r="Q1149" i="3"/>
  <c r="H1147" i="3"/>
  <c r="H1148" i="3" s="1"/>
  <c r="F1147" i="3"/>
  <c r="F1148" i="3" s="1"/>
  <c r="N1146" i="3"/>
  <c r="N1148" i="3" s="1"/>
  <c r="M1146" i="3"/>
  <c r="L1146" i="3"/>
  <c r="L1148" i="3" s="1"/>
  <c r="K1146" i="3"/>
  <c r="K1148" i="3" s="1"/>
  <c r="I1146" i="3"/>
  <c r="F1146" i="3"/>
  <c r="D1146" i="3"/>
  <c r="F1145" i="3"/>
  <c r="F1141" i="3"/>
  <c r="H1140" i="3"/>
  <c r="H1141" i="3" s="1"/>
  <c r="N1139" i="3"/>
  <c r="N1141" i="3" s="1"/>
  <c r="M1139" i="3"/>
  <c r="L1139" i="3"/>
  <c r="L1141" i="3" s="1"/>
  <c r="K1139" i="3"/>
  <c r="K1141" i="3" s="1"/>
  <c r="I1139" i="3"/>
  <c r="D1139" i="3"/>
  <c r="H1133" i="3"/>
  <c r="N1132" i="3"/>
  <c r="M1132" i="3"/>
  <c r="L1132" i="3"/>
  <c r="K1132" i="3"/>
  <c r="I1132" i="3"/>
  <c r="C1132" i="3"/>
  <c r="D1132" i="3" s="1"/>
  <c r="H1126" i="3"/>
  <c r="N1125" i="3"/>
  <c r="M1125" i="3"/>
  <c r="L1125" i="3"/>
  <c r="K1125" i="3"/>
  <c r="I1125" i="3"/>
  <c r="C1125" i="3"/>
  <c r="D1125" i="3" s="1"/>
  <c r="H1119" i="3"/>
  <c r="N1118" i="3"/>
  <c r="M1118" i="3"/>
  <c r="L1118" i="3"/>
  <c r="K1118" i="3"/>
  <c r="I1118" i="3"/>
  <c r="C1118" i="3"/>
  <c r="D1118" i="3" s="1"/>
  <c r="H1112" i="3"/>
  <c r="N1111" i="3"/>
  <c r="M1111" i="3"/>
  <c r="L1111" i="3"/>
  <c r="K1111" i="3"/>
  <c r="I1111" i="3"/>
  <c r="C1111" i="3"/>
  <c r="D1111" i="3" s="1"/>
  <c r="H1105" i="3"/>
  <c r="N1104" i="3"/>
  <c r="M1104" i="3"/>
  <c r="L1104" i="3"/>
  <c r="K1104" i="3"/>
  <c r="I1104" i="3"/>
  <c r="C1104" i="3"/>
  <c r="D1104" i="3" s="1"/>
  <c r="H1098" i="3"/>
  <c r="N1097" i="3"/>
  <c r="M1097" i="3"/>
  <c r="L1097" i="3"/>
  <c r="K1097" i="3"/>
  <c r="I1097" i="3"/>
  <c r="C1097" i="3"/>
  <c r="D1097" i="3" s="1"/>
  <c r="H1091" i="3"/>
  <c r="N1090" i="3"/>
  <c r="M1090" i="3"/>
  <c r="L1090" i="3"/>
  <c r="K1090" i="3"/>
  <c r="I1090" i="3"/>
  <c r="C1090" i="3"/>
  <c r="D1090" i="3" s="1"/>
  <c r="H1084" i="3"/>
  <c r="N1083" i="3"/>
  <c r="M1083" i="3"/>
  <c r="L1083" i="3"/>
  <c r="K1083" i="3"/>
  <c r="I1083" i="3"/>
  <c r="C1083" i="3"/>
  <c r="D1083" i="3" s="1"/>
  <c r="H1077" i="3"/>
  <c r="N1076" i="3"/>
  <c r="M1076" i="3"/>
  <c r="L1076" i="3"/>
  <c r="K1076" i="3"/>
  <c r="I1076" i="3"/>
  <c r="C1076" i="3"/>
  <c r="D1076" i="3" s="1"/>
  <c r="H1070" i="3"/>
  <c r="N1069" i="3"/>
  <c r="M1069" i="3"/>
  <c r="L1069" i="3"/>
  <c r="K1069" i="3"/>
  <c r="I1069" i="3"/>
  <c r="C1069" i="3"/>
  <c r="D1069" i="3" s="1"/>
  <c r="H1063" i="3"/>
  <c r="N1062" i="3"/>
  <c r="M1062" i="3"/>
  <c r="L1062" i="3"/>
  <c r="K1062" i="3"/>
  <c r="I1062" i="3"/>
  <c r="C1062" i="3"/>
  <c r="D1062" i="3" s="1"/>
  <c r="H1056" i="3"/>
  <c r="N1055" i="3"/>
  <c r="M1055" i="3"/>
  <c r="L1055" i="3"/>
  <c r="K1055" i="3"/>
  <c r="I1055" i="3"/>
  <c r="C1055" i="3"/>
  <c r="D1055" i="3" s="1"/>
  <c r="H1049" i="3"/>
  <c r="N1048" i="3"/>
  <c r="M1048" i="3"/>
  <c r="L1048" i="3"/>
  <c r="K1048" i="3"/>
  <c r="I1048" i="3"/>
  <c r="C1048" i="3"/>
  <c r="D1048" i="3" s="1"/>
  <c r="H1042" i="3"/>
  <c r="N1041" i="3"/>
  <c r="M1041" i="3"/>
  <c r="L1041" i="3"/>
  <c r="K1041" i="3"/>
  <c r="I1041" i="3"/>
  <c r="C1041" i="3"/>
  <c r="D1041" i="3" s="1"/>
  <c r="H1035" i="3"/>
  <c r="N1034" i="3"/>
  <c r="M1034" i="3"/>
  <c r="L1034" i="3"/>
  <c r="K1034" i="3"/>
  <c r="I1034" i="3"/>
  <c r="C1034" i="3"/>
  <c r="D1034" i="3" s="1"/>
  <c r="H1028" i="3"/>
  <c r="N1027" i="3"/>
  <c r="M1027" i="3"/>
  <c r="L1027" i="3"/>
  <c r="K1027" i="3"/>
  <c r="I1027" i="3"/>
  <c r="C1027" i="3"/>
  <c r="D1027" i="3" s="1"/>
  <c r="D1026" i="3"/>
  <c r="D1033" i="3" s="1"/>
  <c r="D1040" i="3" s="1"/>
  <c r="D1047" i="3" s="1"/>
  <c r="D1054" i="3" s="1"/>
  <c r="D1061" i="3" s="1"/>
  <c r="D1068" i="3" s="1"/>
  <c r="D1075" i="3" s="1"/>
  <c r="D1082" i="3" s="1"/>
  <c r="D1089" i="3" s="1"/>
  <c r="D1096" i="3" s="1"/>
  <c r="D1103" i="3" s="1"/>
  <c r="D1110" i="3" s="1"/>
  <c r="D1117" i="3" s="1"/>
  <c r="D1124" i="3" s="1"/>
  <c r="D1131" i="3" s="1"/>
  <c r="D1138" i="3" s="1"/>
  <c r="D1145" i="3" s="1"/>
  <c r="D1152" i="3" s="1"/>
  <c r="D1159" i="3" s="1"/>
  <c r="D1166" i="3" s="1"/>
  <c r="D1173" i="3" s="1"/>
  <c r="D1180" i="3" s="1"/>
  <c r="D1187" i="3" s="1"/>
  <c r="D1194" i="3" s="1"/>
  <c r="D1201" i="3" s="1"/>
  <c r="D1208" i="3" s="1"/>
  <c r="D1215" i="3" s="1"/>
  <c r="D1222" i="3" s="1"/>
  <c r="D1229" i="3" s="1"/>
  <c r="D1236" i="3" s="1"/>
  <c r="D1243" i="3" s="1"/>
  <c r="D1250" i="3" s="1"/>
  <c r="D1257" i="3" s="1"/>
  <c r="B1026" i="3"/>
  <c r="B1033" i="3" s="1"/>
  <c r="B1040" i="3" s="1"/>
  <c r="B1047" i="3" s="1"/>
  <c r="B1054" i="3" s="1"/>
  <c r="B1061" i="3" s="1"/>
  <c r="B1068" i="3" s="1"/>
  <c r="B1075" i="3" s="1"/>
  <c r="B1082" i="3" s="1"/>
  <c r="B1089" i="3" s="1"/>
  <c r="B1096" i="3" s="1"/>
  <c r="B1103" i="3" s="1"/>
  <c r="B1110" i="3" s="1"/>
  <c r="B1117" i="3" s="1"/>
  <c r="B1124" i="3" s="1"/>
  <c r="B1131" i="3" s="1"/>
  <c r="A1026" i="3"/>
  <c r="A1033" i="3" s="1"/>
  <c r="A1040" i="3" s="1"/>
  <c r="A1047" i="3" s="1"/>
  <c r="A1054" i="3" s="1"/>
  <c r="A1061" i="3" s="1"/>
  <c r="A1068" i="3" s="1"/>
  <c r="A1075" i="3" s="1"/>
  <c r="A1082" i="3" s="1"/>
  <c r="A1089" i="3" s="1"/>
  <c r="A1096" i="3" s="1"/>
  <c r="A1103" i="3" s="1"/>
  <c r="A1110" i="3" s="1"/>
  <c r="A1117" i="3" s="1"/>
  <c r="A1124" i="3" s="1"/>
  <c r="A1131" i="3" s="1"/>
  <c r="H1021" i="3"/>
  <c r="N1020" i="3"/>
  <c r="M1020" i="3"/>
  <c r="L1020" i="3"/>
  <c r="K1020" i="3"/>
  <c r="I1020" i="3"/>
  <c r="C1020" i="3"/>
  <c r="D1020" i="3" s="1"/>
  <c r="R1019" i="3"/>
  <c r="P1019" i="3"/>
  <c r="P1026" i="3" s="1"/>
  <c r="P1033" i="3" s="1"/>
  <c r="P1040" i="3" s="1"/>
  <c r="P1047" i="3" s="1"/>
  <c r="P1054" i="3" s="1"/>
  <c r="P1061" i="3" s="1"/>
  <c r="P1068" i="3" s="1"/>
  <c r="P1075" i="3" s="1"/>
  <c r="P1082" i="3" s="1"/>
  <c r="P1089" i="3" s="1"/>
  <c r="P1096" i="3" s="1"/>
  <c r="P1103" i="3" s="1"/>
  <c r="P1110" i="3" s="1"/>
  <c r="P1117" i="3" s="1"/>
  <c r="P1124" i="3" s="1"/>
  <c r="P1131" i="3" s="1"/>
  <c r="O1019" i="3"/>
  <c r="O1026" i="3" s="1"/>
  <c r="O1033" i="3" s="1"/>
  <c r="O1040" i="3" s="1"/>
  <c r="O1047" i="3" s="1"/>
  <c r="O1054" i="3" s="1"/>
  <c r="O1061" i="3" s="1"/>
  <c r="O1068" i="3" s="1"/>
  <c r="O1075" i="3" s="1"/>
  <c r="O1082" i="3" s="1"/>
  <c r="O1089" i="3" s="1"/>
  <c r="O1096" i="3" s="1"/>
  <c r="O1103" i="3" s="1"/>
  <c r="O1110" i="3" s="1"/>
  <c r="O1117" i="3" s="1"/>
  <c r="O1124" i="3" s="1"/>
  <c r="O1131" i="3" s="1"/>
  <c r="N1019" i="3"/>
  <c r="L1019" i="3"/>
  <c r="K1019" i="3"/>
  <c r="H1019" i="3"/>
  <c r="H1014" i="3"/>
  <c r="H1015" i="3" s="1"/>
  <c r="N1013" i="3"/>
  <c r="N1015" i="3" s="1"/>
  <c r="M1013" i="3"/>
  <c r="L1013" i="3"/>
  <c r="L1015" i="3" s="1"/>
  <c r="K1013" i="3"/>
  <c r="K1015" i="3" s="1"/>
  <c r="I1013" i="3"/>
  <c r="C1013" i="3"/>
  <c r="D1013" i="3" s="1"/>
  <c r="H1007" i="3"/>
  <c r="N1006" i="3"/>
  <c r="M1006" i="3"/>
  <c r="L1006" i="3"/>
  <c r="K1006" i="3"/>
  <c r="I1006" i="3"/>
  <c r="C1006" i="3"/>
  <c r="D1006" i="3" s="1"/>
  <c r="H1000" i="3"/>
  <c r="N999" i="3"/>
  <c r="M999" i="3"/>
  <c r="L999" i="3"/>
  <c r="K999" i="3"/>
  <c r="I999" i="3"/>
  <c r="C999" i="3"/>
  <c r="D999" i="3" s="1"/>
  <c r="H993" i="3"/>
  <c r="N992" i="3"/>
  <c r="M992" i="3"/>
  <c r="L992" i="3"/>
  <c r="K992" i="3"/>
  <c r="I992" i="3"/>
  <c r="C992" i="3"/>
  <c r="D992" i="3" s="1"/>
  <c r="H986" i="3"/>
  <c r="N985" i="3"/>
  <c r="M985" i="3"/>
  <c r="L985" i="3"/>
  <c r="K985" i="3"/>
  <c r="I985" i="3"/>
  <c r="C985" i="3"/>
  <c r="D985" i="3" s="1"/>
  <c r="H979" i="3"/>
  <c r="N978" i="3"/>
  <c r="M978" i="3"/>
  <c r="L978" i="3"/>
  <c r="K978" i="3"/>
  <c r="I978" i="3"/>
  <c r="C978" i="3"/>
  <c r="D978" i="3" s="1"/>
  <c r="H972" i="3"/>
  <c r="N971" i="3"/>
  <c r="M971" i="3"/>
  <c r="L971" i="3"/>
  <c r="K971" i="3"/>
  <c r="I971" i="3"/>
  <c r="C971" i="3"/>
  <c r="D971" i="3" s="1"/>
  <c r="H965" i="3"/>
  <c r="N964" i="3"/>
  <c r="M964" i="3"/>
  <c r="L964" i="3"/>
  <c r="K964" i="3"/>
  <c r="I964" i="3"/>
  <c r="C964" i="3"/>
  <c r="D964" i="3" s="1"/>
  <c r="H958" i="3"/>
  <c r="N957" i="3"/>
  <c r="M957" i="3"/>
  <c r="L957" i="3"/>
  <c r="K957" i="3"/>
  <c r="I957" i="3"/>
  <c r="C957" i="3"/>
  <c r="D957" i="3" s="1"/>
  <c r="H951" i="3"/>
  <c r="N950" i="3"/>
  <c r="M950" i="3"/>
  <c r="L950" i="3"/>
  <c r="K950" i="3"/>
  <c r="I950" i="3"/>
  <c r="C950" i="3"/>
  <c r="D950" i="3" s="1"/>
  <c r="H944" i="3"/>
  <c r="N943" i="3"/>
  <c r="M943" i="3"/>
  <c r="L943" i="3"/>
  <c r="K943" i="3"/>
  <c r="I943" i="3"/>
  <c r="C943" i="3"/>
  <c r="D943" i="3" s="1"/>
  <c r="H937" i="3"/>
  <c r="N936" i="3"/>
  <c r="M936" i="3"/>
  <c r="L936" i="3"/>
  <c r="K936" i="3"/>
  <c r="I936" i="3"/>
  <c r="C936" i="3"/>
  <c r="D936" i="3" s="1"/>
  <c r="H930" i="3"/>
  <c r="N929" i="3"/>
  <c r="M929" i="3"/>
  <c r="L929" i="3"/>
  <c r="K929" i="3"/>
  <c r="I929" i="3"/>
  <c r="C929" i="3"/>
  <c r="D929" i="3" s="1"/>
  <c r="H923" i="3"/>
  <c r="N922" i="3"/>
  <c r="M922" i="3"/>
  <c r="L922" i="3"/>
  <c r="K922" i="3"/>
  <c r="I922" i="3"/>
  <c r="C922" i="3"/>
  <c r="D922" i="3" s="1"/>
  <c r="H916" i="3"/>
  <c r="N915" i="3"/>
  <c r="M915" i="3"/>
  <c r="L915" i="3"/>
  <c r="K915" i="3"/>
  <c r="I915" i="3"/>
  <c r="C915" i="3"/>
  <c r="D915" i="3" s="1"/>
  <c r="H909" i="3"/>
  <c r="N908" i="3"/>
  <c r="M908" i="3"/>
  <c r="L908" i="3"/>
  <c r="K908" i="3"/>
  <c r="I908" i="3"/>
  <c r="C908" i="3"/>
  <c r="D908" i="3" s="1"/>
  <c r="H902" i="3"/>
  <c r="N901" i="3"/>
  <c r="M901" i="3"/>
  <c r="L901" i="3"/>
  <c r="K901" i="3"/>
  <c r="I901" i="3"/>
  <c r="C901" i="3"/>
  <c r="D901" i="3" s="1"/>
  <c r="D900" i="3"/>
  <c r="D907" i="3" s="1"/>
  <c r="D914" i="3" s="1"/>
  <c r="D921" i="3" s="1"/>
  <c r="D928" i="3" s="1"/>
  <c r="D935" i="3" s="1"/>
  <c r="D942" i="3" s="1"/>
  <c r="D949" i="3" s="1"/>
  <c r="D956" i="3" s="1"/>
  <c r="D963" i="3" s="1"/>
  <c r="D970" i="3" s="1"/>
  <c r="D977" i="3" s="1"/>
  <c r="D984" i="3" s="1"/>
  <c r="D991" i="3" s="1"/>
  <c r="D998" i="3" s="1"/>
  <c r="D1005" i="3" s="1"/>
  <c r="B900" i="3"/>
  <c r="B907" i="3" s="1"/>
  <c r="B914" i="3" s="1"/>
  <c r="B921" i="3" s="1"/>
  <c r="B928" i="3" s="1"/>
  <c r="B935" i="3" s="1"/>
  <c r="B942" i="3" s="1"/>
  <c r="B949" i="3" s="1"/>
  <c r="B956" i="3" s="1"/>
  <c r="B963" i="3" s="1"/>
  <c r="B970" i="3" s="1"/>
  <c r="B977" i="3" s="1"/>
  <c r="B984" i="3" s="1"/>
  <c r="B991" i="3" s="1"/>
  <c r="B998" i="3" s="1"/>
  <c r="B1005" i="3" s="1"/>
  <c r="A900" i="3"/>
  <c r="A907" i="3" s="1"/>
  <c r="A914" i="3" s="1"/>
  <c r="A921" i="3" s="1"/>
  <c r="A928" i="3" s="1"/>
  <c r="A935" i="3" s="1"/>
  <c r="A942" i="3" s="1"/>
  <c r="A949" i="3" s="1"/>
  <c r="A956" i="3" s="1"/>
  <c r="A963" i="3" s="1"/>
  <c r="A970" i="3" s="1"/>
  <c r="A977" i="3" s="1"/>
  <c r="A984" i="3" s="1"/>
  <c r="A991" i="3" s="1"/>
  <c r="A998" i="3" s="1"/>
  <c r="A1005" i="3" s="1"/>
  <c r="H895" i="3"/>
  <c r="N894" i="3"/>
  <c r="M894" i="3"/>
  <c r="L894" i="3"/>
  <c r="K894" i="3"/>
  <c r="I894" i="3"/>
  <c r="C894" i="3"/>
  <c r="D894" i="3" s="1"/>
  <c r="R893" i="3"/>
  <c r="P893" i="3"/>
  <c r="P900" i="3" s="1"/>
  <c r="P907" i="3" s="1"/>
  <c r="P914" i="3" s="1"/>
  <c r="P921" i="3" s="1"/>
  <c r="P928" i="3" s="1"/>
  <c r="P935" i="3" s="1"/>
  <c r="P942" i="3" s="1"/>
  <c r="P949" i="3" s="1"/>
  <c r="P956" i="3" s="1"/>
  <c r="P963" i="3" s="1"/>
  <c r="P970" i="3" s="1"/>
  <c r="P977" i="3" s="1"/>
  <c r="P984" i="3" s="1"/>
  <c r="P991" i="3" s="1"/>
  <c r="P998" i="3" s="1"/>
  <c r="P1005" i="3" s="1"/>
  <c r="O893" i="3"/>
  <c r="O900" i="3" s="1"/>
  <c r="O907" i="3" s="1"/>
  <c r="O914" i="3" s="1"/>
  <c r="O921" i="3" s="1"/>
  <c r="O928" i="3" s="1"/>
  <c r="O935" i="3" s="1"/>
  <c r="O942" i="3" s="1"/>
  <c r="O949" i="3" s="1"/>
  <c r="O956" i="3" s="1"/>
  <c r="O963" i="3" s="1"/>
  <c r="O970" i="3" s="1"/>
  <c r="O977" i="3" s="1"/>
  <c r="O984" i="3" s="1"/>
  <c r="O991" i="3" s="1"/>
  <c r="O998" i="3" s="1"/>
  <c r="O1005" i="3" s="1"/>
  <c r="N893" i="3"/>
  <c r="L893" i="3"/>
  <c r="K893" i="3"/>
  <c r="H893" i="3"/>
  <c r="H888" i="3"/>
  <c r="H889" i="3" s="1"/>
  <c r="N887" i="3"/>
  <c r="N889" i="3" s="1"/>
  <c r="M887" i="3"/>
  <c r="L887" i="3"/>
  <c r="L889" i="3" s="1"/>
  <c r="K887" i="3"/>
  <c r="K889" i="3" s="1"/>
  <c r="I887" i="3"/>
  <c r="C887" i="3"/>
  <c r="D887" i="3" s="1"/>
  <c r="H881" i="3"/>
  <c r="N880" i="3"/>
  <c r="M880" i="3"/>
  <c r="L880" i="3"/>
  <c r="K880" i="3"/>
  <c r="I880" i="3"/>
  <c r="C880" i="3"/>
  <c r="D880" i="3" s="1"/>
  <c r="H874" i="3"/>
  <c r="N873" i="3"/>
  <c r="M873" i="3"/>
  <c r="L873" i="3"/>
  <c r="K873" i="3"/>
  <c r="I873" i="3"/>
  <c r="C873" i="3"/>
  <c r="D873" i="3" s="1"/>
  <c r="H867" i="3"/>
  <c r="N866" i="3"/>
  <c r="M866" i="3"/>
  <c r="L866" i="3"/>
  <c r="K866" i="3"/>
  <c r="I866" i="3"/>
  <c r="C866" i="3"/>
  <c r="D866" i="3" s="1"/>
  <c r="H860" i="3"/>
  <c r="N859" i="3"/>
  <c r="M859" i="3"/>
  <c r="L859" i="3"/>
  <c r="K859" i="3"/>
  <c r="I859" i="3"/>
  <c r="C859" i="3"/>
  <c r="D859" i="3" s="1"/>
  <c r="H853" i="3"/>
  <c r="N852" i="3"/>
  <c r="M852" i="3"/>
  <c r="L852" i="3"/>
  <c r="K852" i="3"/>
  <c r="I852" i="3"/>
  <c r="C852" i="3"/>
  <c r="D852" i="3" s="1"/>
  <c r="H846" i="3"/>
  <c r="N845" i="3"/>
  <c r="M845" i="3"/>
  <c r="L845" i="3"/>
  <c r="K845" i="3"/>
  <c r="I845" i="3"/>
  <c r="C845" i="3"/>
  <c r="D845" i="3" s="1"/>
  <c r="H839" i="3"/>
  <c r="N838" i="3"/>
  <c r="M838" i="3"/>
  <c r="L838" i="3"/>
  <c r="K838" i="3"/>
  <c r="I838" i="3"/>
  <c r="C838" i="3"/>
  <c r="D838" i="3" s="1"/>
  <c r="H832" i="3"/>
  <c r="N831" i="3"/>
  <c r="M831" i="3"/>
  <c r="L831" i="3"/>
  <c r="K831" i="3"/>
  <c r="I831" i="3"/>
  <c r="C831" i="3"/>
  <c r="D831" i="3" s="1"/>
  <c r="H825" i="3"/>
  <c r="N824" i="3"/>
  <c r="M824" i="3"/>
  <c r="L824" i="3"/>
  <c r="K824" i="3"/>
  <c r="I824" i="3"/>
  <c r="C824" i="3"/>
  <c r="D824" i="3" s="1"/>
  <c r="H818" i="3"/>
  <c r="N817" i="3"/>
  <c r="M817" i="3"/>
  <c r="L817" i="3"/>
  <c r="K817" i="3"/>
  <c r="I817" i="3"/>
  <c r="C817" i="3"/>
  <c r="D817" i="3" s="1"/>
  <c r="H811" i="3"/>
  <c r="N810" i="3"/>
  <c r="M810" i="3"/>
  <c r="L810" i="3"/>
  <c r="K810" i="3"/>
  <c r="I810" i="3"/>
  <c r="C810" i="3"/>
  <c r="D810" i="3" s="1"/>
  <c r="H804" i="3"/>
  <c r="D804" i="3"/>
  <c r="D811" i="3" s="1"/>
  <c r="N803" i="3"/>
  <c r="M803" i="3"/>
  <c r="L803" i="3"/>
  <c r="K803" i="3"/>
  <c r="I803" i="3"/>
  <c r="C803" i="3"/>
  <c r="D803" i="3" s="1"/>
  <c r="D805" i="3" s="1"/>
  <c r="H797" i="3"/>
  <c r="N796" i="3"/>
  <c r="M796" i="3"/>
  <c r="L796" i="3"/>
  <c r="K796" i="3"/>
  <c r="I796" i="3"/>
  <c r="C796" i="3"/>
  <c r="D796" i="3" s="1"/>
  <c r="H790" i="3"/>
  <c r="N789" i="3"/>
  <c r="M789" i="3"/>
  <c r="L789" i="3"/>
  <c r="K789" i="3"/>
  <c r="I789" i="3"/>
  <c r="C789" i="3"/>
  <c r="D789" i="3" s="1"/>
  <c r="H783" i="3"/>
  <c r="D783" i="3"/>
  <c r="N782" i="3"/>
  <c r="M782" i="3"/>
  <c r="L782" i="3"/>
  <c r="K782" i="3"/>
  <c r="I782" i="3"/>
  <c r="C782" i="3"/>
  <c r="D782" i="3" s="1"/>
  <c r="D784" i="3" s="1"/>
  <c r="H776" i="3"/>
  <c r="N775" i="3"/>
  <c r="M775" i="3"/>
  <c r="L775" i="3"/>
  <c r="K775" i="3"/>
  <c r="I775" i="3"/>
  <c r="C775" i="3"/>
  <c r="D775" i="3" s="1"/>
  <c r="D774" i="3"/>
  <c r="D781" i="3" s="1"/>
  <c r="D788" i="3" s="1"/>
  <c r="D795" i="3" s="1"/>
  <c r="D802" i="3" s="1"/>
  <c r="D809" i="3" s="1"/>
  <c r="D816" i="3" s="1"/>
  <c r="D823" i="3" s="1"/>
  <c r="D830" i="3" s="1"/>
  <c r="D837" i="3" s="1"/>
  <c r="D844" i="3" s="1"/>
  <c r="D851" i="3" s="1"/>
  <c r="D858" i="3" s="1"/>
  <c r="D865" i="3" s="1"/>
  <c r="D872" i="3" s="1"/>
  <c r="D879" i="3" s="1"/>
  <c r="B774" i="3"/>
  <c r="B781" i="3" s="1"/>
  <c r="B788" i="3" s="1"/>
  <c r="B795" i="3" s="1"/>
  <c r="B802" i="3" s="1"/>
  <c r="B809" i="3" s="1"/>
  <c r="B816" i="3" s="1"/>
  <c r="B823" i="3" s="1"/>
  <c r="B830" i="3" s="1"/>
  <c r="B837" i="3" s="1"/>
  <c r="B844" i="3" s="1"/>
  <c r="B851" i="3" s="1"/>
  <c r="B858" i="3" s="1"/>
  <c r="B865" i="3" s="1"/>
  <c r="B872" i="3" s="1"/>
  <c r="B879" i="3" s="1"/>
  <c r="A774" i="3"/>
  <c r="A781" i="3" s="1"/>
  <c r="A788" i="3" s="1"/>
  <c r="A795" i="3" s="1"/>
  <c r="A802" i="3" s="1"/>
  <c r="A809" i="3" s="1"/>
  <c r="A816" i="3" s="1"/>
  <c r="A823" i="3" s="1"/>
  <c r="A830" i="3" s="1"/>
  <c r="A837" i="3" s="1"/>
  <c r="A844" i="3" s="1"/>
  <c r="A851" i="3" s="1"/>
  <c r="A858" i="3" s="1"/>
  <c r="A865" i="3" s="1"/>
  <c r="A872" i="3" s="1"/>
  <c r="A879" i="3" s="1"/>
  <c r="Q771" i="3"/>
  <c r="H769" i="3"/>
  <c r="N768" i="3"/>
  <c r="M768" i="3"/>
  <c r="L768" i="3"/>
  <c r="K768" i="3"/>
  <c r="I768" i="3"/>
  <c r="C768" i="3"/>
  <c r="D768" i="3" s="1"/>
  <c r="R767" i="3"/>
  <c r="P767" i="3"/>
  <c r="P774" i="3" s="1"/>
  <c r="P781" i="3" s="1"/>
  <c r="P788" i="3" s="1"/>
  <c r="P795" i="3" s="1"/>
  <c r="P802" i="3" s="1"/>
  <c r="P809" i="3" s="1"/>
  <c r="P816" i="3" s="1"/>
  <c r="P823" i="3" s="1"/>
  <c r="P830" i="3" s="1"/>
  <c r="P837" i="3" s="1"/>
  <c r="P844" i="3" s="1"/>
  <c r="P851" i="3" s="1"/>
  <c r="P858" i="3" s="1"/>
  <c r="P865" i="3" s="1"/>
  <c r="P872" i="3" s="1"/>
  <c r="P879" i="3" s="1"/>
  <c r="O767" i="3"/>
  <c r="O774" i="3" s="1"/>
  <c r="O781" i="3" s="1"/>
  <c r="O788" i="3" s="1"/>
  <c r="O795" i="3" s="1"/>
  <c r="O802" i="3" s="1"/>
  <c r="O809" i="3" s="1"/>
  <c r="O816" i="3" s="1"/>
  <c r="O823" i="3" s="1"/>
  <c r="O830" i="3" s="1"/>
  <c r="O837" i="3" s="1"/>
  <c r="O844" i="3" s="1"/>
  <c r="O851" i="3" s="1"/>
  <c r="O858" i="3" s="1"/>
  <c r="O865" i="3" s="1"/>
  <c r="O872" i="3" s="1"/>
  <c r="O879" i="3" s="1"/>
  <c r="N767" i="3"/>
  <c r="L767" i="3"/>
  <c r="K767" i="3"/>
  <c r="H767" i="3"/>
  <c r="H762" i="3"/>
  <c r="H763" i="3" s="1"/>
  <c r="N761" i="3"/>
  <c r="N763" i="3" s="1"/>
  <c r="M761" i="3"/>
  <c r="L761" i="3"/>
  <c r="L763" i="3" s="1"/>
  <c r="K761" i="3"/>
  <c r="K763" i="3" s="1"/>
  <c r="I761" i="3"/>
  <c r="C761" i="3"/>
  <c r="D761" i="3" s="1"/>
  <c r="N754" i="3"/>
  <c r="M754" i="3"/>
  <c r="K754" i="3"/>
  <c r="C754" i="3"/>
  <c r="B754" i="3"/>
  <c r="N747" i="3"/>
  <c r="M747" i="3"/>
  <c r="K747" i="3"/>
  <c r="C747" i="3"/>
  <c r="B747" i="3"/>
  <c r="N740" i="3"/>
  <c r="M740" i="3"/>
  <c r="K740" i="3"/>
  <c r="C740" i="3"/>
  <c r="B740" i="3"/>
  <c r="N733" i="3"/>
  <c r="M733" i="3"/>
  <c r="K733" i="3"/>
  <c r="C733" i="3"/>
  <c r="B733" i="3"/>
  <c r="N726" i="3"/>
  <c r="M726" i="3"/>
  <c r="K726" i="3"/>
  <c r="C726" i="3"/>
  <c r="B726" i="3"/>
  <c r="N719" i="3"/>
  <c r="M719" i="3"/>
  <c r="K719" i="3"/>
  <c r="C719" i="3"/>
  <c r="B719" i="3"/>
  <c r="N712" i="3"/>
  <c r="M712" i="3"/>
  <c r="K712" i="3"/>
  <c r="C712" i="3"/>
  <c r="B712" i="3"/>
  <c r="N705" i="3"/>
  <c r="M705" i="3"/>
  <c r="K705" i="3"/>
  <c r="C705" i="3"/>
  <c r="B705" i="3"/>
  <c r="N698" i="3"/>
  <c r="M698" i="3"/>
  <c r="K698" i="3"/>
  <c r="C698" i="3"/>
  <c r="B698" i="3"/>
  <c r="N691" i="3"/>
  <c r="M691" i="3"/>
  <c r="K691" i="3"/>
  <c r="C691" i="3"/>
  <c r="B691" i="3"/>
  <c r="N684" i="3"/>
  <c r="M684" i="3"/>
  <c r="K684" i="3"/>
  <c r="C684" i="3"/>
  <c r="B684" i="3"/>
  <c r="N677" i="3"/>
  <c r="M677" i="3"/>
  <c r="K677" i="3"/>
  <c r="C677" i="3"/>
  <c r="B677" i="3"/>
  <c r="N670" i="3"/>
  <c r="M670" i="3"/>
  <c r="K670" i="3"/>
  <c r="C670" i="3"/>
  <c r="B670" i="3"/>
  <c r="N663" i="3"/>
  <c r="M663" i="3"/>
  <c r="K663" i="3"/>
  <c r="C663" i="3"/>
  <c r="B663" i="3"/>
  <c r="N656" i="3"/>
  <c r="M656" i="3"/>
  <c r="K656" i="3"/>
  <c r="C656" i="3"/>
  <c r="B656" i="3"/>
  <c r="N649" i="3"/>
  <c r="M649" i="3"/>
  <c r="K649" i="3"/>
  <c r="C649" i="3"/>
  <c r="B649" i="3"/>
  <c r="D648" i="3"/>
  <c r="D655" i="3" s="1"/>
  <c r="D662" i="3" s="1"/>
  <c r="D669" i="3" s="1"/>
  <c r="D676" i="3" s="1"/>
  <c r="D683" i="3" s="1"/>
  <c r="D690" i="3" s="1"/>
  <c r="D697" i="3" s="1"/>
  <c r="D704" i="3" s="1"/>
  <c r="D711" i="3" s="1"/>
  <c r="D718" i="3" s="1"/>
  <c r="D725" i="3" s="1"/>
  <c r="D732" i="3" s="1"/>
  <c r="D739" i="3" s="1"/>
  <c r="D746" i="3" s="1"/>
  <c r="D753" i="3" s="1"/>
  <c r="D760" i="3" s="1"/>
  <c r="B648" i="3"/>
  <c r="B655" i="3" s="1"/>
  <c r="B662" i="3" s="1"/>
  <c r="B669" i="3" s="1"/>
  <c r="B676" i="3" s="1"/>
  <c r="B683" i="3" s="1"/>
  <c r="B690" i="3" s="1"/>
  <c r="B697" i="3" s="1"/>
  <c r="B704" i="3" s="1"/>
  <c r="B711" i="3" s="1"/>
  <c r="B718" i="3" s="1"/>
  <c r="B725" i="3" s="1"/>
  <c r="B732" i="3" s="1"/>
  <c r="B739" i="3" s="1"/>
  <c r="B746" i="3" s="1"/>
  <c r="B753" i="3" s="1"/>
  <c r="A648" i="3"/>
  <c r="A655" i="3" s="1"/>
  <c r="A662" i="3" s="1"/>
  <c r="A669" i="3" s="1"/>
  <c r="A676" i="3" s="1"/>
  <c r="A683" i="3" s="1"/>
  <c r="A690" i="3" s="1"/>
  <c r="A697" i="3" s="1"/>
  <c r="A704" i="3" s="1"/>
  <c r="A711" i="3" s="1"/>
  <c r="A718" i="3" s="1"/>
  <c r="A725" i="3" s="1"/>
  <c r="A732" i="3" s="1"/>
  <c r="A739" i="3" s="1"/>
  <c r="A746" i="3" s="1"/>
  <c r="A753" i="3" s="1"/>
  <c r="N644" i="3"/>
  <c r="N642" i="3"/>
  <c r="M642" i="3"/>
  <c r="K642" i="3"/>
  <c r="C642" i="3"/>
  <c r="B642" i="3"/>
  <c r="R641" i="3"/>
  <c r="P641" i="3"/>
  <c r="P648" i="3" s="1"/>
  <c r="P655" i="3" s="1"/>
  <c r="P662" i="3" s="1"/>
  <c r="P669" i="3" s="1"/>
  <c r="P676" i="3" s="1"/>
  <c r="P683" i="3" s="1"/>
  <c r="P690" i="3" s="1"/>
  <c r="P697" i="3" s="1"/>
  <c r="P704" i="3" s="1"/>
  <c r="P711" i="3" s="1"/>
  <c r="P718" i="3" s="1"/>
  <c r="P725" i="3" s="1"/>
  <c r="P732" i="3" s="1"/>
  <c r="P739" i="3" s="1"/>
  <c r="P746" i="3" s="1"/>
  <c r="P753" i="3" s="1"/>
  <c r="O641" i="3"/>
  <c r="O648" i="3" s="1"/>
  <c r="O655" i="3" s="1"/>
  <c r="O662" i="3" s="1"/>
  <c r="O669" i="3" s="1"/>
  <c r="O676" i="3" s="1"/>
  <c r="O683" i="3" s="1"/>
  <c r="O690" i="3" s="1"/>
  <c r="O697" i="3" s="1"/>
  <c r="O704" i="3" s="1"/>
  <c r="O711" i="3" s="1"/>
  <c r="O718" i="3" s="1"/>
  <c r="O725" i="3" s="1"/>
  <c r="O732" i="3" s="1"/>
  <c r="O739" i="3" s="1"/>
  <c r="O746" i="3" s="1"/>
  <c r="O753" i="3" s="1"/>
  <c r="N641" i="3"/>
  <c r="N648" i="3" s="1"/>
  <c r="L641" i="3"/>
  <c r="K641" i="3"/>
  <c r="H641" i="3"/>
  <c r="N635" i="3"/>
  <c r="N637" i="3" s="1"/>
  <c r="M635" i="3"/>
  <c r="K635" i="3"/>
  <c r="K637" i="3" s="1"/>
  <c r="C635" i="3"/>
  <c r="B635" i="3"/>
  <c r="N628" i="3"/>
  <c r="M628" i="3"/>
  <c r="K628" i="3"/>
  <c r="C628" i="3"/>
  <c r="B628" i="3"/>
  <c r="N621" i="3"/>
  <c r="M621" i="3"/>
  <c r="K621" i="3"/>
  <c r="C621" i="3"/>
  <c r="B621" i="3"/>
  <c r="N614" i="3"/>
  <c r="M614" i="3"/>
  <c r="K614" i="3"/>
  <c r="C614" i="3"/>
  <c r="B614" i="3"/>
  <c r="N607" i="3"/>
  <c r="M607" i="3"/>
  <c r="K607" i="3"/>
  <c r="C607" i="3"/>
  <c r="B607" i="3"/>
  <c r="N600" i="3"/>
  <c r="M600" i="3"/>
  <c r="K600" i="3"/>
  <c r="C600" i="3"/>
  <c r="B600" i="3"/>
  <c r="N593" i="3"/>
  <c r="M593" i="3"/>
  <c r="K593" i="3"/>
  <c r="C593" i="3"/>
  <c r="B593" i="3"/>
  <c r="N586" i="3"/>
  <c r="M586" i="3"/>
  <c r="K586" i="3"/>
  <c r="C586" i="3"/>
  <c r="B586" i="3"/>
  <c r="N579" i="3"/>
  <c r="M579" i="3"/>
  <c r="K579" i="3"/>
  <c r="C579" i="3"/>
  <c r="B579" i="3"/>
  <c r="N572" i="3"/>
  <c r="M572" i="3"/>
  <c r="K572" i="3"/>
  <c r="C572" i="3"/>
  <c r="B572" i="3"/>
  <c r="N565" i="3"/>
  <c r="M565" i="3"/>
  <c r="K565" i="3"/>
  <c r="C565" i="3"/>
  <c r="B565" i="3"/>
  <c r="N558" i="3"/>
  <c r="M558" i="3"/>
  <c r="K558" i="3"/>
  <c r="C558" i="3"/>
  <c r="B558" i="3"/>
  <c r="N551" i="3"/>
  <c r="M551" i="3"/>
  <c r="K551" i="3"/>
  <c r="C551" i="3"/>
  <c r="B551" i="3"/>
  <c r="N544" i="3"/>
  <c r="M544" i="3"/>
  <c r="K544" i="3"/>
  <c r="C544" i="3"/>
  <c r="B544" i="3"/>
  <c r="N537" i="3"/>
  <c r="M537" i="3"/>
  <c r="K537" i="3"/>
  <c r="C537" i="3"/>
  <c r="B537" i="3"/>
  <c r="N530" i="3"/>
  <c r="M530" i="3"/>
  <c r="K530" i="3"/>
  <c r="C530" i="3"/>
  <c r="B530" i="3"/>
  <c r="N523" i="3"/>
  <c r="M523" i="3"/>
  <c r="K523" i="3"/>
  <c r="C523" i="3"/>
  <c r="B523" i="3"/>
  <c r="D522" i="3"/>
  <c r="D529" i="3" s="1"/>
  <c r="D536" i="3" s="1"/>
  <c r="D543" i="3" s="1"/>
  <c r="D550" i="3" s="1"/>
  <c r="D557" i="3" s="1"/>
  <c r="D564" i="3" s="1"/>
  <c r="D571" i="3" s="1"/>
  <c r="D578" i="3" s="1"/>
  <c r="D585" i="3" s="1"/>
  <c r="D592" i="3" s="1"/>
  <c r="D599" i="3" s="1"/>
  <c r="D606" i="3" s="1"/>
  <c r="D613" i="3" s="1"/>
  <c r="D620" i="3" s="1"/>
  <c r="D627" i="3" s="1"/>
  <c r="B522" i="3"/>
  <c r="B529" i="3" s="1"/>
  <c r="B536" i="3" s="1"/>
  <c r="B543" i="3" s="1"/>
  <c r="B550" i="3" s="1"/>
  <c r="B557" i="3" s="1"/>
  <c r="B564" i="3" s="1"/>
  <c r="B571" i="3" s="1"/>
  <c r="B578" i="3" s="1"/>
  <c r="B585" i="3" s="1"/>
  <c r="B592" i="3" s="1"/>
  <c r="B599" i="3" s="1"/>
  <c r="B606" i="3" s="1"/>
  <c r="B613" i="3" s="1"/>
  <c r="B620" i="3" s="1"/>
  <c r="B627" i="3" s="1"/>
  <c r="A522" i="3"/>
  <c r="A529" i="3" s="1"/>
  <c r="A536" i="3" s="1"/>
  <c r="A543" i="3" s="1"/>
  <c r="A550" i="3" s="1"/>
  <c r="A557" i="3" s="1"/>
  <c r="A564" i="3" s="1"/>
  <c r="A571" i="3" s="1"/>
  <c r="A578" i="3" s="1"/>
  <c r="A585" i="3" s="1"/>
  <c r="A592" i="3" s="1"/>
  <c r="A599" i="3" s="1"/>
  <c r="A606" i="3" s="1"/>
  <c r="A613" i="3" s="1"/>
  <c r="A620" i="3" s="1"/>
  <c r="A627" i="3" s="1"/>
  <c r="N516" i="3"/>
  <c r="M516" i="3"/>
  <c r="K516" i="3"/>
  <c r="C516" i="3"/>
  <c r="B516" i="3"/>
  <c r="R515" i="3"/>
  <c r="P515" i="3"/>
  <c r="P522" i="3" s="1"/>
  <c r="P529" i="3" s="1"/>
  <c r="P536" i="3" s="1"/>
  <c r="P543" i="3" s="1"/>
  <c r="P550" i="3" s="1"/>
  <c r="P557" i="3" s="1"/>
  <c r="P564" i="3" s="1"/>
  <c r="P571" i="3" s="1"/>
  <c r="P578" i="3" s="1"/>
  <c r="P585" i="3" s="1"/>
  <c r="P592" i="3" s="1"/>
  <c r="P599" i="3" s="1"/>
  <c r="P606" i="3" s="1"/>
  <c r="P613" i="3" s="1"/>
  <c r="P620" i="3" s="1"/>
  <c r="P627" i="3" s="1"/>
  <c r="O515" i="3"/>
  <c r="O522" i="3" s="1"/>
  <c r="O529" i="3" s="1"/>
  <c r="O536" i="3" s="1"/>
  <c r="O543" i="3" s="1"/>
  <c r="O550" i="3" s="1"/>
  <c r="O557" i="3" s="1"/>
  <c r="O564" i="3" s="1"/>
  <c r="O571" i="3" s="1"/>
  <c r="O578" i="3" s="1"/>
  <c r="O585" i="3" s="1"/>
  <c r="O592" i="3" s="1"/>
  <c r="O599" i="3" s="1"/>
  <c r="O606" i="3" s="1"/>
  <c r="O613" i="3" s="1"/>
  <c r="O620" i="3" s="1"/>
  <c r="O627" i="3" s="1"/>
  <c r="N515" i="3"/>
  <c r="L515" i="3"/>
  <c r="K515" i="3"/>
  <c r="H515" i="3"/>
  <c r="N509" i="3"/>
  <c r="N511" i="3" s="1"/>
  <c r="M509" i="3"/>
  <c r="K509" i="3"/>
  <c r="K511" i="3" s="1"/>
  <c r="C509" i="3"/>
  <c r="B509" i="3"/>
  <c r="N502" i="3"/>
  <c r="M502" i="3"/>
  <c r="K502" i="3"/>
  <c r="C502" i="3"/>
  <c r="B502" i="3"/>
  <c r="N495" i="3"/>
  <c r="M495" i="3"/>
  <c r="K495" i="3"/>
  <c r="C495" i="3"/>
  <c r="B495" i="3"/>
  <c r="N488" i="3"/>
  <c r="M488" i="3"/>
  <c r="K488" i="3"/>
  <c r="C488" i="3"/>
  <c r="B488" i="3"/>
  <c r="N481" i="3"/>
  <c r="M481" i="3"/>
  <c r="K481" i="3"/>
  <c r="C481" i="3"/>
  <c r="B481" i="3"/>
  <c r="N474" i="3"/>
  <c r="M474" i="3"/>
  <c r="K474" i="3"/>
  <c r="C474" i="3"/>
  <c r="B474" i="3"/>
  <c r="N467" i="3"/>
  <c r="M467" i="3"/>
  <c r="K467" i="3"/>
  <c r="C467" i="3"/>
  <c r="B467" i="3"/>
  <c r="N460" i="3"/>
  <c r="M460" i="3"/>
  <c r="K460" i="3"/>
  <c r="C460" i="3"/>
  <c r="B460" i="3"/>
  <c r="N453" i="3"/>
  <c r="M453" i="3"/>
  <c r="K453" i="3"/>
  <c r="C453" i="3"/>
  <c r="B453" i="3"/>
  <c r="N446" i="3"/>
  <c r="M446" i="3"/>
  <c r="K446" i="3"/>
  <c r="C446" i="3"/>
  <c r="B446" i="3"/>
  <c r="N439" i="3"/>
  <c r="M439" i="3"/>
  <c r="K439" i="3"/>
  <c r="C439" i="3"/>
  <c r="B439" i="3"/>
  <c r="N432" i="3"/>
  <c r="M432" i="3"/>
  <c r="K432" i="3"/>
  <c r="C432" i="3"/>
  <c r="B432" i="3"/>
  <c r="D426" i="3"/>
  <c r="D433" i="3" s="1"/>
  <c r="D552" i="3" s="1"/>
  <c r="D559" i="3" s="1"/>
  <c r="N425" i="3"/>
  <c r="M425" i="3"/>
  <c r="K425" i="3"/>
  <c r="C425" i="3"/>
  <c r="B425" i="3"/>
  <c r="N418" i="3"/>
  <c r="M418" i="3"/>
  <c r="K418" i="3"/>
  <c r="C418" i="3"/>
  <c r="B418" i="3"/>
  <c r="N411" i="3"/>
  <c r="M411" i="3"/>
  <c r="K411" i="3"/>
  <c r="C411" i="3"/>
  <c r="B411" i="3"/>
  <c r="D405" i="3"/>
  <c r="N404" i="3"/>
  <c r="M404" i="3"/>
  <c r="K404" i="3"/>
  <c r="C404" i="3"/>
  <c r="B404" i="3"/>
  <c r="N397" i="3"/>
  <c r="M397" i="3"/>
  <c r="K397" i="3"/>
  <c r="C397" i="3"/>
  <c r="B397" i="3"/>
  <c r="D396" i="3"/>
  <c r="D403" i="3" s="1"/>
  <c r="D410" i="3" s="1"/>
  <c r="D417" i="3" s="1"/>
  <c r="D424" i="3" s="1"/>
  <c r="D431" i="3" s="1"/>
  <c r="D438" i="3" s="1"/>
  <c r="D445" i="3" s="1"/>
  <c r="D452" i="3" s="1"/>
  <c r="D459" i="3" s="1"/>
  <c r="D466" i="3" s="1"/>
  <c r="D473" i="3" s="1"/>
  <c r="D480" i="3" s="1"/>
  <c r="D487" i="3" s="1"/>
  <c r="D494" i="3" s="1"/>
  <c r="D501" i="3" s="1"/>
  <c r="B396" i="3"/>
  <c r="B403" i="3" s="1"/>
  <c r="B410" i="3" s="1"/>
  <c r="B417" i="3" s="1"/>
  <c r="B424" i="3" s="1"/>
  <c r="B431" i="3" s="1"/>
  <c r="B438" i="3" s="1"/>
  <c r="B445" i="3" s="1"/>
  <c r="B452" i="3" s="1"/>
  <c r="B459" i="3" s="1"/>
  <c r="B466" i="3" s="1"/>
  <c r="B473" i="3" s="1"/>
  <c r="B480" i="3" s="1"/>
  <c r="B487" i="3" s="1"/>
  <c r="B494" i="3" s="1"/>
  <c r="B501" i="3" s="1"/>
  <c r="A396" i="3"/>
  <c r="A403" i="3" s="1"/>
  <c r="A410" i="3" s="1"/>
  <c r="A417" i="3" s="1"/>
  <c r="A424" i="3" s="1"/>
  <c r="A431" i="3" s="1"/>
  <c r="A438" i="3" s="1"/>
  <c r="A445" i="3" s="1"/>
  <c r="A452" i="3" s="1"/>
  <c r="A459" i="3" s="1"/>
  <c r="A466" i="3" s="1"/>
  <c r="A473" i="3" s="1"/>
  <c r="A480" i="3" s="1"/>
  <c r="A487" i="3" s="1"/>
  <c r="A494" i="3" s="1"/>
  <c r="A501" i="3" s="1"/>
  <c r="Q393" i="3"/>
  <c r="N390" i="3"/>
  <c r="M390" i="3"/>
  <c r="K390" i="3"/>
  <c r="C390" i="3"/>
  <c r="B390" i="3"/>
  <c r="R389" i="3"/>
  <c r="P389" i="3"/>
  <c r="P396" i="3" s="1"/>
  <c r="P403" i="3" s="1"/>
  <c r="P410" i="3" s="1"/>
  <c r="P417" i="3" s="1"/>
  <c r="P424" i="3" s="1"/>
  <c r="P431" i="3" s="1"/>
  <c r="P438" i="3" s="1"/>
  <c r="P445" i="3" s="1"/>
  <c r="P452" i="3" s="1"/>
  <c r="P459" i="3" s="1"/>
  <c r="P466" i="3" s="1"/>
  <c r="P473" i="3" s="1"/>
  <c r="P480" i="3" s="1"/>
  <c r="P487" i="3" s="1"/>
  <c r="P494" i="3" s="1"/>
  <c r="P501" i="3" s="1"/>
  <c r="O389" i="3"/>
  <c r="O396" i="3" s="1"/>
  <c r="O403" i="3" s="1"/>
  <c r="O410" i="3" s="1"/>
  <c r="O417" i="3" s="1"/>
  <c r="O424" i="3" s="1"/>
  <c r="O431" i="3" s="1"/>
  <c r="O438" i="3" s="1"/>
  <c r="O445" i="3" s="1"/>
  <c r="O452" i="3" s="1"/>
  <c r="O459" i="3" s="1"/>
  <c r="O466" i="3" s="1"/>
  <c r="O473" i="3" s="1"/>
  <c r="O480" i="3" s="1"/>
  <c r="O487" i="3" s="1"/>
  <c r="O494" i="3" s="1"/>
  <c r="O501" i="3" s="1"/>
  <c r="N389" i="3"/>
  <c r="L389" i="3"/>
  <c r="K389" i="3"/>
  <c r="H389" i="3"/>
  <c r="N383" i="3"/>
  <c r="N385" i="3" s="1"/>
  <c r="M383" i="3"/>
  <c r="K383" i="3"/>
  <c r="K385" i="3" s="1"/>
  <c r="C383" i="3"/>
  <c r="B383" i="3"/>
  <c r="N376" i="3"/>
  <c r="M376" i="3"/>
  <c r="K376" i="3"/>
  <c r="B376" i="3"/>
  <c r="N369" i="3"/>
  <c r="M369" i="3"/>
  <c r="K369" i="3"/>
  <c r="B369" i="3"/>
  <c r="N362" i="3"/>
  <c r="M362" i="3"/>
  <c r="K362" i="3"/>
  <c r="B362" i="3"/>
  <c r="N355" i="3"/>
  <c r="M355" i="3"/>
  <c r="K355" i="3"/>
  <c r="B355" i="3"/>
  <c r="N348" i="3"/>
  <c r="M348" i="3"/>
  <c r="K348" i="3"/>
  <c r="B348" i="3"/>
  <c r="N341" i="3"/>
  <c r="M341" i="3"/>
  <c r="K341" i="3"/>
  <c r="B341" i="3"/>
  <c r="N334" i="3"/>
  <c r="M334" i="3"/>
  <c r="K334" i="3"/>
  <c r="B334" i="3"/>
  <c r="N327" i="3"/>
  <c r="M327" i="3"/>
  <c r="K327" i="3"/>
  <c r="B327" i="3"/>
  <c r="N320" i="3"/>
  <c r="M320" i="3"/>
  <c r="K320" i="3"/>
  <c r="B320" i="3"/>
  <c r="N313" i="3"/>
  <c r="M313" i="3"/>
  <c r="K313" i="3"/>
  <c r="B313" i="3"/>
  <c r="N306" i="3"/>
  <c r="M306" i="3"/>
  <c r="K306" i="3"/>
  <c r="B306" i="3"/>
  <c r="N299" i="3"/>
  <c r="M299" i="3"/>
  <c r="K299" i="3"/>
  <c r="B299" i="3"/>
  <c r="N292" i="3"/>
  <c r="M292" i="3"/>
  <c r="K292" i="3"/>
  <c r="B292" i="3"/>
  <c r="N285" i="3"/>
  <c r="M285" i="3"/>
  <c r="K285" i="3"/>
  <c r="B285" i="3"/>
  <c r="N278" i="3"/>
  <c r="M278" i="3"/>
  <c r="K278" i="3"/>
  <c r="B278" i="3"/>
  <c r="N271" i="3"/>
  <c r="M271" i="3"/>
  <c r="K271" i="3"/>
  <c r="B271" i="3"/>
  <c r="D270" i="3"/>
  <c r="D277" i="3" s="1"/>
  <c r="D284" i="3" s="1"/>
  <c r="D291" i="3" s="1"/>
  <c r="D298" i="3" s="1"/>
  <c r="D305" i="3" s="1"/>
  <c r="D312" i="3" s="1"/>
  <c r="D319" i="3" s="1"/>
  <c r="D326" i="3" s="1"/>
  <c r="D333" i="3" s="1"/>
  <c r="D340" i="3" s="1"/>
  <c r="D347" i="3" s="1"/>
  <c r="D354" i="3" s="1"/>
  <c r="D361" i="3" s="1"/>
  <c r="D368" i="3" s="1"/>
  <c r="D375" i="3" s="1"/>
  <c r="D382" i="3" s="1"/>
  <c r="C270" i="3"/>
  <c r="C277" i="3" s="1"/>
  <c r="C284" i="3" s="1"/>
  <c r="C291" i="3" s="1"/>
  <c r="C298" i="3" s="1"/>
  <c r="C305" i="3" s="1"/>
  <c r="C312" i="3" s="1"/>
  <c r="C319" i="3" s="1"/>
  <c r="C326" i="3" s="1"/>
  <c r="C333" i="3" s="1"/>
  <c r="C340" i="3" s="1"/>
  <c r="C347" i="3" s="1"/>
  <c r="C354" i="3" s="1"/>
  <c r="C361" i="3" s="1"/>
  <c r="C368" i="3" s="1"/>
  <c r="C375" i="3" s="1"/>
  <c r="B270" i="3"/>
  <c r="B277" i="3" s="1"/>
  <c r="B284" i="3" s="1"/>
  <c r="B291" i="3" s="1"/>
  <c r="B298" i="3" s="1"/>
  <c r="B305" i="3" s="1"/>
  <c r="B312" i="3" s="1"/>
  <c r="B319" i="3" s="1"/>
  <c r="B326" i="3" s="1"/>
  <c r="B333" i="3" s="1"/>
  <c r="B340" i="3" s="1"/>
  <c r="B347" i="3" s="1"/>
  <c r="B354" i="3" s="1"/>
  <c r="B361" i="3" s="1"/>
  <c r="B368" i="3" s="1"/>
  <c r="B375" i="3" s="1"/>
  <c r="A270" i="3"/>
  <c r="A277" i="3" s="1"/>
  <c r="A284" i="3" s="1"/>
  <c r="A291" i="3" s="1"/>
  <c r="A298" i="3" s="1"/>
  <c r="A305" i="3" s="1"/>
  <c r="A312" i="3" s="1"/>
  <c r="A319" i="3" s="1"/>
  <c r="A326" i="3" s="1"/>
  <c r="A333" i="3" s="1"/>
  <c r="A340" i="3" s="1"/>
  <c r="A347" i="3" s="1"/>
  <c r="A354" i="3" s="1"/>
  <c r="A361" i="3" s="1"/>
  <c r="A368" i="3" s="1"/>
  <c r="A375" i="3" s="1"/>
  <c r="N264" i="3"/>
  <c r="M264" i="3"/>
  <c r="K264" i="3"/>
  <c r="B264" i="3"/>
  <c r="R263" i="3"/>
  <c r="P263" i="3"/>
  <c r="P270" i="3" s="1"/>
  <c r="P277" i="3" s="1"/>
  <c r="P284" i="3" s="1"/>
  <c r="P291" i="3" s="1"/>
  <c r="P298" i="3" s="1"/>
  <c r="P305" i="3" s="1"/>
  <c r="P312" i="3" s="1"/>
  <c r="P319" i="3" s="1"/>
  <c r="P326" i="3" s="1"/>
  <c r="P333" i="3" s="1"/>
  <c r="P340" i="3" s="1"/>
  <c r="P347" i="3" s="1"/>
  <c r="P354" i="3" s="1"/>
  <c r="P361" i="3" s="1"/>
  <c r="P368" i="3" s="1"/>
  <c r="P375" i="3" s="1"/>
  <c r="O263" i="3"/>
  <c r="O270" i="3" s="1"/>
  <c r="O277" i="3" s="1"/>
  <c r="O284" i="3" s="1"/>
  <c r="O291" i="3" s="1"/>
  <c r="O298" i="3" s="1"/>
  <c r="O305" i="3" s="1"/>
  <c r="O312" i="3" s="1"/>
  <c r="O319" i="3" s="1"/>
  <c r="O326" i="3" s="1"/>
  <c r="O333" i="3" s="1"/>
  <c r="O340" i="3" s="1"/>
  <c r="O347" i="3" s="1"/>
  <c r="O354" i="3" s="1"/>
  <c r="O361" i="3" s="1"/>
  <c r="O368" i="3" s="1"/>
  <c r="O375" i="3" s="1"/>
  <c r="N263" i="3"/>
  <c r="L263" i="3"/>
  <c r="K263" i="3"/>
  <c r="H263" i="3"/>
  <c r="N257" i="3"/>
  <c r="N259" i="3" s="1"/>
  <c r="M257" i="3"/>
  <c r="K257" i="3"/>
  <c r="K259" i="3" s="1"/>
  <c r="B257" i="3"/>
  <c r="N250" i="3"/>
  <c r="M250" i="3"/>
  <c r="K250" i="3"/>
  <c r="B250" i="3"/>
  <c r="N243" i="3"/>
  <c r="M243" i="3"/>
  <c r="K243" i="3"/>
  <c r="B243" i="3"/>
  <c r="D237" i="3"/>
  <c r="N236" i="3"/>
  <c r="M236" i="3"/>
  <c r="K236" i="3"/>
  <c r="B236" i="3"/>
  <c r="N229" i="3"/>
  <c r="M229" i="3"/>
  <c r="K229" i="3"/>
  <c r="B229" i="3"/>
  <c r="N222" i="3"/>
  <c r="M222" i="3"/>
  <c r="K222" i="3"/>
  <c r="B222" i="3"/>
  <c r="N215" i="3"/>
  <c r="M215" i="3"/>
  <c r="K215" i="3"/>
  <c r="B215" i="3"/>
  <c r="N208" i="3"/>
  <c r="M208" i="3"/>
  <c r="K208" i="3"/>
  <c r="B208" i="3"/>
  <c r="N201" i="3"/>
  <c r="M201" i="3"/>
  <c r="K201" i="3"/>
  <c r="B201" i="3"/>
  <c r="N194" i="3"/>
  <c r="M194" i="3"/>
  <c r="K194" i="3"/>
  <c r="B194" i="3"/>
  <c r="N187" i="3"/>
  <c r="M187" i="3"/>
  <c r="K187" i="3"/>
  <c r="B187" i="3"/>
  <c r="N180" i="3"/>
  <c r="M180" i="3"/>
  <c r="K180" i="3"/>
  <c r="B180" i="3"/>
  <c r="N173" i="3"/>
  <c r="M173" i="3"/>
  <c r="K173" i="3"/>
  <c r="B173" i="3"/>
  <c r="N166" i="3"/>
  <c r="M166" i="3"/>
  <c r="K166" i="3"/>
  <c r="B166" i="3"/>
  <c r="N159" i="3"/>
  <c r="M159" i="3"/>
  <c r="K159" i="3"/>
  <c r="B159" i="3"/>
  <c r="N152" i="3"/>
  <c r="M152" i="3"/>
  <c r="K152" i="3"/>
  <c r="B152" i="3"/>
  <c r="N145" i="3"/>
  <c r="M145" i="3"/>
  <c r="K145" i="3"/>
  <c r="B145" i="3"/>
  <c r="D144" i="3"/>
  <c r="D151" i="3" s="1"/>
  <c r="D158" i="3" s="1"/>
  <c r="D165" i="3" s="1"/>
  <c r="D172" i="3" s="1"/>
  <c r="D179" i="3" s="1"/>
  <c r="D186" i="3" s="1"/>
  <c r="D193" i="3" s="1"/>
  <c r="D200" i="3" s="1"/>
  <c r="D207" i="3" s="1"/>
  <c r="D214" i="3" s="1"/>
  <c r="D221" i="3" s="1"/>
  <c r="D228" i="3" s="1"/>
  <c r="D235" i="3" s="1"/>
  <c r="D242" i="3" s="1"/>
  <c r="D249" i="3" s="1"/>
  <c r="C144" i="3"/>
  <c r="C151" i="3" s="1"/>
  <c r="C158" i="3" s="1"/>
  <c r="C165" i="3" s="1"/>
  <c r="C172" i="3" s="1"/>
  <c r="C179" i="3" s="1"/>
  <c r="C186" i="3" s="1"/>
  <c r="C193" i="3" s="1"/>
  <c r="C200" i="3" s="1"/>
  <c r="C207" i="3" s="1"/>
  <c r="C214" i="3" s="1"/>
  <c r="C221" i="3" s="1"/>
  <c r="C228" i="3" s="1"/>
  <c r="C235" i="3" s="1"/>
  <c r="C242" i="3" s="1"/>
  <c r="C249" i="3" s="1"/>
  <c r="B144" i="3"/>
  <c r="B151" i="3" s="1"/>
  <c r="B158" i="3" s="1"/>
  <c r="B165" i="3" s="1"/>
  <c r="B172" i="3" s="1"/>
  <c r="B179" i="3" s="1"/>
  <c r="B186" i="3" s="1"/>
  <c r="B193" i="3" s="1"/>
  <c r="B200" i="3" s="1"/>
  <c r="B207" i="3" s="1"/>
  <c r="B214" i="3" s="1"/>
  <c r="B221" i="3" s="1"/>
  <c r="B228" i="3" s="1"/>
  <c r="B235" i="3" s="1"/>
  <c r="B242" i="3" s="1"/>
  <c r="B249" i="3" s="1"/>
  <c r="A144" i="3"/>
  <c r="A151" i="3" s="1"/>
  <c r="A158" i="3" s="1"/>
  <c r="A165" i="3" s="1"/>
  <c r="A172" i="3" s="1"/>
  <c r="A179" i="3" s="1"/>
  <c r="A186" i="3" s="1"/>
  <c r="A193" i="3" s="1"/>
  <c r="A200" i="3" s="1"/>
  <c r="A207" i="3" s="1"/>
  <c r="A214" i="3" s="1"/>
  <c r="A221" i="3" s="1"/>
  <c r="A228" i="3" s="1"/>
  <c r="A235" i="3" s="1"/>
  <c r="A242" i="3" s="1"/>
  <c r="A249" i="3" s="1"/>
  <c r="N138" i="3"/>
  <c r="M138" i="3"/>
  <c r="K138" i="3"/>
  <c r="B138" i="3"/>
  <c r="R137" i="3"/>
  <c r="P137" i="3"/>
  <c r="P144" i="3" s="1"/>
  <c r="P151" i="3" s="1"/>
  <c r="P158" i="3" s="1"/>
  <c r="P165" i="3" s="1"/>
  <c r="P172" i="3" s="1"/>
  <c r="P179" i="3" s="1"/>
  <c r="P186" i="3" s="1"/>
  <c r="P193" i="3" s="1"/>
  <c r="P200" i="3" s="1"/>
  <c r="P207" i="3" s="1"/>
  <c r="P214" i="3" s="1"/>
  <c r="P221" i="3" s="1"/>
  <c r="P228" i="3" s="1"/>
  <c r="P235" i="3" s="1"/>
  <c r="P242" i="3" s="1"/>
  <c r="P249" i="3" s="1"/>
  <c r="O137" i="3"/>
  <c r="O144" i="3" s="1"/>
  <c r="O151" i="3" s="1"/>
  <c r="O158" i="3" s="1"/>
  <c r="O165" i="3" s="1"/>
  <c r="O172" i="3" s="1"/>
  <c r="O179" i="3" s="1"/>
  <c r="O186" i="3" s="1"/>
  <c r="O193" i="3" s="1"/>
  <c r="O200" i="3" s="1"/>
  <c r="O207" i="3" s="1"/>
  <c r="O214" i="3" s="1"/>
  <c r="O221" i="3" s="1"/>
  <c r="O228" i="3" s="1"/>
  <c r="O235" i="3" s="1"/>
  <c r="O242" i="3" s="1"/>
  <c r="O249" i="3" s="1"/>
  <c r="N137" i="3"/>
  <c r="L137" i="3"/>
  <c r="K137" i="3"/>
  <c r="H137" i="3"/>
  <c r="N131" i="3"/>
  <c r="N133" i="3" s="1"/>
  <c r="M131" i="3"/>
  <c r="K131" i="3"/>
  <c r="K133" i="3" s="1"/>
  <c r="B131" i="3"/>
  <c r="N124" i="3"/>
  <c r="M124" i="3"/>
  <c r="K124" i="3"/>
  <c r="B124" i="3"/>
  <c r="N117" i="3"/>
  <c r="M117" i="3"/>
  <c r="K117" i="3"/>
  <c r="B117" i="3"/>
  <c r="D111" i="3"/>
  <c r="D118" i="3" s="1"/>
  <c r="D125" i="3" s="1"/>
  <c r="N110" i="3"/>
  <c r="M110" i="3"/>
  <c r="K110" i="3"/>
  <c r="B110" i="3"/>
  <c r="N103" i="3"/>
  <c r="M103" i="3"/>
  <c r="K103" i="3"/>
  <c r="B103" i="3"/>
  <c r="N96" i="3"/>
  <c r="M96" i="3"/>
  <c r="K96" i="3"/>
  <c r="B96" i="3"/>
  <c r="D90" i="3"/>
  <c r="D97" i="3" s="1"/>
  <c r="N89" i="3"/>
  <c r="M89" i="3"/>
  <c r="K89" i="3"/>
  <c r="B89" i="3"/>
  <c r="N82" i="3"/>
  <c r="M82" i="3"/>
  <c r="K82" i="3"/>
  <c r="B82" i="3"/>
  <c r="N75" i="3"/>
  <c r="M75" i="3"/>
  <c r="K75" i="3"/>
  <c r="B75" i="3"/>
  <c r="D69" i="3"/>
  <c r="D76" i="3" s="1"/>
  <c r="D83" i="3" s="1"/>
  <c r="D195" i="3" s="1"/>
  <c r="D202" i="3" s="1"/>
  <c r="D209" i="3" s="1"/>
  <c r="D321" i="3" s="1"/>
  <c r="D328" i="3" s="1"/>
  <c r="N68" i="3"/>
  <c r="M68" i="3"/>
  <c r="K68" i="3"/>
  <c r="B68" i="3"/>
  <c r="N61" i="3"/>
  <c r="M61" i="3"/>
  <c r="K61" i="3"/>
  <c r="B61" i="3"/>
  <c r="N54" i="3"/>
  <c r="M54" i="3"/>
  <c r="K54" i="3"/>
  <c r="B54" i="3"/>
  <c r="D48" i="3"/>
  <c r="D55" i="3" s="1"/>
  <c r="N47" i="3"/>
  <c r="M47" i="3"/>
  <c r="K47" i="3"/>
  <c r="B47" i="3"/>
  <c r="N40" i="3"/>
  <c r="M40" i="3"/>
  <c r="K40" i="3"/>
  <c r="B40" i="3"/>
  <c r="N33" i="3"/>
  <c r="M33" i="3"/>
  <c r="K33" i="3"/>
  <c r="B33" i="3"/>
  <c r="D27" i="3"/>
  <c r="N26" i="3"/>
  <c r="M26" i="3"/>
  <c r="K26" i="3"/>
  <c r="B26" i="3"/>
  <c r="N19" i="3"/>
  <c r="M19" i="3"/>
  <c r="K19" i="3"/>
  <c r="B19" i="3"/>
  <c r="I18" i="3"/>
  <c r="D18" i="3"/>
  <c r="D25" i="3" s="1"/>
  <c r="D32" i="3" s="1"/>
  <c r="D39" i="3" s="1"/>
  <c r="D46" i="3" s="1"/>
  <c r="D53" i="3" s="1"/>
  <c r="D60" i="3" s="1"/>
  <c r="D67" i="3" s="1"/>
  <c r="D74" i="3" s="1"/>
  <c r="D81" i="3" s="1"/>
  <c r="D88" i="3" s="1"/>
  <c r="D95" i="3" s="1"/>
  <c r="D102" i="3" s="1"/>
  <c r="D109" i="3" s="1"/>
  <c r="D116" i="3" s="1"/>
  <c r="D123" i="3" s="1"/>
  <c r="C18" i="3"/>
  <c r="C25" i="3" s="1"/>
  <c r="C32" i="3" s="1"/>
  <c r="C39" i="3" s="1"/>
  <c r="C46" i="3" s="1"/>
  <c r="C53" i="3" s="1"/>
  <c r="C60" i="3" s="1"/>
  <c r="C67" i="3" s="1"/>
  <c r="C74" i="3" s="1"/>
  <c r="C81" i="3" s="1"/>
  <c r="C88" i="3" s="1"/>
  <c r="C95" i="3" s="1"/>
  <c r="C102" i="3" s="1"/>
  <c r="C109" i="3" s="1"/>
  <c r="C116" i="3" s="1"/>
  <c r="C123" i="3" s="1"/>
  <c r="B18" i="3"/>
  <c r="B25" i="3" s="1"/>
  <c r="B32" i="3" s="1"/>
  <c r="B39" i="3" s="1"/>
  <c r="B46" i="3" s="1"/>
  <c r="B53" i="3" s="1"/>
  <c r="B60" i="3" s="1"/>
  <c r="B67" i="3" s="1"/>
  <c r="B74" i="3" s="1"/>
  <c r="B81" i="3" s="1"/>
  <c r="B88" i="3" s="1"/>
  <c r="B95" i="3" s="1"/>
  <c r="B102" i="3" s="1"/>
  <c r="B109" i="3" s="1"/>
  <c r="B116" i="3" s="1"/>
  <c r="B123" i="3" s="1"/>
  <c r="A18" i="3"/>
  <c r="A25" i="3" s="1"/>
  <c r="A32" i="3" s="1"/>
  <c r="A39" i="3" s="1"/>
  <c r="A46" i="3" s="1"/>
  <c r="A53" i="3" s="1"/>
  <c r="A60" i="3" s="1"/>
  <c r="A67" i="3" s="1"/>
  <c r="A74" i="3" s="1"/>
  <c r="A81" i="3" s="1"/>
  <c r="A88" i="3" s="1"/>
  <c r="A95" i="3" s="1"/>
  <c r="A102" i="3" s="1"/>
  <c r="A109" i="3" s="1"/>
  <c r="A116" i="3" s="1"/>
  <c r="A123" i="3" s="1"/>
  <c r="Q15" i="3"/>
  <c r="N12" i="3"/>
  <c r="M12" i="3"/>
  <c r="K12" i="3"/>
  <c r="B12" i="3"/>
  <c r="R11" i="3"/>
  <c r="P11" i="3"/>
  <c r="P18" i="3" s="1"/>
  <c r="P25" i="3" s="1"/>
  <c r="P32" i="3" s="1"/>
  <c r="P39" i="3" s="1"/>
  <c r="P46" i="3" s="1"/>
  <c r="P53" i="3" s="1"/>
  <c r="P60" i="3" s="1"/>
  <c r="P67" i="3" s="1"/>
  <c r="P74" i="3" s="1"/>
  <c r="P81" i="3" s="1"/>
  <c r="P88" i="3" s="1"/>
  <c r="P95" i="3" s="1"/>
  <c r="P102" i="3" s="1"/>
  <c r="P109" i="3" s="1"/>
  <c r="P116" i="3" s="1"/>
  <c r="P123" i="3" s="1"/>
  <c r="O11" i="3"/>
  <c r="O18" i="3" s="1"/>
  <c r="O25" i="3" s="1"/>
  <c r="O32" i="3" s="1"/>
  <c r="O39" i="3" s="1"/>
  <c r="O46" i="3" s="1"/>
  <c r="O53" i="3" s="1"/>
  <c r="O60" i="3" s="1"/>
  <c r="O67" i="3" s="1"/>
  <c r="O74" i="3" s="1"/>
  <c r="O81" i="3" s="1"/>
  <c r="O88" i="3" s="1"/>
  <c r="O95" i="3" s="1"/>
  <c r="O102" i="3" s="1"/>
  <c r="O109" i="3" s="1"/>
  <c r="O116" i="3" s="1"/>
  <c r="O123" i="3" s="1"/>
  <c r="N11" i="3"/>
  <c r="L11" i="3"/>
  <c r="K11" i="3"/>
  <c r="I11" i="3"/>
  <c r="H11" i="3"/>
  <c r="D6" i="3"/>
  <c r="N5" i="3"/>
  <c r="N7" i="3" s="1"/>
  <c r="M5" i="3"/>
  <c r="K5" i="3"/>
  <c r="K7" i="3" s="1"/>
  <c r="B5" i="3"/>
  <c r="Q4" i="3"/>
  <c r="Q11" i="3" s="1"/>
  <c r="Q18" i="3" s="1"/>
  <c r="Q25" i="3" s="1"/>
  <c r="Q32" i="3" s="1"/>
  <c r="Q39" i="3" s="1"/>
  <c r="Q46" i="3" s="1"/>
  <c r="Q53" i="3" s="1"/>
  <c r="Q60" i="3" s="1"/>
  <c r="Q67" i="3" s="1"/>
  <c r="Q74" i="3" s="1"/>
  <c r="Q81" i="3" s="1"/>
  <c r="Q88" i="3" s="1"/>
  <c r="Q95" i="3" s="1"/>
  <c r="Q102" i="3" s="1"/>
  <c r="Q109" i="3" s="1"/>
  <c r="Q116" i="3" s="1"/>
  <c r="Q123" i="3" s="1"/>
  <c r="Q130" i="3" s="1"/>
  <c r="Q137" i="3" s="1"/>
  <c r="Q144" i="3" s="1"/>
  <c r="Q151" i="3" s="1"/>
  <c r="Q158" i="3" s="1"/>
  <c r="Q165" i="3" s="1"/>
  <c r="Q172" i="3" s="1"/>
  <c r="Q179" i="3" s="1"/>
  <c r="Q186" i="3" s="1"/>
  <c r="Q193" i="3" s="1"/>
  <c r="Q200" i="3" s="1"/>
  <c r="Q207" i="3" s="1"/>
  <c r="Q214" i="3" s="1"/>
  <c r="Q221" i="3" s="1"/>
  <c r="Q228" i="3" s="1"/>
  <c r="Q235" i="3" s="1"/>
  <c r="Q242" i="3" s="1"/>
  <c r="Q249" i="3" s="1"/>
  <c r="Q256" i="3" s="1"/>
  <c r="Q263" i="3" s="1"/>
  <c r="Q270" i="3" s="1"/>
  <c r="Q277" i="3" s="1"/>
  <c r="Q284" i="3" s="1"/>
  <c r="Q291" i="3" s="1"/>
  <c r="Q298" i="3" s="1"/>
  <c r="Q305" i="3" s="1"/>
  <c r="Q312" i="3" s="1"/>
  <c r="Q319" i="3" s="1"/>
  <c r="Q326" i="3" s="1"/>
  <c r="Q333" i="3" s="1"/>
  <c r="Q340" i="3" s="1"/>
  <c r="Q347" i="3" s="1"/>
  <c r="Q354" i="3" s="1"/>
  <c r="Q361" i="3" s="1"/>
  <c r="Q368" i="3" s="1"/>
  <c r="Q375" i="3" s="1"/>
  <c r="Q382" i="3" s="1"/>
  <c r="Q389" i="3" s="1"/>
  <c r="Q396" i="3" s="1"/>
  <c r="Q403" i="3" s="1"/>
  <c r="Q410" i="3" s="1"/>
  <c r="Q417" i="3" s="1"/>
  <c r="Q424" i="3" s="1"/>
  <c r="Q431" i="3" s="1"/>
  <c r="Q438" i="3" s="1"/>
  <c r="Q445" i="3" s="1"/>
  <c r="Q452" i="3" s="1"/>
  <c r="Q459" i="3" s="1"/>
  <c r="Q466" i="3" s="1"/>
  <c r="Q473" i="3" s="1"/>
  <c r="Q480" i="3" s="1"/>
  <c r="Q487" i="3" s="1"/>
  <c r="Q494" i="3" s="1"/>
  <c r="Q501" i="3" s="1"/>
  <c r="Q508" i="3" s="1"/>
  <c r="Q515" i="3" s="1"/>
  <c r="Q522" i="3" s="1"/>
  <c r="Q529" i="3" s="1"/>
  <c r="Q536" i="3" s="1"/>
  <c r="Q543" i="3" s="1"/>
  <c r="Q550" i="3" s="1"/>
  <c r="Q557" i="3" s="1"/>
  <c r="Q564" i="3" s="1"/>
  <c r="Q571" i="3" s="1"/>
  <c r="Q578" i="3" s="1"/>
  <c r="Q585" i="3" s="1"/>
  <c r="Q592" i="3" s="1"/>
  <c r="Q599" i="3" s="1"/>
  <c r="Q606" i="3" s="1"/>
  <c r="Q613" i="3" s="1"/>
  <c r="Q620" i="3" s="1"/>
  <c r="Q627" i="3" s="1"/>
  <c r="Q634" i="3" s="1"/>
  <c r="Q641" i="3" s="1"/>
  <c r="Q648" i="3" s="1"/>
  <c r="Q655" i="3" s="1"/>
  <c r="Q662" i="3" s="1"/>
  <c r="Q669" i="3" s="1"/>
  <c r="Q676" i="3" s="1"/>
  <c r="Q683" i="3" s="1"/>
  <c r="Q690" i="3" s="1"/>
  <c r="Q697" i="3" s="1"/>
  <c r="Q704" i="3" s="1"/>
  <c r="Q711" i="3" s="1"/>
  <c r="Q718" i="3" s="1"/>
  <c r="Q725" i="3" s="1"/>
  <c r="Q732" i="3" s="1"/>
  <c r="Q739" i="3" s="1"/>
  <c r="Q746" i="3" s="1"/>
  <c r="Q753" i="3" s="1"/>
  <c r="Q760" i="3" s="1"/>
  <c r="Q767" i="3" s="1"/>
  <c r="Q774" i="3" s="1"/>
  <c r="Q781" i="3" s="1"/>
  <c r="Q788" i="3" s="1"/>
  <c r="Q795" i="3" s="1"/>
  <c r="Q802" i="3" s="1"/>
  <c r="Q809" i="3" s="1"/>
  <c r="Q816" i="3" s="1"/>
  <c r="Q823" i="3" s="1"/>
  <c r="Q830" i="3" s="1"/>
  <c r="Q837" i="3" s="1"/>
  <c r="Q844" i="3" s="1"/>
  <c r="Q851" i="3" s="1"/>
  <c r="Q858" i="3" s="1"/>
  <c r="Q865" i="3" s="1"/>
  <c r="Q872" i="3" s="1"/>
  <c r="Q879" i="3" s="1"/>
  <c r="Q886" i="3" s="1"/>
  <c r="Q893" i="3" s="1"/>
  <c r="Q900" i="3" s="1"/>
  <c r="Q907" i="3" s="1"/>
  <c r="Q914" i="3" s="1"/>
  <c r="Q921" i="3" s="1"/>
  <c r="Q928" i="3" s="1"/>
  <c r="Q935" i="3" s="1"/>
  <c r="Q942" i="3" s="1"/>
  <c r="Q949" i="3" s="1"/>
  <c r="Q956" i="3" s="1"/>
  <c r="Q963" i="3" s="1"/>
  <c r="Q970" i="3" s="1"/>
  <c r="Q977" i="3" s="1"/>
  <c r="Q984" i="3" s="1"/>
  <c r="Q991" i="3" s="1"/>
  <c r="Q998" i="3" s="1"/>
  <c r="Q1005" i="3" s="1"/>
  <c r="Q1012" i="3" s="1"/>
  <c r="Q1019" i="3" s="1"/>
  <c r="Q1026" i="3" s="1"/>
  <c r="Q1033" i="3" s="1"/>
  <c r="Q1040" i="3" s="1"/>
  <c r="Q1047" i="3" s="1"/>
  <c r="Q1054" i="3" s="1"/>
  <c r="Q1061" i="3" s="1"/>
  <c r="Q1068" i="3" s="1"/>
  <c r="Q1075" i="3" s="1"/>
  <c r="Q1082" i="3" s="1"/>
  <c r="Q1089" i="3" s="1"/>
  <c r="Q1096" i="3" s="1"/>
  <c r="Q1103" i="3" s="1"/>
  <c r="Q1110" i="3" s="1"/>
  <c r="Q1117" i="3" s="1"/>
  <c r="Q1124" i="3" s="1"/>
  <c r="Q1131" i="3" s="1"/>
  <c r="Q1138" i="3" s="1"/>
  <c r="Q1145" i="3" s="1"/>
  <c r="Q1152" i="3" s="1"/>
  <c r="Q1159" i="3" s="1"/>
  <c r="Q1166" i="3" s="1"/>
  <c r="Q1173" i="3" s="1"/>
  <c r="Q1180" i="3" s="1"/>
  <c r="Q1187" i="3" s="1"/>
  <c r="Q1194" i="3" s="1"/>
  <c r="Q1201" i="3" s="1"/>
  <c r="Q1208" i="3" s="1"/>
  <c r="Q1215" i="3" s="1"/>
  <c r="Q1222" i="3" s="1"/>
  <c r="Q1229" i="3" s="1"/>
  <c r="Q1236" i="3" s="1"/>
  <c r="Q1243" i="3" s="1"/>
  <c r="Q1250" i="3" s="1"/>
  <c r="Q1257" i="3" s="1"/>
  <c r="Q1264" i="3" s="1"/>
  <c r="Q1271" i="3" s="1"/>
  <c r="Q1278" i="3" s="1"/>
  <c r="Q1285" i="3" s="1"/>
  <c r="Q1292" i="3" s="1"/>
  <c r="Q1299" i="3" s="1"/>
  <c r="Q1306" i="3" s="1"/>
  <c r="Q1313" i="3" s="1"/>
  <c r="Q1320" i="3" s="1"/>
  <c r="Q1327" i="3" s="1"/>
  <c r="Q1334" i="3" s="1"/>
  <c r="Q1341" i="3" s="1"/>
  <c r="Q1348" i="3" s="1"/>
  <c r="Q1355" i="3" s="1"/>
  <c r="Q1362" i="3" s="1"/>
  <c r="Q1369" i="3" s="1"/>
  <c r="Q1376" i="3" s="1"/>
  <c r="Q1383" i="3" s="1"/>
  <c r="M4" i="3"/>
  <c r="J4" i="3"/>
  <c r="I4" i="3"/>
  <c r="G4" i="3"/>
  <c r="F4" i="3"/>
  <c r="E4" i="3"/>
  <c r="C11" i="2"/>
  <c r="D48" i="7" s="1"/>
  <c r="D104" i="7" s="1"/>
  <c r="X746" i="1"/>
  <c r="W746" i="1"/>
  <c r="V746" i="1"/>
  <c r="U746" i="1"/>
  <c r="X745" i="1"/>
  <c r="W745" i="1"/>
  <c r="V745" i="1"/>
  <c r="U745" i="1"/>
  <c r="X744" i="1"/>
  <c r="W744" i="1"/>
  <c r="V744" i="1"/>
  <c r="U744" i="1"/>
  <c r="X743" i="1"/>
  <c r="W743" i="1"/>
  <c r="V743" i="1"/>
  <c r="U743" i="1"/>
  <c r="X742" i="1"/>
  <c r="W742" i="1"/>
  <c r="V742" i="1"/>
  <c r="U742" i="1"/>
  <c r="X735" i="1"/>
  <c r="W735" i="1"/>
  <c r="V735" i="1"/>
  <c r="U735" i="1"/>
  <c r="T732" i="1"/>
  <c r="I732" i="1"/>
  <c r="A1318" i="8" s="1"/>
  <c r="T731" i="1"/>
  <c r="I731" i="1"/>
  <c r="A1311" i="8" s="1"/>
  <c r="T730" i="1"/>
  <c r="I730" i="1"/>
  <c r="A1304" i="8" s="1"/>
  <c r="T729" i="1"/>
  <c r="I729" i="1"/>
  <c r="A1297" i="8" s="1"/>
  <c r="T728" i="1"/>
  <c r="I728" i="1"/>
  <c r="A1290" i="8" s="1"/>
  <c r="T727" i="1"/>
  <c r="I727" i="1"/>
  <c r="A1283" i="8" s="1"/>
  <c r="T726" i="1"/>
  <c r="I726" i="1"/>
  <c r="A1276" i="8" s="1"/>
  <c r="T725" i="1"/>
  <c r="I725" i="1"/>
  <c r="A1269" i="8" s="1"/>
  <c r="T724" i="1"/>
  <c r="I724" i="1"/>
  <c r="A1262" i="8" s="1"/>
  <c r="T723" i="1"/>
  <c r="I723" i="1"/>
  <c r="A1255" i="8" s="1"/>
  <c r="T722" i="1"/>
  <c r="I722" i="1"/>
  <c r="A1248" i="8" s="1"/>
  <c r="T721" i="1"/>
  <c r="I721" i="1"/>
  <c r="A1241" i="8" s="1"/>
  <c r="T720" i="1"/>
  <c r="I720" i="1"/>
  <c r="A1234" i="8" s="1"/>
  <c r="T719" i="1"/>
  <c r="I719" i="1"/>
  <c r="A1227" i="8" s="1"/>
  <c r="I718" i="1"/>
  <c r="A1220" i="8" s="1"/>
  <c r="I717" i="1"/>
  <c r="A1213" i="8" s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A541" i="8" s="1"/>
  <c r="I620" i="1"/>
  <c r="A534" i="8" s="1"/>
  <c r="I619" i="1"/>
  <c r="A527" i="8" s="1"/>
  <c r="I618" i="1"/>
  <c r="A520" i="8" s="1"/>
  <c r="I617" i="1"/>
  <c r="A513" i="8" s="1"/>
  <c r="I616" i="1"/>
  <c r="A506" i="8" s="1"/>
  <c r="I615" i="1"/>
  <c r="A499" i="8" s="1"/>
  <c r="I614" i="1"/>
  <c r="A492" i="8" s="1"/>
  <c r="I613" i="1"/>
  <c r="A485" i="8" s="1"/>
  <c r="I612" i="1"/>
  <c r="A478" i="8" s="1"/>
  <c r="I611" i="1"/>
  <c r="A471" i="8" s="1"/>
  <c r="I610" i="1"/>
  <c r="A464" i="8" s="1"/>
  <c r="I609" i="1"/>
  <c r="A457" i="8" s="1"/>
  <c r="I608" i="1"/>
  <c r="A450" i="8" s="1"/>
  <c r="I607" i="1"/>
  <c r="A443" i="8" s="1"/>
  <c r="I606" i="1"/>
  <c r="A436" i="8" s="1"/>
  <c r="I605" i="1"/>
  <c r="A429" i="8" s="1"/>
  <c r="I604" i="1"/>
  <c r="A422" i="8" s="1"/>
  <c r="I603" i="1"/>
  <c r="A415" i="8" s="1"/>
  <c r="I602" i="1"/>
  <c r="A408" i="8" s="1"/>
  <c r="I601" i="1"/>
  <c r="A401" i="8" s="1"/>
  <c r="I600" i="1"/>
  <c r="A394" i="8" s="1"/>
  <c r="I599" i="1"/>
  <c r="A387" i="8" s="1"/>
  <c r="I598" i="1"/>
  <c r="A380" i="8" s="1"/>
  <c r="I597" i="1"/>
  <c r="A373" i="8" s="1"/>
  <c r="I596" i="1"/>
  <c r="A366" i="8" s="1"/>
  <c r="I595" i="1"/>
  <c r="A359" i="8" s="1"/>
  <c r="I594" i="1"/>
  <c r="A352" i="8" s="1"/>
  <c r="I593" i="1"/>
  <c r="A345" i="8" s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T541" i="1"/>
  <c r="I541" i="1"/>
  <c r="T540" i="1"/>
  <c r="I540" i="1"/>
  <c r="T539" i="1"/>
  <c r="I539" i="1"/>
  <c r="T538" i="1"/>
  <c r="I538" i="1"/>
  <c r="T537" i="1"/>
  <c r="I537" i="1"/>
  <c r="T536" i="1"/>
  <c r="I536" i="1"/>
  <c r="T535" i="1"/>
  <c r="I535" i="1"/>
  <c r="T534" i="1"/>
  <c r="I534" i="1"/>
  <c r="T533" i="1"/>
  <c r="I533" i="1"/>
  <c r="T532" i="1"/>
  <c r="I532" i="1"/>
  <c r="T531" i="1"/>
  <c r="I531" i="1"/>
  <c r="T530" i="1"/>
  <c r="I530" i="1"/>
  <c r="T529" i="1"/>
  <c r="I529" i="1"/>
  <c r="T528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A282" i="7" s="1"/>
  <c r="I509" i="1"/>
  <c r="A275" i="7" s="1"/>
  <c r="I508" i="1"/>
  <c r="A268" i="7" s="1"/>
  <c r="I507" i="1"/>
  <c r="A261" i="7" s="1"/>
  <c r="I506" i="1"/>
  <c r="A254" i="7" s="1"/>
  <c r="I505" i="1"/>
  <c r="A247" i="7" s="1"/>
  <c r="I504" i="1"/>
  <c r="A240" i="7" s="1"/>
  <c r="I503" i="1"/>
  <c r="A233" i="7" s="1"/>
  <c r="I502" i="1"/>
  <c r="A226" i="7" s="1"/>
  <c r="I501" i="1"/>
  <c r="A219" i="7" s="1"/>
  <c r="I500" i="1"/>
  <c r="A212" i="7" s="1"/>
  <c r="I499" i="1"/>
  <c r="A205" i="7" s="1"/>
  <c r="I498" i="1"/>
  <c r="A198" i="7" s="1"/>
  <c r="I497" i="1"/>
  <c r="A191" i="7" s="1"/>
  <c r="I496" i="1"/>
  <c r="A184" i="7" s="1"/>
  <c r="I495" i="1"/>
  <c r="A177" i="7" s="1"/>
  <c r="I494" i="1"/>
  <c r="A170" i="7" s="1"/>
  <c r="I493" i="1"/>
  <c r="A163" i="7" s="1"/>
  <c r="I492" i="1"/>
  <c r="A156" i="7" s="1"/>
  <c r="I491" i="1"/>
  <c r="A149" i="7" s="1"/>
  <c r="I490" i="1"/>
  <c r="A142" i="7" s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T469" i="1"/>
  <c r="I469" i="1"/>
  <c r="T468" i="1"/>
  <c r="I468" i="1"/>
  <c r="T467" i="1"/>
  <c r="I467" i="1"/>
  <c r="T466" i="1"/>
  <c r="I466" i="1"/>
  <c r="T465" i="1"/>
  <c r="I465" i="1"/>
  <c r="T464" i="1"/>
  <c r="I464" i="1"/>
  <c r="T463" i="1"/>
  <c r="I463" i="1"/>
  <c r="T462" i="1"/>
  <c r="I462" i="1"/>
  <c r="T461" i="1"/>
  <c r="I461" i="1"/>
  <c r="T460" i="1"/>
  <c r="I460" i="1"/>
  <c r="T459" i="1"/>
  <c r="I459" i="1"/>
  <c r="T458" i="1"/>
  <c r="I458" i="1"/>
  <c r="T457" i="1"/>
  <c r="I457" i="1"/>
  <c r="T456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G419" i="1"/>
  <c r="I419" i="1" s="1"/>
  <c r="A37" i="5" s="1"/>
  <c r="G418" i="1"/>
  <c r="I418" i="1" s="1"/>
  <c r="A30" i="5" s="1"/>
  <c r="G417" i="1"/>
  <c r="I417" i="1" s="1"/>
  <c r="A23" i="5" s="1"/>
  <c r="G416" i="1"/>
  <c r="I416" i="1" s="1"/>
  <c r="A16" i="5" s="1"/>
  <c r="G415" i="1"/>
  <c r="I415" i="1" s="1"/>
  <c r="A9" i="5" s="1"/>
  <c r="G414" i="1"/>
  <c r="I414" i="1" s="1"/>
  <c r="A2" i="5" s="1"/>
  <c r="T413" i="1"/>
  <c r="I413" i="1"/>
  <c r="T412" i="1"/>
  <c r="I412" i="1"/>
  <c r="T411" i="1"/>
  <c r="I411" i="1"/>
  <c r="T410" i="1"/>
  <c r="I410" i="1"/>
  <c r="A1360" i="4" s="1"/>
  <c r="T409" i="1"/>
  <c r="I409" i="1"/>
  <c r="A1353" i="4" s="1"/>
  <c r="T408" i="1"/>
  <c r="I408" i="1"/>
  <c r="A1346" i="4" s="1"/>
  <c r="T407" i="1"/>
  <c r="I407" i="1"/>
  <c r="A1339" i="4" s="1"/>
  <c r="T406" i="1"/>
  <c r="I406" i="1"/>
  <c r="A1332" i="4" s="1"/>
  <c r="T405" i="1"/>
  <c r="I405" i="1"/>
  <c r="A1325" i="4" s="1"/>
  <c r="T404" i="1"/>
  <c r="I404" i="1"/>
  <c r="A1318" i="4" s="1"/>
  <c r="T403" i="1"/>
  <c r="I403" i="1"/>
  <c r="A1311" i="4" s="1"/>
  <c r="T402" i="1"/>
  <c r="I402" i="1"/>
  <c r="A1304" i="4" s="1"/>
  <c r="T401" i="1"/>
  <c r="I401" i="1"/>
  <c r="A1297" i="4" s="1"/>
  <c r="T400" i="1"/>
  <c r="I400" i="1"/>
  <c r="A1290" i="4" s="1"/>
  <c r="I399" i="1"/>
  <c r="A1283" i="4" s="1"/>
  <c r="I398" i="1"/>
  <c r="A1276" i="4" s="1"/>
  <c r="I397" i="1"/>
  <c r="A1269" i="4" s="1"/>
  <c r="I396" i="1"/>
  <c r="A1262" i="4" s="1"/>
  <c r="I395" i="1"/>
  <c r="A1255" i="4" s="1"/>
  <c r="I394" i="1"/>
  <c r="A1248" i="4" s="1"/>
  <c r="I393" i="1"/>
  <c r="A1241" i="4" s="1"/>
  <c r="I392" i="1"/>
  <c r="A1234" i="4" s="1"/>
  <c r="I391" i="1"/>
  <c r="A1227" i="4" s="1"/>
  <c r="I390" i="1"/>
  <c r="A1220" i="4" s="1"/>
  <c r="I389" i="1"/>
  <c r="A1213" i="4" s="1"/>
  <c r="I388" i="1"/>
  <c r="I387" i="1"/>
  <c r="A1206" i="4" s="1"/>
  <c r="I386" i="1"/>
  <c r="A1199" i="4" s="1"/>
  <c r="I385" i="1"/>
  <c r="A1192" i="4" s="1"/>
  <c r="I384" i="1"/>
  <c r="A1185" i="4" s="1"/>
  <c r="I383" i="1"/>
  <c r="A1178" i="4" s="1"/>
  <c r="I382" i="1"/>
  <c r="A1171" i="4" s="1"/>
  <c r="I381" i="1"/>
  <c r="A1164" i="4" s="1"/>
  <c r="I380" i="1"/>
  <c r="A1157" i="4" s="1"/>
  <c r="I379" i="1"/>
  <c r="A1150" i="4" s="1"/>
  <c r="I378" i="1"/>
  <c r="A1143" i="4" s="1"/>
  <c r="I377" i="1"/>
  <c r="A1136" i="4" s="1"/>
  <c r="I376" i="1"/>
  <c r="A1129" i="4" s="1"/>
  <c r="I375" i="1"/>
  <c r="A1122" i="4" s="1"/>
  <c r="I374" i="1"/>
  <c r="A1115" i="4" s="1"/>
  <c r="I373" i="1"/>
  <c r="A1108" i="4" s="1"/>
  <c r="I372" i="1"/>
  <c r="A1101" i="4" s="1"/>
  <c r="I371" i="1"/>
  <c r="A1094" i="4" s="1"/>
  <c r="I370" i="1"/>
  <c r="A1087" i="4" s="1"/>
  <c r="I369" i="1"/>
  <c r="A1080" i="4" s="1"/>
  <c r="I368" i="1"/>
  <c r="A1073" i="4" s="1"/>
  <c r="I367" i="1"/>
  <c r="A1066" i="4" s="1"/>
  <c r="I366" i="1"/>
  <c r="A1059" i="4" s="1"/>
  <c r="I365" i="1"/>
  <c r="A1052" i="4" s="1"/>
  <c r="I364" i="1"/>
  <c r="A1045" i="4" s="1"/>
  <c r="I363" i="1"/>
  <c r="A1038" i="4" s="1"/>
  <c r="I362" i="1"/>
  <c r="A1031" i="4" s="1"/>
  <c r="I361" i="1"/>
  <c r="A1024" i="4" s="1"/>
  <c r="I360" i="1"/>
  <c r="A1017" i="4" s="1"/>
  <c r="I359" i="1"/>
  <c r="A1010" i="4" s="1"/>
  <c r="I358" i="1"/>
  <c r="A1003" i="4" s="1"/>
  <c r="I357" i="1"/>
  <c r="A996" i="4" s="1"/>
  <c r="I356" i="1"/>
  <c r="A989" i="4" s="1"/>
  <c r="I355" i="1"/>
  <c r="A982" i="4" s="1"/>
  <c r="I354" i="1"/>
  <c r="A975" i="4" s="1"/>
  <c r="I353" i="1"/>
  <c r="A968" i="4" s="1"/>
  <c r="I352" i="1"/>
  <c r="A961" i="4" s="1"/>
  <c r="I351" i="1"/>
  <c r="A954" i="4" s="1"/>
  <c r="I350" i="1"/>
  <c r="A947" i="4" s="1"/>
  <c r="I349" i="1"/>
  <c r="A940" i="4" s="1"/>
  <c r="I348" i="1"/>
  <c r="A933" i="4" s="1"/>
  <c r="I347" i="1"/>
  <c r="A926" i="4" s="1"/>
  <c r="I346" i="1"/>
  <c r="A919" i="4" s="1"/>
  <c r="I345" i="1"/>
  <c r="A912" i="4" s="1"/>
  <c r="I344" i="1"/>
  <c r="A905" i="4" s="1"/>
  <c r="I343" i="1"/>
  <c r="A898" i="4" s="1"/>
  <c r="I342" i="1"/>
  <c r="A891" i="4" s="1"/>
  <c r="I341" i="1"/>
  <c r="A884" i="4" s="1"/>
  <c r="I340" i="1"/>
  <c r="A877" i="4" s="1"/>
  <c r="I339" i="1"/>
  <c r="A870" i="4" s="1"/>
  <c r="I338" i="1"/>
  <c r="A863" i="4" s="1"/>
  <c r="I337" i="1"/>
  <c r="A856" i="4" s="1"/>
  <c r="I336" i="1"/>
  <c r="A849" i="4" s="1"/>
  <c r="I335" i="1"/>
  <c r="A842" i="4" s="1"/>
  <c r="I334" i="1"/>
  <c r="A835" i="4" s="1"/>
  <c r="I333" i="1"/>
  <c r="A828" i="4" s="1"/>
  <c r="I332" i="1"/>
  <c r="A821" i="4" s="1"/>
  <c r="I331" i="1"/>
  <c r="A814" i="4" s="1"/>
  <c r="I330" i="1"/>
  <c r="A807" i="4" s="1"/>
  <c r="I329" i="1"/>
  <c r="A800" i="4" s="1"/>
  <c r="I328" i="1"/>
  <c r="A793" i="4" s="1"/>
  <c r="I327" i="1"/>
  <c r="A786" i="4" s="1"/>
  <c r="I326" i="1"/>
  <c r="A779" i="4" s="1"/>
  <c r="I325" i="1"/>
  <c r="A772" i="4" s="1"/>
  <c r="I324" i="1"/>
  <c r="A765" i="4" s="1"/>
  <c r="I323" i="1"/>
  <c r="A758" i="4" s="1"/>
  <c r="I322" i="1"/>
  <c r="A751" i="4" s="1"/>
  <c r="I321" i="1"/>
  <c r="A744" i="4" s="1"/>
  <c r="I320" i="1"/>
  <c r="A737" i="4" s="1"/>
  <c r="I319" i="1"/>
  <c r="A730" i="4" s="1"/>
  <c r="I318" i="1"/>
  <c r="A723" i="4" s="1"/>
  <c r="I317" i="1"/>
  <c r="A716" i="4" s="1"/>
  <c r="I316" i="1"/>
  <c r="A709" i="4" s="1"/>
  <c r="I315" i="1"/>
  <c r="A702" i="4" s="1"/>
  <c r="I314" i="1"/>
  <c r="A695" i="4" s="1"/>
  <c r="I313" i="1"/>
  <c r="A688" i="4" s="1"/>
  <c r="I312" i="1"/>
  <c r="A681" i="4" s="1"/>
  <c r="I311" i="1"/>
  <c r="A674" i="4" s="1"/>
  <c r="I310" i="1"/>
  <c r="A667" i="4" s="1"/>
  <c r="I309" i="1"/>
  <c r="I308" i="1"/>
  <c r="I307" i="1"/>
  <c r="A646" i="4" s="1"/>
  <c r="I306" i="1"/>
  <c r="A639" i="4" s="1"/>
  <c r="I305" i="1"/>
  <c r="A632" i="4" s="1"/>
  <c r="I304" i="1"/>
  <c r="A625" i="4" s="1"/>
  <c r="I303" i="1"/>
  <c r="A618" i="4" s="1"/>
  <c r="I302" i="1"/>
  <c r="A611" i="4" s="1"/>
  <c r="I301" i="1"/>
  <c r="A604" i="4" s="1"/>
  <c r="I300" i="1"/>
  <c r="A597" i="4" s="1"/>
  <c r="I299" i="1"/>
  <c r="A590" i="4" s="1"/>
  <c r="I298" i="1"/>
  <c r="A583" i="4" s="1"/>
  <c r="I297" i="1"/>
  <c r="A576" i="4" s="1"/>
  <c r="I296" i="1"/>
  <c r="A569" i="4" s="1"/>
  <c r="I295" i="1"/>
  <c r="A562" i="4" s="1"/>
  <c r="I294" i="1"/>
  <c r="A555" i="4" s="1"/>
  <c r="I293" i="1"/>
  <c r="A548" i="4" s="1"/>
  <c r="I292" i="1"/>
  <c r="A541" i="4" s="1"/>
  <c r="I291" i="1"/>
  <c r="A534" i="4" s="1"/>
  <c r="I290" i="1"/>
  <c r="A527" i="4" s="1"/>
  <c r="I289" i="1"/>
  <c r="A520" i="4" s="1"/>
  <c r="I288" i="1"/>
  <c r="A513" i="4" s="1"/>
  <c r="I287" i="1"/>
  <c r="A506" i="4" s="1"/>
  <c r="I286" i="1"/>
  <c r="A499" i="4" s="1"/>
  <c r="I285" i="1"/>
  <c r="A492" i="4" s="1"/>
  <c r="I284" i="1"/>
  <c r="A485" i="4" s="1"/>
  <c r="I283" i="1"/>
  <c r="A478" i="4" s="1"/>
  <c r="I282" i="1"/>
  <c r="A471" i="4" s="1"/>
  <c r="I281" i="1"/>
  <c r="A464" i="4" s="1"/>
  <c r="I280" i="1"/>
  <c r="A457" i="4" s="1"/>
  <c r="I279" i="1"/>
  <c r="A450" i="4" s="1"/>
  <c r="I278" i="1"/>
  <c r="A443" i="4" s="1"/>
  <c r="I277" i="1"/>
  <c r="A436" i="4" s="1"/>
  <c r="I276" i="1"/>
  <c r="I275" i="1"/>
  <c r="A415" i="4" s="1"/>
  <c r="I274" i="1"/>
  <c r="A408" i="4" s="1"/>
  <c r="I273" i="1"/>
  <c r="A401" i="4" s="1"/>
  <c r="I272" i="1"/>
  <c r="A394" i="4" s="1"/>
  <c r="I271" i="1"/>
  <c r="A387" i="4" s="1"/>
  <c r="I270" i="1"/>
  <c r="A380" i="4" s="1"/>
  <c r="I269" i="1"/>
  <c r="A373" i="4" s="1"/>
  <c r="I268" i="1"/>
  <c r="A366" i="4" s="1"/>
  <c r="I267" i="1"/>
  <c r="A359" i="4" s="1"/>
  <c r="I266" i="1"/>
  <c r="A352" i="4" s="1"/>
  <c r="I265" i="1"/>
  <c r="A345" i="4" s="1"/>
  <c r="I264" i="1"/>
  <c r="A338" i="4" s="1"/>
  <c r="I263" i="1"/>
  <c r="A331" i="4" s="1"/>
  <c r="I262" i="1"/>
  <c r="A324" i="4" s="1"/>
  <c r="I261" i="1"/>
  <c r="A317" i="4" s="1"/>
  <c r="I260" i="1"/>
  <c r="A310" i="4" s="1"/>
  <c r="I259" i="1"/>
  <c r="A303" i="4" s="1"/>
  <c r="I258" i="1"/>
  <c r="A296" i="4" s="1"/>
  <c r="I257" i="1"/>
  <c r="A289" i="4" s="1"/>
  <c r="I256" i="1"/>
  <c r="A282" i="4" s="1"/>
  <c r="I255" i="1"/>
  <c r="A275" i="4" s="1"/>
  <c r="I254" i="1"/>
  <c r="A268" i="4" s="1"/>
  <c r="I253" i="1"/>
  <c r="A261" i="4" s="1"/>
  <c r="I252" i="1"/>
  <c r="A254" i="4" s="1"/>
  <c r="I251" i="1"/>
  <c r="A247" i="4" s="1"/>
  <c r="I250" i="1"/>
  <c r="A240" i="4" s="1"/>
  <c r="I249" i="1"/>
  <c r="A233" i="4" s="1"/>
  <c r="I248" i="1"/>
  <c r="A226" i="4" s="1"/>
  <c r="I247" i="1"/>
  <c r="A219" i="4" s="1"/>
  <c r="I246" i="1"/>
  <c r="A212" i="4" s="1"/>
  <c r="I245" i="1"/>
  <c r="A205" i="4" s="1"/>
  <c r="I244" i="1"/>
  <c r="A198" i="4" s="1"/>
  <c r="I243" i="1"/>
  <c r="A191" i="4" s="1"/>
  <c r="I242" i="1"/>
  <c r="A184" i="4" s="1"/>
  <c r="I241" i="1"/>
  <c r="A177" i="4" s="1"/>
  <c r="I240" i="1"/>
  <c r="A170" i="4" s="1"/>
  <c r="I239" i="1"/>
  <c r="A163" i="4" s="1"/>
  <c r="I238" i="1"/>
  <c r="A156" i="4" s="1"/>
  <c r="I237" i="1"/>
  <c r="A149" i="4" s="1"/>
  <c r="I236" i="1"/>
  <c r="A142" i="4" s="1"/>
  <c r="I235" i="1"/>
  <c r="A135" i="4" s="1"/>
  <c r="I234" i="1"/>
  <c r="A128" i="4" s="1"/>
  <c r="I233" i="1"/>
  <c r="A121" i="4" s="1"/>
  <c r="I232" i="1"/>
  <c r="A114" i="4" s="1"/>
  <c r="I231" i="1"/>
  <c r="A107" i="4" s="1"/>
  <c r="I230" i="1"/>
  <c r="A100" i="4" s="1"/>
  <c r="I229" i="1"/>
  <c r="A93" i="4" s="1"/>
  <c r="I228" i="1"/>
  <c r="A86" i="4" s="1"/>
  <c r="I227" i="1"/>
  <c r="A79" i="4" s="1"/>
  <c r="I226" i="1"/>
  <c r="A72" i="4" s="1"/>
  <c r="I225" i="1"/>
  <c r="A65" i="4" s="1"/>
  <c r="I224" i="1"/>
  <c r="A58" i="4" s="1"/>
  <c r="I223" i="1"/>
  <c r="A51" i="4" s="1"/>
  <c r="I222" i="1"/>
  <c r="A44" i="4" s="1"/>
  <c r="I221" i="1"/>
  <c r="A37" i="4" s="1"/>
  <c r="I220" i="1"/>
  <c r="A30" i="4" s="1"/>
  <c r="I219" i="1"/>
  <c r="A23" i="4" s="1"/>
  <c r="I218" i="1"/>
  <c r="A16" i="4" s="1"/>
  <c r="I217" i="1"/>
  <c r="A9" i="4" s="1"/>
  <c r="I216" i="1"/>
  <c r="A2" i="4" s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I200" i="1"/>
  <c r="A1276" i="3" s="1"/>
  <c r="I199" i="1"/>
  <c r="A1269" i="3" s="1"/>
  <c r="I198" i="1"/>
  <c r="A1262" i="3" s="1"/>
  <c r="I182" i="1"/>
  <c r="A1150" i="3" s="1"/>
  <c r="I181" i="1"/>
  <c r="A1143" i="3" s="1"/>
  <c r="I166" i="1"/>
  <c r="A1136" i="3" s="1"/>
  <c r="I165" i="1"/>
  <c r="A1129" i="3" s="1"/>
  <c r="I164" i="1"/>
  <c r="A1122" i="3" s="1"/>
  <c r="I163" i="1"/>
  <c r="A1115" i="3" s="1"/>
  <c r="I162" i="1"/>
  <c r="A1108" i="3" s="1"/>
  <c r="I161" i="1"/>
  <c r="A1101" i="3" s="1"/>
  <c r="I160" i="1"/>
  <c r="A1094" i="3" s="1"/>
  <c r="I159" i="1"/>
  <c r="A1087" i="3" s="1"/>
  <c r="I158" i="1"/>
  <c r="A1080" i="3" s="1"/>
  <c r="I157" i="1"/>
  <c r="A1073" i="3" s="1"/>
  <c r="I156" i="1"/>
  <c r="A1066" i="3" s="1"/>
  <c r="I155" i="1"/>
  <c r="A1059" i="3" s="1"/>
  <c r="I154" i="1"/>
  <c r="A1052" i="3" s="1"/>
  <c r="I153" i="1"/>
  <c r="A1045" i="3" s="1"/>
  <c r="I152" i="1"/>
  <c r="A1038" i="3" s="1"/>
  <c r="I151" i="1"/>
  <c r="A1031" i="3" s="1"/>
  <c r="I150" i="1"/>
  <c r="A1024" i="3" s="1"/>
  <c r="I149" i="1"/>
  <c r="A1017" i="3" s="1"/>
  <c r="I148" i="1"/>
  <c r="A1010" i="3" s="1"/>
  <c r="I147" i="1"/>
  <c r="A1003" i="3" s="1"/>
  <c r="I146" i="1"/>
  <c r="A996" i="3" s="1"/>
  <c r="I145" i="1"/>
  <c r="A989" i="3" s="1"/>
  <c r="I144" i="1"/>
  <c r="A982" i="3" s="1"/>
  <c r="I143" i="1"/>
  <c r="A975" i="3" s="1"/>
  <c r="I142" i="1"/>
  <c r="A968" i="3" s="1"/>
  <c r="I141" i="1"/>
  <c r="A961" i="3" s="1"/>
  <c r="I140" i="1"/>
  <c r="A954" i="3" s="1"/>
  <c r="I139" i="1"/>
  <c r="A947" i="3" s="1"/>
  <c r="I138" i="1"/>
  <c r="A940" i="3" s="1"/>
  <c r="I137" i="1"/>
  <c r="A933" i="3" s="1"/>
  <c r="I136" i="1"/>
  <c r="A926" i="3" s="1"/>
  <c r="I135" i="1"/>
  <c r="A919" i="3" s="1"/>
  <c r="I134" i="1"/>
  <c r="A912" i="3" s="1"/>
  <c r="I133" i="1"/>
  <c r="A905" i="3" s="1"/>
  <c r="I132" i="1"/>
  <c r="A898" i="3" s="1"/>
  <c r="I131" i="1"/>
  <c r="A891" i="3" s="1"/>
  <c r="I130" i="1"/>
  <c r="A884" i="3" s="1"/>
  <c r="I129" i="1"/>
  <c r="A877" i="3" s="1"/>
  <c r="I128" i="1"/>
  <c r="A870" i="3" s="1"/>
  <c r="I127" i="1"/>
  <c r="A863" i="3" s="1"/>
  <c r="I126" i="1"/>
  <c r="A856" i="3" s="1"/>
  <c r="I125" i="1"/>
  <c r="A849" i="3" s="1"/>
  <c r="I124" i="1"/>
  <c r="A842" i="3" s="1"/>
  <c r="I123" i="1"/>
  <c r="A835" i="3" s="1"/>
  <c r="I122" i="1"/>
  <c r="A828" i="3" s="1"/>
  <c r="I121" i="1"/>
  <c r="A821" i="3" s="1"/>
  <c r="I120" i="1"/>
  <c r="A814" i="3" s="1"/>
  <c r="I119" i="1"/>
  <c r="A807" i="3" s="1"/>
  <c r="I118" i="1"/>
  <c r="A800" i="3" s="1"/>
  <c r="I117" i="1"/>
  <c r="A793" i="3" s="1"/>
  <c r="I116" i="1"/>
  <c r="A786" i="3" s="1"/>
  <c r="I115" i="1"/>
  <c r="A779" i="3" s="1"/>
  <c r="I114" i="1"/>
  <c r="A772" i="3" s="1"/>
  <c r="I113" i="1"/>
  <c r="A765" i="3" s="1"/>
  <c r="I112" i="1"/>
  <c r="A758" i="3" s="1"/>
  <c r="I111" i="1"/>
  <c r="A751" i="3" s="1"/>
  <c r="I110" i="1"/>
  <c r="A744" i="3" s="1"/>
  <c r="I109" i="1"/>
  <c r="A737" i="3" s="1"/>
  <c r="I108" i="1"/>
  <c r="A730" i="3" s="1"/>
  <c r="I107" i="1"/>
  <c r="A723" i="3" s="1"/>
  <c r="I106" i="1"/>
  <c r="A716" i="3" s="1"/>
  <c r="I105" i="1"/>
  <c r="A709" i="3" s="1"/>
  <c r="I104" i="1"/>
  <c r="A702" i="3" s="1"/>
  <c r="I103" i="1"/>
  <c r="A695" i="3" s="1"/>
  <c r="I102" i="1"/>
  <c r="A688" i="3" s="1"/>
  <c r="I101" i="1"/>
  <c r="A681" i="3" s="1"/>
  <c r="I100" i="1"/>
  <c r="A674" i="3" s="1"/>
  <c r="I99" i="1"/>
  <c r="A667" i="3" s="1"/>
  <c r="I98" i="1"/>
  <c r="A660" i="3" s="1"/>
  <c r="I97" i="1"/>
  <c r="A653" i="3" s="1"/>
  <c r="I96" i="1"/>
  <c r="A646" i="3" s="1"/>
  <c r="I95" i="1"/>
  <c r="A639" i="3" s="1"/>
  <c r="I94" i="1"/>
  <c r="A632" i="3" s="1"/>
  <c r="I93" i="1"/>
  <c r="A625" i="3" s="1"/>
  <c r="I92" i="1"/>
  <c r="A618" i="3" s="1"/>
  <c r="I91" i="1"/>
  <c r="A611" i="3" s="1"/>
  <c r="I90" i="1"/>
  <c r="A604" i="3" s="1"/>
  <c r="I89" i="1"/>
  <c r="A597" i="3" s="1"/>
  <c r="I88" i="1"/>
  <c r="A590" i="3" s="1"/>
  <c r="I87" i="1"/>
  <c r="A583" i="3" s="1"/>
  <c r="I86" i="1"/>
  <c r="A576" i="3" s="1"/>
  <c r="I85" i="1"/>
  <c r="A569" i="3" s="1"/>
  <c r="I84" i="1"/>
  <c r="A562" i="3" s="1"/>
  <c r="I83" i="1"/>
  <c r="A555" i="3" s="1"/>
  <c r="I82" i="1"/>
  <c r="A548" i="3" s="1"/>
  <c r="I81" i="1"/>
  <c r="A541" i="3" s="1"/>
  <c r="I80" i="1"/>
  <c r="A534" i="3" s="1"/>
  <c r="I79" i="1"/>
  <c r="A527" i="3" s="1"/>
  <c r="I78" i="1"/>
  <c r="A520" i="3" s="1"/>
  <c r="I77" i="1"/>
  <c r="A513" i="3" s="1"/>
  <c r="I76" i="1"/>
  <c r="A506" i="3" s="1"/>
  <c r="I75" i="1"/>
  <c r="A499" i="3" s="1"/>
  <c r="I74" i="1"/>
  <c r="A492" i="3" s="1"/>
  <c r="I73" i="1"/>
  <c r="A485" i="3" s="1"/>
  <c r="I72" i="1"/>
  <c r="A478" i="3" s="1"/>
  <c r="I71" i="1"/>
  <c r="A471" i="3" s="1"/>
  <c r="I70" i="1"/>
  <c r="A464" i="3" s="1"/>
  <c r="I69" i="1"/>
  <c r="A457" i="3" s="1"/>
  <c r="I68" i="1"/>
  <c r="A450" i="3" s="1"/>
  <c r="I67" i="1"/>
  <c r="A443" i="3" s="1"/>
  <c r="I66" i="1"/>
  <c r="A436" i="3" s="1"/>
  <c r="I65" i="1"/>
  <c r="A429" i="3" s="1"/>
  <c r="I64" i="1"/>
  <c r="A422" i="3" s="1"/>
  <c r="I63" i="1"/>
  <c r="A415" i="3" s="1"/>
  <c r="I62" i="1"/>
  <c r="A408" i="3" s="1"/>
  <c r="I61" i="1"/>
  <c r="A401" i="3" s="1"/>
  <c r="I60" i="1"/>
  <c r="A394" i="3" s="1"/>
  <c r="I59" i="1"/>
  <c r="A387" i="3" s="1"/>
  <c r="I58" i="1"/>
  <c r="A380" i="3" s="1"/>
  <c r="I57" i="1"/>
  <c r="A373" i="3" s="1"/>
  <c r="I56" i="1"/>
  <c r="A366" i="3" s="1"/>
  <c r="I55" i="1"/>
  <c r="A359" i="3" s="1"/>
  <c r="I54" i="1"/>
  <c r="A352" i="3" s="1"/>
  <c r="I53" i="1"/>
  <c r="A345" i="3" s="1"/>
  <c r="I52" i="1"/>
  <c r="A338" i="3" s="1"/>
  <c r="I51" i="1"/>
  <c r="A331" i="3" s="1"/>
  <c r="I50" i="1"/>
  <c r="A324" i="3" s="1"/>
  <c r="I49" i="1"/>
  <c r="A317" i="3" s="1"/>
  <c r="I48" i="1"/>
  <c r="A310" i="3" s="1"/>
  <c r="I47" i="1"/>
  <c r="A303" i="3" s="1"/>
  <c r="I46" i="1"/>
  <c r="A296" i="3" s="1"/>
  <c r="I45" i="1"/>
  <c r="A289" i="3" s="1"/>
  <c r="I44" i="1"/>
  <c r="A282" i="3" s="1"/>
  <c r="I43" i="1"/>
  <c r="A275" i="3" s="1"/>
  <c r="I42" i="1"/>
  <c r="A268" i="3" s="1"/>
  <c r="I41" i="1"/>
  <c r="A261" i="3" s="1"/>
  <c r="I40" i="1"/>
  <c r="A254" i="3" s="1"/>
  <c r="I39" i="1"/>
  <c r="A247" i="3" s="1"/>
  <c r="I38" i="1"/>
  <c r="A240" i="3" s="1"/>
  <c r="I37" i="1"/>
  <c r="A233" i="3" s="1"/>
  <c r="I36" i="1"/>
  <c r="A226" i="3" s="1"/>
  <c r="I35" i="1"/>
  <c r="A219" i="3" s="1"/>
  <c r="I34" i="1"/>
  <c r="A212" i="3" s="1"/>
  <c r="I33" i="1"/>
  <c r="A205" i="3" s="1"/>
  <c r="I32" i="1"/>
  <c r="A198" i="3" s="1"/>
  <c r="I31" i="1"/>
  <c r="A191" i="3" s="1"/>
  <c r="Q30" i="1" a="1"/>
  <c r="Q30" i="1" s="1"/>
  <c r="I30" i="1"/>
  <c r="A184" i="3" s="1"/>
  <c r="Q29" i="1" a="1"/>
  <c r="Q29" i="1" s="1"/>
  <c r="I29" i="1"/>
  <c r="A177" i="3" s="1"/>
  <c r="Q28" i="1" a="1"/>
  <c r="Q28" i="1" s="1"/>
  <c r="I28" i="1"/>
  <c r="A170" i="3" s="1"/>
  <c r="Q27" i="1" a="1"/>
  <c r="Q27" i="1" s="1"/>
  <c r="I27" i="1"/>
  <c r="A163" i="3" s="1"/>
  <c r="Q26" i="1" a="1"/>
  <c r="Q26" i="1" s="1"/>
  <c r="I26" i="1"/>
  <c r="A156" i="3" s="1"/>
  <c r="I25" i="1"/>
  <c r="A149" i="3" s="1"/>
  <c r="Q24" i="1" a="1"/>
  <c r="Q24" i="1" s="1"/>
  <c r="I24" i="1"/>
  <c r="A142" i="3" s="1"/>
  <c r="Q23" i="1" a="1"/>
  <c r="Q23" i="1" s="1"/>
  <c r="I23" i="1"/>
  <c r="A135" i="3" s="1"/>
  <c r="Q22" i="1" a="1"/>
  <c r="Q22" i="1" s="1"/>
  <c r="I22" i="1"/>
  <c r="A128" i="3" s="1"/>
  <c r="Q21" i="1" a="1"/>
  <c r="Q21" i="1" s="1"/>
  <c r="I21" i="1"/>
  <c r="A121" i="3" s="1"/>
  <c r="Q20" i="1" a="1"/>
  <c r="Q20" i="1" s="1"/>
  <c r="I20" i="1"/>
  <c r="A114" i="3" s="1"/>
  <c r="Q19" i="1" a="1"/>
  <c r="Q19" i="1"/>
  <c r="I19" i="1"/>
  <c r="A107" i="3" s="1"/>
  <c r="Q18" i="1" a="1"/>
  <c r="Q18" i="1" s="1"/>
  <c r="I18" i="1"/>
  <c r="A100" i="3" s="1"/>
  <c r="Q17" i="1" a="1"/>
  <c r="Q17" i="1" s="1"/>
  <c r="I17" i="1"/>
  <c r="A93" i="3" s="1"/>
  <c r="Q16" i="1" a="1"/>
  <c r="Q16" i="1" s="1"/>
  <c r="I16" i="1"/>
  <c r="A86" i="3" s="1"/>
  <c r="Q15" i="1" a="1"/>
  <c r="Q15" i="1" s="1"/>
  <c r="I15" i="1"/>
  <c r="A79" i="3" s="1"/>
  <c r="Q14" i="1" a="1"/>
  <c r="Q14" i="1" s="1"/>
  <c r="I14" i="1"/>
  <c r="A72" i="3" s="1"/>
  <c r="Q13" i="1" a="1"/>
  <c r="Q13" i="1" s="1"/>
  <c r="I13" i="1"/>
  <c r="A65" i="3" s="1"/>
  <c r="Q12" i="1" a="1"/>
  <c r="Q12" i="1" s="1"/>
  <c r="I12" i="1"/>
  <c r="A58" i="3" s="1"/>
  <c r="Q11" i="1" a="1"/>
  <c r="Q11" i="1" s="1"/>
  <c r="I11" i="1"/>
  <c r="A51" i="3" s="1"/>
  <c r="Q10" i="1" a="1"/>
  <c r="Q10" i="1" s="1"/>
  <c r="I10" i="1"/>
  <c r="A44" i="3" s="1"/>
  <c r="I9" i="1"/>
  <c r="A37" i="3" s="1"/>
  <c r="I8" i="1"/>
  <c r="A30" i="3" s="1"/>
  <c r="I7" i="1"/>
  <c r="A23" i="3" s="1"/>
  <c r="Q6" i="1" a="1"/>
  <c r="Q6" i="1" s="1"/>
  <c r="P6" i="1"/>
  <c r="P9" i="1" s="1"/>
  <c r="Q9" i="1" s="1" a="1"/>
  <c r="Q9" i="1" s="1"/>
  <c r="I6" i="1"/>
  <c r="A16" i="3" s="1"/>
  <c r="P5" i="1"/>
  <c r="P8" i="1" s="1"/>
  <c r="Q8" i="1" s="1" a="1"/>
  <c r="Q8" i="1" s="1"/>
  <c r="I5" i="1"/>
  <c r="A9" i="3" s="1"/>
  <c r="P4" i="1"/>
  <c r="P7" i="1" s="1"/>
  <c r="Q7" i="1" s="1" a="1"/>
  <c r="Q7" i="1" s="1"/>
  <c r="O4" i="1"/>
  <c r="O5" i="1" s="1"/>
  <c r="K4" i="1"/>
  <c r="I4" i="1"/>
  <c r="A2" i="3" s="1"/>
  <c r="F893" i="8" l="1"/>
  <c r="F889" i="8"/>
  <c r="G452" i="8"/>
  <c r="G448" i="8"/>
  <c r="F452" i="8"/>
  <c r="F448" i="8"/>
  <c r="E34" i="8"/>
  <c r="E28" i="8"/>
  <c r="K19" i="8"/>
  <c r="K14" i="8"/>
  <c r="J18" i="8"/>
  <c r="J14" i="8"/>
  <c r="E55" i="8"/>
  <c r="E7" i="8"/>
  <c r="E13" i="8"/>
  <c r="L7" i="8"/>
  <c r="L11" i="8"/>
  <c r="I11" i="8"/>
  <c r="I7" i="8"/>
  <c r="G11" i="8"/>
  <c r="G7" i="8"/>
  <c r="F11" i="8"/>
  <c r="F7" i="8"/>
  <c r="E468" i="7"/>
  <c r="E412" i="7"/>
  <c r="E356" i="7"/>
  <c r="H354" i="7"/>
  <c r="H350" i="7"/>
  <c r="E343" i="7"/>
  <c r="E347" i="7"/>
  <c r="E300" i="7"/>
  <c r="E244" i="7"/>
  <c r="E188" i="7"/>
  <c r="H186" i="7"/>
  <c r="H182" i="7"/>
  <c r="E179" i="7"/>
  <c r="E175" i="7"/>
  <c r="D167" i="7"/>
  <c r="D168" i="7" s="1"/>
  <c r="D223" i="7"/>
  <c r="D153" i="7"/>
  <c r="D154" i="7" s="1"/>
  <c r="D209" i="7"/>
  <c r="D146" i="7"/>
  <c r="D147" i="7" s="1"/>
  <c r="D202" i="7"/>
  <c r="D83" i="7"/>
  <c r="D195" i="7"/>
  <c r="D188" i="7"/>
  <c r="D76" i="7"/>
  <c r="D181" i="7"/>
  <c r="D69" i="7"/>
  <c r="H14" i="7"/>
  <c r="H18" i="7"/>
  <c r="D62" i="7"/>
  <c r="D174" i="7"/>
  <c r="M116" i="7"/>
  <c r="M123" i="7" s="1"/>
  <c r="M130" i="7" s="1"/>
  <c r="M137" i="7" s="1"/>
  <c r="M144" i="7" s="1"/>
  <c r="M151" i="7" s="1"/>
  <c r="M158" i="7" s="1"/>
  <c r="M165" i="7" s="1"/>
  <c r="M172" i="7"/>
  <c r="M179" i="7" s="1"/>
  <c r="M186" i="7" s="1"/>
  <c r="M193" i="7" s="1"/>
  <c r="M200" i="7" s="1"/>
  <c r="M207" i="7" s="1"/>
  <c r="M214" i="7" s="1"/>
  <c r="M221" i="7" s="1"/>
  <c r="M228" i="7" s="1"/>
  <c r="M235" i="7" s="1"/>
  <c r="M242" i="7" s="1"/>
  <c r="M249" i="7" s="1"/>
  <c r="M256" i="7" s="1"/>
  <c r="M263" i="7" s="1"/>
  <c r="M270" i="7" s="1"/>
  <c r="M277" i="7" s="1"/>
  <c r="J7" i="7"/>
  <c r="J11" i="7"/>
  <c r="G7" i="7"/>
  <c r="G11" i="7"/>
  <c r="E11" i="7"/>
  <c r="E7" i="7"/>
  <c r="K7" i="7" s="1"/>
  <c r="L7" i="7" s="1"/>
  <c r="M7" i="7" s="1"/>
  <c r="N7" i="7" s="1"/>
  <c r="G179" i="6"/>
  <c r="G175" i="6"/>
  <c r="F179" i="6"/>
  <c r="F175" i="6"/>
  <c r="E179" i="6"/>
  <c r="E175" i="6"/>
  <c r="I49" i="6"/>
  <c r="I53" i="6"/>
  <c r="D174" i="6"/>
  <c r="D48" i="6"/>
  <c r="O130" i="6"/>
  <c r="O137" i="6" s="1"/>
  <c r="O144" i="6" s="1"/>
  <c r="O151" i="6" s="1"/>
  <c r="O158" i="6" s="1"/>
  <c r="O165" i="6" s="1"/>
  <c r="O172" i="6"/>
  <c r="O179" i="6" s="1"/>
  <c r="O186" i="6" s="1"/>
  <c r="O193" i="6" s="1"/>
  <c r="O200" i="6" s="1"/>
  <c r="O207" i="6" s="1"/>
  <c r="O214" i="6" s="1"/>
  <c r="O221" i="6" s="1"/>
  <c r="O228" i="6" s="1"/>
  <c r="O235" i="6" s="1"/>
  <c r="O242" i="6" s="1"/>
  <c r="O249" i="6" s="1"/>
  <c r="O256" i="6" s="1"/>
  <c r="O263" i="6" s="1"/>
  <c r="O270" i="6" s="1"/>
  <c r="O277" i="6" s="1"/>
  <c r="O284" i="6" s="1"/>
  <c r="O291" i="6" s="1"/>
  <c r="O298" i="6" s="1"/>
  <c r="O305" i="6" s="1"/>
  <c r="O312" i="6" s="1"/>
  <c r="O319" i="6" s="1"/>
  <c r="O326" i="6" s="1"/>
  <c r="O333" i="6" s="1"/>
  <c r="L11" i="6"/>
  <c r="L7" i="6"/>
  <c r="I172" i="6"/>
  <c r="I11" i="6"/>
  <c r="I7" i="6"/>
  <c r="G11" i="6"/>
  <c r="G7" i="6"/>
  <c r="F11" i="6"/>
  <c r="F7" i="6"/>
  <c r="E11" i="6"/>
  <c r="E7" i="6"/>
  <c r="M7" i="6" s="1"/>
  <c r="N7" i="6" s="1"/>
  <c r="O7" i="6" s="1"/>
  <c r="P7" i="6" s="1"/>
  <c r="F34" i="5"/>
  <c r="F35" i="5" s="1"/>
  <c r="E33" i="5"/>
  <c r="E35" i="5" s="1"/>
  <c r="D33" i="5"/>
  <c r="D35" i="5" s="1"/>
  <c r="E26" i="5"/>
  <c r="E28" i="5" s="1"/>
  <c r="D26" i="5"/>
  <c r="D28" i="5" s="1"/>
  <c r="H28" i="5" s="1"/>
  <c r="I28" i="5" s="1"/>
  <c r="J28" i="5" s="1"/>
  <c r="K28" i="5" s="1"/>
  <c r="T417" i="1" s="1"/>
  <c r="F13" i="5"/>
  <c r="F14" i="5" s="1"/>
  <c r="E12" i="5"/>
  <c r="E14" i="5" s="1"/>
  <c r="D12" i="5"/>
  <c r="D14" i="5" s="1"/>
  <c r="H14" i="5" s="1"/>
  <c r="I14" i="5" s="1"/>
  <c r="J14" i="5" s="1"/>
  <c r="K14" i="5" s="1"/>
  <c r="T415" i="1" s="1"/>
  <c r="F6" i="5"/>
  <c r="F7" i="5" s="1"/>
  <c r="E5" i="5"/>
  <c r="E7" i="5" s="1"/>
  <c r="D5" i="5"/>
  <c r="D7" i="5" s="1"/>
  <c r="H7" i="5" s="1"/>
  <c r="I7" i="5" s="1"/>
  <c r="J7" i="5" s="1"/>
  <c r="K7" i="5" s="1"/>
  <c r="T414" i="1" s="1"/>
  <c r="N1274" i="4"/>
  <c r="N1278" i="4"/>
  <c r="L1274" i="4"/>
  <c r="L1278" i="4"/>
  <c r="K1274" i="4"/>
  <c r="K1278" i="4"/>
  <c r="H1274" i="4"/>
  <c r="H1278" i="4"/>
  <c r="N1187" i="4"/>
  <c r="N1183" i="4"/>
  <c r="L1187" i="4"/>
  <c r="L1183" i="4"/>
  <c r="K1187" i="4"/>
  <c r="K1183" i="4"/>
  <c r="H1187" i="4"/>
  <c r="H1183" i="4"/>
  <c r="N1022" i="4"/>
  <c r="N1026" i="4"/>
  <c r="L1022" i="4"/>
  <c r="L1026" i="4"/>
  <c r="K1026" i="4"/>
  <c r="K1022" i="4"/>
  <c r="H1022" i="4"/>
  <c r="H1026" i="4"/>
  <c r="N900" i="4"/>
  <c r="N896" i="4"/>
  <c r="L900" i="4"/>
  <c r="L896" i="4"/>
  <c r="K900" i="4"/>
  <c r="K896" i="4"/>
  <c r="H900" i="4"/>
  <c r="H896" i="4"/>
  <c r="N770" i="4"/>
  <c r="N774" i="4"/>
  <c r="L770" i="4"/>
  <c r="L774" i="4"/>
  <c r="K770" i="4"/>
  <c r="K774" i="4"/>
  <c r="H774" i="4"/>
  <c r="H770" i="4"/>
  <c r="D754" i="4"/>
  <c r="I754" i="4"/>
  <c r="L754" i="4"/>
  <c r="H755" i="4"/>
  <c r="L747" i="4"/>
  <c r="H748" i="4"/>
  <c r="D747" i="4"/>
  <c r="I747" i="4"/>
  <c r="D740" i="4"/>
  <c r="I740" i="4"/>
  <c r="L740" i="4"/>
  <c r="H741" i="4"/>
  <c r="D733" i="4"/>
  <c r="I733" i="4"/>
  <c r="L733" i="4"/>
  <c r="H734" i="4"/>
  <c r="D726" i="4"/>
  <c r="I726" i="4"/>
  <c r="L726" i="4"/>
  <c r="H727" i="4"/>
  <c r="D719" i="4"/>
  <c r="I719" i="4"/>
  <c r="L719" i="4"/>
  <c r="H720" i="4"/>
  <c r="H713" i="4"/>
  <c r="L712" i="4"/>
  <c r="I712" i="4"/>
  <c r="D712" i="4"/>
  <c r="L705" i="4"/>
  <c r="D705" i="4"/>
  <c r="D707" i="4" s="1"/>
  <c r="H706" i="4"/>
  <c r="I705" i="4"/>
  <c r="D698" i="4"/>
  <c r="D700" i="4" s="1"/>
  <c r="I698" i="4"/>
  <c r="L698" i="4"/>
  <c r="H699" i="4"/>
  <c r="H692" i="4"/>
  <c r="L691" i="4"/>
  <c r="I691" i="4"/>
  <c r="D691" i="4"/>
  <c r="D693" i="4" s="1"/>
  <c r="H685" i="4"/>
  <c r="L684" i="4"/>
  <c r="I684" i="4"/>
  <c r="D684" i="4"/>
  <c r="D686" i="4" s="1"/>
  <c r="D677" i="4"/>
  <c r="D679" i="4" s="1"/>
  <c r="I677" i="4"/>
  <c r="H678" i="4"/>
  <c r="L677" i="4"/>
  <c r="H671" i="4"/>
  <c r="L670" i="4"/>
  <c r="I670" i="4"/>
  <c r="D670" i="4"/>
  <c r="H664" i="4"/>
  <c r="L663" i="4"/>
  <c r="I663" i="4"/>
  <c r="D663" i="4"/>
  <c r="H657" i="4"/>
  <c r="L656" i="4"/>
  <c r="I656" i="4"/>
  <c r="D656" i="4"/>
  <c r="H650" i="4"/>
  <c r="D649" i="4"/>
  <c r="I649" i="4"/>
  <c r="L649" i="4"/>
  <c r="D642" i="4"/>
  <c r="I642" i="4"/>
  <c r="L642" i="4"/>
  <c r="H643" i="4"/>
  <c r="N644" i="4"/>
  <c r="N648" i="4"/>
  <c r="L648" i="4"/>
  <c r="L644" i="4"/>
  <c r="K648" i="4"/>
  <c r="K644" i="4"/>
  <c r="H644" i="4"/>
  <c r="H648" i="4"/>
  <c r="D635" i="4"/>
  <c r="I635" i="4"/>
  <c r="L635" i="4"/>
  <c r="L637" i="4" s="1"/>
  <c r="H636" i="4"/>
  <c r="H637" i="4" s="1"/>
  <c r="L628" i="4"/>
  <c r="H629" i="4"/>
  <c r="I628" i="4"/>
  <c r="D628" i="4"/>
  <c r="I621" i="4"/>
  <c r="D621" i="4"/>
  <c r="H622" i="4"/>
  <c r="L621" i="4"/>
  <c r="D614" i="4"/>
  <c r="I614" i="4"/>
  <c r="H615" i="4"/>
  <c r="L614" i="4"/>
  <c r="D607" i="4"/>
  <c r="I607" i="4"/>
  <c r="L607" i="4"/>
  <c r="H608" i="4"/>
  <c r="H601" i="4"/>
  <c r="D600" i="4"/>
  <c r="I600" i="4"/>
  <c r="L600" i="4"/>
  <c r="L593" i="4"/>
  <c r="I593" i="4"/>
  <c r="D593" i="4"/>
  <c r="H594" i="4"/>
  <c r="H587" i="4"/>
  <c r="L586" i="4"/>
  <c r="I586" i="4"/>
  <c r="D586" i="4"/>
  <c r="L579" i="4"/>
  <c r="I579" i="4"/>
  <c r="D579" i="4"/>
  <c r="D581" i="4" s="1"/>
  <c r="H580" i="4"/>
  <c r="D572" i="4"/>
  <c r="D574" i="4" s="1"/>
  <c r="H573" i="4"/>
  <c r="L572" i="4"/>
  <c r="I572" i="4"/>
  <c r="L565" i="4"/>
  <c r="I565" i="4"/>
  <c r="D565" i="4"/>
  <c r="H566" i="4"/>
  <c r="I558" i="4"/>
  <c r="D558" i="4"/>
  <c r="D560" i="4" s="1"/>
  <c r="L558" i="4"/>
  <c r="H559" i="4"/>
  <c r="H552" i="4"/>
  <c r="L551" i="4"/>
  <c r="I551" i="4"/>
  <c r="D551" i="4"/>
  <c r="D553" i="4" s="1"/>
  <c r="I544" i="4"/>
  <c r="L544" i="4"/>
  <c r="H545" i="4"/>
  <c r="D544" i="4"/>
  <c r="H538" i="4"/>
  <c r="L537" i="4"/>
  <c r="I537" i="4"/>
  <c r="D537" i="4"/>
  <c r="H531" i="4"/>
  <c r="L530" i="4"/>
  <c r="I530" i="4"/>
  <c r="D530" i="4"/>
  <c r="D523" i="4"/>
  <c r="H524" i="4"/>
  <c r="I523" i="4"/>
  <c r="L523" i="4"/>
  <c r="I516" i="4"/>
  <c r="H517" i="4"/>
  <c r="L516" i="4"/>
  <c r="D516" i="4"/>
  <c r="N518" i="4"/>
  <c r="N522" i="4"/>
  <c r="L522" i="4"/>
  <c r="L518" i="4"/>
  <c r="K522" i="4"/>
  <c r="K518" i="4"/>
  <c r="H522" i="4"/>
  <c r="H518" i="4"/>
  <c r="D509" i="4"/>
  <c r="I509" i="4"/>
  <c r="L509" i="4"/>
  <c r="L511" i="4" s="1"/>
  <c r="H510" i="4"/>
  <c r="H511" i="4" s="1"/>
  <c r="D502" i="4"/>
  <c r="H503" i="4"/>
  <c r="L502" i="4"/>
  <c r="I502" i="4"/>
  <c r="H496" i="4"/>
  <c r="L495" i="4"/>
  <c r="I495" i="4"/>
  <c r="D495" i="4"/>
  <c r="L488" i="4"/>
  <c r="I488" i="4"/>
  <c r="D488" i="4"/>
  <c r="H489" i="4"/>
  <c r="H482" i="4"/>
  <c r="L481" i="4"/>
  <c r="I481" i="4"/>
  <c r="D481" i="4"/>
  <c r="L474" i="4"/>
  <c r="D474" i="4"/>
  <c r="H475" i="4"/>
  <c r="I474" i="4"/>
  <c r="H468" i="4"/>
  <c r="L467" i="4"/>
  <c r="I467" i="4"/>
  <c r="D467" i="4"/>
  <c r="H461" i="4"/>
  <c r="L460" i="4"/>
  <c r="I460" i="4"/>
  <c r="D460" i="4"/>
  <c r="D462" i="4" s="1"/>
  <c r="D453" i="4"/>
  <c r="D455" i="4" s="1"/>
  <c r="I453" i="4"/>
  <c r="L453" i="4"/>
  <c r="H454" i="4"/>
  <c r="H447" i="4"/>
  <c r="L446" i="4"/>
  <c r="I446" i="4"/>
  <c r="D446" i="4"/>
  <c r="D448" i="4" s="1"/>
  <c r="H440" i="4"/>
  <c r="L439" i="4"/>
  <c r="I439" i="4"/>
  <c r="D439" i="4"/>
  <c r="D432" i="4"/>
  <c r="D434" i="4" s="1"/>
  <c r="I432" i="4"/>
  <c r="L432" i="4"/>
  <c r="H433" i="4"/>
  <c r="D566" i="4"/>
  <c r="D678" i="4"/>
  <c r="D685" i="4" s="1"/>
  <c r="D692" i="4" s="1"/>
  <c r="D818" i="4" s="1"/>
  <c r="H426" i="4"/>
  <c r="L425" i="4"/>
  <c r="I425" i="4"/>
  <c r="D425" i="4"/>
  <c r="D427" i="4" s="1"/>
  <c r="H419" i="4"/>
  <c r="L418" i="4"/>
  <c r="I418" i="4"/>
  <c r="D418" i="4"/>
  <c r="D411" i="4"/>
  <c r="I411" i="4"/>
  <c r="L411" i="4"/>
  <c r="H412" i="4"/>
  <c r="D412" i="4"/>
  <c r="D531" i="4"/>
  <c r="H405" i="4"/>
  <c r="L404" i="4"/>
  <c r="I404" i="4"/>
  <c r="D404" i="4"/>
  <c r="D406" i="4" s="1"/>
  <c r="I397" i="4"/>
  <c r="D397" i="4"/>
  <c r="L397" i="4"/>
  <c r="H398" i="4"/>
  <c r="H391" i="4"/>
  <c r="L390" i="4"/>
  <c r="I390" i="4"/>
  <c r="D390" i="4"/>
  <c r="N396" i="4"/>
  <c r="N392" i="4"/>
  <c r="L392" i="4"/>
  <c r="L396" i="4"/>
  <c r="K392" i="4"/>
  <c r="K396" i="4"/>
  <c r="H392" i="4"/>
  <c r="H396" i="4"/>
  <c r="H384" i="4"/>
  <c r="H385" i="4" s="1"/>
  <c r="D383" i="4"/>
  <c r="I383" i="4"/>
  <c r="L383" i="4"/>
  <c r="L385" i="4" s="1"/>
  <c r="L376" i="4"/>
  <c r="I376" i="4"/>
  <c r="D376" i="4"/>
  <c r="H377" i="4"/>
  <c r="H370" i="4"/>
  <c r="L369" i="4"/>
  <c r="I369" i="4"/>
  <c r="D369" i="4"/>
  <c r="D362" i="4"/>
  <c r="H363" i="4"/>
  <c r="I362" i="4"/>
  <c r="L362" i="4"/>
  <c r="L355" i="4"/>
  <c r="D355" i="4"/>
  <c r="I355" i="4"/>
  <c r="H356" i="4"/>
  <c r="L348" i="4"/>
  <c r="I348" i="4"/>
  <c r="D348" i="4"/>
  <c r="H349" i="4"/>
  <c r="L341" i="4"/>
  <c r="I341" i="4"/>
  <c r="D341" i="4"/>
  <c r="H342" i="4"/>
  <c r="H335" i="4"/>
  <c r="L334" i="4"/>
  <c r="I334" i="4"/>
  <c r="D334" i="4"/>
  <c r="D336" i="4" s="1"/>
  <c r="H328" i="4"/>
  <c r="L327" i="4"/>
  <c r="I327" i="4"/>
  <c r="D327" i="4"/>
  <c r="D329" i="4" s="1"/>
  <c r="H321" i="4"/>
  <c r="L320" i="4"/>
  <c r="I320" i="4"/>
  <c r="D320" i="4"/>
  <c r="D322" i="4" s="1"/>
  <c r="D313" i="4"/>
  <c r="I313" i="4"/>
  <c r="L313" i="4"/>
  <c r="H314" i="4"/>
  <c r="H307" i="4"/>
  <c r="L306" i="4"/>
  <c r="I306" i="4"/>
  <c r="D306" i="4"/>
  <c r="H300" i="4"/>
  <c r="L299" i="4"/>
  <c r="I299" i="4"/>
  <c r="D299" i="4"/>
  <c r="H293" i="4"/>
  <c r="L292" i="4"/>
  <c r="I292" i="4"/>
  <c r="D292" i="4"/>
  <c r="H286" i="4"/>
  <c r="L285" i="4"/>
  <c r="I285" i="4"/>
  <c r="D285" i="4"/>
  <c r="H279" i="4"/>
  <c r="L278" i="4"/>
  <c r="I278" i="4"/>
  <c r="D278" i="4"/>
  <c r="H272" i="4"/>
  <c r="D271" i="4"/>
  <c r="I271" i="4"/>
  <c r="L271" i="4"/>
  <c r="H265" i="4"/>
  <c r="L264" i="4"/>
  <c r="I264" i="4"/>
  <c r="D264" i="4"/>
  <c r="N270" i="4"/>
  <c r="N266" i="4"/>
  <c r="L266" i="4"/>
  <c r="L270" i="4"/>
  <c r="K270" i="4"/>
  <c r="K266" i="4"/>
  <c r="H270" i="4"/>
  <c r="H266" i="4"/>
  <c r="I257" i="4"/>
  <c r="D257" i="4"/>
  <c r="H258" i="4"/>
  <c r="H259" i="4" s="1"/>
  <c r="L257" i="4"/>
  <c r="L259" i="4" s="1"/>
  <c r="L250" i="4"/>
  <c r="D250" i="4"/>
  <c r="I250" i="4"/>
  <c r="H251" i="4"/>
  <c r="H244" i="4"/>
  <c r="L243" i="4"/>
  <c r="I243" i="4"/>
  <c r="D243" i="4"/>
  <c r="I236" i="4"/>
  <c r="L236" i="4"/>
  <c r="H237" i="4"/>
  <c r="D236" i="4"/>
  <c r="L229" i="4"/>
  <c r="I229" i="4"/>
  <c r="D229" i="4"/>
  <c r="H230" i="4"/>
  <c r="H223" i="4"/>
  <c r="L222" i="4"/>
  <c r="I222" i="4"/>
  <c r="D222" i="4"/>
  <c r="D224" i="4" s="1"/>
  <c r="H216" i="4"/>
  <c r="L215" i="4"/>
  <c r="I215" i="4"/>
  <c r="D215" i="4"/>
  <c r="D217" i="4" s="1"/>
  <c r="I208" i="4"/>
  <c r="D208" i="4"/>
  <c r="D210" i="4" s="1"/>
  <c r="H209" i="4"/>
  <c r="L208" i="4"/>
  <c r="I201" i="4"/>
  <c r="L201" i="4"/>
  <c r="H202" i="4"/>
  <c r="D201" i="4"/>
  <c r="D203" i="4" s="1"/>
  <c r="D194" i="4"/>
  <c r="D196" i="4" s="1"/>
  <c r="I194" i="4"/>
  <c r="L194" i="4"/>
  <c r="H195" i="4"/>
  <c r="D187" i="4"/>
  <c r="I187" i="4"/>
  <c r="L187" i="4"/>
  <c r="H188" i="4"/>
  <c r="D180" i="4"/>
  <c r="D182" i="4" s="1"/>
  <c r="H181" i="4"/>
  <c r="L180" i="4"/>
  <c r="I180" i="4"/>
  <c r="D173" i="4"/>
  <c r="D175" i="4" s="1"/>
  <c r="I173" i="4"/>
  <c r="H174" i="4"/>
  <c r="L173" i="4"/>
  <c r="H167" i="4"/>
  <c r="L166" i="4"/>
  <c r="I166" i="4"/>
  <c r="D166" i="4"/>
  <c r="H160" i="4"/>
  <c r="L159" i="4"/>
  <c r="D159" i="4"/>
  <c r="I159" i="4"/>
  <c r="D152" i="4"/>
  <c r="D154" i="4" s="1"/>
  <c r="I152" i="4"/>
  <c r="L152" i="4"/>
  <c r="H153" i="4"/>
  <c r="H146" i="4"/>
  <c r="L145" i="4"/>
  <c r="I145" i="4"/>
  <c r="D145" i="4"/>
  <c r="D138" i="4"/>
  <c r="H139" i="4"/>
  <c r="L138" i="4"/>
  <c r="I138" i="4"/>
  <c r="N144" i="4"/>
  <c r="N140" i="4"/>
  <c r="L140" i="4"/>
  <c r="L144" i="4"/>
  <c r="K144" i="4"/>
  <c r="K140" i="4"/>
  <c r="H144" i="4"/>
  <c r="H140" i="4"/>
  <c r="D131" i="4"/>
  <c r="D133" i="4" s="1"/>
  <c r="H132" i="4"/>
  <c r="H133" i="4" s="1"/>
  <c r="L131" i="4"/>
  <c r="L133" i="4" s="1"/>
  <c r="I131" i="4"/>
  <c r="L124" i="4"/>
  <c r="H125" i="4"/>
  <c r="I124" i="4"/>
  <c r="D124" i="4"/>
  <c r="H118" i="4"/>
  <c r="L117" i="4"/>
  <c r="I117" i="4"/>
  <c r="D117" i="4"/>
  <c r="D237" i="4"/>
  <c r="D118" i="4"/>
  <c r="D125" i="4" s="1"/>
  <c r="H111" i="4"/>
  <c r="L110" i="4"/>
  <c r="I110" i="4"/>
  <c r="D110" i="4"/>
  <c r="D112" i="4" s="1"/>
  <c r="H104" i="4"/>
  <c r="L103" i="4"/>
  <c r="I103" i="4"/>
  <c r="D103" i="4"/>
  <c r="H97" i="4"/>
  <c r="L96" i="4"/>
  <c r="I96" i="4"/>
  <c r="D96" i="4"/>
  <c r="D98" i="4" s="1"/>
  <c r="D104" i="4"/>
  <c r="D216" i="4"/>
  <c r="D223" i="4" s="1"/>
  <c r="L89" i="4"/>
  <c r="I89" i="4"/>
  <c r="D89" i="4"/>
  <c r="D91" i="4" s="1"/>
  <c r="H90" i="4"/>
  <c r="H83" i="4"/>
  <c r="L82" i="4"/>
  <c r="I82" i="4"/>
  <c r="D82" i="4"/>
  <c r="D84" i="4" s="1"/>
  <c r="H76" i="4"/>
  <c r="L75" i="4"/>
  <c r="I75" i="4"/>
  <c r="D75" i="4"/>
  <c r="D77" i="4" s="1"/>
  <c r="D335" i="4"/>
  <c r="D447" i="4"/>
  <c r="D454" i="4" s="1"/>
  <c r="D461" i="4" s="1"/>
  <c r="D573" i="4" s="1"/>
  <c r="D580" i="4" s="1"/>
  <c r="D587" i="4" s="1"/>
  <c r="D699" i="4" s="1"/>
  <c r="D706" i="4" s="1"/>
  <c r="H69" i="4"/>
  <c r="L68" i="4"/>
  <c r="I68" i="4"/>
  <c r="D68" i="4"/>
  <c r="D70" i="4" s="1"/>
  <c r="L61" i="4"/>
  <c r="D61" i="4"/>
  <c r="I61" i="4"/>
  <c r="H62" i="4"/>
  <c r="H55" i="4"/>
  <c r="L54" i="4"/>
  <c r="I54" i="4"/>
  <c r="D54" i="4"/>
  <c r="D56" i="4" s="1"/>
  <c r="D62" i="4"/>
  <c r="D174" i="4"/>
  <c r="D181" i="4" s="1"/>
  <c r="H48" i="4"/>
  <c r="L47" i="4"/>
  <c r="I47" i="4"/>
  <c r="D47" i="4"/>
  <c r="D49" i="4" s="1"/>
  <c r="L40" i="4"/>
  <c r="H41" i="4"/>
  <c r="D40" i="4"/>
  <c r="I40" i="4"/>
  <c r="D33" i="4"/>
  <c r="I33" i="4"/>
  <c r="L33" i="4"/>
  <c r="H34" i="4"/>
  <c r="D34" i="4"/>
  <c r="D41" i="4" s="1"/>
  <c r="D153" i="4"/>
  <c r="I26" i="4"/>
  <c r="D26" i="4"/>
  <c r="D28" i="4" s="1"/>
  <c r="L26" i="4"/>
  <c r="H27" i="4"/>
  <c r="D19" i="4"/>
  <c r="I19" i="4"/>
  <c r="L19" i="4"/>
  <c r="H20" i="4"/>
  <c r="I39" i="4"/>
  <c r="I21" i="4"/>
  <c r="L12" i="4"/>
  <c r="I12" i="4"/>
  <c r="H13" i="4"/>
  <c r="D12" i="4"/>
  <c r="N18" i="4"/>
  <c r="N14" i="4"/>
  <c r="L18" i="4"/>
  <c r="L14" i="4"/>
  <c r="K14" i="4"/>
  <c r="K18" i="4"/>
  <c r="I32" i="4"/>
  <c r="I14" i="4"/>
  <c r="H18" i="4"/>
  <c r="H14" i="4"/>
  <c r="D13" i="4"/>
  <c r="D20" i="4" s="1"/>
  <c r="D132" i="4"/>
  <c r="I5" i="4"/>
  <c r="D5" i="4"/>
  <c r="D7" i="4" s="1"/>
  <c r="H6" i="4"/>
  <c r="H7" i="4" s="1"/>
  <c r="L5" i="4"/>
  <c r="L7" i="4" s="1"/>
  <c r="M11" i="4"/>
  <c r="M7" i="4"/>
  <c r="J7" i="4"/>
  <c r="J11" i="4"/>
  <c r="I25" i="4"/>
  <c r="I7" i="4"/>
  <c r="G11" i="4"/>
  <c r="G7" i="4"/>
  <c r="F11" i="4"/>
  <c r="F7" i="4"/>
  <c r="E7" i="4"/>
  <c r="E11" i="4"/>
  <c r="N1278" i="3"/>
  <c r="N1274" i="3"/>
  <c r="L1278" i="3"/>
  <c r="L1274" i="3"/>
  <c r="K1278" i="3"/>
  <c r="K1274" i="3"/>
  <c r="H1278" i="3"/>
  <c r="H1274" i="3"/>
  <c r="N1187" i="3"/>
  <c r="N1183" i="3"/>
  <c r="L1187" i="3"/>
  <c r="L1183" i="3"/>
  <c r="K1183" i="3"/>
  <c r="K1187" i="3"/>
  <c r="H1183" i="3"/>
  <c r="H1187" i="3"/>
  <c r="N1026" i="3"/>
  <c r="N1022" i="3"/>
  <c r="L1026" i="3"/>
  <c r="L1022" i="3"/>
  <c r="K1026" i="3"/>
  <c r="K1022" i="3"/>
  <c r="H1022" i="3"/>
  <c r="H1026" i="3"/>
  <c r="N900" i="3"/>
  <c r="N896" i="3"/>
  <c r="L900" i="3"/>
  <c r="L896" i="3"/>
  <c r="K900" i="3"/>
  <c r="K896" i="3"/>
  <c r="H900" i="3"/>
  <c r="H896" i="3"/>
  <c r="N774" i="3"/>
  <c r="N770" i="3"/>
  <c r="L774" i="3"/>
  <c r="L770" i="3"/>
  <c r="K774" i="3"/>
  <c r="K770" i="3"/>
  <c r="H774" i="3"/>
  <c r="H770" i="3"/>
  <c r="H755" i="3"/>
  <c r="L754" i="3"/>
  <c r="I754" i="3"/>
  <c r="D754" i="3"/>
  <c r="D747" i="3"/>
  <c r="H748" i="3"/>
  <c r="L747" i="3"/>
  <c r="I747" i="3"/>
  <c r="I740" i="3"/>
  <c r="H741" i="3"/>
  <c r="D740" i="3"/>
  <c r="L740" i="3"/>
  <c r="H734" i="3"/>
  <c r="L733" i="3"/>
  <c r="I733" i="3"/>
  <c r="D733" i="3"/>
  <c r="H727" i="3"/>
  <c r="L726" i="3"/>
  <c r="I726" i="3"/>
  <c r="D726" i="3"/>
  <c r="D719" i="3"/>
  <c r="H720" i="3"/>
  <c r="L719" i="3"/>
  <c r="I719" i="3"/>
  <c r="I712" i="3"/>
  <c r="L712" i="3"/>
  <c r="H713" i="3"/>
  <c r="D712" i="3"/>
  <c r="L705" i="3"/>
  <c r="D705" i="3"/>
  <c r="D707" i="3" s="1"/>
  <c r="I705" i="3"/>
  <c r="H706" i="3"/>
  <c r="I698" i="3"/>
  <c r="D698" i="3"/>
  <c r="D700" i="3" s="1"/>
  <c r="L698" i="3"/>
  <c r="H699" i="3"/>
  <c r="I691" i="3"/>
  <c r="D691" i="3"/>
  <c r="D693" i="3" s="1"/>
  <c r="L691" i="3"/>
  <c r="H692" i="3"/>
  <c r="H685" i="3"/>
  <c r="L684" i="3"/>
  <c r="I684" i="3"/>
  <c r="D684" i="3"/>
  <c r="D686" i="3" s="1"/>
  <c r="H678" i="3"/>
  <c r="L677" i="3"/>
  <c r="I677" i="3"/>
  <c r="D677" i="3"/>
  <c r="D679" i="3" s="1"/>
  <c r="D670" i="3"/>
  <c r="I670" i="3"/>
  <c r="L670" i="3"/>
  <c r="H671" i="3"/>
  <c r="H664" i="3"/>
  <c r="L663" i="3"/>
  <c r="I663" i="3"/>
  <c r="D663" i="3"/>
  <c r="H657" i="3"/>
  <c r="L656" i="3"/>
  <c r="I656" i="3"/>
  <c r="D656" i="3"/>
  <c r="D649" i="3"/>
  <c r="I649" i="3"/>
  <c r="L649" i="3"/>
  <c r="H650" i="3"/>
  <c r="D642" i="3"/>
  <c r="H643" i="3"/>
  <c r="L642" i="3"/>
  <c r="I642" i="3"/>
  <c r="N651" i="3"/>
  <c r="N655" i="3"/>
  <c r="L644" i="3"/>
  <c r="L648" i="3"/>
  <c r="K644" i="3"/>
  <c r="K648" i="3"/>
  <c r="H644" i="3"/>
  <c r="H648" i="3"/>
  <c r="H636" i="3"/>
  <c r="H637" i="3" s="1"/>
  <c r="L635" i="3"/>
  <c r="L637" i="3" s="1"/>
  <c r="I635" i="3"/>
  <c r="D635" i="3"/>
  <c r="H629" i="3"/>
  <c r="L628" i="3"/>
  <c r="I628" i="3"/>
  <c r="D628" i="3"/>
  <c r="H622" i="3"/>
  <c r="L621" i="3"/>
  <c r="I621" i="3"/>
  <c r="D621" i="3"/>
  <c r="D614" i="3"/>
  <c r="H615" i="3"/>
  <c r="L614" i="3"/>
  <c r="I614" i="3"/>
  <c r="I607" i="3"/>
  <c r="D607" i="3"/>
  <c r="H608" i="3"/>
  <c r="L607" i="3"/>
  <c r="L600" i="3"/>
  <c r="H601" i="3"/>
  <c r="D600" i="3"/>
  <c r="I600" i="3"/>
  <c r="H594" i="3"/>
  <c r="L593" i="3"/>
  <c r="I593" i="3"/>
  <c r="D593" i="3"/>
  <c r="L586" i="3"/>
  <c r="H587" i="3"/>
  <c r="D586" i="3"/>
  <c r="I586" i="3"/>
  <c r="D579" i="3"/>
  <c r="I579" i="3"/>
  <c r="L579" i="3"/>
  <c r="H580" i="3"/>
  <c r="D572" i="3"/>
  <c r="I572" i="3"/>
  <c r="L572" i="3"/>
  <c r="H573" i="3"/>
  <c r="H566" i="3"/>
  <c r="L565" i="3"/>
  <c r="I565" i="3"/>
  <c r="D565" i="3"/>
  <c r="H559" i="3"/>
  <c r="I558" i="3"/>
  <c r="L558" i="3"/>
  <c r="D558" i="3"/>
  <c r="D560" i="3" s="1"/>
  <c r="D551" i="3"/>
  <c r="D553" i="3" s="1"/>
  <c r="I551" i="3"/>
  <c r="H552" i="3"/>
  <c r="L551" i="3"/>
  <c r="D544" i="3"/>
  <c r="I544" i="3"/>
  <c r="H545" i="3"/>
  <c r="L544" i="3"/>
  <c r="D537" i="3"/>
  <c r="H538" i="3"/>
  <c r="L537" i="3"/>
  <c r="I537" i="3"/>
  <c r="D530" i="3"/>
  <c r="L530" i="3"/>
  <c r="H531" i="3"/>
  <c r="I530" i="3"/>
  <c r="D523" i="3"/>
  <c r="I523" i="3"/>
  <c r="H524" i="3"/>
  <c r="L523" i="3"/>
  <c r="H517" i="3"/>
  <c r="I516" i="3"/>
  <c r="D516" i="3"/>
  <c r="L516" i="3"/>
  <c r="N518" i="3"/>
  <c r="N522" i="3"/>
  <c r="L522" i="3"/>
  <c r="L518" i="3"/>
  <c r="K518" i="3"/>
  <c r="K522" i="3"/>
  <c r="H518" i="3"/>
  <c r="H522" i="3"/>
  <c r="D509" i="3"/>
  <c r="I509" i="3"/>
  <c r="L509" i="3"/>
  <c r="L511" i="3" s="1"/>
  <c r="H510" i="3"/>
  <c r="H511" i="3" s="1"/>
  <c r="D502" i="3"/>
  <c r="I502" i="3"/>
  <c r="L502" i="3"/>
  <c r="H503" i="3"/>
  <c r="D495" i="3"/>
  <c r="I495" i="3"/>
  <c r="H496" i="3"/>
  <c r="L495" i="3"/>
  <c r="L488" i="3"/>
  <c r="H489" i="3"/>
  <c r="I488" i="3"/>
  <c r="D488" i="3"/>
  <c r="H482" i="3"/>
  <c r="L481" i="3"/>
  <c r="I481" i="3"/>
  <c r="D481" i="3"/>
  <c r="H475" i="3"/>
  <c r="L474" i="3"/>
  <c r="I474" i="3"/>
  <c r="D474" i="3"/>
  <c r="I467" i="3"/>
  <c r="H468" i="3"/>
  <c r="L467" i="3"/>
  <c r="D467" i="3"/>
  <c r="D460" i="3"/>
  <c r="I460" i="3"/>
  <c r="L460" i="3"/>
  <c r="H461" i="3"/>
  <c r="D453" i="3"/>
  <c r="I453" i="3"/>
  <c r="L453" i="3"/>
  <c r="H454" i="3"/>
  <c r="D446" i="3"/>
  <c r="L446" i="3"/>
  <c r="I446" i="3"/>
  <c r="H447" i="3"/>
  <c r="H440" i="3"/>
  <c r="L439" i="3"/>
  <c r="D439" i="3"/>
  <c r="I439" i="3"/>
  <c r="D432" i="3"/>
  <c r="D434" i="3" s="1"/>
  <c r="I432" i="3"/>
  <c r="L432" i="3"/>
  <c r="H433" i="3"/>
  <c r="D566" i="3"/>
  <c r="D678" i="3"/>
  <c r="D685" i="3" s="1"/>
  <c r="D692" i="3" s="1"/>
  <c r="D818" i="3" s="1"/>
  <c r="I425" i="3"/>
  <c r="D425" i="3"/>
  <c r="D427" i="3" s="1"/>
  <c r="H426" i="3"/>
  <c r="L425" i="3"/>
  <c r="H419" i="3"/>
  <c r="L418" i="3"/>
  <c r="I418" i="3"/>
  <c r="D418" i="3"/>
  <c r="H412" i="3"/>
  <c r="L411" i="3"/>
  <c r="I411" i="3"/>
  <c r="D411" i="3"/>
  <c r="D412" i="3"/>
  <c r="D531" i="3"/>
  <c r="H405" i="3"/>
  <c r="L404" i="3"/>
  <c r="I404" i="3"/>
  <c r="D404" i="3"/>
  <c r="D406" i="3" s="1"/>
  <c r="I397" i="3"/>
  <c r="H398" i="3"/>
  <c r="L397" i="3"/>
  <c r="D397" i="3"/>
  <c r="H391" i="3"/>
  <c r="D390" i="3"/>
  <c r="I390" i="3"/>
  <c r="L390" i="3"/>
  <c r="N392" i="3"/>
  <c r="N396" i="3"/>
  <c r="L392" i="3"/>
  <c r="L396" i="3"/>
  <c r="K392" i="3"/>
  <c r="K396" i="3"/>
  <c r="H396" i="3"/>
  <c r="H392" i="3"/>
  <c r="D383" i="3"/>
  <c r="H384" i="3"/>
  <c r="H385" i="3" s="1"/>
  <c r="L383" i="3"/>
  <c r="L385" i="3" s="1"/>
  <c r="I383" i="3"/>
  <c r="I376" i="3"/>
  <c r="L376" i="3"/>
  <c r="D376" i="3"/>
  <c r="H377" i="3"/>
  <c r="H370" i="3"/>
  <c r="L369" i="3"/>
  <c r="I369" i="3"/>
  <c r="D369" i="3"/>
  <c r="L362" i="3"/>
  <c r="I362" i="3"/>
  <c r="H363" i="3"/>
  <c r="D362" i="3"/>
  <c r="L355" i="3"/>
  <c r="D355" i="3"/>
  <c r="I355" i="3"/>
  <c r="H356" i="3"/>
  <c r="D348" i="3"/>
  <c r="I348" i="3"/>
  <c r="L348" i="3"/>
  <c r="H349" i="3"/>
  <c r="D341" i="3"/>
  <c r="I341" i="3"/>
  <c r="L341" i="3"/>
  <c r="H342" i="3"/>
  <c r="L334" i="3"/>
  <c r="I334" i="3"/>
  <c r="D334" i="3"/>
  <c r="D336" i="3" s="1"/>
  <c r="H335" i="3"/>
  <c r="H328" i="3"/>
  <c r="L327" i="3"/>
  <c r="I327" i="3"/>
  <c r="D327" i="3"/>
  <c r="D329" i="3" s="1"/>
  <c r="H321" i="3"/>
  <c r="L320" i="3"/>
  <c r="I320" i="3"/>
  <c r="D320" i="3"/>
  <c r="D322" i="3" s="1"/>
  <c r="D313" i="3"/>
  <c r="H314" i="3"/>
  <c r="L313" i="3"/>
  <c r="I313" i="3"/>
  <c r="I306" i="3"/>
  <c r="D306" i="3"/>
  <c r="L306" i="3"/>
  <c r="H307" i="3"/>
  <c r="H300" i="3"/>
  <c r="L299" i="3"/>
  <c r="I299" i="3"/>
  <c r="D299" i="3"/>
  <c r="H293" i="3"/>
  <c r="L292" i="3"/>
  <c r="I292" i="3"/>
  <c r="D292" i="3"/>
  <c r="I285" i="3"/>
  <c r="D285" i="3"/>
  <c r="H286" i="3"/>
  <c r="L285" i="3"/>
  <c r="L278" i="3"/>
  <c r="I278" i="3"/>
  <c r="D278" i="3"/>
  <c r="H279" i="3"/>
  <c r="H272" i="3"/>
  <c r="L271" i="3"/>
  <c r="I271" i="3"/>
  <c r="D271" i="3"/>
  <c r="D264" i="3"/>
  <c r="I264" i="3"/>
  <c r="L264" i="3"/>
  <c r="H265" i="3"/>
  <c r="N266" i="3"/>
  <c r="N270" i="3"/>
  <c r="L266" i="3"/>
  <c r="L270" i="3"/>
  <c r="K266" i="3"/>
  <c r="K270" i="3"/>
  <c r="H266" i="3"/>
  <c r="H270" i="3"/>
  <c r="H258" i="3"/>
  <c r="H259" i="3" s="1"/>
  <c r="D257" i="3"/>
  <c r="I257" i="3"/>
  <c r="L257" i="3"/>
  <c r="L259" i="3" s="1"/>
  <c r="D250" i="3"/>
  <c r="I250" i="3"/>
  <c r="L250" i="3"/>
  <c r="H251" i="3"/>
  <c r="D243" i="3"/>
  <c r="I243" i="3"/>
  <c r="L243" i="3"/>
  <c r="H244" i="3"/>
  <c r="D244" i="3"/>
  <c r="D251" i="3" s="1"/>
  <c r="D363" i="3"/>
  <c r="I236" i="3"/>
  <c r="H237" i="3"/>
  <c r="L236" i="3"/>
  <c r="D236" i="3"/>
  <c r="D238" i="3" s="1"/>
  <c r="H230" i="3"/>
  <c r="L229" i="3"/>
  <c r="I229" i="3"/>
  <c r="D229" i="3"/>
  <c r="H223" i="3"/>
  <c r="L222" i="3"/>
  <c r="I222" i="3"/>
  <c r="D222" i="3"/>
  <c r="H216" i="3"/>
  <c r="D215" i="3"/>
  <c r="L215" i="3"/>
  <c r="I215" i="3"/>
  <c r="D208" i="3"/>
  <c r="D210" i="3" s="1"/>
  <c r="I208" i="3"/>
  <c r="L208" i="3"/>
  <c r="H209" i="3"/>
  <c r="H202" i="3"/>
  <c r="L201" i="3"/>
  <c r="I201" i="3"/>
  <c r="D201" i="3"/>
  <c r="D203" i="3" s="1"/>
  <c r="I194" i="3"/>
  <c r="H195" i="3"/>
  <c r="L194" i="3"/>
  <c r="D194" i="3"/>
  <c r="D196" i="3" s="1"/>
  <c r="H188" i="3"/>
  <c r="L187" i="3"/>
  <c r="I187" i="3"/>
  <c r="D187" i="3"/>
  <c r="H181" i="3"/>
  <c r="L180" i="3"/>
  <c r="I180" i="3"/>
  <c r="D180" i="3"/>
  <c r="D182" i="3" s="1"/>
  <c r="H174" i="3"/>
  <c r="L173" i="3"/>
  <c r="I173" i="3"/>
  <c r="D173" i="3"/>
  <c r="D175" i="3" s="1"/>
  <c r="L166" i="3"/>
  <c r="D166" i="3"/>
  <c r="I166" i="3"/>
  <c r="H167" i="3"/>
  <c r="L159" i="3"/>
  <c r="H160" i="3"/>
  <c r="D159" i="3"/>
  <c r="I159" i="3"/>
  <c r="L152" i="3"/>
  <c r="H153" i="3"/>
  <c r="I152" i="3"/>
  <c r="D152" i="3"/>
  <c r="D154" i="3" s="1"/>
  <c r="D145" i="3"/>
  <c r="I145" i="3"/>
  <c r="L145" i="3"/>
  <c r="H146" i="3"/>
  <c r="L138" i="3"/>
  <c r="I138" i="3"/>
  <c r="D138" i="3"/>
  <c r="H139" i="3"/>
  <c r="N144" i="3"/>
  <c r="N140" i="3"/>
  <c r="L144" i="3"/>
  <c r="L140" i="3"/>
  <c r="K144" i="3"/>
  <c r="K140" i="3"/>
  <c r="H144" i="3"/>
  <c r="H140" i="3"/>
  <c r="D131" i="3"/>
  <c r="H132" i="3"/>
  <c r="H133" i="3" s="1"/>
  <c r="L131" i="3"/>
  <c r="L133" i="3" s="1"/>
  <c r="I131" i="3"/>
  <c r="D124" i="3"/>
  <c r="D126" i="3" s="1"/>
  <c r="I124" i="3"/>
  <c r="L124" i="3"/>
  <c r="H125" i="3"/>
  <c r="I117" i="3"/>
  <c r="D117" i="3"/>
  <c r="D119" i="3" s="1"/>
  <c r="H118" i="3"/>
  <c r="L117" i="3"/>
  <c r="H111" i="3"/>
  <c r="L110" i="3"/>
  <c r="I110" i="3"/>
  <c r="D110" i="3"/>
  <c r="D112" i="3" s="1"/>
  <c r="D103" i="3"/>
  <c r="H104" i="3"/>
  <c r="L103" i="3"/>
  <c r="I103" i="3"/>
  <c r="H97" i="3"/>
  <c r="L96" i="3"/>
  <c r="I96" i="3"/>
  <c r="D96" i="3"/>
  <c r="D98" i="3" s="1"/>
  <c r="D104" i="3"/>
  <c r="D216" i="3"/>
  <c r="D223" i="3" s="1"/>
  <c r="I89" i="3"/>
  <c r="H90" i="3"/>
  <c r="D89" i="3"/>
  <c r="D91" i="3" s="1"/>
  <c r="L89" i="3"/>
  <c r="D82" i="3"/>
  <c r="D84" i="3" s="1"/>
  <c r="I82" i="3"/>
  <c r="L82" i="3"/>
  <c r="H83" i="3"/>
  <c r="D75" i="3"/>
  <c r="D77" i="3" s="1"/>
  <c r="I75" i="3"/>
  <c r="L75" i="3"/>
  <c r="H76" i="3"/>
  <c r="D335" i="3"/>
  <c r="D447" i="3"/>
  <c r="D454" i="3" s="1"/>
  <c r="D461" i="3" s="1"/>
  <c r="D573" i="3" s="1"/>
  <c r="D580" i="3" s="1"/>
  <c r="D587" i="3" s="1"/>
  <c r="D699" i="3" s="1"/>
  <c r="D706" i="3" s="1"/>
  <c r="D68" i="3"/>
  <c r="D70" i="3" s="1"/>
  <c r="I68" i="3"/>
  <c r="L68" i="3"/>
  <c r="H69" i="3"/>
  <c r="D61" i="3"/>
  <c r="I61" i="3"/>
  <c r="L61" i="3"/>
  <c r="H62" i="3"/>
  <c r="I54" i="3"/>
  <c r="H55" i="3"/>
  <c r="D54" i="3"/>
  <c r="D56" i="3" s="1"/>
  <c r="L54" i="3"/>
  <c r="D62" i="3"/>
  <c r="D174" i="3"/>
  <c r="D181" i="3" s="1"/>
  <c r="H48" i="3"/>
  <c r="L47" i="3"/>
  <c r="D47" i="3"/>
  <c r="D49" i="3" s="1"/>
  <c r="I47" i="3"/>
  <c r="D40" i="3"/>
  <c r="L40" i="3"/>
  <c r="H41" i="3"/>
  <c r="I40" i="3"/>
  <c r="H34" i="3"/>
  <c r="L33" i="3"/>
  <c r="I33" i="3"/>
  <c r="D33" i="3"/>
  <c r="D34" i="3"/>
  <c r="D41" i="3" s="1"/>
  <c r="D153" i="3"/>
  <c r="I26" i="3"/>
  <c r="D26" i="3"/>
  <c r="D28" i="3" s="1"/>
  <c r="L26" i="3"/>
  <c r="H27" i="3"/>
  <c r="H20" i="3"/>
  <c r="L19" i="3"/>
  <c r="I19" i="3"/>
  <c r="D19" i="3"/>
  <c r="I21" i="3"/>
  <c r="I39" i="3"/>
  <c r="H13" i="3"/>
  <c r="L12" i="3"/>
  <c r="I12" i="3"/>
  <c r="D12" i="3"/>
  <c r="N14" i="3"/>
  <c r="N18" i="3"/>
  <c r="L14" i="3"/>
  <c r="L18" i="3"/>
  <c r="K18" i="3"/>
  <c r="K14" i="3"/>
  <c r="I14" i="3"/>
  <c r="I32" i="3"/>
  <c r="H14" i="3"/>
  <c r="H18" i="3"/>
  <c r="D132" i="3"/>
  <c r="D13" i="3"/>
  <c r="D20" i="3" s="1"/>
  <c r="H6" i="3"/>
  <c r="H7" i="3" s="1"/>
  <c r="L5" i="3"/>
  <c r="L7" i="3" s="1"/>
  <c r="I5" i="3"/>
  <c r="D5" i="3"/>
  <c r="D7" i="3" s="1"/>
  <c r="M7" i="3"/>
  <c r="M11" i="3"/>
  <c r="J7" i="3"/>
  <c r="J11" i="3"/>
  <c r="I7" i="3"/>
  <c r="I25" i="3"/>
  <c r="G7" i="3"/>
  <c r="G11" i="3"/>
  <c r="F7" i="3"/>
  <c r="F11" i="3"/>
  <c r="E7" i="3"/>
  <c r="E11" i="3"/>
  <c r="D160" i="7"/>
  <c r="D161" i="7" s="1"/>
  <c r="D216" i="7"/>
  <c r="V732" i="1"/>
  <c r="U732" i="1"/>
  <c r="W732" i="1"/>
  <c r="X732" i="1"/>
  <c r="U731" i="1"/>
  <c r="V731" i="1"/>
  <c r="W731" i="1"/>
  <c r="X731" i="1"/>
  <c r="U730" i="1"/>
  <c r="V730" i="1"/>
  <c r="W730" i="1"/>
  <c r="X730" i="1"/>
  <c r="U729" i="1"/>
  <c r="V729" i="1"/>
  <c r="X729" i="1"/>
  <c r="W729" i="1"/>
  <c r="V728" i="1"/>
  <c r="X728" i="1"/>
  <c r="W728" i="1"/>
  <c r="U728" i="1"/>
  <c r="V727" i="1"/>
  <c r="W727" i="1"/>
  <c r="X727" i="1"/>
  <c r="U727" i="1"/>
  <c r="X726" i="1"/>
  <c r="U726" i="1"/>
  <c r="V726" i="1"/>
  <c r="W726" i="1"/>
  <c r="V725" i="1"/>
  <c r="W725" i="1"/>
  <c r="X725" i="1"/>
  <c r="U725" i="1"/>
  <c r="X724" i="1"/>
  <c r="W724" i="1"/>
  <c r="V724" i="1"/>
  <c r="U724" i="1"/>
  <c r="X723" i="1"/>
  <c r="W723" i="1"/>
  <c r="V723" i="1"/>
  <c r="U723" i="1"/>
  <c r="U722" i="1"/>
  <c r="X722" i="1"/>
  <c r="W722" i="1"/>
  <c r="V722" i="1"/>
  <c r="U721" i="1"/>
  <c r="V721" i="1"/>
  <c r="W721" i="1"/>
  <c r="X721" i="1"/>
  <c r="X720" i="1"/>
  <c r="W720" i="1"/>
  <c r="V720" i="1"/>
  <c r="U720" i="1"/>
  <c r="X719" i="1"/>
  <c r="W719" i="1"/>
  <c r="V719" i="1"/>
  <c r="U719" i="1"/>
  <c r="X541" i="1"/>
  <c r="W541" i="1"/>
  <c r="V541" i="1"/>
  <c r="U541" i="1"/>
  <c r="U540" i="1"/>
  <c r="X540" i="1"/>
  <c r="V540" i="1"/>
  <c r="W540" i="1"/>
  <c r="V539" i="1"/>
  <c r="W539" i="1"/>
  <c r="U539" i="1"/>
  <c r="X539" i="1"/>
  <c r="W538" i="1"/>
  <c r="V538" i="1"/>
  <c r="X538" i="1"/>
  <c r="U538" i="1"/>
  <c r="X537" i="1"/>
  <c r="W537" i="1"/>
  <c r="V537" i="1"/>
  <c r="U537" i="1"/>
  <c r="V536" i="1"/>
  <c r="U536" i="1"/>
  <c r="X536" i="1"/>
  <c r="W536" i="1"/>
  <c r="X535" i="1"/>
  <c r="V535" i="1"/>
  <c r="U535" i="1"/>
  <c r="W535" i="1"/>
  <c r="W534" i="1"/>
  <c r="V534" i="1"/>
  <c r="X534" i="1"/>
  <c r="U534" i="1"/>
  <c r="V533" i="1"/>
  <c r="U533" i="1"/>
  <c r="X533" i="1"/>
  <c r="W533" i="1"/>
  <c r="W532" i="1"/>
  <c r="V532" i="1"/>
  <c r="U532" i="1"/>
  <c r="X532" i="1"/>
  <c r="X531" i="1"/>
  <c r="W531" i="1"/>
  <c r="V531" i="1"/>
  <c r="U531" i="1"/>
  <c r="X530" i="1"/>
  <c r="W530" i="1"/>
  <c r="V530" i="1"/>
  <c r="U530" i="1"/>
  <c r="X529" i="1"/>
  <c r="W529" i="1"/>
  <c r="V529" i="1"/>
  <c r="U529" i="1"/>
  <c r="X528" i="1"/>
  <c r="W528" i="1"/>
  <c r="V528" i="1"/>
  <c r="U528" i="1"/>
  <c r="X469" i="1"/>
  <c r="W469" i="1"/>
  <c r="V469" i="1"/>
  <c r="U469" i="1"/>
  <c r="X468" i="1"/>
  <c r="W468" i="1"/>
  <c r="V468" i="1"/>
  <c r="U468" i="1"/>
  <c r="X467" i="1"/>
  <c r="W467" i="1"/>
  <c r="V467" i="1"/>
  <c r="U467" i="1"/>
  <c r="U466" i="1"/>
  <c r="W466" i="1"/>
  <c r="V466" i="1"/>
  <c r="X466" i="1"/>
  <c r="W465" i="1"/>
  <c r="V465" i="1"/>
  <c r="U465" i="1"/>
  <c r="X465" i="1"/>
  <c r="U464" i="1"/>
  <c r="X464" i="1"/>
  <c r="V464" i="1"/>
  <c r="W464" i="1"/>
  <c r="X463" i="1"/>
  <c r="W463" i="1"/>
  <c r="V463" i="1"/>
  <c r="U463" i="1"/>
  <c r="U462" i="1"/>
  <c r="W462" i="1"/>
  <c r="X462" i="1"/>
  <c r="V462" i="1"/>
  <c r="V461" i="1"/>
  <c r="U461" i="1"/>
  <c r="W461" i="1"/>
  <c r="X461" i="1"/>
  <c r="X460" i="1"/>
  <c r="W460" i="1"/>
  <c r="V460" i="1"/>
  <c r="U460" i="1"/>
  <c r="U459" i="1"/>
  <c r="W459" i="1"/>
  <c r="X459" i="1"/>
  <c r="V459" i="1"/>
  <c r="X458" i="1"/>
  <c r="U458" i="1"/>
  <c r="V458" i="1"/>
  <c r="W458" i="1"/>
  <c r="U457" i="1"/>
  <c r="V457" i="1"/>
  <c r="W457" i="1"/>
  <c r="X457" i="1"/>
  <c r="U456" i="1"/>
  <c r="V456" i="1"/>
  <c r="W456" i="1"/>
  <c r="X456" i="1"/>
  <c r="W413" i="1"/>
  <c r="X413" i="1"/>
  <c r="V413" i="1"/>
  <c r="U413" i="1"/>
  <c r="W412" i="1"/>
  <c r="X412" i="1"/>
  <c r="U412" i="1"/>
  <c r="V412" i="1"/>
  <c r="U411" i="1"/>
  <c r="V411" i="1"/>
  <c r="W411" i="1"/>
  <c r="X411" i="1"/>
  <c r="X410" i="1"/>
  <c r="U410" i="1"/>
  <c r="W410" i="1"/>
  <c r="V410" i="1"/>
  <c r="U409" i="1"/>
  <c r="W409" i="1"/>
  <c r="X409" i="1"/>
  <c r="V409" i="1"/>
  <c r="X408" i="1"/>
  <c r="W408" i="1"/>
  <c r="U408" i="1"/>
  <c r="V408" i="1"/>
  <c r="X407" i="1"/>
  <c r="U407" i="1"/>
  <c r="V407" i="1"/>
  <c r="W407" i="1"/>
  <c r="X406" i="1"/>
  <c r="V406" i="1"/>
  <c r="U406" i="1"/>
  <c r="W406" i="1"/>
  <c r="U405" i="1"/>
  <c r="W405" i="1"/>
  <c r="V405" i="1"/>
  <c r="X405" i="1"/>
  <c r="X404" i="1"/>
  <c r="W404" i="1"/>
  <c r="U404" i="1"/>
  <c r="V404" i="1"/>
  <c r="V403" i="1"/>
  <c r="W403" i="1"/>
  <c r="U403" i="1"/>
  <c r="X403" i="1"/>
  <c r="U402" i="1"/>
  <c r="W402" i="1"/>
  <c r="V402" i="1"/>
  <c r="X402" i="1"/>
  <c r="W401" i="1"/>
  <c r="U401" i="1"/>
  <c r="V401" i="1"/>
  <c r="X401" i="1"/>
  <c r="X400" i="1"/>
  <c r="W400" i="1"/>
  <c r="V400" i="1"/>
  <c r="U400" i="1"/>
  <c r="A660" i="4"/>
  <c r="A653" i="4"/>
  <c r="A422" i="4"/>
  <c r="A429" i="4"/>
  <c r="W215" i="1"/>
  <c r="X215" i="1"/>
  <c r="V215" i="1"/>
  <c r="U215" i="1"/>
  <c r="V214" i="1"/>
  <c r="X214" i="1"/>
  <c r="U214" i="1"/>
  <c r="W214" i="1"/>
  <c r="W213" i="1"/>
  <c r="V213" i="1"/>
  <c r="X213" i="1"/>
  <c r="U213" i="1"/>
  <c r="V212" i="1"/>
  <c r="X212" i="1"/>
  <c r="W212" i="1"/>
  <c r="U212" i="1"/>
  <c r="X211" i="1"/>
  <c r="V211" i="1"/>
  <c r="U211" i="1"/>
  <c r="W211" i="1"/>
  <c r="X210" i="1"/>
  <c r="V210" i="1"/>
  <c r="W210" i="1"/>
  <c r="U210" i="1"/>
  <c r="W209" i="1"/>
  <c r="V209" i="1"/>
  <c r="U209" i="1"/>
  <c r="X209" i="1"/>
  <c r="V208" i="1"/>
  <c r="X208" i="1"/>
  <c r="W208" i="1"/>
  <c r="U208" i="1"/>
  <c r="U207" i="1"/>
  <c r="V207" i="1"/>
  <c r="X207" i="1"/>
  <c r="W207" i="1"/>
  <c r="V206" i="1"/>
  <c r="X206" i="1"/>
  <c r="W206" i="1"/>
  <c r="U206" i="1"/>
  <c r="V205" i="1"/>
  <c r="X205" i="1"/>
  <c r="W205" i="1"/>
  <c r="U205" i="1"/>
  <c r="V204" i="1"/>
  <c r="U204" i="1"/>
  <c r="W204" i="1"/>
  <c r="X204" i="1"/>
  <c r="X203" i="1"/>
  <c r="V203" i="1"/>
  <c r="U203" i="1"/>
  <c r="W203" i="1"/>
  <c r="W202" i="1"/>
  <c r="X202" i="1"/>
  <c r="U202" i="1"/>
  <c r="V202" i="1"/>
  <c r="K5" i="1"/>
  <c r="Q5" i="1" s="1" a="1"/>
  <c r="Q5" i="1" s="1"/>
  <c r="Q4" i="1" a="1"/>
  <c r="Q4" i="1" s="1"/>
  <c r="D1323" i="8"/>
  <c r="D1316" i="8"/>
  <c r="D1309" i="8"/>
  <c r="D1302" i="8"/>
  <c r="D1295" i="8"/>
  <c r="D1288" i="8"/>
  <c r="D1274" i="8"/>
  <c r="D1267" i="8"/>
  <c r="D1260" i="8"/>
  <c r="D1253" i="8"/>
  <c r="D1246" i="8"/>
  <c r="D1239" i="8"/>
  <c r="D1232" i="8"/>
  <c r="D1225" i="8"/>
  <c r="D1218" i="8"/>
  <c r="D1211" i="8"/>
  <c r="D1204" i="8"/>
  <c r="D1197" i="8"/>
  <c r="D1190" i="8"/>
  <c r="D1183" i="8"/>
  <c r="D1176" i="8"/>
  <c r="D1169" i="8"/>
  <c r="D1162" i="8"/>
  <c r="D1155" i="8"/>
  <c r="D1148" i="8"/>
  <c r="D1141" i="8"/>
  <c r="D1134" i="8"/>
  <c r="D1127" i="8"/>
  <c r="D1120" i="8"/>
  <c r="D1113" i="8"/>
  <c r="D1106" i="8"/>
  <c r="D1099" i="8"/>
  <c r="D1092" i="8"/>
  <c r="D1085" i="8"/>
  <c r="D1078" i="8"/>
  <c r="D1071" i="8"/>
  <c r="D1064" i="8"/>
  <c r="D1057" i="8"/>
  <c r="D1050" i="8"/>
  <c r="D1043" i="8"/>
  <c r="D1036" i="8"/>
  <c r="D1029" i="8"/>
  <c r="D1022" i="8"/>
  <c r="D1015" i="8"/>
  <c r="D1008" i="8"/>
  <c r="D1001" i="8"/>
  <c r="D994" i="8"/>
  <c r="D987" i="8"/>
  <c r="D980" i="8"/>
  <c r="D973" i="8"/>
  <c r="D966" i="8"/>
  <c r="D959" i="8"/>
  <c r="D952" i="8"/>
  <c r="D945" i="8"/>
  <c r="D931" i="8"/>
  <c r="D924" i="8"/>
  <c r="D917" i="8"/>
  <c r="D910" i="8"/>
  <c r="D903" i="8"/>
  <c r="D896" i="8"/>
  <c r="D882" i="8"/>
  <c r="D875" i="8"/>
  <c r="D868" i="8"/>
  <c r="D861" i="8"/>
  <c r="D854" i="8"/>
  <c r="D847" i="8"/>
  <c r="D833" i="8"/>
  <c r="D826" i="8"/>
  <c r="D819" i="8"/>
  <c r="D812" i="8"/>
  <c r="D805" i="8"/>
  <c r="D798" i="8"/>
  <c r="D777" i="8"/>
  <c r="D770" i="8"/>
  <c r="D763" i="8"/>
  <c r="D756" i="8"/>
  <c r="D749" i="8"/>
  <c r="D721" i="8"/>
  <c r="D714" i="8"/>
  <c r="D707" i="8"/>
  <c r="D700" i="8"/>
  <c r="D665" i="8"/>
  <c r="D658" i="8"/>
  <c r="D651" i="8"/>
  <c r="D609" i="8"/>
  <c r="D105" i="7"/>
  <c r="D1309" i="3"/>
  <c r="D602" i="8"/>
  <c r="D595" i="8"/>
  <c r="D588" i="8"/>
  <c r="D581" i="8"/>
  <c r="D574" i="8"/>
  <c r="D567" i="8"/>
  <c r="D560" i="8"/>
  <c r="D553" i="8"/>
  <c r="D546" i="8"/>
  <c r="D539" i="8"/>
  <c r="D532" i="8"/>
  <c r="D525" i="8"/>
  <c r="D518" i="8"/>
  <c r="D511" i="8"/>
  <c r="D504" i="8"/>
  <c r="D497" i="8"/>
  <c r="D490" i="8"/>
  <c r="D483" i="8"/>
  <c r="D476" i="8"/>
  <c r="D469" i="8"/>
  <c r="D462" i="8"/>
  <c r="D455" i="8"/>
  <c r="D448" i="8"/>
  <c r="D441" i="8"/>
  <c r="D434" i="8"/>
  <c r="D427" i="8"/>
  <c r="D420" i="8"/>
  <c r="D413" i="8"/>
  <c r="D406" i="8"/>
  <c r="D399" i="8"/>
  <c r="D392" i="8"/>
  <c r="D385" i="8"/>
  <c r="D378" i="8"/>
  <c r="D371" i="8"/>
  <c r="D364" i="8"/>
  <c r="D357" i="8"/>
  <c r="D350" i="8"/>
  <c r="D343" i="8"/>
  <c r="D336" i="8"/>
  <c r="D329" i="8"/>
  <c r="D322" i="8"/>
  <c r="D315" i="8"/>
  <c r="D308" i="8"/>
  <c r="D301" i="8"/>
  <c r="D294" i="8"/>
  <c r="D287" i="8"/>
  <c r="D280" i="8"/>
  <c r="D273" i="8"/>
  <c r="D266" i="8"/>
  <c r="D259" i="8"/>
  <c r="D252" i="8"/>
  <c r="D245" i="8"/>
  <c r="D238" i="8"/>
  <c r="D231" i="8"/>
  <c r="D224" i="8"/>
  <c r="D217" i="8"/>
  <c r="D210" i="8"/>
  <c r="D203" i="8"/>
  <c r="D196" i="8"/>
  <c r="D189" i="8"/>
  <c r="D182" i="8"/>
  <c r="D175" i="8"/>
  <c r="D168" i="8"/>
  <c r="D161" i="8"/>
  <c r="D147" i="8"/>
  <c r="D140" i="8"/>
  <c r="D133" i="8"/>
  <c r="D126" i="8"/>
  <c r="D119" i="8"/>
  <c r="D112" i="8"/>
  <c r="D98" i="8"/>
  <c r="D91" i="8"/>
  <c r="D84" i="8"/>
  <c r="D77" i="8"/>
  <c r="D70" i="8"/>
  <c r="D63" i="8"/>
  <c r="D91" i="7"/>
  <c r="D49" i="7"/>
  <c r="D336" i="6"/>
  <c r="D329" i="6"/>
  <c r="D322" i="6"/>
  <c r="D315" i="6"/>
  <c r="D308" i="6"/>
  <c r="D294" i="6"/>
  <c r="D287" i="6"/>
  <c r="D280" i="6"/>
  <c r="D273" i="6"/>
  <c r="D266" i="6"/>
  <c r="D252" i="6"/>
  <c r="D245" i="6"/>
  <c r="D238" i="6"/>
  <c r="D231" i="6"/>
  <c r="D224" i="6"/>
  <c r="D168" i="6"/>
  <c r="D161" i="6"/>
  <c r="D154" i="6"/>
  <c r="D147" i="6"/>
  <c r="D140" i="6"/>
  <c r="D126" i="6"/>
  <c r="D119" i="6"/>
  <c r="D112" i="6"/>
  <c r="D105" i="6"/>
  <c r="D98" i="6"/>
  <c r="D84" i="6"/>
  <c r="D77" i="6"/>
  <c r="D70" i="6"/>
  <c r="D63" i="6"/>
  <c r="D56" i="6"/>
  <c r="E42" i="5"/>
  <c r="D42" i="5"/>
  <c r="H42" i="5" s="1"/>
  <c r="I42" i="5" s="1"/>
  <c r="J42" i="5" s="1"/>
  <c r="K42" i="5" s="1"/>
  <c r="T419" i="1" s="1"/>
  <c r="E21" i="5"/>
  <c r="D21" i="5"/>
  <c r="H21" i="5" s="1"/>
  <c r="I21" i="5" s="1"/>
  <c r="J21" i="5" s="1"/>
  <c r="K21" i="5" s="1"/>
  <c r="T416" i="1" s="1"/>
  <c r="D1316" i="3"/>
  <c r="D1309" i="4"/>
  <c r="D1190" i="4"/>
  <c r="D1190" i="3"/>
  <c r="D812" i="4"/>
  <c r="D1323" i="3"/>
  <c r="D812" i="3"/>
  <c r="F896" i="8" l="1"/>
  <c r="F900" i="8"/>
  <c r="G455" i="8"/>
  <c r="G459" i="8"/>
  <c r="F455" i="8"/>
  <c r="F459" i="8"/>
  <c r="E35" i="8"/>
  <c r="E41" i="8"/>
  <c r="E76" i="8"/>
  <c r="K21" i="8"/>
  <c r="K26" i="8"/>
  <c r="J21" i="8"/>
  <c r="J25" i="8"/>
  <c r="E56" i="8"/>
  <c r="E62" i="8"/>
  <c r="E104" i="8"/>
  <c r="E14" i="8"/>
  <c r="M14" i="8" s="1"/>
  <c r="N14" i="8" s="1"/>
  <c r="O14" i="8" s="1"/>
  <c r="P14" i="8" s="1"/>
  <c r="E20" i="8"/>
  <c r="E21" i="8" s="1"/>
  <c r="L14" i="8"/>
  <c r="L18" i="8"/>
  <c r="I14" i="8"/>
  <c r="I18" i="8"/>
  <c r="G14" i="8"/>
  <c r="G18" i="8"/>
  <c r="F14" i="8"/>
  <c r="F18" i="8"/>
  <c r="E475" i="7"/>
  <c r="E419" i="7"/>
  <c r="E357" i="7"/>
  <c r="E363" i="7"/>
  <c r="H357" i="7"/>
  <c r="H361" i="7"/>
  <c r="E307" i="7"/>
  <c r="E251" i="7"/>
  <c r="E189" i="7"/>
  <c r="E195" i="7"/>
  <c r="H189" i="7"/>
  <c r="H193" i="7"/>
  <c r="D224" i="7"/>
  <c r="D279" i="7"/>
  <c r="D210" i="7"/>
  <c r="D265" i="7"/>
  <c r="D203" i="7"/>
  <c r="D258" i="7"/>
  <c r="D84" i="7"/>
  <c r="D139" i="7"/>
  <c r="D140" i="7" s="1"/>
  <c r="D196" i="7"/>
  <c r="D251" i="7"/>
  <c r="D363" i="7"/>
  <c r="D189" i="7"/>
  <c r="D244" i="7"/>
  <c r="D356" i="7"/>
  <c r="D77" i="7"/>
  <c r="D132" i="7"/>
  <c r="D133" i="7" s="1"/>
  <c r="D182" i="7"/>
  <c r="D237" i="7"/>
  <c r="D349" i="7"/>
  <c r="D70" i="7"/>
  <c r="D125" i="7"/>
  <c r="D126" i="7" s="1"/>
  <c r="H21" i="7"/>
  <c r="H25" i="7"/>
  <c r="D63" i="7"/>
  <c r="D118" i="7"/>
  <c r="D119" i="7" s="1"/>
  <c r="D175" i="7"/>
  <c r="D230" i="7"/>
  <c r="D342" i="7"/>
  <c r="M284" i="7"/>
  <c r="M291" i="7" s="1"/>
  <c r="M298" i="7" s="1"/>
  <c r="M305" i="7" s="1"/>
  <c r="M312" i="7" s="1"/>
  <c r="M319" i="7" s="1"/>
  <c r="M326" i="7" s="1"/>
  <c r="M333" i="7" s="1"/>
  <c r="M340" i="7"/>
  <c r="M347" i="7" s="1"/>
  <c r="M354" i="7" s="1"/>
  <c r="M361" i="7" s="1"/>
  <c r="M368" i="7" s="1"/>
  <c r="M375" i="7" s="1"/>
  <c r="M382" i="7" s="1"/>
  <c r="M389" i="7" s="1"/>
  <c r="M396" i="7" s="1"/>
  <c r="M403" i="7" s="1"/>
  <c r="M410" i="7" s="1"/>
  <c r="M417" i="7" s="1"/>
  <c r="M424" i="7" s="1"/>
  <c r="M431" i="7" s="1"/>
  <c r="M438" i="7" s="1"/>
  <c r="M445" i="7" s="1"/>
  <c r="M452" i="7" s="1"/>
  <c r="M459" i="7" s="1"/>
  <c r="M466" i="7" s="1"/>
  <c r="M473" i="7" s="1"/>
  <c r="M480" i="7" s="1"/>
  <c r="M487" i="7" s="1"/>
  <c r="M494" i="7" s="1"/>
  <c r="M501" i="7" s="1"/>
  <c r="J14" i="7"/>
  <c r="J18" i="7"/>
  <c r="G14" i="7"/>
  <c r="G18" i="7"/>
  <c r="E14" i="7"/>
  <c r="K14" i="7" s="1"/>
  <c r="L14" i="7" s="1"/>
  <c r="M14" i="7" s="1"/>
  <c r="N14" i="7" s="1"/>
  <c r="E18" i="7"/>
  <c r="G182" i="6"/>
  <c r="G186" i="6"/>
  <c r="F182" i="6"/>
  <c r="F186" i="6"/>
  <c r="E182" i="6"/>
  <c r="E186" i="6"/>
  <c r="I56" i="6"/>
  <c r="I60" i="6"/>
  <c r="D175" i="6"/>
  <c r="D216" i="6"/>
  <c r="D49" i="6"/>
  <c r="D90" i="6"/>
  <c r="L14" i="6"/>
  <c r="L18" i="6"/>
  <c r="I175" i="6"/>
  <c r="I179" i="6"/>
  <c r="I14" i="6"/>
  <c r="I18" i="6"/>
  <c r="G14" i="6"/>
  <c r="G18" i="6"/>
  <c r="F14" i="6"/>
  <c r="F18" i="6"/>
  <c r="E14" i="6"/>
  <c r="E18" i="6"/>
  <c r="N1281" i="4"/>
  <c r="N1285" i="4"/>
  <c r="L1281" i="4"/>
  <c r="L1285" i="4"/>
  <c r="K1281" i="4"/>
  <c r="K1285" i="4"/>
  <c r="H1281" i="4"/>
  <c r="H1285" i="4"/>
  <c r="N1190" i="4"/>
  <c r="N1194" i="4"/>
  <c r="L1190" i="4"/>
  <c r="L1194" i="4"/>
  <c r="K1190" i="4"/>
  <c r="K1194" i="4"/>
  <c r="H1190" i="4"/>
  <c r="H1194" i="4"/>
  <c r="N1029" i="4"/>
  <c r="N1033" i="4"/>
  <c r="L1029" i="4"/>
  <c r="L1033" i="4"/>
  <c r="K1029" i="4"/>
  <c r="K1033" i="4"/>
  <c r="H1029" i="4"/>
  <c r="H1033" i="4"/>
  <c r="N903" i="4"/>
  <c r="N907" i="4"/>
  <c r="L903" i="4"/>
  <c r="L907" i="4"/>
  <c r="K903" i="4"/>
  <c r="K907" i="4"/>
  <c r="H903" i="4"/>
  <c r="H907" i="4"/>
  <c r="N777" i="4"/>
  <c r="N781" i="4"/>
  <c r="L777" i="4"/>
  <c r="L781" i="4"/>
  <c r="K777" i="4"/>
  <c r="K781" i="4"/>
  <c r="H777" i="4"/>
  <c r="H781" i="4"/>
  <c r="N651" i="4"/>
  <c r="N655" i="4"/>
  <c r="L651" i="4"/>
  <c r="L655" i="4"/>
  <c r="K651" i="4"/>
  <c r="K655" i="4"/>
  <c r="H651" i="4"/>
  <c r="H655" i="4"/>
  <c r="N525" i="4"/>
  <c r="N529" i="4"/>
  <c r="L525" i="4"/>
  <c r="L529" i="4"/>
  <c r="K525" i="4"/>
  <c r="K529" i="4"/>
  <c r="H525" i="4"/>
  <c r="H529" i="4"/>
  <c r="D819" i="4"/>
  <c r="D930" i="4"/>
  <c r="D538" i="4"/>
  <c r="D657" i="4"/>
  <c r="N399" i="4"/>
  <c r="N403" i="4"/>
  <c r="L399" i="4"/>
  <c r="L403" i="4"/>
  <c r="K399" i="4"/>
  <c r="K403" i="4"/>
  <c r="H399" i="4"/>
  <c r="H403" i="4"/>
  <c r="N273" i="4"/>
  <c r="N277" i="4"/>
  <c r="L273" i="4"/>
  <c r="L277" i="4"/>
  <c r="K273" i="4"/>
  <c r="K277" i="4"/>
  <c r="H273" i="4"/>
  <c r="H277" i="4"/>
  <c r="N147" i="4"/>
  <c r="N151" i="4"/>
  <c r="L147" i="4"/>
  <c r="L151" i="4"/>
  <c r="K147" i="4"/>
  <c r="K151" i="4"/>
  <c r="H147" i="4"/>
  <c r="H151" i="4"/>
  <c r="D244" i="4"/>
  <c r="D363" i="4"/>
  <c r="D230" i="4"/>
  <c r="D231" i="4" s="1"/>
  <c r="D342" i="4"/>
  <c r="D713" i="4"/>
  <c r="D714" i="4" s="1"/>
  <c r="D825" i="4"/>
  <c r="D188" i="4"/>
  <c r="D189" i="4" s="1"/>
  <c r="D300" i="4"/>
  <c r="D160" i="4"/>
  <c r="D279" i="4"/>
  <c r="I42" i="4"/>
  <c r="I60" i="4"/>
  <c r="N21" i="4"/>
  <c r="N25" i="4"/>
  <c r="L21" i="4"/>
  <c r="L25" i="4"/>
  <c r="K21" i="4"/>
  <c r="K25" i="4"/>
  <c r="I35" i="4"/>
  <c r="I53" i="4"/>
  <c r="H21" i="4"/>
  <c r="H25" i="4"/>
  <c r="D139" i="4"/>
  <c r="D258" i="4"/>
  <c r="M14" i="4"/>
  <c r="M18" i="4"/>
  <c r="J14" i="4"/>
  <c r="J18" i="4"/>
  <c r="I28" i="4"/>
  <c r="I46" i="4"/>
  <c r="G14" i="4"/>
  <c r="G18" i="4"/>
  <c r="F14" i="4"/>
  <c r="F18" i="4"/>
  <c r="E14" i="4"/>
  <c r="E18" i="4"/>
  <c r="N1281" i="3"/>
  <c r="N1285" i="3"/>
  <c r="L1281" i="3"/>
  <c r="L1285" i="3"/>
  <c r="K1281" i="3"/>
  <c r="K1285" i="3"/>
  <c r="H1281" i="3"/>
  <c r="H1285" i="3"/>
  <c r="N1190" i="3"/>
  <c r="N1194" i="3"/>
  <c r="L1190" i="3"/>
  <c r="L1194" i="3"/>
  <c r="K1190" i="3"/>
  <c r="K1194" i="3"/>
  <c r="H1190" i="3"/>
  <c r="H1194" i="3"/>
  <c r="N1029" i="3"/>
  <c r="N1033" i="3"/>
  <c r="L1029" i="3"/>
  <c r="L1033" i="3"/>
  <c r="K1029" i="3"/>
  <c r="K1033" i="3"/>
  <c r="H1029" i="3"/>
  <c r="H1033" i="3"/>
  <c r="N903" i="3"/>
  <c r="N907" i="3"/>
  <c r="L903" i="3"/>
  <c r="L907" i="3"/>
  <c r="K903" i="3"/>
  <c r="K907" i="3"/>
  <c r="H903" i="3"/>
  <c r="H907" i="3"/>
  <c r="N777" i="3"/>
  <c r="N781" i="3"/>
  <c r="L777" i="3"/>
  <c r="L781" i="3"/>
  <c r="K777" i="3"/>
  <c r="K781" i="3"/>
  <c r="H777" i="3"/>
  <c r="H781" i="3"/>
  <c r="N658" i="3"/>
  <c r="N662" i="3"/>
  <c r="L651" i="3"/>
  <c r="L655" i="3"/>
  <c r="K651" i="3"/>
  <c r="K655" i="3"/>
  <c r="H651" i="3"/>
  <c r="H655" i="3"/>
  <c r="N525" i="3"/>
  <c r="N529" i="3"/>
  <c r="L525" i="3"/>
  <c r="L529" i="3"/>
  <c r="K525" i="3"/>
  <c r="K529" i="3"/>
  <c r="H525" i="3"/>
  <c r="H529" i="3"/>
  <c r="D819" i="3"/>
  <c r="D930" i="3"/>
  <c r="D538" i="3"/>
  <c r="D657" i="3"/>
  <c r="N399" i="3"/>
  <c r="N403" i="3"/>
  <c r="L399" i="3"/>
  <c r="L403" i="3"/>
  <c r="K399" i="3"/>
  <c r="K403" i="3"/>
  <c r="H399" i="3"/>
  <c r="H403" i="3"/>
  <c r="N273" i="3"/>
  <c r="N277" i="3"/>
  <c r="L273" i="3"/>
  <c r="L277" i="3"/>
  <c r="K273" i="3"/>
  <c r="K277" i="3"/>
  <c r="H273" i="3"/>
  <c r="H277" i="3"/>
  <c r="D370" i="3"/>
  <c r="D489" i="3"/>
  <c r="N147" i="3"/>
  <c r="N151" i="3"/>
  <c r="L147" i="3"/>
  <c r="L151" i="3"/>
  <c r="K147" i="3"/>
  <c r="K151" i="3"/>
  <c r="H147" i="3"/>
  <c r="H151" i="3"/>
  <c r="D230" i="3"/>
  <c r="D231" i="3" s="1"/>
  <c r="D342" i="3"/>
  <c r="D713" i="3"/>
  <c r="D714" i="3" s="1"/>
  <c r="D825" i="3"/>
  <c r="D188" i="3"/>
  <c r="D189" i="3" s="1"/>
  <c r="D300" i="3"/>
  <c r="D160" i="3"/>
  <c r="D279" i="3"/>
  <c r="I42" i="3"/>
  <c r="I60" i="3"/>
  <c r="N21" i="3"/>
  <c r="N25" i="3"/>
  <c r="L21" i="3"/>
  <c r="L25" i="3"/>
  <c r="K21" i="3"/>
  <c r="K25" i="3"/>
  <c r="I35" i="3"/>
  <c r="I53" i="3"/>
  <c r="H21" i="3"/>
  <c r="H25" i="3"/>
  <c r="D139" i="3"/>
  <c r="D258" i="3"/>
  <c r="M14" i="3"/>
  <c r="M18" i="3"/>
  <c r="J14" i="3"/>
  <c r="J18" i="3"/>
  <c r="I28" i="3"/>
  <c r="I46" i="3"/>
  <c r="G14" i="3"/>
  <c r="G18" i="3"/>
  <c r="F14" i="3"/>
  <c r="F18" i="3"/>
  <c r="E14" i="3"/>
  <c r="E18" i="3"/>
  <c r="D217" i="7"/>
  <c r="D272" i="7"/>
  <c r="M7" i="8"/>
  <c r="N7" i="8" s="1"/>
  <c r="O7" i="8" s="1"/>
  <c r="P7" i="8" s="1"/>
  <c r="H35" i="5"/>
  <c r="I35" i="5" s="1"/>
  <c r="J35" i="5" s="1"/>
  <c r="K35" i="5" s="1"/>
  <c r="T418" i="1" s="1"/>
  <c r="D588" i="4"/>
  <c r="D567" i="4"/>
  <c r="D532" i="4"/>
  <c r="D413" i="4"/>
  <c r="D238" i="4"/>
  <c r="D126" i="4"/>
  <c r="D119" i="4"/>
  <c r="D105" i="4"/>
  <c r="D63" i="4"/>
  <c r="D42" i="4"/>
  <c r="D35" i="4"/>
  <c r="D21" i="4"/>
  <c r="D14" i="4"/>
  <c r="O7" i="4"/>
  <c r="P7" i="4" s="1"/>
  <c r="Q7" i="4" s="1"/>
  <c r="R7" i="4" s="1"/>
  <c r="D105" i="3"/>
  <c r="D588" i="3"/>
  <c r="D581" i="3"/>
  <c r="D574" i="3"/>
  <c r="D567" i="3"/>
  <c r="D532" i="3"/>
  <c r="D462" i="3"/>
  <c r="D455" i="3"/>
  <c r="D448" i="3"/>
  <c r="D413" i="3"/>
  <c r="D364" i="3"/>
  <c r="D252" i="3"/>
  <c r="D245" i="3"/>
  <c r="D224" i="3"/>
  <c r="D217" i="3"/>
  <c r="D133" i="3"/>
  <c r="D63" i="3"/>
  <c r="D42" i="3"/>
  <c r="D35" i="3"/>
  <c r="D21" i="3"/>
  <c r="D14" i="3"/>
  <c r="O14" i="3" s="1"/>
  <c r="P14" i="3" s="1"/>
  <c r="Q14" i="3" s="1"/>
  <c r="R14" i="3" s="1"/>
  <c r="T5" i="1" s="1"/>
  <c r="O7" i="3"/>
  <c r="P7" i="3" s="1"/>
  <c r="Q7" i="3" s="1"/>
  <c r="R7" i="3" s="1"/>
  <c r="T4" i="1" s="1"/>
  <c r="E354" i="7"/>
  <c r="E361" i="7" s="1"/>
  <c r="E368" i="7" s="1"/>
  <c r="E375" i="7" s="1"/>
  <c r="E382" i="7" s="1"/>
  <c r="E389" i="7" s="1"/>
  <c r="E396" i="7" s="1"/>
  <c r="E350" i="7"/>
  <c r="E186" i="7"/>
  <c r="E193" i="7" s="1"/>
  <c r="E200" i="7" s="1"/>
  <c r="E207" i="7" s="1"/>
  <c r="E214" i="7" s="1"/>
  <c r="E221" i="7" s="1"/>
  <c r="E228" i="7" s="1"/>
  <c r="E182" i="7"/>
  <c r="F903" i="8" l="1"/>
  <c r="F907" i="8"/>
  <c r="G462" i="8"/>
  <c r="G466" i="8"/>
  <c r="F462" i="8"/>
  <c r="F466" i="8"/>
  <c r="E42" i="8"/>
  <c r="E48" i="8"/>
  <c r="E49" i="8" s="1"/>
  <c r="E77" i="8"/>
  <c r="E83" i="8"/>
  <c r="K28" i="8"/>
  <c r="K33" i="8"/>
  <c r="J28" i="8"/>
  <c r="J32" i="8"/>
  <c r="E63" i="8"/>
  <c r="E69" i="8"/>
  <c r="E70" i="8" s="1"/>
  <c r="E105" i="8"/>
  <c r="E111" i="8"/>
  <c r="E153" i="8"/>
  <c r="L21" i="8"/>
  <c r="L25" i="8"/>
  <c r="I21" i="8"/>
  <c r="I25" i="8"/>
  <c r="G21" i="8"/>
  <c r="G25" i="8"/>
  <c r="F21" i="8"/>
  <c r="M21" i="8" s="1"/>
  <c r="N21" i="8" s="1"/>
  <c r="O21" i="8" s="1"/>
  <c r="P21" i="8" s="1"/>
  <c r="F25" i="8"/>
  <c r="E482" i="7"/>
  <c r="E426" i="7"/>
  <c r="E364" i="7"/>
  <c r="E370" i="7"/>
  <c r="H364" i="7"/>
  <c r="H368" i="7"/>
  <c r="E314" i="7"/>
  <c r="E258" i="7"/>
  <c r="E196" i="7"/>
  <c r="E202" i="7"/>
  <c r="H196" i="7"/>
  <c r="H200" i="7"/>
  <c r="D280" i="7"/>
  <c r="D335" i="7"/>
  <c r="D336" i="7" s="1"/>
  <c r="D391" i="7"/>
  <c r="D266" i="7"/>
  <c r="D321" i="7"/>
  <c r="D322" i="7" s="1"/>
  <c r="D377" i="7"/>
  <c r="D259" i="7"/>
  <c r="D314" i="7"/>
  <c r="D315" i="7" s="1"/>
  <c r="D370" i="7"/>
  <c r="D252" i="7"/>
  <c r="D307" i="7"/>
  <c r="D308" i="7" s="1"/>
  <c r="D364" i="7"/>
  <c r="D419" i="7"/>
  <c r="D245" i="7"/>
  <c r="D300" i="7"/>
  <c r="D301" i="7" s="1"/>
  <c r="D357" i="7"/>
  <c r="D412" i="7"/>
  <c r="D238" i="7"/>
  <c r="D293" i="7"/>
  <c r="D294" i="7" s="1"/>
  <c r="D350" i="7"/>
  <c r="D405" i="7"/>
  <c r="H28" i="7"/>
  <c r="H32" i="7"/>
  <c r="D231" i="7"/>
  <c r="D286" i="7"/>
  <c r="D287" i="7" s="1"/>
  <c r="D343" i="7"/>
  <c r="D398" i="7"/>
  <c r="J21" i="7"/>
  <c r="J25" i="7"/>
  <c r="G21" i="7"/>
  <c r="G25" i="7"/>
  <c r="E21" i="7"/>
  <c r="K21" i="7" s="1"/>
  <c r="L21" i="7" s="1"/>
  <c r="M21" i="7" s="1"/>
  <c r="N21" i="7" s="1"/>
  <c r="E25" i="7"/>
  <c r="G189" i="6"/>
  <c r="G193" i="6"/>
  <c r="F189" i="6"/>
  <c r="F193" i="6"/>
  <c r="E189" i="6"/>
  <c r="E193" i="6"/>
  <c r="I63" i="6"/>
  <c r="I67" i="6"/>
  <c r="D217" i="6"/>
  <c r="D258" i="6"/>
  <c r="D91" i="6"/>
  <c r="D132" i="6"/>
  <c r="D133" i="6" s="1"/>
  <c r="L21" i="6"/>
  <c r="L25" i="6"/>
  <c r="I182" i="6"/>
  <c r="I186" i="6"/>
  <c r="I21" i="6"/>
  <c r="I25" i="6"/>
  <c r="G21" i="6"/>
  <c r="G25" i="6"/>
  <c r="F21" i="6"/>
  <c r="F25" i="6"/>
  <c r="E21" i="6"/>
  <c r="M21" i="6" s="1"/>
  <c r="N21" i="6" s="1"/>
  <c r="O21" i="6" s="1"/>
  <c r="P21" i="6" s="1"/>
  <c r="E25" i="6"/>
  <c r="N1288" i="4"/>
  <c r="N1292" i="4"/>
  <c r="L1288" i="4"/>
  <c r="L1292" i="4"/>
  <c r="K1288" i="4"/>
  <c r="K1292" i="4"/>
  <c r="H1288" i="4"/>
  <c r="H1292" i="4"/>
  <c r="N1197" i="4"/>
  <c r="N1201" i="4"/>
  <c r="L1197" i="4"/>
  <c r="L1201" i="4"/>
  <c r="K1197" i="4"/>
  <c r="K1201" i="4"/>
  <c r="H1197" i="4"/>
  <c r="H1201" i="4"/>
  <c r="N1036" i="4"/>
  <c r="N1040" i="4"/>
  <c r="L1036" i="4"/>
  <c r="L1040" i="4"/>
  <c r="K1036" i="4"/>
  <c r="K1040" i="4"/>
  <c r="H1036" i="4"/>
  <c r="H1040" i="4"/>
  <c r="N910" i="4"/>
  <c r="N914" i="4"/>
  <c r="L910" i="4"/>
  <c r="L914" i="4"/>
  <c r="K910" i="4"/>
  <c r="K914" i="4"/>
  <c r="H910" i="4"/>
  <c r="H914" i="4"/>
  <c r="N784" i="4"/>
  <c r="N788" i="4"/>
  <c r="L784" i="4"/>
  <c r="L788" i="4"/>
  <c r="K784" i="4"/>
  <c r="K788" i="4"/>
  <c r="H784" i="4"/>
  <c r="H788" i="4"/>
  <c r="N658" i="4"/>
  <c r="N662" i="4"/>
  <c r="L658" i="4"/>
  <c r="L662" i="4"/>
  <c r="K658" i="4"/>
  <c r="K662" i="4"/>
  <c r="H658" i="4"/>
  <c r="H662" i="4"/>
  <c r="N532" i="4"/>
  <c r="N536" i="4"/>
  <c r="L532" i="4"/>
  <c r="L536" i="4"/>
  <c r="K532" i="4"/>
  <c r="K536" i="4"/>
  <c r="H532" i="4"/>
  <c r="H536" i="4"/>
  <c r="D931" i="4"/>
  <c r="D937" i="4"/>
  <c r="D539" i="4"/>
  <c r="D545" i="4"/>
  <c r="D546" i="4" s="1"/>
  <c r="D658" i="4"/>
  <c r="D664" i="4"/>
  <c r="D797" i="4"/>
  <c r="N406" i="4"/>
  <c r="N410" i="4"/>
  <c r="L406" i="4"/>
  <c r="L410" i="4"/>
  <c r="K406" i="4"/>
  <c r="K410" i="4"/>
  <c r="H406" i="4"/>
  <c r="H410" i="4"/>
  <c r="N280" i="4"/>
  <c r="N284" i="4"/>
  <c r="L280" i="4"/>
  <c r="L284" i="4"/>
  <c r="K280" i="4"/>
  <c r="K284" i="4"/>
  <c r="H280" i="4"/>
  <c r="H284" i="4"/>
  <c r="N154" i="4"/>
  <c r="N158" i="4"/>
  <c r="L154" i="4"/>
  <c r="L158" i="4"/>
  <c r="K154" i="4"/>
  <c r="K158" i="4"/>
  <c r="H154" i="4"/>
  <c r="H158" i="4"/>
  <c r="D245" i="4"/>
  <c r="D251" i="4"/>
  <c r="D252" i="4" s="1"/>
  <c r="D364" i="4"/>
  <c r="D370" i="4"/>
  <c r="D489" i="4"/>
  <c r="D343" i="4"/>
  <c r="D349" i="4"/>
  <c r="D468" i="4"/>
  <c r="D826" i="4"/>
  <c r="D832" i="4"/>
  <c r="D301" i="4"/>
  <c r="D307" i="4"/>
  <c r="D161" i="4"/>
  <c r="D167" i="4"/>
  <c r="D168" i="4" s="1"/>
  <c r="D280" i="4"/>
  <c r="D286" i="4"/>
  <c r="D419" i="4"/>
  <c r="D420" i="4" s="1"/>
  <c r="I63" i="4"/>
  <c r="I81" i="4"/>
  <c r="N28" i="4"/>
  <c r="N32" i="4"/>
  <c r="L28" i="4"/>
  <c r="L32" i="4"/>
  <c r="K28" i="4"/>
  <c r="K32" i="4"/>
  <c r="I56" i="4"/>
  <c r="I74" i="4"/>
  <c r="H28" i="4"/>
  <c r="H32" i="4"/>
  <c r="D140" i="4"/>
  <c r="D146" i="4"/>
  <c r="D147" i="4" s="1"/>
  <c r="D259" i="4"/>
  <c r="D265" i="4"/>
  <c r="D384" i="4"/>
  <c r="M21" i="4"/>
  <c r="M25" i="4"/>
  <c r="J21" i="4"/>
  <c r="J25" i="4"/>
  <c r="I49" i="4"/>
  <c r="I67" i="4"/>
  <c r="G21" i="4"/>
  <c r="G25" i="4"/>
  <c r="F21" i="4"/>
  <c r="F25" i="4"/>
  <c r="E21" i="4"/>
  <c r="O21" i="4" s="1"/>
  <c r="P21" i="4" s="1"/>
  <c r="Q21" i="4" s="1"/>
  <c r="R21" i="4" s="1"/>
  <c r="E25" i="4"/>
  <c r="N1288" i="3"/>
  <c r="N1292" i="3"/>
  <c r="L1288" i="3"/>
  <c r="L1292" i="3"/>
  <c r="K1288" i="3"/>
  <c r="K1292" i="3"/>
  <c r="H1288" i="3"/>
  <c r="H1292" i="3"/>
  <c r="N1197" i="3"/>
  <c r="N1201" i="3"/>
  <c r="L1197" i="3"/>
  <c r="L1201" i="3"/>
  <c r="K1197" i="3"/>
  <c r="K1201" i="3"/>
  <c r="H1197" i="3"/>
  <c r="H1201" i="3"/>
  <c r="N1036" i="3"/>
  <c r="N1040" i="3"/>
  <c r="L1036" i="3"/>
  <c r="L1040" i="3"/>
  <c r="K1036" i="3"/>
  <c r="K1040" i="3"/>
  <c r="H1036" i="3"/>
  <c r="H1040" i="3"/>
  <c r="N910" i="3"/>
  <c r="N914" i="3"/>
  <c r="L910" i="3"/>
  <c r="L914" i="3"/>
  <c r="K910" i="3"/>
  <c r="K914" i="3"/>
  <c r="H910" i="3"/>
  <c r="H914" i="3"/>
  <c r="N784" i="3"/>
  <c r="N788" i="3"/>
  <c r="L784" i="3"/>
  <c r="L788" i="3"/>
  <c r="K784" i="3"/>
  <c r="K788" i="3"/>
  <c r="H784" i="3"/>
  <c r="H788" i="3"/>
  <c r="N665" i="3"/>
  <c r="N669" i="3"/>
  <c r="L658" i="3"/>
  <c r="L662" i="3"/>
  <c r="K658" i="3"/>
  <c r="K662" i="3"/>
  <c r="H658" i="3"/>
  <c r="H662" i="3"/>
  <c r="N532" i="3"/>
  <c r="N536" i="3"/>
  <c r="L532" i="3"/>
  <c r="L536" i="3"/>
  <c r="K532" i="3"/>
  <c r="K536" i="3"/>
  <c r="H532" i="3"/>
  <c r="H536" i="3"/>
  <c r="D931" i="3"/>
  <c r="D937" i="3"/>
  <c r="D539" i="3"/>
  <c r="D545" i="3"/>
  <c r="D546" i="3" s="1"/>
  <c r="D658" i="3"/>
  <c r="D664" i="3"/>
  <c r="D797" i="3"/>
  <c r="N406" i="3"/>
  <c r="N410" i="3"/>
  <c r="L406" i="3"/>
  <c r="L410" i="3"/>
  <c r="K406" i="3"/>
  <c r="K410" i="3"/>
  <c r="H406" i="3"/>
  <c r="H410" i="3"/>
  <c r="N280" i="3"/>
  <c r="N284" i="3"/>
  <c r="L280" i="3"/>
  <c r="L284" i="3"/>
  <c r="K280" i="3"/>
  <c r="K284" i="3"/>
  <c r="H280" i="3"/>
  <c r="H284" i="3"/>
  <c r="D371" i="3"/>
  <c r="D377" i="3"/>
  <c r="D378" i="3" s="1"/>
  <c r="D490" i="3"/>
  <c r="D496" i="3"/>
  <c r="D615" i="3"/>
  <c r="N154" i="3"/>
  <c r="N158" i="3"/>
  <c r="L154" i="3"/>
  <c r="L158" i="3"/>
  <c r="K154" i="3"/>
  <c r="K158" i="3"/>
  <c r="H154" i="3"/>
  <c r="H158" i="3"/>
  <c r="D343" i="3"/>
  <c r="D349" i="3"/>
  <c r="D468" i="3"/>
  <c r="D826" i="3"/>
  <c r="D832" i="3"/>
  <c r="D301" i="3"/>
  <c r="D307" i="3"/>
  <c r="D161" i="3"/>
  <c r="D167" i="3"/>
  <c r="D168" i="3" s="1"/>
  <c r="D280" i="3"/>
  <c r="D286" i="3"/>
  <c r="D419" i="3"/>
  <c r="D420" i="3" s="1"/>
  <c r="I63" i="3"/>
  <c r="I81" i="3"/>
  <c r="N28" i="3"/>
  <c r="N32" i="3"/>
  <c r="L28" i="3"/>
  <c r="L32" i="3"/>
  <c r="K28" i="3"/>
  <c r="K32" i="3"/>
  <c r="I56" i="3"/>
  <c r="I74" i="3"/>
  <c r="H28" i="3"/>
  <c r="H32" i="3"/>
  <c r="D140" i="3"/>
  <c r="D146" i="3"/>
  <c r="D147" i="3" s="1"/>
  <c r="D259" i="3"/>
  <c r="D265" i="3"/>
  <c r="D384" i="3"/>
  <c r="M21" i="3"/>
  <c r="M25" i="3"/>
  <c r="J21" i="3"/>
  <c r="J25" i="3"/>
  <c r="I49" i="3"/>
  <c r="I67" i="3"/>
  <c r="G21" i="3"/>
  <c r="G25" i="3"/>
  <c r="F21" i="3"/>
  <c r="F25" i="3"/>
  <c r="E21" i="3"/>
  <c r="O21" i="3" s="1"/>
  <c r="P21" i="3" s="1"/>
  <c r="Q21" i="3" s="1"/>
  <c r="R21" i="3" s="1"/>
  <c r="T6" i="1" s="1"/>
  <c r="E25" i="3"/>
  <c r="D273" i="7"/>
  <c r="D328" i="7"/>
  <c r="D329" i="7" s="1"/>
  <c r="D384" i="7"/>
  <c r="V5" i="1"/>
  <c r="X5" i="1"/>
  <c r="W5" i="1"/>
  <c r="U5" i="1"/>
  <c r="W4" i="1"/>
  <c r="U4" i="1"/>
  <c r="X4" i="1"/>
  <c r="V4" i="1"/>
  <c r="E403" i="7"/>
  <c r="E399" i="7"/>
  <c r="E235" i="7"/>
  <c r="E231" i="7"/>
  <c r="M14" i="6"/>
  <c r="N14" i="6" s="1"/>
  <c r="O14" i="6" s="1"/>
  <c r="P14" i="6" s="1"/>
  <c r="O14" i="4"/>
  <c r="P14" i="4" s="1"/>
  <c r="Q14" i="4" s="1"/>
  <c r="R14" i="4" s="1"/>
  <c r="F910" i="8" l="1"/>
  <c r="F914" i="8"/>
  <c r="G469" i="8"/>
  <c r="G473" i="8"/>
  <c r="F469" i="8"/>
  <c r="F473" i="8"/>
  <c r="E84" i="8"/>
  <c r="E90" i="8"/>
  <c r="E125" i="8"/>
  <c r="K35" i="8"/>
  <c r="K40" i="8"/>
  <c r="J35" i="8"/>
  <c r="J39" i="8"/>
  <c r="E112" i="8"/>
  <c r="E118" i="8"/>
  <c r="E119" i="8" s="1"/>
  <c r="E154" i="8"/>
  <c r="E160" i="8"/>
  <c r="E202" i="8"/>
  <c r="L28" i="8"/>
  <c r="L32" i="8"/>
  <c r="I28" i="8"/>
  <c r="I32" i="8"/>
  <c r="G28" i="8"/>
  <c r="G32" i="8"/>
  <c r="F28" i="8"/>
  <c r="M28" i="8" s="1"/>
  <c r="N28" i="8" s="1"/>
  <c r="O28" i="8" s="1"/>
  <c r="P28" i="8" s="1"/>
  <c r="F32" i="8"/>
  <c r="E489" i="7"/>
  <c r="E433" i="7"/>
  <c r="E371" i="7"/>
  <c r="E377" i="7"/>
  <c r="H371" i="7"/>
  <c r="H375" i="7"/>
  <c r="E321" i="7"/>
  <c r="E265" i="7"/>
  <c r="E203" i="7"/>
  <c r="E209" i="7"/>
  <c r="H203" i="7"/>
  <c r="H207" i="7"/>
  <c r="D392" i="7"/>
  <c r="D447" i="7"/>
  <c r="D378" i="7"/>
  <c r="D433" i="7"/>
  <c r="D371" i="7"/>
  <c r="D426" i="7"/>
  <c r="D420" i="7"/>
  <c r="D475" i="7"/>
  <c r="D476" i="7" s="1"/>
  <c r="D413" i="7"/>
  <c r="D468" i="7"/>
  <c r="D469" i="7" s="1"/>
  <c r="D406" i="7"/>
  <c r="D461" i="7"/>
  <c r="D462" i="7" s="1"/>
  <c r="H35" i="7"/>
  <c r="H39" i="7"/>
  <c r="D399" i="7"/>
  <c r="D454" i="7"/>
  <c r="D455" i="7" s="1"/>
  <c r="J28" i="7"/>
  <c r="J32" i="7"/>
  <c r="G28" i="7"/>
  <c r="G32" i="7"/>
  <c r="E28" i="7"/>
  <c r="K28" i="7" s="1"/>
  <c r="L28" i="7" s="1"/>
  <c r="M28" i="7" s="1"/>
  <c r="N28" i="7" s="1"/>
  <c r="E32" i="7"/>
  <c r="G196" i="6"/>
  <c r="G200" i="6"/>
  <c r="F196" i="6"/>
  <c r="F200" i="6"/>
  <c r="E196" i="6"/>
  <c r="E200" i="6"/>
  <c r="I70" i="6"/>
  <c r="I74" i="6"/>
  <c r="D259" i="6"/>
  <c r="D300" i="6"/>
  <c r="D301" i="6" s="1"/>
  <c r="L28" i="6"/>
  <c r="L32" i="6"/>
  <c r="I189" i="6"/>
  <c r="I193" i="6"/>
  <c r="I28" i="6"/>
  <c r="I32" i="6"/>
  <c r="G28" i="6"/>
  <c r="G32" i="6"/>
  <c r="F28" i="6"/>
  <c r="F32" i="6"/>
  <c r="E28" i="6"/>
  <c r="E32" i="6"/>
  <c r="N1295" i="4"/>
  <c r="N1299" i="4"/>
  <c r="L1295" i="4"/>
  <c r="L1299" i="4"/>
  <c r="K1295" i="4"/>
  <c r="K1299" i="4"/>
  <c r="H1295" i="4"/>
  <c r="H1299" i="4"/>
  <c r="N1204" i="4"/>
  <c r="N1208" i="4"/>
  <c r="L1204" i="4"/>
  <c r="L1208" i="4"/>
  <c r="K1204" i="4"/>
  <c r="K1208" i="4"/>
  <c r="H1204" i="4"/>
  <c r="H1208" i="4"/>
  <c r="N1043" i="4"/>
  <c r="N1047" i="4"/>
  <c r="L1043" i="4"/>
  <c r="L1047" i="4"/>
  <c r="K1043" i="4"/>
  <c r="K1047" i="4"/>
  <c r="H1043" i="4"/>
  <c r="H1047" i="4"/>
  <c r="N917" i="4"/>
  <c r="N921" i="4"/>
  <c r="L917" i="4"/>
  <c r="L921" i="4"/>
  <c r="K917" i="4"/>
  <c r="K921" i="4"/>
  <c r="H917" i="4"/>
  <c r="H921" i="4"/>
  <c r="N791" i="4"/>
  <c r="N795" i="4"/>
  <c r="L791" i="4"/>
  <c r="L795" i="4"/>
  <c r="K791" i="4"/>
  <c r="K795" i="4"/>
  <c r="H791" i="4"/>
  <c r="H795" i="4"/>
  <c r="N665" i="4"/>
  <c r="N669" i="4"/>
  <c r="L665" i="4"/>
  <c r="L669" i="4"/>
  <c r="K665" i="4"/>
  <c r="K669" i="4"/>
  <c r="H665" i="4"/>
  <c r="H669" i="4"/>
  <c r="N539" i="4"/>
  <c r="N543" i="4"/>
  <c r="L539" i="4"/>
  <c r="L543" i="4"/>
  <c r="K539" i="4"/>
  <c r="K543" i="4"/>
  <c r="H539" i="4"/>
  <c r="H543" i="4"/>
  <c r="D938" i="4"/>
  <c r="D944" i="4"/>
  <c r="D945" i="4" s="1"/>
  <c r="D1056" i="4"/>
  <c r="D665" i="4"/>
  <c r="D671" i="4"/>
  <c r="D798" i="4"/>
  <c r="D909" i="4"/>
  <c r="N413" i="4"/>
  <c r="N417" i="4"/>
  <c r="L413" i="4"/>
  <c r="L417" i="4"/>
  <c r="K413" i="4"/>
  <c r="K417" i="4"/>
  <c r="H413" i="4"/>
  <c r="H417" i="4"/>
  <c r="N287" i="4"/>
  <c r="N291" i="4"/>
  <c r="L287" i="4"/>
  <c r="L291" i="4"/>
  <c r="K287" i="4"/>
  <c r="K291" i="4"/>
  <c r="H287" i="4"/>
  <c r="H291" i="4"/>
  <c r="N161" i="4"/>
  <c r="N165" i="4"/>
  <c r="L161" i="4"/>
  <c r="L165" i="4"/>
  <c r="K161" i="4"/>
  <c r="K165" i="4"/>
  <c r="H161" i="4"/>
  <c r="H165" i="4"/>
  <c r="D371" i="4"/>
  <c r="D377" i="4"/>
  <c r="D378" i="4" s="1"/>
  <c r="D490" i="4"/>
  <c r="D496" i="4"/>
  <c r="D615" i="4"/>
  <c r="D350" i="4"/>
  <c r="D356" i="4"/>
  <c r="D357" i="4" s="1"/>
  <c r="D469" i="4"/>
  <c r="D475" i="4"/>
  <c r="D833" i="4"/>
  <c r="D839" i="4"/>
  <c r="D308" i="4"/>
  <c r="D314" i="4"/>
  <c r="D287" i="4"/>
  <c r="D293" i="4"/>
  <c r="D294" i="4" s="1"/>
  <c r="I84" i="4"/>
  <c r="I102" i="4"/>
  <c r="N35" i="4"/>
  <c r="N39" i="4"/>
  <c r="L35" i="4"/>
  <c r="L39" i="4"/>
  <c r="K35" i="4"/>
  <c r="K39" i="4"/>
  <c r="I77" i="4"/>
  <c r="I95" i="4"/>
  <c r="H35" i="4"/>
  <c r="H39" i="4"/>
  <c r="D266" i="4"/>
  <c r="D272" i="4"/>
  <c r="D273" i="4" s="1"/>
  <c r="D385" i="4"/>
  <c r="D391" i="4"/>
  <c r="D510" i="4"/>
  <c r="M28" i="4"/>
  <c r="M32" i="4"/>
  <c r="J28" i="4"/>
  <c r="J32" i="4"/>
  <c r="I70" i="4"/>
  <c r="I88" i="4"/>
  <c r="G28" i="4"/>
  <c r="G32" i="4"/>
  <c r="F28" i="4"/>
  <c r="F32" i="4"/>
  <c r="E28" i="4"/>
  <c r="O28" i="4" s="1"/>
  <c r="P28" i="4" s="1"/>
  <c r="Q28" i="4" s="1"/>
  <c r="R28" i="4" s="1"/>
  <c r="E32" i="4"/>
  <c r="N1295" i="3"/>
  <c r="N1299" i="3"/>
  <c r="L1295" i="3"/>
  <c r="L1299" i="3"/>
  <c r="K1295" i="3"/>
  <c r="K1299" i="3"/>
  <c r="H1295" i="3"/>
  <c r="H1299" i="3"/>
  <c r="N1204" i="3"/>
  <c r="N1208" i="3"/>
  <c r="L1204" i="3"/>
  <c r="L1208" i="3"/>
  <c r="K1204" i="3"/>
  <c r="K1208" i="3"/>
  <c r="H1204" i="3"/>
  <c r="H1208" i="3"/>
  <c r="N1043" i="3"/>
  <c r="N1047" i="3"/>
  <c r="L1043" i="3"/>
  <c r="L1047" i="3"/>
  <c r="K1043" i="3"/>
  <c r="K1047" i="3"/>
  <c r="H1043" i="3"/>
  <c r="H1047" i="3"/>
  <c r="N917" i="3"/>
  <c r="N921" i="3"/>
  <c r="L917" i="3"/>
  <c r="L921" i="3"/>
  <c r="K917" i="3"/>
  <c r="K921" i="3"/>
  <c r="H917" i="3"/>
  <c r="H921" i="3"/>
  <c r="N791" i="3"/>
  <c r="N795" i="3"/>
  <c r="L791" i="3"/>
  <c r="L795" i="3"/>
  <c r="K791" i="3"/>
  <c r="K795" i="3"/>
  <c r="H791" i="3"/>
  <c r="H795" i="3"/>
  <c r="N672" i="3"/>
  <c r="N676" i="3"/>
  <c r="L665" i="3"/>
  <c r="L669" i="3"/>
  <c r="K665" i="3"/>
  <c r="K669" i="3"/>
  <c r="H665" i="3"/>
  <c r="H669" i="3"/>
  <c r="N539" i="3"/>
  <c r="N543" i="3"/>
  <c r="L539" i="3"/>
  <c r="L543" i="3"/>
  <c r="K539" i="3"/>
  <c r="K543" i="3"/>
  <c r="H539" i="3"/>
  <c r="H543" i="3"/>
  <c r="D938" i="3"/>
  <c r="D944" i="3"/>
  <c r="D945" i="3" s="1"/>
  <c r="D1056" i="3"/>
  <c r="D665" i="3"/>
  <c r="D671" i="3"/>
  <c r="D798" i="3"/>
  <c r="D909" i="3"/>
  <c r="N413" i="3"/>
  <c r="N417" i="3"/>
  <c r="L413" i="3"/>
  <c r="L417" i="3"/>
  <c r="K413" i="3"/>
  <c r="K417" i="3"/>
  <c r="H413" i="3"/>
  <c r="H417" i="3"/>
  <c r="N287" i="3"/>
  <c r="N291" i="3"/>
  <c r="L287" i="3"/>
  <c r="L291" i="3"/>
  <c r="K287" i="3"/>
  <c r="K291" i="3"/>
  <c r="H287" i="3"/>
  <c r="H291" i="3"/>
  <c r="D497" i="3"/>
  <c r="D503" i="3"/>
  <c r="D504" i="3" s="1"/>
  <c r="D616" i="3"/>
  <c r="D622" i="3"/>
  <c r="D741" i="3"/>
  <c r="N161" i="3"/>
  <c r="N165" i="3"/>
  <c r="L161" i="3"/>
  <c r="L165" i="3"/>
  <c r="K161" i="3"/>
  <c r="K165" i="3"/>
  <c r="H161" i="3"/>
  <c r="H165" i="3"/>
  <c r="D350" i="3"/>
  <c r="D356" i="3"/>
  <c r="D357" i="3" s="1"/>
  <c r="D469" i="3"/>
  <c r="D475" i="3"/>
  <c r="D833" i="3"/>
  <c r="D839" i="3"/>
  <c r="D308" i="3"/>
  <c r="D314" i="3"/>
  <c r="D287" i="3"/>
  <c r="D293" i="3"/>
  <c r="D294" i="3" s="1"/>
  <c r="I84" i="3"/>
  <c r="I102" i="3"/>
  <c r="N35" i="3"/>
  <c r="N39" i="3"/>
  <c r="L35" i="3"/>
  <c r="L39" i="3"/>
  <c r="K35" i="3"/>
  <c r="K39" i="3"/>
  <c r="I77" i="3"/>
  <c r="I95" i="3"/>
  <c r="H35" i="3"/>
  <c r="H39" i="3"/>
  <c r="D266" i="3"/>
  <c r="D272" i="3"/>
  <c r="D273" i="3" s="1"/>
  <c r="D385" i="3"/>
  <c r="D391" i="3"/>
  <c r="D510" i="3"/>
  <c r="M28" i="3"/>
  <c r="M32" i="3"/>
  <c r="J28" i="3"/>
  <c r="J32" i="3"/>
  <c r="I70" i="3"/>
  <c r="I88" i="3"/>
  <c r="G28" i="3"/>
  <c r="G32" i="3"/>
  <c r="F28" i="3"/>
  <c r="F32" i="3"/>
  <c r="E28" i="3"/>
  <c r="O28" i="3" s="1"/>
  <c r="P28" i="3" s="1"/>
  <c r="Q28" i="3" s="1"/>
  <c r="R28" i="3" s="1"/>
  <c r="T7" i="1" s="1"/>
  <c r="E32" i="3"/>
  <c r="D385" i="7"/>
  <c r="D440" i="7"/>
  <c r="E406" i="7"/>
  <c r="E410" i="7"/>
  <c r="E238" i="7"/>
  <c r="E242" i="7"/>
  <c r="V6" i="1"/>
  <c r="W6" i="1"/>
  <c r="X6" i="1"/>
  <c r="U6" i="1"/>
  <c r="F917" i="8" l="1"/>
  <c r="F921" i="8"/>
  <c r="G476" i="8"/>
  <c r="G480" i="8"/>
  <c r="F476" i="8"/>
  <c r="F480" i="8"/>
  <c r="E91" i="8"/>
  <c r="E97" i="8"/>
  <c r="E98" i="8" s="1"/>
  <c r="E126" i="8"/>
  <c r="E132" i="8"/>
  <c r="K42" i="8"/>
  <c r="K47" i="8"/>
  <c r="J42" i="8"/>
  <c r="J46" i="8"/>
  <c r="E161" i="8"/>
  <c r="E167" i="8"/>
  <c r="E168" i="8" s="1"/>
  <c r="E203" i="8"/>
  <c r="E209" i="8"/>
  <c r="E251" i="8"/>
  <c r="L35" i="8"/>
  <c r="L39" i="8"/>
  <c r="I35" i="8"/>
  <c r="I39" i="8"/>
  <c r="G35" i="8"/>
  <c r="G39" i="8"/>
  <c r="F35" i="8"/>
  <c r="M35" i="8" s="1"/>
  <c r="N35" i="8" s="1"/>
  <c r="O35" i="8" s="1"/>
  <c r="P35" i="8" s="1"/>
  <c r="F39" i="8"/>
  <c r="E496" i="7"/>
  <c r="E440" i="7"/>
  <c r="E378" i="7"/>
  <c r="E384" i="7"/>
  <c r="H378" i="7"/>
  <c r="H382" i="7"/>
  <c r="E328" i="7"/>
  <c r="E272" i="7"/>
  <c r="E210" i="7"/>
  <c r="E216" i="7"/>
  <c r="H210" i="7"/>
  <c r="H214" i="7"/>
  <c r="D448" i="7"/>
  <c r="D503" i="7"/>
  <c r="D504" i="7" s="1"/>
  <c r="D434" i="7"/>
  <c r="D489" i="7"/>
  <c r="D490" i="7" s="1"/>
  <c r="D427" i="7"/>
  <c r="D482" i="7"/>
  <c r="D483" i="7" s="1"/>
  <c r="H42" i="7"/>
  <c r="H46" i="7"/>
  <c r="J35" i="7"/>
  <c r="J39" i="7"/>
  <c r="G35" i="7"/>
  <c r="G39" i="7"/>
  <c r="E35" i="7"/>
  <c r="K35" i="7" s="1"/>
  <c r="L35" i="7" s="1"/>
  <c r="M35" i="7" s="1"/>
  <c r="N35" i="7" s="1"/>
  <c r="E39" i="7"/>
  <c r="G203" i="6"/>
  <c r="G207" i="6"/>
  <c r="F203" i="6"/>
  <c r="F207" i="6"/>
  <c r="E203" i="6"/>
  <c r="E207" i="6"/>
  <c r="I77" i="6"/>
  <c r="I81" i="6"/>
  <c r="L35" i="6"/>
  <c r="L39" i="6"/>
  <c r="I196" i="6"/>
  <c r="I200" i="6"/>
  <c r="I35" i="6"/>
  <c r="I39" i="6"/>
  <c r="I42" i="6" s="1"/>
  <c r="G35" i="6"/>
  <c r="G39" i="6"/>
  <c r="F35" i="6"/>
  <c r="F39" i="6"/>
  <c r="E35" i="6"/>
  <c r="M35" i="6" s="1"/>
  <c r="N35" i="6" s="1"/>
  <c r="O35" i="6" s="1"/>
  <c r="P35" i="6" s="1"/>
  <c r="E39" i="6"/>
  <c r="N1302" i="4"/>
  <c r="N1306" i="4"/>
  <c r="L1302" i="4"/>
  <c r="L1306" i="4"/>
  <c r="K1302" i="4"/>
  <c r="K1306" i="4"/>
  <c r="H1302" i="4"/>
  <c r="H1306" i="4"/>
  <c r="N1211" i="4"/>
  <c r="N1215" i="4"/>
  <c r="L1211" i="4"/>
  <c r="L1215" i="4"/>
  <c r="K1211" i="4"/>
  <c r="K1215" i="4"/>
  <c r="H1211" i="4"/>
  <c r="H1215" i="4"/>
  <c r="N1050" i="4"/>
  <c r="N1054" i="4"/>
  <c r="L1050" i="4"/>
  <c r="L1054" i="4"/>
  <c r="K1050" i="4"/>
  <c r="K1054" i="4"/>
  <c r="H1050" i="4"/>
  <c r="H1054" i="4"/>
  <c r="N924" i="4"/>
  <c r="N928" i="4"/>
  <c r="L924" i="4"/>
  <c r="L928" i="4"/>
  <c r="K924" i="4"/>
  <c r="K928" i="4"/>
  <c r="H924" i="4"/>
  <c r="H928" i="4"/>
  <c r="N798" i="4"/>
  <c r="N802" i="4"/>
  <c r="L798" i="4"/>
  <c r="L802" i="4"/>
  <c r="K798" i="4"/>
  <c r="K802" i="4"/>
  <c r="H798" i="4"/>
  <c r="H802" i="4"/>
  <c r="N672" i="4"/>
  <c r="N676" i="4"/>
  <c r="L672" i="4"/>
  <c r="L676" i="4"/>
  <c r="K672" i="4"/>
  <c r="K676" i="4"/>
  <c r="H672" i="4"/>
  <c r="H676" i="4"/>
  <c r="N546" i="4"/>
  <c r="N550" i="4"/>
  <c r="L546" i="4"/>
  <c r="L550" i="4"/>
  <c r="K546" i="4"/>
  <c r="K550" i="4"/>
  <c r="H546" i="4"/>
  <c r="H550" i="4"/>
  <c r="D1057" i="4"/>
  <c r="D1063" i="4"/>
  <c r="D672" i="4"/>
  <c r="D790" i="4"/>
  <c r="D791" i="4" s="1"/>
  <c r="D910" i="4"/>
  <c r="D916" i="4"/>
  <c r="N420" i="4"/>
  <c r="N424" i="4"/>
  <c r="L420" i="4"/>
  <c r="L424" i="4"/>
  <c r="K420" i="4"/>
  <c r="K424" i="4"/>
  <c r="H420" i="4"/>
  <c r="H424" i="4"/>
  <c r="N294" i="4"/>
  <c r="N298" i="4"/>
  <c r="L294" i="4"/>
  <c r="L298" i="4"/>
  <c r="K294" i="4"/>
  <c r="K298" i="4"/>
  <c r="H294" i="4"/>
  <c r="H298" i="4"/>
  <c r="N168" i="4"/>
  <c r="N172" i="4"/>
  <c r="L168" i="4"/>
  <c r="L172" i="4"/>
  <c r="K168" i="4"/>
  <c r="K172" i="4"/>
  <c r="H168" i="4"/>
  <c r="H172" i="4"/>
  <c r="D497" i="4"/>
  <c r="D503" i="4"/>
  <c r="D504" i="4" s="1"/>
  <c r="D616" i="4"/>
  <c r="D622" i="4"/>
  <c r="D741" i="4"/>
  <c r="D476" i="4"/>
  <c r="D482" i="4"/>
  <c r="D483" i="4" s="1"/>
  <c r="D594" i="4"/>
  <c r="D840" i="4"/>
  <c r="D951" i="4"/>
  <c r="D315" i="4"/>
  <c r="D440" i="4"/>
  <c r="D441" i="4" s="1"/>
  <c r="I105" i="4"/>
  <c r="I123" i="4"/>
  <c r="N42" i="4"/>
  <c r="N46" i="4"/>
  <c r="L42" i="4"/>
  <c r="L46" i="4"/>
  <c r="K42" i="4"/>
  <c r="K46" i="4"/>
  <c r="I98" i="4"/>
  <c r="I116" i="4"/>
  <c r="H42" i="4"/>
  <c r="H46" i="4"/>
  <c r="D392" i="4"/>
  <c r="D398" i="4"/>
  <c r="D399" i="4" s="1"/>
  <c r="D511" i="4"/>
  <c r="D517" i="4"/>
  <c r="D636" i="4"/>
  <c r="M35" i="4"/>
  <c r="M39" i="4"/>
  <c r="J35" i="4"/>
  <c r="J39" i="4"/>
  <c r="I91" i="4"/>
  <c r="I109" i="4"/>
  <c r="G35" i="4"/>
  <c r="G39" i="4"/>
  <c r="F35" i="4"/>
  <c r="F39" i="4"/>
  <c r="E35" i="4"/>
  <c r="O35" i="4" s="1"/>
  <c r="P35" i="4" s="1"/>
  <c r="Q35" i="4" s="1"/>
  <c r="R35" i="4" s="1"/>
  <c r="E39" i="4"/>
  <c r="N1302" i="3"/>
  <c r="N1306" i="3"/>
  <c r="L1302" i="3"/>
  <c r="L1306" i="3"/>
  <c r="K1302" i="3"/>
  <c r="K1306" i="3"/>
  <c r="H1302" i="3"/>
  <c r="H1306" i="3"/>
  <c r="N1211" i="3"/>
  <c r="N1215" i="3"/>
  <c r="L1211" i="3"/>
  <c r="L1215" i="3"/>
  <c r="K1211" i="3"/>
  <c r="K1215" i="3"/>
  <c r="H1211" i="3"/>
  <c r="H1215" i="3"/>
  <c r="N1050" i="3"/>
  <c r="N1054" i="3"/>
  <c r="L1050" i="3"/>
  <c r="L1054" i="3"/>
  <c r="K1050" i="3"/>
  <c r="K1054" i="3"/>
  <c r="H1050" i="3"/>
  <c r="H1054" i="3"/>
  <c r="N924" i="3"/>
  <c r="N928" i="3"/>
  <c r="L924" i="3"/>
  <c r="L928" i="3"/>
  <c r="K924" i="3"/>
  <c r="K928" i="3"/>
  <c r="H924" i="3"/>
  <c r="H928" i="3"/>
  <c r="N798" i="3"/>
  <c r="N802" i="3"/>
  <c r="L798" i="3"/>
  <c r="L802" i="3"/>
  <c r="K798" i="3"/>
  <c r="K802" i="3"/>
  <c r="H798" i="3"/>
  <c r="H802" i="3"/>
  <c r="N679" i="3"/>
  <c r="N683" i="3"/>
  <c r="L672" i="3"/>
  <c r="L676" i="3"/>
  <c r="K672" i="3"/>
  <c r="K676" i="3"/>
  <c r="H672" i="3"/>
  <c r="H676" i="3"/>
  <c r="N546" i="3"/>
  <c r="N550" i="3"/>
  <c r="L546" i="3"/>
  <c r="L550" i="3"/>
  <c r="K546" i="3"/>
  <c r="K550" i="3"/>
  <c r="H546" i="3"/>
  <c r="H550" i="3"/>
  <c r="D1057" i="3"/>
  <c r="D1063" i="3"/>
  <c r="D672" i="3"/>
  <c r="D790" i="3"/>
  <c r="D791" i="3" s="1"/>
  <c r="D910" i="3"/>
  <c r="D916" i="3"/>
  <c r="N420" i="3"/>
  <c r="N424" i="3"/>
  <c r="L420" i="3"/>
  <c r="L424" i="3"/>
  <c r="K420" i="3"/>
  <c r="K424" i="3"/>
  <c r="H420" i="3"/>
  <c r="H424" i="3"/>
  <c r="N294" i="3"/>
  <c r="N298" i="3"/>
  <c r="L294" i="3"/>
  <c r="L298" i="3"/>
  <c r="K294" i="3"/>
  <c r="K298" i="3"/>
  <c r="H294" i="3"/>
  <c r="H298" i="3"/>
  <c r="D623" i="3"/>
  <c r="D629" i="3"/>
  <c r="D630" i="3" s="1"/>
  <c r="D742" i="3"/>
  <c r="D748" i="3"/>
  <c r="D867" i="3"/>
  <c r="N168" i="3"/>
  <c r="N172" i="3"/>
  <c r="L168" i="3"/>
  <c r="L172" i="3"/>
  <c r="K168" i="3"/>
  <c r="K172" i="3"/>
  <c r="H168" i="3"/>
  <c r="H172" i="3"/>
  <c r="D476" i="3"/>
  <c r="D482" i="3"/>
  <c r="D483" i="3" s="1"/>
  <c r="D594" i="3"/>
  <c r="D840" i="3"/>
  <c r="D951" i="3"/>
  <c r="D315" i="3"/>
  <c r="D440" i="3"/>
  <c r="D441" i="3" s="1"/>
  <c r="I105" i="3"/>
  <c r="I123" i="3"/>
  <c r="N42" i="3"/>
  <c r="N46" i="3"/>
  <c r="L42" i="3"/>
  <c r="L46" i="3"/>
  <c r="K42" i="3"/>
  <c r="K46" i="3"/>
  <c r="I98" i="3"/>
  <c r="I116" i="3"/>
  <c r="H42" i="3"/>
  <c r="H46" i="3"/>
  <c r="D392" i="3"/>
  <c r="D398" i="3"/>
  <c r="D399" i="3" s="1"/>
  <c r="D511" i="3"/>
  <c r="D517" i="3"/>
  <c r="D636" i="3"/>
  <c r="M35" i="3"/>
  <c r="M39" i="3"/>
  <c r="J35" i="3"/>
  <c r="J39" i="3"/>
  <c r="I91" i="3"/>
  <c r="I109" i="3"/>
  <c r="G35" i="3"/>
  <c r="G39" i="3"/>
  <c r="F35" i="3"/>
  <c r="F39" i="3"/>
  <c r="X7" i="1"/>
  <c r="W7" i="1"/>
  <c r="V7" i="1"/>
  <c r="U7" i="1"/>
  <c r="E35" i="3"/>
  <c r="O35" i="3" s="1"/>
  <c r="P35" i="3" s="1"/>
  <c r="Q35" i="3" s="1"/>
  <c r="R35" i="3" s="1"/>
  <c r="T8" i="1" s="1"/>
  <c r="E39" i="3"/>
  <c r="D441" i="7"/>
  <c r="D496" i="7"/>
  <c r="D497" i="7" s="1"/>
  <c r="E413" i="7"/>
  <c r="E417" i="7"/>
  <c r="E245" i="7"/>
  <c r="E249" i="7"/>
  <c r="M28" i="6"/>
  <c r="N28" i="6" s="1"/>
  <c r="O28" i="6" s="1"/>
  <c r="P28" i="6" s="1"/>
  <c r="F924" i="8" l="1"/>
  <c r="F928" i="8"/>
  <c r="G483" i="8"/>
  <c r="G487" i="8"/>
  <c r="F483" i="8"/>
  <c r="F487" i="8"/>
  <c r="E133" i="8"/>
  <c r="E139" i="8"/>
  <c r="E174" i="8"/>
  <c r="K49" i="8"/>
  <c r="K54" i="8"/>
  <c r="J49" i="8"/>
  <c r="J53" i="8"/>
  <c r="E210" i="8"/>
  <c r="E216" i="8"/>
  <c r="E217" i="8" s="1"/>
  <c r="E252" i="8"/>
  <c r="E258" i="8"/>
  <c r="L42" i="8"/>
  <c r="L46" i="8"/>
  <c r="I42" i="8"/>
  <c r="I46" i="8"/>
  <c r="G42" i="8"/>
  <c r="G46" i="8"/>
  <c r="F42" i="8"/>
  <c r="M42" i="8" s="1"/>
  <c r="N42" i="8" s="1"/>
  <c r="O42" i="8" s="1"/>
  <c r="P42" i="8" s="1"/>
  <c r="F46" i="8"/>
  <c r="E503" i="7"/>
  <c r="E447" i="7"/>
  <c r="E385" i="7"/>
  <c r="E391" i="7"/>
  <c r="E392" i="7" s="1"/>
  <c r="H385" i="7"/>
  <c r="H389" i="7"/>
  <c r="E335" i="7"/>
  <c r="E279" i="7"/>
  <c r="E217" i="7"/>
  <c r="E223" i="7"/>
  <c r="E224" i="7" s="1"/>
  <c r="H217" i="7"/>
  <c r="H221" i="7"/>
  <c r="H49" i="7"/>
  <c r="H53" i="7"/>
  <c r="J42" i="7"/>
  <c r="J46" i="7"/>
  <c r="G42" i="7"/>
  <c r="G46" i="7"/>
  <c r="E42" i="7"/>
  <c r="K42" i="7" s="1"/>
  <c r="L42" i="7" s="1"/>
  <c r="M42" i="7" s="1"/>
  <c r="N42" i="7" s="1"/>
  <c r="E46" i="7"/>
  <c r="G210" i="6"/>
  <c r="G214" i="6"/>
  <c r="F210" i="6"/>
  <c r="F214" i="6"/>
  <c r="E210" i="6"/>
  <c r="E214" i="6"/>
  <c r="I84" i="6"/>
  <c r="I88" i="6"/>
  <c r="I214" i="6"/>
  <c r="L42" i="6"/>
  <c r="L46" i="6"/>
  <c r="I203" i="6"/>
  <c r="I207" i="6"/>
  <c r="I210" i="6" s="1"/>
  <c r="G42" i="6"/>
  <c r="G46" i="6"/>
  <c r="F42" i="6"/>
  <c r="F46" i="6"/>
  <c r="E42" i="6"/>
  <c r="M42" i="6" s="1"/>
  <c r="N42" i="6" s="1"/>
  <c r="O42" i="6" s="1"/>
  <c r="P42" i="6" s="1"/>
  <c r="E46" i="6"/>
  <c r="N1309" i="4"/>
  <c r="N1313" i="4"/>
  <c r="L1309" i="4"/>
  <c r="L1313" i="4"/>
  <c r="K1309" i="4"/>
  <c r="K1313" i="4"/>
  <c r="H1309" i="4"/>
  <c r="H1313" i="4"/>
  <c r="N1218" i="4"/>
  <c r="N1222" i="4"/>
  <c r="L1218" i="4"/>
  <c r="L1222" i="4"/>
  <c r="K1218" i="4"/>
  <c r="K1222" i="4"/>
  <c r="H1218" i="4"/>
  <c r="H1222" i="4"/>
  <c r="N1057" i="4"/>
  <c r="N1061" i="4"/>
  <c r="L1057" i="4"/>
  <c r="L1061" i="4"/>
  <c r="K1057" i="4"/>
  <c r="K1061" i="4"/>
  <c r="H1057" i="4"/>
  <c r="H1061" i="4"/>
  <c r="N931" i="4"/>
  <c r="N935" i="4"/>
  <c r="L931" i="4"/>
  <c r="L935" i="4"/>
  <c r="K931" i="4"/>
  <c r="K935" i="4"/>
  <c r="H931" i="4"/>
  <c r="H935" i="4"/>
  <c r="N805" i="4"/>
  <c r="N809" i="4"/>
  <c r="L805" i="4"/>
  <c r="L809" i="4"/>
  <c r="K805" i="4"/>
  <c r="K809" i="4"/>
  <c r="H805" i="4"/>
  <c r="H809" i="4"/>
  <c r="N679" i="4"/>
  <c r="N683" i="4"/>
  <c r="L679" i="4"/>
  <c r="L683" i="4"/>
  <c r="K679" i="4"/>
  <c r="K683" i="4"/>
  <c r="H679" i="4"/>
  <c r="H683" i="4"/>
  <c r="N553" i="4"/>
  <c r="N557" i="4"/>
  <c r="L553" i="4"/>
  <c r="L557" i="4"/>
  <c r="K553" i="4"/>
  <c r="K557" i="4"/>
  <c r="H553" i="4"/>
  <c r="H557" i="4"/>
  <c r="D1064" i="4"/>
  <c r="D1070" i="4"/>
  <c r="D917" i="4"/>
  <c r="D923" i="4"/>
  <c r="N427" i="4"/>
  <c r="N431" i="4"/>
  <c r="L427" i="4"/>
  <c r="L431" i="4"/>
  <c r="K427" i="4"/>
  <c r="K431" i="4"/>
  <c r="H427" i="4"/>
  <c r="H431" i="4"/>
  <c r="N301" i="4"/>
  <c r="N305" i="4"/>
  <c r="L301" i="4"/>
  <c r="L305" i="4"/>
  <c r="K301" i="4"/>
  <c r="K305" i="4"/>
  <c r="H301" i="4"/>
  <c r="H305" i="4"/>
  <c r="N175" i="4"/>
  <c r="N179" i="4"/>
  <c r="L175" i="4"/>
  <c r="L179" i="4"/>
  <c r="K175" i="4"/>
  <c r="K179" i="4"/>
  <c r="H175" i="4"/>
  <c r="H179" i="4"/>
  <c r="D623" i="4"/>
  <c r="D629" i="4"/>
  <c r="D630" i="4" s="1"/>
  <c r="D742" i="4"/>
  <c r="D748" i="4"/>
  <c r="D867" i="4"/>
  <c r="D595" i="4"/>
  <c r="D601" i="4"/>
  <c r="D952" i="4"/>
  <c r="D958" i="4"/>
  <c r="I126" i="4"/>
  <c r="I144" i="4"/>
  <c r="N49" i="4"/>
  <c r="N53" i="4"/>
  <c r="L49" i="4"/>
  <c r="L53" i="4"/>
  <c r="K49" i="4"/>
  <c r="K53" i="4"/>
  <c r="I119" i="4"/>
  <c r="I137" i="4"/>
  <c r="H49" i="4"/>
  <c r="H53" i="4"/>
  <c r="D518" i="4"/>
  <c r="D524" i="4"/>
  <c r="D525" i="4" s="1"/>
  <c r="D637" i="4"/>
  <c r="D643" i="4"/>
  <c r="D762" i="4"/>
  <c r="M42" i="4"/>
  <c r="M46" i="4"/>
  <c r="J42" i="4"/>
  <c r="J46" i="4"/>
  <c r="I112" i="4"/>
  <c r="I130" i="4"/>
  <c r="G42" i="4"/>
  <c r="G46" i="4"/>
  <c r="F42" i="4"/>
  <c r="F46" i="4"/>
  <c r="E42" i="4"/>
  <c r="O42" i="4" s="1"/>
  <c r="P42" i="4" s="1"/>
  <c r="Q42" i="4" s="1"/>
  <c r="R42" i="4" s="1"/>
  <c r="E46" i="4"/>
  <c r="N1309" i="3"/>
  <c r="N1313" i="3"/>
  <c r="L1309" i="3"/>
  <c r="L1313" i="3"/>
  <c r="K1309" i="3"/>
  <c r="K1313" i="3"/>
  <c r="H1309" i="3"/>
  <c r="H1313" i="3"/>
  <c r="N1218" i="3"/>
  <c r="N1222" i="3"/>
  <c r="L1218" i="3"/>
  <c r="L1222" i="3"/>
  <c r="K1218" i="3"/>
  <c r="K1222" i="3"/>
  <c r="H1218" i="3"/>
  <c r="H1222" i="3"/>
  <c r="N1057" i="3"/>
  <c r="N1061" i="3"/>
  <c r="L1057" i="3"/>
  <c r="L1061" i="3"/>
  <c r="K1057" i="3"/>
  <c r="K1061" i="3"/>
  <c r="H1057" i="3"/>
  <c r="H1061" i="3"/>
  <c r="N931" i="3"/>
  <c r="N935" i="3"/>
  <c r="L931" i="3"/>
  <c r="L935" i="3"/>
  <c r="K931" i="3"/>
  <c r="K935" i="3"/>
  <c r="H931" i="3"/>
  <c r="H935" i="3"/>
  <c r="N805" i="3"/>
  <c r="N809" i="3"/>
  <c r="L805" i="3"/>
  <c r="L809" i="3"/>
  <c r="K805" i="3"/>
  <c r="K809" i="3"/>
  <c r="H805" i="3"/>
  <c r="H809" i="3"/>
  <c r="N686" i="3"/>
  <c r="N690" i="3"/>
  <c r="L679" i="3"/>
  <c r="L683" i="3"/>
  <c r="K679" i="3"/>
  <c r="K683" i="3"/>
  <c r="H679" i="3"/>
  <c r="H683" i="3"/>
  <c r="N553" i="3"/>
  <c r="N557" i="3"/>
  <c r="L553" i="3"/>
  <c r="L557" i="3"/>
  <c r="K553" i="3"/>
  <c r="K557" i="3"/>
  <c r="H553" i="3"/>
  <c r="H557" i="3"/>
  <c r="D1064" i="3"/>
  <c r="D1070" i="3"/>
  <c r="D917" i="3"/>
  <c r="D923" i="3"/>
  <c r="N427" i="3"/>
  <c r="N431" i="3"/>
  <c r="L427" i="3"/>
  <c r="L431" i="3"/>
  <c r="K427" i="3"/>
  <c r="K431" i="3"/>
  <c r="H427" i="3"/>
  <c r="H431" i="3"/>
  <c r="N301" i="3"/>
  <c r="N305" i="3"/>
  <c r="L301" i="3"/>
  <c r="L305" i="3"/>
  <c r="K301" i="3"/>
  <c r="K305" i="3"/>
  <c r="H301" i="3"/>
  <c r="H305" i="3"/>
  <c r="D749" i="3"/>
  <c r="D755" i="3"/>
  <c r="D756" i="3" s="1"/>
  <c r="D868" i="3"/>
  <c r="D874" i="3"/>
  <c r="D993" i="3"/>
  <c r="N175" i="3"/>
  <c r="N179" i="3"/>
  <c r="L175" i="3"/>
  <c r="L179" i="3"/>
  <c r="K175" i="3"/>
  <c r="K179" i="3"/>
  <c r="H175" i="3"/>
  <c r="H179" i="3"/>
  <c r="D595" i="3"/>
  <c r="D601" i="3"/>
  <c r="D952" i="3"/>
  <c r="D958" i="3"/>
  <c r="I126" i="3"/>
  <c r="I144" i="3"/>
  <c r="N49" i="3"/>
  <c r="N53" i="3"/>
  <c r="L49" i="3"/>
  <c r="L53" i="3"/>
  <c r="K49" i="3"/>
  <c r="K53" i="3"/>
  <c r="I119" i="3"/>
  <c r="I137" i="3"/>
  <c r="H49" i="3"/>
  <c r="H53" i="3"/>
  <c r="D518" i="3"/>
  <c r="D524" i="3"/>
  <c r="D525" i="3" s="1"/>
  <c r="D637" i="3"/>
  <c r="D643" i="3"/>
  <c r="D762" i="3"/>
  <c r="M42" i="3"/>
  <c r="M46" i="3"/>
  <c r="J42" i="3"/>
  <c r="J46" i="3"/>
  <c r="I112" i="3"/>
  <c r="I130" i="3"/>
  <c r="G42" i="3"/>
  <c r="G46" i="3"/>
  <c r="F42" i="3"/>
  <c r="F46" i="3"/>
  <c r="U8" i="1"/>
  <c r="V8" i="1"/>
  <c r="W8" i="1"/>
  <c r="X8" i="1"/>
  <c r="E42" i="3"/>
  <c r="O42" i="3" s="1"/>
  <c r="P42" i="3" s="1"/>
  <c r="Q42" i="3" s="1"/>
  <c r="R42" i="3" s="1"/>
  <c r="T9" i="1" s="1"/>
  <c r="E46" i="3"/>
  <c r="E420" i="7"/>
  <c r="E424" i="7"/>
  <c r="E252" i="7"/>
  <c r="E256" i="7"/>
  <c r="F931" i="8" l="1"/>
  <c r="F935" i="8"/>
  <c r="G490" i="8"/>
  <c r="G494" i="8"/>
  <c r="F490" i="8"/>
  <c r="F494" i="8"/>
  <c r="E140" i="8"/>
  <c r="E146" i="8"/>
  <c r="E147" i="8" s="1"/>
  <c r="E175" i="8"/>
  <c r="E181" i="8"/>
  <c r="K56" i="8"/>
  <c r="K61" i="8"/>
  <c r="J56" i="8"/>
  <c r="J60" i="8"/>
  <c r="E259" i="8"/>
  <c r="E265" i="8"/>
  <c r="L49" i="8"/>
  <c r="L53" i="8"/>
  <c r="I49" i="8"/>
  <c r="I53" i="8"/>
  <c r="G49" i="8"/>
  <c r="G53" i="8"/>
  <c r="F49" i="8"/>
  <c r="M49" i="8" s="1"/>
  <c r="N49" i="8" s="1"/>
  <c r="O49" i="8" s="1"/>
  <c r="P49" i="8" s="1"/>
  <c r="F53" i="8"/>
  <c r="H392" i="7"/>
  <c r="H396" i="7"/>
  <c r="H224" i="7"/>
  <c r="H228" i="7"/>
  <c r="H56" i="7"/>
  <c r="H60" i="7"/>
  <c r="J49" i="7"/>
  <c r="J53" i="7"/>
  <c r="G49" i="7"/>
  <c r="G53" i="7"/>
  <c r="E49" i="7"/>
  <c r="K49" i="7" s="1"/>
  <c r="L49" i="7" s="1"/>
  <c r="M49" i="7" s="1"/>
  <c r="N49" i="7" s="1"/>
  <c r="E53" i="7"/>
  <c r="G217" i="6"/>
  <c r="G221" i="6"/>
  <c r="F217" i="6"/>
  <c r="F221" i="6"/>
  <c r="E217" i="6"/>
  <c r="E221" i="6"/>
  <c r="I91" i="6"/>
  <c r="I95" i="6"/>
  <c r="I217" i="6"/>
  <c r="I221" i="6"/>
  <c r="L49" i="6"/>
  <c r="L53" i="6"/>
  <c r="G49" i="6"/>
  <c r="G53" i="6"/>
  <c r="F49" i="6"/>
  <c r="F53" i="6"/>
  <c r="E49" i="6"/>
  <c r="M49" i="6" s="1"/>
  <c r="N49" i="6" s="1"/>
  <c r="O49" i="6" s="1"/>
  <c r="P49" i="6" s="1"/>
  <c r="E53" i="6"/>
  <c r="N1316" i="4"/>
  <c r="N1320" i="4"/>
  <c r="L1316" i="4"/>
  <c r="L1320" i="4"/>
  <c r="K1316" i="4"/>
  <c r="K1320" i="4"/>
  <c r="H1316" i="4"/>
  <c r="H1320" i="4"/>
  <c r="N1225" i="4"/>
  <c r="N1229" i="4"/>
  <c r="L1225" i="4"/>
  <c r="L1229" i="4"/>
  <c r="K1225" i="4"/>
  <c r="K1229" i="4"/>
  <c r="H1225" i="4"/>
  <c r="H1229" i="4"/>
  <c r="N1064" i="4"/>
  <c r="N1068" i="4"/>
  <c r="L1064" i="4"/>
  <c r="L1068" i="4"/>
  <c r="K1064" i="4"/>
  <c r="K1068" i="4"/>
  <c r="H1064" i="4"/>
  <c r="H1068" i="4"/>
  <c r="N938" i="4"/>
  <c r="N942" i="4"/>
  <c r="L938" i="4"/>
  <c r="L942" i="4"/>
  <c r="K938" i="4"/>
  <c r="K942" i="4"/>
  <c r="H938" i="4"/>
  <c r="H942" i="4"/>
  <c r="N812" i="4"/>
  <c r="N816" i="4"/>
  <c r="L812" i="4"/>
  <c r="L816" i="4"/>
  <c r="K812" i="4"/>
  <c r="K816" i="4"/>
  <c r="H812" i="4"/>
  <c r="H816" i="4"/>
  <c r="N686" i="4"/>
  <c r="N690" i="4"/>
  <c r="L686" i="4"/>
  <c r="L690" i="4"/>
  <c r="K686" i="4"/>
  <c r="K690" i="4"/>
  <c r="H686" i="4"/>
  <c r="H690" i="4"/>
  <c r="N560" i="4"/>
  <c r="N564" i="4"/>
  <c r="L560" i="4"/>
  <c r="L564" i="4"/>
  <c r="K560" i="4"/>
  <c r="K564" i="4"/>
  <c r="H560" i="4"/>
  <c r="H564" i="4"/>
  <c r="D1071" i="4"/>
  <c r="D1196" i="4"/>
  <c r="D1197" i="4" s="1"/>
  <c r="D924" i="4"/>
  <c r="D1035" i="4"/>
  <c r="N434" i="4"/>
  <c r="N438" i="4"/>
  <c r="L434" i="4"/>
  <c r="L438" i="4"/>
  <c r="K434" i="4"/>
  <c r="K438" i="4"/>
  <c r="H434" i="4"/>
  <c r="H438" i="4"/>
  <c r="N308" i="4"/>
  <c r="N312" i="4"/>
  <c r="L308" i="4"/>
  <c r="L312" i="4"/>
  <c r="K308" i="4"/>
  <c r="K312" i="4"/>
  <c r="H308" i="4"/>
  <c r="H312" i="4"/>
  <c r="N182" i="4"/>
  <c r="N186" i="4"/>
  <c r="L182" i="4"/>
  <c r="L186" i="4"/>
  <c r="K182" i="4"/>
  <c r="K186" i="4"/>
  <c r="H182" i="4"/>
  <c r="H186" i="4"/>
  <c r="D749" i="4"/>
  <c r="D755" i="4"/>
  <c r="D756" i="4" s="1"/>
  <c r="D868" i="4"/>
  <c r="D874" i="4"/>
  <c r="D993" i="4"/>
  <c r="D602" i="4"/>
  <c r="D608" i="4"/>
  <c r="D609" i="4" s="1"/>
  <c r="D720" i="4"/>
  <c r="D959" i="4"/>
  <c r="D965" i="4"/>
  <c r="I147" i="4"/>
  <c r="I165" i="4"/>
  <c r="N56" i="4"/>
  <c r="N60" i="4"/>
  <c r="L56" i="4"/>
  <c r="L60" i="4"/>
  <c r="K56" i="4"/>
  <c r="K60" i="4"/>
  <c r="I140" i="4"/>
  <c r="I158" i="4"/>
  <c r="H56" i="4"/>
  <c r="H60" i="4"/>
  <c r="D644" i="4"/>
  <c r="D650" i="4"/>
  <c r="D651" i="4" s="1"/>
  <c r="D763" i="4"/>
  <c r="D769" i="4"/>
  <c r="D888" i="4"/>
  <c r="M49" i="4"/>
  <c r="M53" i="4"/>
  <c r="J49" i="4"/>
  <c r="J53" i="4"/>
  <c r="I133" i="4"/>
  <c r="I151" i="4"/>
  <c r="G49" i="4"/>
  <c r="G53" i="4"/>
  <c r="F49" i="4"/>
  <c r="F53" i="4"/>
  <c r="E49" i="4"/>
  <c r="O49" i="4" s="1"/>
  <c r="P49" i="4" s="1"/>
  <c r="Q49" i="4" s="1"/>
  <c r="R49" i="4" s="1"/>
  <c r="E53" i="4"/>
  <c r="N1316" i="3"/>
  <c r="N1320" i="3"/>
  <c r="L1316" i="3"/>
  <c r="L1320" i="3"/>
  <c r="K1316" i="3"/>
  <c r="K1320" i="3"/>
  <c r="H1316" i="3"/>
  <c r="H1320" i="3"/>
  <c r="N1225" i="3"/>
  <c r="N1229" i="3"/>
  <c r="L1225" i="3"/>
  <c r="L1229" i="3"/>
  <c r="K1225" i="3"/>
  <c r="K1229" i="3"/>
  <c r="H1225" i="3"/>
  <c r="H1229" i="3"/>
  <c r="N1064" i="3"/>
  <c r="N1068" i="3"/>
  <c r="L1064" i="3"/>
  <c r="L1068" i="3"/>
  <c r="K1064" i="3"/>
  <c r="K1068" i="3"/>
  <c r="H1064" i="3"/>
  <c r="H1068" i="3"/>
  <c r="N938" i="3"/>
  <c r="N942" i="3"/>
  <c r="L938" i="3"/>
  <c r="L942" i="3"/>
  <c r="K938" i="3"/>
  <c r="K942" i="3"/>
  <c r="H938" i="3"/>
  <c r="H942" i="3"/>
  <c r="N812" i="3"/>
  <c r="N816" i="3"/>
  <c r="L812" i="3"/>
  <c r="L816" i="3"/>
  <c r="K812" i="3"/>
  <c r="K816" i="3"/>
  <c r="H812" i="3"/>
  <c r="H816" i="3"/>
  <c r="N693" i="3"/>
  <c r="N697" i="3"/>
  <c r="L686" i="3"/>
  <c r="L690" i="3"/>
  <c r="K686" i="3"/>
  <c r="K690" i="3"/>
  <c r="H686" i="3"/>
  <c r="H690" i="3"/>
  <c r="N560" i="3"/>
  <c r="N564" i="3"/>
  <c r="L560" i="3"/>
  <c r="L564" i="3"/>
  <c r="K560" i="3"/>
  <c r="K564" i="3"/>
  <c r="H560" i="3"/>
  <c r="H564" i="3"/>
  <c r="D1071" i="3"/>
  <c r="D1196" i="3"/>
  <c r="D1197" i="3" s="1"/>
  <c r="D924" i="3"/>
  <c r="D1035" i="3"/>
  <c r="N434" i="3"/>
  <c r="N438" i="3"/>
  <c r="L434" i="3"/>
  <c r="L438" i="3"/>
  <c r="K434" i="3"/>
  <c r="K438" i="3"/>
  <c r="H434" i="3"/>
  <c r="H438" i="3"/>
  <c r="N308" i="3"/>
  <c r="N312" i="3"/>
  <c r="L308" i="3"/>
  <c r="L312" i="3"/>
  <c r="K308" i="3"/>
  <c r="K312" i="3"/>
  <c r="H308" i="3"/>
  <c r="H312" i="3"/>
  <c r="D875" i="3"/>
  <c r="D881" i="3"/>
  <c r="D882" i="3" s="1"/>
  <c r="D994" i="3"/>
  <c r="D1000" i="3"/>
  <c r="D1119" i="3"/>
  <c r="N182" i="3"/>
  <c r="N186" i="3"/>
  <c r="L182" i="3"/>
  <c r="L186" i="3"/>
  <c r="K182" i="3"/>
  <c r="K186" i="3"/>
  <c r="H182" i="3"/>
  <c r="H186" i="3"/>
  <c r="D602" i="3"/>
  <c r="D608" i="3"/>
  <c r="D609" i="3" s="1"/>
  <c r="D720" i="3"/>
  <c r="D959" i="3"/>
  <c r="D965" i="3"/>
  <c r="I147" i="3"/>
  <c r="I165" i="3"/>
  <c r="N56" i="3"/>
  <c r="N60" i="3"/>
  <c r="L56" i="3"/>
  <c r="L60" i="3"/>
  <c r="K56" i="3"/>
  <c r="K60" i="3"/>
  <c r="I140" i="3"/>
  <c r="I158" i="3"/>
  <c r="H56" i="3"/>
  <c r="H60" i="3"/>
  <c r="D644" i="3"/>
  <c r="D650" i="3"/>
  <c r="D651" i="3" s="1"/>
  <c r="D763" i="3"/>
  <c r="D769" i="3"/>
  <c r="D888" i="3"/>
  <c r="M49" i="3"/>
  <c r="M53" i="3"/>
  <c r="J49" i="3"/>
  <c r="J53" i="3"/>
  <c r="I133" i="3"/>
  <c r="I151" i="3"/>
  <c r="G49" i="3"/>
  <c r="G53" i="3"/>
  <c r="F49" i="3"/>
  <c r="F53" i="3"/>
  <c r="U9" i="1"/>
  <c r="V9" i="1"/>
  <c r="W9" i="1"/>
  <c r="X9" i="1"/>
  <c r="E49" i="3"/>
  <c r="O49" i="3" s="1"/>
  <c r="P49" i="3" s="1"/>
  <c r="Q49" i="3" s="1"/>
  <c r="R49" i="3" s="1"/>
  <c r="T10" i="1" s="1"/>
  <c r="E53" i="3"/>
  <c r="E427" i="7"/>
  <c r="E431" i="7"/>
  <c r="E259" i="7"/>
  <c r="E263" i="7"/>
  <c r="F938" i="8" l="1"/>
  <c r="F942" i="8"/>
  <c r="G497" i="8"/>
  <c r="G501" i="8"/>
  <c r="F497" i="8"/>
  <c r="F501" i="8"/>
  <c r="E182" i="8"/>
  <c r="E188" i="8"/>
  <c r="E223" i="8"/>
  <c r="E468" i="8"/>
  <c r="K63" i="8"/>
  <c r="K68" i="8"/>
  <c r="J63" i="8"/>
  <c r="J67" i="8"/>
  <c r="E266" i="8"/>
  <c r="E447" i="8"/>
  <c r="L56" i="8"/>
  <c r="L60" i="8"/>
  <c r="I56" i="8"/>
  <c r="I60" i="8"/>
  <c r="G56" i="8"/>
  <c r="G60" i="8"/>
  <c r="F56" i="8"/>
  <c r="M56" i="8" s="1"/>
  <c r="N56" i="8" s="1"/>
  <c r="O56" i="8" s="1"/>
  <c r="P56" i="8" s="1"/>
  <c r="F60" i="8"/>
  <c r="H399" i="7"/>
  <c r="H403" i="7"/>
  <c r="H231" i="7"/>
  <c r="H235" i="7"/>
  <c r="H63" i="7"/>
  <c r="H67" i="7"/>
  <c r="J56" i="7"/>
  <c r="J60" i="7"/>
  <c r="G56" i="7"/>
  <c r="G60" i="7"/>
  <c r="E56" i="7"/>
  <c r="K56" i="7" s="1"/>
  <c r="L56" i="7" s="1"/>
  <c r="M56" i="7" s="1"/>
  <c r="N56" i="7" s="1"/>
  <c r="E60" i="7"/>
  <c r="G224" i="6"/>
  <c r="G228" i="6"/>
  <c r="F224" i="6"/>
  <c r="F228" i="6"/>
  <c r="E224" i="6"/>
  <c r="E228" i="6"/>
  <c r="I98" i="6"/>
  <c r="I102" i="6"/>
  <c r="I224" i="6"/>
  <c r="I228" i="6"/>
  <c r="L56" i="6"/>
  <c r="L60" i="6"/>
  <c r="G56" i="6"/>
  <c r="G60" i="6"/>
  <c r="F56" i="6"/>
  <c r="F60" i="6"/>
  <c r="E56" i="6"/>
  <c r="M56" i="6" s="1"/>
  <c r="N56" i="6" s="1"/>
  <c r="O56" i="6" s="1"/>
  <c r="P56" i="6" s="1"/>
  <c r="E60" i="6"/>
  <c r="N1323" i="4"/>
  <c r="N1327" i="4"/>
  <c r="L1323" i="4"/>
  <c r="L1327" i="4"/>
  <c r="K1323" i="4"/>
  <c r="K1327" i="4"/>
  <c r="H1323" i="4"/>
  <c r="H1327" i="4"/>
  <c r="N1232" i="4"/>
  <c r="N1236" i="4"/>
  <c r="L1232" i="4"/>
  <c r="L1236" i="4"/>
  <c r="K1232" i="4"/>
  <c r="K1236" i="4"/>
  <c r="H1232" i="4"/>
  <c r="H1236" i="4"/>
  <c r="N1071" i="4"/>
  <c r="N1075" i="4"/>
  <c r="L1071" i="4"/>
  <c r="L1075" i="4"/>
  <c r="K1071" i="4"/>
  <c r="K1075" i="4"/>
  <c r="H1071" i="4"/>
  <c r="H1075" i="4"/>
  <c r="N945" i="4"/>
  <c r="N949" i="4"/>
  <c r="L945" i="4"/>
  <c r="L949" i="4"/>
  <c r="K945" i="4"/>
  <c r="K949" i="4"/>
  <c r="H945" i="4"/>
  <c r="H949" i="4"/>
  <c r="N819" i="4"/>
  <c r="N823" i="4"/>
  <c r="L819" i="4"/>
  <c r="L823" i="4"/>
  <c r="K819" i="4"/>
  <c r="K823" i="4"/>
  <c r="H819" i="4"/>
  <c r="H823" i="4"/>
  <c r="N693" i="4"/>
  <c r="N697" i="4"/>
  <c r="L693" i="4"/>
  <c r="L697" i="4"/>
  <c r="K693" i="4"/>
  <c r="K697" i="4"/>
  <c r="H693" i="4"/>
  <c r="H697" i="4"/>
  <c r="N567" i="4"/>
  <c r="N571" i="4"/>
  <c r="L567" i="4"/>
  <c r="L571" i="4"/>
  <c r="K567" i="4"/>
  <c r="K571" i="4"/>
  <c r="H567" i="4"/>
  <c r="H571" i="4"/>
  <c r="D1036" i="4"/>
  <c r="D1042" i="4"/>
  <c r="D1161" i="4"/>
  <c r="N441" i="4"/>
  <c r="N445" i="4"/>
  <c r="L441" i="4"/>
  <c r="L445" i="4"/>
  <c r="K441" i="4"/>
  <c r="K445" i="4"/>
  <c r="H441" i="4"/>
  <c r="H445" i="4"/>
  <c r="N315" i="4"/>
  <c r="N319" i="4"/>
  <c r="L315" i="4"/>
  <c r="L319" i="4"/>
  <c r="K315" i="4"/>
  <c r="K319" i="4"/>
  <c r="H315" i="4"/>
  <c r="H319" i="4"/>
  <c r="N189" i="4"/>
  <c r="N193" i="4"/>
  <c r="L189" i="4"/>
  <c r="L193" i="4"/>
  <c r="K189" i="4"/>
  <c r="K193" i="4"/>
  <c r="H189" i="4"/>
  <c r="H193" i="4"/>
  <c r="D875" i="4"/>
  <c r="D881" i="4"/>
  <c r="D882" i="4" s="1"/>
  <c r="D994" i="4"/>
  <c r="D1000" i="4"/>
  <c r="D1119" i="4"/>
  <c r="D721" i="4"/>
  <c r="D727" i="4"/>
  <c r="D846" i="4"/>
  <c r="D966" i="4"/>
  <c r="D1077" i="4"/>
  <c r="I168" i="4"/>
  <c r="I186" i="4"/>
  <c r="N63" i="4"/>
  <c r="N67" i="4"/>
  <c r="L63" i="4"/>
  <c r="L67" i="4"/>
  <c r="K63" i="4"/>
  <c r="K67" i="4"/>
  <c r="I161" i="4"/>
  <c r="I179" i="4"/>
  <c r="H63" i="4"/>
  <c r="H67" i="4"/>
  <c r="D770" i="4"/>
  <c r="D776" i="4"/>
  <c r="D777" i="4" s="1"/>
  <c r="D889" i="4"/>
  <c r="D895" i="4"/>
  <c r="D1014" i="4"/>
  <c r="M56" i="4"/>
  <c r="M60" i="4"/>
  <c r="J56" i="4"/>
  <c r="J60" i="4"/>
  <c r="I154" i="4"/>
  <c r="I172" i="4"/>
  <c r="G56" i="4"/>
  <c r="G60" i="4"/>
  <c r="F56" i="4"/>
  <c r="F60" i="4"/>
  <c r="E56" i="4"/>
  <c r="O56" i="4" s="1"/>
  <c r="P56" i="4" s="1"/>
  <c r="Q56" i="4" s="1"/>
  <c r="R56" i="4" s="1"/>
  <c r="E60" i="4"/>
  <c r="N1323" i="3"/>
  <c r="N1327" i="3"/>
  <c r="L1323" i="3"/>
  <c r="L1327" i="3"/>
  <c r="K1323" i="3"/>
  <c r="K1327" i="3"/>
  <c r="H1323" i="3"/>
  <c r="H1327" i="3"/>
  <c r="N1232" i="3"/>
  <c r="N1236" i="3"/>
  <c r="L1232" i="3"/>
  <c r="L1236" i="3"/>
  <c r="K1232" i="3"/>
  <c r="K1236" i="3"/>
  <c r="H1232" i="3"/>
  <c r="H1236" i="3"/>
  <c r="N1071" i="3"/>
  <c r="N1075" i="3"/>
  <c r="L1071" i="3"/>
  <c r="L1075" i="3"/>
  <c r="K1071" i="3"/>
  <c r="K1075" i="3"/>
  <c r="H1071" i="3"/>
  <c r="H1075" i="3"/>
  <c r="N945" i="3"/>
  <c r="N949" i="3"/>
  <c r="L945" i="3"/>
  <c r="L949" i="3"/>
  <c r="K945" i="3"/>
  <c r="K949" i="3"/>
  <c r="H945" i="3"/>
  <c r="H949" i="3"/>
  <c r="N819" i="3"/>
  <c r="N823" i="3"/>
  <c r="L819" i="3"/>
  <c r="L823" i="3"/>
  <c r="K819" i="3"/>
  <c r="K823" i="3"/>
  <c r="H819" i="3"/>
  <c r="H823" i="3"/>
  <c r="N700" i="3"/>
  <c r="N704" i="3"/>
  <c r="L693" i="3"/>
  <c r="L697" i="3"/>
  <c r="K693" i="3"/>
  <c r="K697" i="3"/>
  <c r="H693" i="3"/>
  <c r="H697" i="3"/>
  <c r="N567" i="3"/>
  <c r="N571" i="3"/>
  <c r="L567" i="3"/>
  <c r="L571" i="3"/>
  <c r="K567" i="3"/>
  <c r="K571" i="3"/>
  <c r="H567" i="3"/>
  <c r="H571" i="3"/>
  <c r="D1036" i="3"/>
  <c r="D1042" i="3"/>
  <c r="D1161" i="3"/>
  <c r="N441" i="3"/>
  <c r="N445" i="3"/>
  <c r="L441" i="3"/>
  <c r="L445" i="3"/>
  <c r="K441" i="3"/>
  <c r="K445" i="3"/>
  <c r="H441" i="3"/>
  <c r="H445" i="3"/>
  <c r="N315" i="3"/>
  <c r="N319" i="3"/>
  <c r="L315" i="3"/>
  <c r="L319" i="3"/>
  <c r="K315" i="3"/>
  <c r="K319" i="3"/>
  <c r="H315" i="3"/>
  <c r="H319" i="3"/>
  <c r="D1001" i="3"/>
  <c r="D1007" i="3"/>
  <c r="D1008" i="3" s="1"/>
  <c r="D1120" i="3"/>
  <c r="D1126" i="3"/>
  <c r="D1245" i="3"/>
  <c r="N189" i="3"/>
  <c r="N193" i="3"/>
  <c r="L189" i="3"/>
  <c r="L193" i="3"/>
  <c r="K189" i="3"/>
  <c r="K193" i="3"/>
  <c r="H189" i="3"/>
  <c r="H193" i="3"/>
  <c r="D721" i="3"/>
  <c r="D727" i="3"/>
  <c r="D846" i="3"/>
  <c r="D966" i="3"/>
  <c r="D1077" i="3"/>
  <c r="I168" i="3"/>
  <c r="I186" i="3"/>
  <c r="N63" i="3"/>
  <c r="N67" i="3"/>
  <c r="L63" i="3"/>
  <c r="L67" i="3"/>
  <c r="K63" i="3"/>
  <c r="K67" i="3"/>
  <c r="I161" i="3"/>
  <c r="I179" i="3"/>
  <c r="H63" i="3"/>
  <c r="H67" i="3"/>
  <c r="D770" i="3"/>
  <c r="D776" i="3"/>
  <c r="D777" i="3" s="1"/>
  <c r="D889" i="3"/>
  <c r="D895" i="3"/>
  <c r="D1014" i="3"/>
  <c r="M56" i="3"/>
  <c r="M60" i="3"/>
  <c r="J56" i="3"/>
  <c r="J60" i="3"/>
  <c r="I154" i="3"/>
  <c r="I172" i="3"/>
  <c r="G56" i="3"/>
  <c r="G60" i="3"/>
  <c r="F56" i="3"/>
  <c r="F60" i="3"/>
  <c r="W10" i="1"/>
  <c r="U10" i="1"/>
  <c r="X10" i="1"/>
  <c r="V10" i="1"/>
  <c r="E56" i="3"/>
  <c r="O56" i="3" s="1"/>
  <c r="P56" i="3" s="1"/>
  <c r="Q56" i="3" s="1"/>
  <c r="R56" i="3" s="1"/>
  <c r="T11" i="1" s="1"/>
  <c r="E60" i="3"/>
  <c r="E434" i="7"/>
  <c r="E438" i="7"/>
  <c r="E266" i="7"/>
  <c r="E270" i="7"/>
  <c r="F945" i="8" l="1"/>
  <c r="F949" i="8"/>
  <c r="G504" i="8"/>
  <c r="G508" i="8"/>
  <c r="F504" i="8"/>
  <c r="F508" i="8"/>
  <c r="E189" i="8"/>
  <c r="E195" i="8"/>
  <c r="E196" i="8" s="1"/>
  <c r="E224" i="8"/>
  <c r="E230" i="8"/>
  <c r="E469" i="8"/>
  <c r="E475" i="8"/>
  <c r="K70" i="8"/>
  <c r="K75" i="8"/>
  <c r="J70" i="8"/>
  <c r="J74" i="8"/>
  <c r="E448" i="8"/>
  <c r="E454" i="8"/>
  <c r="E496" i="8"/>
  <c r="L63" i="8"/>
  <c r="L67" i="8"/>
  <c r="I63" i="8"/>
  <c r="I67" i="8"/>
  <c r="G63" i="8"/>
  <c r="G67" i="8"/>
  <c r="F63" i="8"/>
  <c r="M63" i="8" s="1"/>
  <c r="N63" i="8" s="1"/>
  <c r="O63" i="8" s="1"/>
  <c r="P63" i="8" s="1"/>
  <c r="F67" i="8"/>
  <c r="H406" i="7"/>
  <c r="H410" i="7"/>
  <c r="H238" i="7"/>
  <c r="H242" i="7"/>
  <c r="H70" i="7"/>
  <c r="H74" i="7"/>
  <c r="J63" i="7"/>
  <c r="J67" i="7"/>
  <c r="G63" i="7"/>
  <c r="G67" i="7"/>
  <c r="E63" i="7"/>
  <c r="K63" i="7" s="1"/>
  <c r="L63" i="7" s="1"/>
  <c r="M63" i="7" s="1"/>
  <c r="N63" i="7" s="1"/>
  <c r="E67" i="7"/>
  <c r="G231" i="6"/>
  <c r="G235" i="6"/>
  <c r="F231" i="6"/>
  <c r="F235" i="6"/>
  <c r="E231" i="6"/>
  <c r="E235" i="6"/>
  <c r="I105" i="6"/>
  <c r="I109" i="6"/>
  <c r="I231" i="6"/>
  <c r="I235" i="6"/>
  <c r="L63" i="6"/>
  <c r="L67" i="6"/>
  <c r="G63" i="6"/>
  <c r="G67" i="6"/>
  <c r="F63" i="6"/>
  <c r="F67" i="6"/>
  <c r="E63" i="6"/>
  <c r="M63" i="6" s="1"/>
  <c r="N63" i="6" s="1"/>
  <c r="O63" i="6" s="1"/>
  <c r="P63" i="6" s="1"/>
  <c r="E67" i="6"/>
  <c r="N1330" i="4"/>
  <c r="N1334" i="4"/>
  <c r="L1330" i="4"/>
  <c r="L1334" i="4"/>
  <c r="K1330" i="4"/>
  <c r="K1334" i="4"/>
  <c r="H1330" i="4"/>
  <c r="H1334" i="4"/>
  <c r="N1239" i="4"/>
  <c r="N1243" i="4"/>
  <c r="L1239" i="4"/>
  <c r="L1243" i="4"/>
  <c r="K1239" i="4"/>
  <c r="K1243" i="4"/>
  <c r="H1239" i="4"/>
  <c r="H1243" i="4"/>
  <c r="N1078" i="4"/>
  <c r="N1082" i="4"/>
  <c r="L1078" i="4"/>
  <c r="L1082" i="4"/>
  <c r="K1078" i="4"/>
  <c r="K1082" i="4"/>
  <c r="H1078" i="4"/>
  <c r="H1082" i="4"/>
  <c r="N952" i="4"/>
  <c r="N956" i="4"/>
  <c r="L952" i="4"/>
  <c r="L956" i="4"/>
  <c r="K952" i="4"/>
  <c r="K956" i="4"/>
  <c r="H952" i="4"/>
  <c r="H956" i="4"/>
  <c r="N826" i="4"/>
  <c r="N830" i="4"/>
  <c r="L826" i="4"/>
  <c r="L830" i="4"/>
  <c r="K826" i="4"/>
  <c r="K830" i="4"/>
  <c r="H826" i="4"/>
  <c r="H830" i="4"/>
  <c r="N700" i="4"/>
  <c r="N704" i="4"/>
  <c r="L700" i="4"/>
  <c r="L704" i="4"/>
  <c r="K700" i="4"/>
  <c r="K704" i="4"/>
  <c r="H700" i="4"/>
  <c r="H704" i="4"/>
  <c r="N574" i="4"/>
  <c r="N578" i="4"/>
  <c r="L574" i="4"/>
  <c r="L578" i="4"/>
  <c r="K574" i="4"/>
  <c r="K578" i="4"/>
  <c r="H574" i="4"/>
  <c r="H578" i="4"/>
  <c r="D1043" i="4"/>
  <c r="D1049" i="4"/>
  <c r="D1168" i="4"/>
  <c r="D1169" i="4" s="1"/>
  <c r="D1162" i="4"/>
  <c r="D1287" i="4"/>
  <c r="N448" i="4"/>
  <c r="N452" i="4"/>
  <c r="L448" i="4"/>
  <c r="L452" i="4"/>
  <c r="K448" i="4"/>
  <c r="K452" i="4"/>
  <c r="H448" i="4"/>
  <c r="H452" i="4"/>
  <c r="N322" i="4"/>
  <c r="N326" i="4"/>
  <c r="L322" i="4"/>
  <c r="L326" i="4"/>
  <c r="K322" i="4"/>
  <c r="K326" i="4"/>
  <c r="H322" i="4"/>
  <c r="H326" i="4"/>
  <c r="N196" i="4"/>
  <c r="N200" i="4"/>
  <c r="L196" i="4"/>
  <c r="L200" i="4"/>
  <c r="K196" i="4"/>
  <c r="K200" i="4"/>
  <c r="H196" i="4"/>
  <c r="H200" i="4"/>
  <c r="D1001" i="4"/>
  <c r="D1007" i="4"/>
  <c r="D1008" i="4" s="1"/>
  <c r="D1120" i="4"/>
  <c r="D1126" i="4"/>
  <c r="D1245" i="4"/>
  <c r="D728" i="4"/>
  <c r="D734" i="4"/>
  <c r="D735" i="4" s="1"/>
  <c r="D847" i="4"/>
  <c r="D853" i="4"/>
  <c r="D1078" i="4"/>
  <c r="D1084" i="4"/>
  <c r="I189" i="4"/>
  <c r="I207" i="4"/>
  <c r="N70" i="4"/>
  <c r="N74" i="4"/>
  <c r="L70" i="4"/>
  <c r="L74" i="4"/>
  <c r="K70" i="4"/>
  <c r="K74" i="4"/>
  <c r="I182" i="4"/>
  <c r="I200" i="4"/>
  <c r="H70" i="4"/>
  <c r="H74" i="4"/>
  <c r="D896" i="4"/>
  <c r="D902" i="4"/>
  <c r="D903" i="4" s="1"/>
  <c r="D1015" i="4"/>
  <c r="D1021" i="4"/>
  <c r="D1140" i="4"/>
  <c r="M63" i="4"/>
  <c r="M67" i="4"/>
  <c r="J63" i="4"/>
  <c r="J67" i="4"/>
  <c r="I175" i="4"/>
  <c r="I193" i="4"/>
  <c r="G63" i="4"/>
  <c r="G67" i="4"/>
  <c r="F63" i="4"/>
  <c r="F67" i="4"/>
  <c r="E63" i="4"/>
  <c r="O63" i="4" s="1"/>
  <c r="P63" i="4" s="1"/>
  <c r="Q63" i="4" s="1"/>
  <c r="R63" i="4" s="1"/>
  <c r="E67" i="4"/>
  <c r="N1330" i="3"/>
  <c r="N1334" i="3"/>
  <c r="L1330" i="3"/>
  <c r="L1334" i="3"/>
  <c r="K1330" i="3"/>
  <c r="K1334" i="3"/>
  <c r="H1330" i="3"/>
  <c r="H1334" i="3"/>
  <c r="N1239" i="3"/>
  <c r="N1243" i="3"/>
  <c r="L1239" i="3"/>
  <c r="L1243" i="3"/>
  <c r="K1239" i="3"/>
  <c r="K1243" i="3"/>
  <c r="H1239" i="3"/>
  <c r="H1243" i="3"/>
  <c r="N1078" i="3"/>
  <c r="N1082" i="3"/>
  <c r="L1078" i="3"/>
  <c r="L1082" i="3"/>
  <c r="K1078" i="3"/>
  <c r="K1082" i="3"/>
  <c r="H1078" i="3"/>
  <c r="H1082" i="3"/>
  <c r="N952" i="3"/>
  <c r="N956" i="3"/>
  <c r="L952" i="3"/>
  <c r="L956" i="3"/>
  <c r="K952" i="3"/>
  <c r="K956" i="3"/>
  <c r="H952" i="3"/>
  <c r="H956" i="3"/>
  <c r="N826" i="3"/>
  <c r="N830" i="3"/>
  <c r="L826" i="3"/>
  <c r="L830" i="3"/>
  <c r="K826" i="3"/>
  <c r="K830" i="3"/>
  <c r="H826" i="3"/>
  <c r="H830" i="3"/>
  <c r="N707" i="3"/>
  <c r="N711" i="3"/>
  <c r="L700" i="3"/>
  <c r="L704" i="3"/>
  <c r="K700" i="3"/>
  <c r="K704" i="3"/>
  <c r="H700" i="3"/>
  <c r="H704" i="3"/>
  <c r="N574" i="3"/>
  <c r="N578" i="3"/>
  <c r="L574" i="3"/>
  <c r="L578" i="3"/>
  <c r="K574" i="3"/>
  <c r="K578" i="3"/>
  <c r="H574" i="3"/>
  <c r="H578" i="3"/>
  <c r="D1043" i="3"/>
  <c r="D1049" i="3"/>
  <c r="D1168" i="3"/>
  <c r="D1169" i="3" s="1"/>
  <c r="D1162" i="3"/>
  <c r="D1287" i="3"/>
  <c r="N448" i="3"/>
  <c r="N452" i="3"/>
  <c r="L448" i="3"/>
  <c r="L452" i="3"/>
  <c r="K448" i="3"/>
  <c r="K452" i="3"/>
  <c r="H448" i="3"/>
  <c r="H452" i="3"/>
  <c r="N322" i="3"/>
  <c r="N326" i="3"/>
  <c r="L322" i="3"/>
  <c r="L326" i="3"/>
  <c r="K322" i="3"/>
  <c r="K326" i="3"/>
  <c r="H322" i="3"/>
  <c r="H326" i="3"/>
  <c r="D1127" i="3"/>
  <c r="D1133" i="3"/>
  <c r="D1134" i="3" s="1"/>
  <c r="D1246" i="3"/>
  <c r="D1252" i="3"/>
  <c r="D1371" i="3"/>
  <c r="N196" i="3"/>
  <c r="N200" i="3"/>
  <c r="L196" i="3"/>
  <c r="L200" i="3"/>
  <c r="K196" i="3"/>
  <c r="K200" i="3"/>
  <c r="H196" i="3"/>
  <c r="H200" i="3"/>
  <c r="D728" i="3"/>
  <c r="D734" i="3"/>
  <c r="D735" i="3" s="1"/>
  <c r="D847" i="3"/>
  <c r="D853" i="3"/>
  <c r="D1078" i="3"/>
  <c r="D1084" i="3"/>
  <c r="I189" i="3"/>
  <c r="I207" i="3"/>
  <c r="N70" i="3"/>
  <c r="N74" i="3"/>
  <c r="L70" i="3"/>
  <c r="L74" i="3"/>
  <c r="K70" i="3"/>
  <c r="K74" i="3"/>
  <c r="I182" i="3"/>
  <c r="I200" i="3"/>
  <c r="H70" i="3"/>
  <c r="H74" i="3"/>
  <c r="D896" i="3"/>
  <c r="D902" i="3"/>
  <c r="D903" i="3" s="1"/>
  <c r="D1015" i="3"/>
  <c r="D1021" i="3"/>
  <c r="D1140" i="3"/>
  <c r="M63" i="3"/>
  <c r="M67" i="3"/>
  <c r="J63" i="3"/>
  <c r="J67" i="3"/>
  <c r="I175" i="3"/>
  <c r="I193" i="3"/>
  <c r="G63" i="3"/>
  <c r="G67" i="3"/>
  <c r="F63" i="3"/>
  <c r="F67" i="3"/>
  <c r="X11" i="1"/>
  <c r="W11" i="1"/>
  <c r="V11" i="1"/>
  <c r="U11" i="1"/>
  <c r="E63" i="3"/>
  <c r="O63" i="3" s="1"/>
  <c r="P63" i="3" s="1"/>
  <c r="Q63" i="3" s="1"/>
  <c r="R63" i="3" s="1"/>
  <c r="T12" i="1" s="1"/>
  <c r="E67" i="3"/>
  <c r="E441" i="7"/>
  <c r="E445" i="7"/>
  <c r="E273" i="7"/>
  <c r="E277" i="7"/>
  <c r="F952" i="8" l="1"/>
  <c r="F956" i="8"/>
  <c r="G511" i="8"/>
  <c r="G515" i="8"/>
  <c r="F511" i="8"/>
  <c r="F515" i="8"/>
  <c r="E231" i="8"/>
  <c r="E237" i="8"/>
  <c r="E272" i="8"/>
  <c r="E476" i="8"/>
  <c r="E482" i="8"/>
  <c r="E517" i="8"/>
  <c r="K77" i="8"/>
  <c r="K82" i="8"/>
  <c r="J77" i="8"/>
  <c r="J81" i="8"/>
  <c r="E455" i="8"/>
  <c r="E461" i="8"/>
  <c r="E462" i="8" s="1"/>
  <c r="E497" i="8"/>
  <c r="E503" i="8"/>
  <c r="E545" i="8"/>
  <c r="L70" i="8"/>
  <c r="L74" i="8"/>
  <c r="I70" i="8"/>
  <c r="I74" i="8"/>
  <c r="G70" i="8"/>
  <c r="G74" i="8"/>
  <c r="F70" i="8"/>
  <c r="F74" i="8"/>
  <c r="H413" i="7"/>
  <c r="H417" i="7"/>
  <c r="H245" i="7"/>
  <c r="H249" i="7"/>
  <c r="H77" i="7"/>
  <c r="H81" i="7"/>
  <c r="J70" i="7"/>
  <c r="J74" i="7"/>
  <c r="G70" i="7"/>
  <c r="G74" i="7"/>
  <c r="E70" i="7"/>
  <c r="K70" i="7" s="1"/>
  <c r="L70" i="7" s="1"/>
  <c r="M70" i="7" s="1"/>
  <c r="N70" i="7" s="1"/>
  <c r="E74" i="7"/>
  <c r="G238" i="6"/>
  <c r="G242" i="6"/>
  <c r="F238" i="6"/>
  <c r="F242" i="6"/>
  <c r="E238" i="6"/>
  <c r="E242" i="6"/>
  <c r="I112" i="6"/>
  <c r="I116" i="6"/>
  <c r="I238" i="6"/>
  <c r="I242" i="6"/>
  <c r="L70" i="6"/>
  <c r="L74" i="6"/>
  <c r="G70" i="6"/>
  <c r="G74" i="6"/>
  <c r="F70" i="6"/>
  <c r="F74" i="6"/>
  <c r="E70" i="6"/>
  <c r="M70" i="6" s="1"/>
  <c r="N70" i="6" s="1"/>
  <c r="O70" i="6" s="1"/>
  <c r="P70" i="6" s="1"/>
  <c r="E74" i="6"/>
  <c r="N1337" i="4"/>
  <c r="N1341" i="4"/>
  <c r="L1337" i="4"/>
  <c r="L1341" i="4"/>
  <c r="K1337" i="4"/>
  <c r="K1341" i="4"/>
  <c r="H1337" i="4"/>
  <c r="H1341" i="4"/>
  <c r="N1246" i="4"/>
  <c r="N1250" i="4"/>
  <c r="L1246" i="4"/>
  <c r="L1250" i="4"/>
  <c r="K1246" i="4"/>
  <c r="K1250" i="4"/>
  <c r="H1246" i="4"/>
  <c r="H1250" i="4"/>
  <c r="N1085" i="4"/>
  <c r="N1089" i="4"/>
  <c r="L1085" i="4"/>
  <c r="L1089" i="4"/>
  <c r="K1085" i="4"/>
  <c r="K1089" i="4"/>
  <c r="H1085" i="4"/>
  <c r="H1089" i="4"/>
  <c r="N959" i="4"/>
  <c r="N963" i="4"/>
  <c r="L959" i="4"/>
  <c r="L963" i="4"/>
  <c r="K959" i="4"/>
  <c r="K963" i="4"/>
  <c r="H959" i="4"/>
  <c r="H963" i="4"/>
  <c r="N833" i="4"/>
  <c r="N837" i="4"/>
  <c r="L833" i="4"/>
  <c r="L837" i="4"/>
  <c r="K833" i="4"/>
  <c r="K837" i="4"/>
  <c r="H833" i="4"/>
  <c r="H837" i="4"/>
  <c r="N707" i="4"/>
  <c r="N711" i="4"/>
  <c r="L707" i="4"/>
  <c r="L711" i="4"/>
  <c r="K707" i="4"/>
  <c r="K711" i="4"/>
  <c r="H707" i="4"/>
  <c r="H711" i="4"/>
  <c r="N581" i="4"/>
  <c r="N585" i="4"/>
  <c r="L581" i="4"/>
  <c r="L585" i="4"/>
  <c r="K581" i="4"/>
  <c r="K585" i="4"/>
  <c r="H581" i="4"/>
  <c r="H585" i="4"/>
  <c r="D1050" i="4"/>
  <c r="D1175" i="4"/>
  <c r="D1176" i="4" s="1"/>
  <c r="D1288" i="4"/>
  <c r="D1294" i="4"/>
  <c r="N455" i="4"/>
  <c r="N459" i="4"/>
  <c r="L455" i="4"/>
  <c r="L459" i="4"/>
  <c r="K455" i="4"/>
  <c r="K459" i="4"/>
  <c r="H455" i="4"/>
  <c r="H459" i="4"/>
  <c r="N329" i="4"/>
  <c r="N333" i="4"/>
  <c r="L329" i="4"/>
  <c r="L333" i="4"/>
  <c r="K329" i="4"/>
  <c r="K333" i="4"/>
  <c r="H329" i="4"/>
  <c r="H333" i="4"/>
  <c r="N203" i="4"/>
  <c r="N207" i="4"/>
  <c r="L203" i="4"/>
  <c r="L207" i="4"/>
  <c r="K203" i="4"/>
  <c r="K207" i="4"/>
  <c r="H203" i="4"/>
  <c r="H207" i="4"/>
  <c r="D1127" i="4"/>
  <c r="D1133" i="4"/>
  <c r="D1134" i="4" s="1"/>
  <c r="D1246" i="4"/>
  <c r="D1252" i="4"/>
  <c r="D1371" i="4"/>
  <c r="D854" i="4"/>
  <c r="D860" i="4"/>
  <c r="D861" i="4" s="1"/>
  <c r="D972" i="4"/>
  <c r="D1085" i="4"/>
  <c r="D1091" i="4"/>
  <c r="D1092" i="4" s="1"/>
  <c r="D1203" i="4"/>
  <c r="I210" i="4"/>
  <c r="I228" i="4"/>
  <c r="N77" i="4"/>
  <c r="N81" i="4"/>
  <c r="L77" i="4"/>
  <c r="L81" i="4"/>
  <c r="K77" i="4"/>
  <c r="K81" i="4"/>
  <c r="I203" i="4"/>
  <c r="I221" i="4"/>
  <c r="H77" i="4"/>
  <c r="H81" i="4"/>
  <c r="D1022" i="4"/>
  <c r="D1028" i="4"/>
  <c r="D1147" i="4"/>
  <c r="D1148" i="4" s="1"/>
  <c r="D1141" i="4"/>
  <c r="D1266" i="4"/>
  <c r="M70" i="4"/>
  <c r="M74" i="4"/>
  <c r="J70" i="4"/>
  <c r="J74" i="4"/>
  <c r="I196" i="4"/>
  <c r="I214" i="4"/>
  <c r="G70" i="4"/>
  <c r="G74" i="4"/>
  <c r="F70" i="4"/>
  <c r="F74" i="4"/>
  <c r="E70" i="4"/>
  <c r="O70" i="4" s="1"/>
  <c r="P70" i="4" s="1"/>
  <c r="Q70" i="4" s="1"/>
  <c r="R70" i="4" s="1"/>
  <c r="E74" i="4"/>
  <c r="N1337" i="3"/>
  <c r="N1341" i="3"/>
  <c r="L1337" i="3"/>
  <c r="L1341" i="3"/>
  <c r="K1337" i="3"/>
  <c r="K1341" i="3"/>
  <c r="H1337" i="3"/>
  <c r="H1341" i="3"/>
  <c r="N1246" i="3"/>
  <c r="N1250" i="3"/>
  <c r="L1246" i="3"/>
  <c r="L1250" i="3"/>
  <c r="K1246" i="3"/>
  <c r="K1250" i="3"/>
  <c r="H1246" i="3"/>
  <c r="H1250" i="3"/>
  <c r="N1085" i="3"/>
  <c r="N1089" i="3"/>
  <c r="L1085" i="3"/>
  <c r="L1089" i="3"/>
  <c r="K1085" i="3"/>
  <c r="K1089" i="3"/>
  <c r="H1085" i="3"/>
  <c r="H1089" i="3"/>
  <c r="N959" i="3"/>
  <c r="N963" i="3"/>
  <c r="L959" i="3"/>
  <c r="L963" i="3"/>
  <c r="K959" i="3"/>
  <c r="K963" i="3"/>
  <c r="H959" i="3"/>
  <c r="H963" i="3"/>
  <c r="N833" i="3"/>
  <c r="N837" i="3"/>
  <c r="L833" i="3"/>
  <c r="L837" i="3"/>
  <c r="K833" i="3"/>
  <c r="K837" i="3"/>
  <c r="H833" i="3"/>
  <c r="H837" i="3"/>
  <c r="N714" i="3"/>
  <c r="N718" i="3"/>
  <c r="L707" i="3"/>
  <c r="L711" i="3"/>
  <c r="K707" i="3"/>
  <c r="K711" i="3"/>
  <c r="H707" i="3"/>
  <c r="H711" i="3"/>
  <c r="N581" i="3"/>
  <c r="N585" i="3"/>
  <c r="L581" i="3"/>
  <c r="L585" i="3"/>
  <c r="K581" i="3"/>
  <c r="K585" i="3"/>
  <c r="H581" i="3"/>
  <c r="H585" i="3"/>
  <c r="D1050" i="3"/>
  <c r="D1175" i="3"/>
  <c r="D1176" i="3" s="1"/>
  <c r="D1288" i="3"/>
  <c r="D1294" i="3"/>
  <c r="N455" i="3"/>
  <c r="N459" i="3"/>
  <c r="L455" i="3"/>
  <c r="L459" i="3"/>
  <c r="K455" i="3"/>
  <c r="K459" i="3"/>
  <c r="H455" i="3"/>
  <c r="H459" i="3"/>
  <c r="N329" i="3"/>
  <c r="N333" i="3"/>
  <c r="L329" i="3"/>
  <c r="L333" i="3"/>
  <c r="K329" i="3"/>
  <c r="K333" i="3"/>
  <c r="H329" i="3"/>
  <c r="H333" i="3"/>
  <c r="D1253" i="3"/>
  <c r="D1259" i="3"/>
  <c r="D1260" i="3" s="1"/>
  <c r="D1372" i="3"/>
  <c r="D1378" i="3"/>
  <c r="N203" i="3"/>
  <c r="N207" i="3"/>
  <c r="L203" i="3"/>
  <c r="L207" i="3"/>
  <c r="K203" i="3"/>
  <c r="K207" i="3"/>
  <c r="H203" i="3"/>
  <c r="H207" i="3"/>
  <c r="D854" i="3"/>
  <c r="D860" i="3"/>
  <c r="D861" i="3" s="1"/>
  <c r="D972" i="3"/>
  <c r="D1085" i="3"/>
  <c r="D1091" i="3"/>
  <c r="D1092" i="3" s="1"/>
  <c r="D1203" i="3"/>
  <c r="I210" i="3"/>
  <c r="I228" i="3"/>
  <c r="N77" i="3"/>
  <c r="N81" i="3"/>
  <c r="L77" i="3"/>
  <c r="L81" i="3"/>
  <c r="K77" i="3"/>
  <c r="K81" i="3"/>
  <c r="I203" i="3"/>
  <c r="I221" i="3"/>
  <c r="H77" i="3"/>
  <c r="H81" i="3"/>
  <c r="D1022" i="3"/>
  <c r="D1028" i="3"/>
  <c r="D1147" i="3"/>
  <c r="D1148" i="3" s="1"/>
  <c r="D1141" i="3"/>
  <c r="D1266" i="3"/>
  <c r="M70" i="3"/>
  <c r="M74" i="3"/>
  <c r="J70" i="3"/>
  <c r="J74" i="3"/>
  <c r="I196" i="3"/>
  <c r="I214" i="3"/>
  <c r="G70" i="3"/>
  <c r="G74" i="3"/>
  <c r="F70" i="3"/>
  <c r="F74" i="3"/>
  <c r="U12" i="1"/>
  <c r="V12" i="1"/>
  <c r="W12" i="1"/>
  <c r="X12" i="1"/>
  <c r="E70" i="3"/>
  <c r="O70" i="3" s="1"/>
  <c r="P70" i="3" s="1"/>
  <c r="Q70" i="3" s="1"/>
  <c r="R70" i="3" s="1"/>
  <c r="T13" i="1" s="1"/>
  <c r="E74" i="3"/>
  <c r="E448" i="7"/>
  <c r="E452" i="7"/>
  <c r="E280" i="7"/>
  <c r="E284" i="7"/>
  <c r="F959" i="8" l="1"/>
  <c r="F963" i="8"/>
  <c r="G518" i="8"/>
  <c r="G522" i="8"/>
  <c r="F518" i="8"/>
  <c r="F522" i="8"/>
  <c r="E238" i="8"/>
  <c r="E244" i="8"/>
  <c r="E245" i="8" s="1"/>
  <c r="E273" i="8"/>
  <c r="E279" i="8"/>
  <c r="E483" i="8"/>
  <c r="E489" i="8"/>
  <c r="E490" i="8" s="1"/>
  <c r="E518" i="8"/>
  <c r="E524" i="8"/>
  <c r="K84" i="8"/>
  <c r="K89" i="8"/>
  <c r="J84" i="8"/>
  <c r="J88" i="8"/>
  <c r="E504" i="8"/>
  <c r="E510" i="8"/>
  <c r="E511" i="8" s="1"/>
  <c r="E546" i="8"/>
  <c r="E552" i="8"/>
  <c r="E594" i="8"/>
  <c r="L77" i="8"/>
  <c r="L81" i="8"/>
  <c r="I77" i="8"/>
  <c r="I81" i="8"/>
  <c r="G77" i="8"/>
  <c r="G81" i="8"/>
  <c r="F77" i="8"/>
  <c r="M77" i="8" s="1"/>
  <c r="N77" i="8" s="1"/>
  <c r="O77" i="8" s="1"/>
  <c r="P77" i="8" s="1"/>
  <c r="F81" i="8"/>
  <c r="H420" i="7"/>
  <c r="H424" i="7"/>
  <c r="H252" i="7"/>
  <c r="H256" i="7"/>
  <c r="H84" i="7"/>
  <c r="H88" i="7"/>
  <c r="J77" i="7"/>
  <c r="J81" i="7"/>
  <c r="G77" i="7"/>
  <c r="G81" i="7"/>
  <c r="E77" i="7"/>
  <c r="E81" i="7"/>
  <c r="G245" i="6"/>
  <c r="G249" i="6"/>
  <c r="F245" i="6"/>
  <c r="F249" i="6"/>
  <c r="E245" i="6"/>
  <c r="E249" i="6"/>
  <c r="I119" i="6"/>
  <c r="I123" i="6"/>
  <c r="I245" i="6"/>
  <c r="I249" i="6"/>
  <c r="L77" i="6"/>
  <c r="L81" i="6"/>
  <c r="G77" i="6"/>
  <c r="G81" i="6"/>
  <c r="F77" i="6"/>
  <c r="F81" i="6"/>
  <c r="E77" i="6"/>
  <c r="M77" i="6" s="1"/>
  <c r="N77" i="6" s="1"/>
  <c r="O77" i="6" s="1"/>
  <c r="P77" i="6" s="1"/>
  <c r="E81" i="6"/>
  <c r="N1344" i="4"/>
  <c r="N1348" i="4"/>
  <c r="L1344" i="4"/>
  <c r="L1348" i="4"/>
  <c r="K1344" i="4"/>
  <c r="K1348" i="4"/>
  <c r="H1344" i="4"/>
  <c r="H1348" i="4"/>
  <c r="N1253" i="4"/>
  <c r="N1257" i="4"/>
  <c r="N1260" i="4" s="1"/>
  <c r="L1253" i="4"/>
  <c r="L1257" i="4"/>
  <c r="L1260" i="4" s="1"/>
  <c r="K1253" i="4"/>
  <c r="K1257" i="4"/>
  <c r="K1260" i="4" s="1"/>
  <c r="H1253" i="4"/>
  <c r="H1257" i="4"/>
  <c r="H1260" i="4" s="1"/>
  <c r="N1092" i="4"/>
  <c r="N1096" i="4"/>
  <c r="L1092" i="4"/>
  <c r="L1096" i="4"/>
  <c r="K1092" i="4"/>
  <c r="K1096" i="4"/>
  <c r="H1092" i="4"/>
  <c r="H1096" i="4"/>
  <c r="N966" i="4"/>
  <c r="N970" i="4"/>
  <c r="L966" i="4"/>
  <c r="L970" i="4"/>
  <c r="K966" i="4"/>
  <c r="K970" i="4"/>
  <c r="H966" i="4"/>
  <c r="H970" i="4"/>
  <c r="N840" i="4"/>
  <c r="N844" i="4"/>
  <c r="L840" i="4"/>
  <c r="L844" i="4"/>
  <c r="K840" i="4"/>
  <c r="K844" i="4"/>
  <c r="H840" i="4"/>
  <c r="H844" i="4"/>
  <c r="N714" i="4"/>
  <c r="N718" i="4"/>
  <c r="L714" i="4"/>
  <c r="L718" i="4"/>
  <c r="K714" i="4"/>
  <c r="K718" i="4"/>
  <c r="H714" i="4"/>
  <c r="H718" i="4"/>
  <c r="N588" i="4"/>
  <c r="N592" i="4"/>
  <c r="L588" i="4"/>
  <c r="L592" i="4"/>
  <c r="K588" i="4"/>
  <c r="K592" i="4"/>
  <c r="H588" i="4"/>
  <c r="H592" i="4"/>
  <c r="D1295" i="4"/>
  <c r="D1301" i="4"/>
  <c r="D1302" i="4" s="1"/>
  <c r="N462" i="4"/>
  <c r="N466" i="4"/>
  <c r="L462" i="4"/>
  <c r="L466" i="4"/>
  <c r="K462" i="4"/>
  <c r="K466" i="4"/>
  <c r="H462" i="4"/>
  <c r="H466" i="4"/>
  <c r="N336" i="4"/>
  <c r="N340" i="4"/>
  <c r="L336" i="4"/>
  <c r="L340" i="4"/>
  <c r="K336" i="4"/>
  <c r="K340" i="4"/>
  <c r="H336" i="4"/>
  <c r="H340" i="4"/>
  <c r="N210" i="4"/>
  <c r="N214" i="4"/>
  <c r="L210" i="4"/>
  <c r="L214" i="4"/>
  <c r="K210" i="4"/>
  <c r="K214" i="4"/>
  <c r="H210" i="4"/>
  <c r="H214" i="4"/>
  <c r="D1253" i="4"/>
  <c r="D1259" i="4"/>
  <c r="D1260" i="4" s="1"/>
  <c r="D1372" i="4"/>
  <c r="D1378" i="4"/>
  <c r="D973" i="4"/>
  <c r="D979" i="4"/>
  <c r="D1204" i="4"/>
  <c r="D1210" i="4"/>
  <c r="I231" i="4"/>
  <c r="I249" i="4"/>
  <c r="N84" i="4"/>
  <c r="N88" i="4"/>
  <c r="L84" i="4"/>
  <c r="L88" i="4"/>
  <c r="K84" i="4"/>
  <c r="K88" i="4"/>
  <c r="I224" i="4"/>
  <c r="I242" i="4"/>
  <c r="H84" i="4"/>
  <c r="H88" i="4"/>
  <c r="D1029" i="4"/>
  <c r="D1154" i="4"/>
  <c r="D1155" i="4" s="1"/>
  <c r="D1267" i="4"/>
  <c r="D1273" i="4"/>
  <c r="M77" i="4"/>
  <c r="M81" i="4"/>
  <c r="J77" i="4"/>
  <c r="J81" i="4"/>
  <c r="I217" i="4"/>
  <c r="I235" i="4"/>
  <c r="G77" i="4"/>
  <c r="G81" i="4"/>
  <c r="F77" i="4"/>
  <c r="F81" i="4"/>
  <c r="E77" i="4"/>
  <c r="E81" i="4"/>
  <c r="N1344" i="3"/>
  <c r="N1348" i="3"/>
  <c r="L1344" i="3"/>
  <c r="L1348" i="3"/>
  <c r="K1344" i="3"/>
  <c r="K1348" i="3"/>
  <c r="H1344" i="3"/>
  <c r="H1348" i="3"/>
  <c r="N1253" i="3"/>
  <c r="N1257" i="3"/>
  <c r="N1260" i="3" s="1"/>
  <c r="L1253" i="3"/>
  <c r="L1257" i="3"/>
  <c r="L1260" i="3" s="1"/>
  <c r="K1253" i="3"/>
  <c r="K1257" i="3"/>
  <c r="K1260" i="3" s="1"/>
  <c r="H1253" i="3"/>
  <c r="H1257" i="3"/>
  <c r="H1260" i="3" s="1"/>
  <c r="N1092" i="3"/>
  <c r="N1096" i="3"/>
  <c r="L1092" i="3"/>
  <c r="L1096" i="3"/>
  <c r="K1092" i="3"/>
  <c r="K1096" i="3"/>
  <c r="H1092" i="3"/>
  <c r="H1096" i="3"/>
  <c r="N966" i="3"/>
  <c r="N970" i="3"/>
  <c r="L966" i="3"/>
  <c r="L970" i="3"/>
  <c r="K966" i="3"/>
  <c r="K970" i="3"/>
  <c r="H966" i="3"/>
  <c r="H970" i="3"/>
  <c r="N840" i="3"/>
  <c r="N844" i="3"/>
  <c r="L840" i="3"/>
  <c r="L844" i="3"/>
  <c r="K840" i="3"/>
  <c r="K844" i="3"/>
  <c r="H840" i="3"/>
  <c r="H844" i="3"/>
  <c r="N721" i="3"/>
  <c r="N725" i="3"/>
  <c r="L714" i="3"/>
  <c r="L718" i="3"/>
  <c r="K714" i="3"/>
  <c r="K718" i="3"/>
  <c r="H714" i="3"/>
  <c r="H718" i="3"/>
  <c r="N588" i="3"/>
  <c r="N592" i="3"/>
  <c r="L588" i="3"/>
  <c r="L592" i="3"/>
  <c r="K588" i="3"/>
  <c r="K592" i="3"/>
  <c r="H588" i="3"/>
  <c r="H592" i="3"/>
  <c r="D1295" i="3"/>
  <c r="D1301" i="3"/>
  <c r="D1302" i="3" s="1"/>
  <c r="N462" i="3"/>
  <c r="N466" i="3"/>
  <c r="L462" i="3"/>
  <c r="L466" i="3"/>
  <c r="K462" i="3"/>
  <c r="K466" i="3"/>
  <c r="H462" i="3"/>
  <c r="H466" i="3"/>
  <c r="N336" i="3"/>
  <c r="N340" i="3"/>
  <c r="L336" i="3"/>
  <c r="L340" i="3"/>
  <c r="K336" i="3"/>
  <c r="K340" i="3"/>
  <c r="H336" i="3"/>
  <c r="H340" i="3"/>
  <c r="D1379" i="3"/>
  <c r="D1385" i="3"/>
  <c r="D1386" i="3" s="1"/>
  <c r="N210" i="3"/>
  <c r="N214" i="3"/>
  <c r="L210" i="3"/>
  <c r="L214" i="3"/>
  <c r="K210" i="3"/>
  <c r="K214" i="3"/>
  <c r="H210" i="3"/>
  <c r="H214" i="3"/>
  <c r="D973" i="3"/>
  <c r="D979" i="3"/>
  <c r="D1204" i="3"/>
  <c r="D1210" i="3"/>
  <c r="I231" i="3"/>
  <c r="I249" i="3"/>
  <c r="N84" i="3"/>
  <c r="N88" i="3"/>
  <c r="L84" i="3"/>
  <c r="L88" i="3"/>
  <c r="K84" i="3"/>
  <c r="K88" i="3"/>
  <c r="I224" i="3"/>
  <c r="I242" i="3"/>
  <c r="H84" i="3"/>
  <c r="H88" i="3"/>
  <c r="D1029" i="3"/>
  <c r="D1154" i="3"/>
  <c r="D1155" i="3" s="1"/>
  <c r="D1267" i="3"/>
  <c r="D1273" i="3"/>
  <c r="M77" i="3"/>
  <c r="M81" i="3"/>
  <c r="J77" i="3"/>
  <c r="J81" i="3"/>
  <c r="I217" i="3"/>
  <c r="I235" i="3"/>
  <c r="G77" i="3"/>
  <c r="G81" i="3"/>
  <c r="F77" i="3"/>
  <c r="F81" i="3"/>
  <c r="U13" i="1"/>
  <c r="X13" i="1"/>
  <c r="W13" i="1"/>
  <c r="V13" i="1"/>
  <c r="E77" i="3"/>
  <c r="O77" i="3" s="1"/>
  <c r="P77" i="3" s="1"/>
  <c r="Q77" i="3" s="1"/>
  <c r="R77" i="3" s="1"/>
  <c r="T14" i="1" s="1"/>
  <c r="E81" i="3"/>
  <c r="E455" i="7"/>
  <c r="E459" i="7"/>
  <c r="E287" i="7"/>
  <c r="E291" i="7"/>
  <c r="M70" i="8"/>
  <c r="N70" i="8" s="1"/>
  <c r="O70" i="8" s="1"/>
  <c r="P70" i="8" s="1"/>
  <c r="F966" i="8" l="1"/>
  <c r="F970" i="8"/>
  <c r="G525" i="8"/>
  <c r="G529" i="8"/>
  <c r="F525" i="8"/>
  <c r="F529" i="8"/>
  <c r="E280" i="8"/>
  <c r="E286" i="8"/>
  <c r="E525" i="8"/>
  <c r="E531" i="8"/>
  <c r="E566" i="8"/>
  <c r="K91" i="8"/>
  <c r="K96" i="8"/>
  <c r="J91" i="8"/>
  <c r="J95" i="8"/>
  <c r="E553" i="8"/>
  <c r="E559" i="8"/>
  <c r="E560" i="8" s="1"/>
  <c r="E595" i="8"/>
  <c r="E601" i="8"/>
  <c r="E643" i="8"/>
  <c r="L84" i="8"/>
  <c r="L88" i="8"/>
  <c r="I84" i="8"/>
  <c r="I88" i="8"/>
  <c r="G84" i="8"/>
  <c r="G88" i="8"/>
  <c r="F84" i="8"/>
  <c r="M84" i="8" s="1"/>
  <c r="N84" i="8" s="1"/>
  <c r="O84" i="8" s="1"/>
  <c r="P84" i="8" s="1"/>
  <c r="F88" i="8"/>
  <c r="H427" i="7"/>
  <c r="H431" i="7"/>
  <c r="H259" i="7"/>
  <c r="H263" i="7"/>
  <c r="H91" i="7"/>
  <c r="H95" i="7"/>
  <c r="J84" i="7"/>
  <c r="J88" i="7"/>
  <c r="G84" i="7"/>
  <c r="G88" i="7"/>
  <c r="E84" i="7"/>
  <c r="K84" i="7" s="1"/>
  <c r="L84" i="7" s="1"/>
  <c r="M84" i="7" s="1"/>
  <c r="N84" i="7" s="1"/>
  <c r="E88" i="7"/>
  <c r="G252" i="6"/>
  <c r="G256" i="6"/>
  <c r="F252" i="6"/>
  <c r="F256" i="6"/>
  <c r="E252" i="6"/>
  <c r="E256" i="6"/>
  <c r="I126" i="6"/>
  <c r="I130" i="6"/>
  <c r="I252" i="6"/>
  <c r="I256" i="6"/>
  <c r="L84" i="6"/>
  <c r="L88" i="6"/>
  <c r="G84" i="6"/>
  <c r="G88" i="6"/>
  <c r="F84" i="6"/>
  <c r="F88" i="6"/>
  <c r="E84" i="6"/>
  <c r="M84" i="6" s="1"/>
  <c r="N84" i="6" s="1"/>
  <c r="O84" i="6" s="1"/>
  <c r="P84" i="6" s="1"/>
  <c r="E88" i="6"/>
  <c r="N1351" i="4"/>
  <c r="N1355" i="4"/>
  <c r="L1351" i="4"/>
  <c r="L1355" i="4"/>
  <c r="K1351" i="4"/>
  <c r="K1355" i="4"/>
  <c r="H1351" i="4"/>
  <c r="H1355" i="4"/>
  <c r="N1099" i="4"/>
  <c r="N1103" i="4"/>
  <c r="L1099" i="4"/>
  <c r="L1103" i="4"/>
  <c r="K1099" i="4"/>
  <c r="K1103" i="4"/>
  <c r="H1099" i="4"/>
  <c r="H1103" i="4"/>
  <c r="N973" i="4"/>
  <c r="N977" i="4"/>
  <c r="L973" i="4"/>
  <c r="L977" i="4"/>
  <c r="K973" i="4"/>
  <c r="K977" i="4"/>
  <c r="H973" i="4"/>
  <c r="H977" i="4"/>
  <c r="N847" i="4"/>
  <c r="N851" i="4"/>
  <c r="L847" i="4"/>
  <c r="L851" i="4"/>
  <c r="K847" i="4"/>
  <c r="K851" i="4"/>
  <c r="H847" i="4"/>
  <c r="H851" i="4"/>
  <c r="N721" i="4"/>
  <c r="N725" i="4"/>
  <c r="L721" i="4"/>
  <c r="L725" i="4"/>
  <c r="K721" i="4"/>
  <c r="K725" i="4"/>
  <c r="H721" i="4"/>
  <c r="H725" i="4"/>
  <c r="N595" i="4"/>
  <c r="N599" i="4"/>
  <c r="L595" i="4"/>
  <c r="L599" i="4"/>
  <c r="K595" i="4"/>
  <c r="K599" i="4"/>
  <c r="H595" i="4"/>
  <c r="H599" i="4"/>
  <c r="N469" i="4"/>
  <c r="N473" i="4"/>
  <c r="L469" i="4"/>
  <c r="L473" i="4"/>
  <c r="K469" i="4"/>
  <c r="K473" i="4"/>
  <c r="H469" i="4"/>
  <c r="H473" i="4"/>
  <c r="N343" i="4"/>
  <c r="N347" i="4"/>
  <c r="L343" i="4"/>
  <c r="L347" i="4"/>
  <c r="K343" i="4"/>
  <c r="K347" i="4"/>
  <c r="H343" i="4"/>
  <c r="H347" i="4"/>
  <c r="N217" i="4"/>
  <c r="N221" i="4"/>
  <c r="L217" i="4"/>
  <c r="L221" i="4"/>
  <c r="K217" i="4"/>
  <c r="K221" i="4"/>
  <c r="H217" i="4"/>
  <c r="H221" i="4"/>
  <c r="D1379" i="4"/>
  <c r="D1385" i="4"/>
  <c r="D1386" i="4" s="1"/>
  <c r="D980" i="4"/>
  <c r="D986" i="4"/>
  <c r="D987" i="4" s="1"/>
  <c r="D1098" i="4"/>
  <c r="D1211" i="4"/>
  <c r="D1217" i="4"/>
  <c r="I252" i="4"/>
  <c r="I270" i="4"/>
  <c r="N91" i="4"/>
  <c r="N95" i="4"/>
  <c r="L91" i="4"/>
  <c r="L95" i="4"/>
  <c r="K91" i="4"/>
  <c r="K95" i="4"/>
  <c r="I245" i="4"/>
  <c r="I263" i="4"/>
  <c r="H91" i="4"/>
  <c r="H95" i="4"/>
  <c r="D1274" i="4"/>
  <c r="D1280" i="4"/>
  <c r="D1281" i="4" s="1"/>
  <c r="M84" i="4"/>
  <c r="M88" i="4"/>
  <c r="J84" i="4"/>
  <c r="J88" i="4"/>
  <c r="I238" i="4"/>
  <c r="I256" i="4"/>
  <c r="G84" i="4"/>
  <c r="G88" i="4"/>
  <c r="F84" i="4"/>
  <c r="F88" i="4"/>
  <c r="E84" i="4"/>
  <c r="O84" i="4" s="1"/>
  <c r="P84" i="4" s="1"/>
  <c r="Q84" i="4" s="1"/>
  <c r="R84" i="4" s="1"/>
  <c r="E88" i="4"/>
  <c r="N1351" i="3"/>
  <c r="N1355" i="3"/>
  <c r="L1351" i="3"/>
  <c r="L1355" i="3"/>
  <c r="K1351" i="3"/>
  <c r="K1355" i="3"/>
  <c r="H1351" i="3"/>
  <c r="H1355" i="3"/>
  <c r="N1099" i="3"/>
  <c r="N1103" i="3"/>
  <c r="L1099" i="3"/>
  <c r="L1103" i="3"/>
  <c r="K1099" i="3"/>
  <c r="K1103" i="3"/>
  <c r="H1099" i="3"/>
  <c r="H1103" i="3"/>
  <c r="N973" i="3"/>
  <c r="N977" i="3"/>
  <c r="L973" i="3"/>
  <c r="L977" i="3"/>
  <c r="K973" i="3"/>
  <c r="K977" i="3"/>
  <c r="H973" i="3"/>
  <c r="H977" i="3"/>
  <c r="N847" i="3"/>
  <c r="N851" i="3"/>
  <c r="L847" i="3"/>
  <c r="L851" i="3"/>
  <c r="K847" i="3"/>
  <c r="K851" i="3"/>
  <c r="H847" i="3"/>
  <c r="H851" i="3"/>
  <c r="N728" i="3"/>
  <c r="N732" i="3"/>
  <c r="L721" i="3"/>
  <c r="L725" i="3"/>
  <c r="K721" i="3"/>
  <c r="K725" i="3"/>
  <c r="H721" i="3"/>
  <c r="H725" i="3"/>
  <c r="N595" i="3"/>
  <c r="N599" i="3"/>
  <c r="L595" i="3"/>
  <c r="L599" i="3"/>
  <c r="K595" i="3"/>
  <c r="K599" i="3"/>
  <c r="H595" i="3"/>
  <c r="H599" i="3"/>
  <c r="N469" i="3"/>
  <c r="N473" i="3"/>
  <c r="L469" i="3"/>
  <c r="L473" i="3"/>
  <c r="K469" i="3"/>
  <c r="K473" i="3"/>
  <c r="H469" i="3"/>
  <c r="H473" i="3"/>
  <c r="N343" i="3"/>
  <c r="N347" i="3"/>
  <c r="L343" i="3"/>
  <c r="L347" i="3"/>
  <c r="K343" i="3"/>
  <c r="K347" i="3"/>
  <c r="H343" i="3"/>
  <c r="H347" i="3"/>
  <c r="N217" i="3"/>
  <c r="N221" i="3"/>
  <c r="L217" i="3"/>
  <c r="L221" i="3"/>
  <c r="K217" i="3"/>
  <c r="K221" i="3"/>
  <c r="H217" i="3"/>
  <c r="H221" i="3"/>
  <c r="D980" i="3"/>
  <c r="D986" i="3"/>
  <c r="D987" i="3" s="1"/>
  <c r="D1098" i="3"/>
  <c r="D1211" i="3"/>
  <c r="D1217" i="3"/>
  <c r="I252" i="3"/>
  <c r="I270" i="3"/>
  <c r="N91" i="3"/>
  <c r="N95" i="3"/>
  <c r="L91" i="3"/>
  <c r="L95" i="3"/>
  <c r="K91" i="3"/>
  <c r="K95" i="3"/>
  <c r="I245" i="3"/>
  <c r="I263" i="3"/>
  <c r="H91" i="3"/>
  <c r="H95" i="3"/>
  <c r="D1274" i="3"/>
  <c r="D1280" i="3"/>
  <c r="D1281" i="3" s="1"/>
  <c r="M84" i="3"/>
  <c r="M88" i="3"/>
  <c r="J84" i="3"/>
  <c r="J88" i="3"/>
  <c r="I238" i="3"/>
  <c r="I256" i="3"/>
  <c r="G84" i="3"/>
  <c r="G88" i="3"/>
  <c r="F84" i="3"/>
  <c r="F88" i="3"/>
  <c r="X14" i="1"/>
  <c r="W14" i="1"/>
  <c r="V14" i="1"/>
  <c r="U14" i="1"/>
  <c r="E84" i="3"/>
  <c r="O84" i="3" s="1"/>
  <c r="P84" i="3" s="1"/>
  <c r="Q84" i="3" s="1"/>
  <c r="R84" i="3" s="1"/>
  <c r="T15" i="1" s="1"/>
  <c r="E88" i="3"/>
  <c r="E462" i="7"/>
  <c r="E466" i="7"/>
  <c r="E294" i="7"/>
  <c r="E298" i="7"/>
  <c r="K77" i="7"/>
  <c r="L77" i="7" s="1"/>
  <c r="M77" i="7" s="1"/>
  <c r="N77" i="7" s="1"/>
  <c r="O77" i="4"/>
  <c r="P77" i="4" s="1"/>
  <c r="Q77" i="4" s="1"/>
  <c r="R77" i="4" s="1"/>
  <c r="F973" i="8" l="1"/>
  <c r="F977" i="8"/>
  <c r="G532" i="8"/>
  <c r="G536" i="8"/>
  <c r="F532" i="8"/>
  <c r="F536" i="8"/>
  <c r="E287" i="8"/>
  <c r="E293" i="8"/>
  <c r="E294" i="8" s="1"/>
  <c r="E532" i="8"/>
  <c r="E538" i="8"/>
  <c r="E539" i="8" s="1"/>
  <c r="E567" i="8"/>
  <c r="E573" i="8"/>
  <c r="K98" i="8"/>
  <c r="K103" i="8"/>
  <c r="J98" i="8"/>
  <c r="J102" i="8"/>
  <c r="E602" i="8"/>
  <c r="E608" i="8"/>
  <c r="E609" i="8" s="1"/>
  <c r="E644" i="8"/>
  <c r="E650" i="8"/>
  <c r="E692" i="8"/>
  <c r="L91" i="8"/>
  <c r="L95" i="8"/>
  <c r="I91" i="8"/>
  <c r="I95" i="8"/>
  <c r="G91" i="8"/>
  <c r="G95" i="8"/>
  <c r="F91" i="8"/>
  <c r="M91" i="8" s="1"/>
  <c r="N91" i="8" s="1"/>
  <c r="O91" i="8" s="1"/>
  <c r="P91" i="8" s="1"/>
  <c r="F95" i="8"/>
  <c r="H434" i="7"/>
  <c r="H438" i="7"/>
  <c r="H266" i="7"/>
  <c r="H270" i="7"/>
  <c r="H98" i="7"/>
  <c r="H102" i="7"/>
  <c r="J91" i="7"/>
  <c r="J95" i="7"/>
  <c r="G91" i="7"/>
  <c r="G95" i="7"/>
  <c r="E91" i="7"/>
  <c r="K91" i="7" s="1"/>
  <c r="L91" i="7" s="1"/>
  <c r="M91" i="7" s="1"/>
  <c r="N91" i="7" s="1"/>
  <c r="E95" i="7"/>
  <c r="G259" i="6"/>
  <c r="G263" i="6"/>
  <c r="F259" i="6"/>
  <c r="F263" i="6"/>
  <c r="E259" i="6"/>
  <c r="E263" i="6"/>
  <c r="I133" i="6"/>
  <c r="I137" i="6"/>
  <c r="I259" i="6"/>
  <c r="I263" i="6"/>
  <c r="L91" i="6"/>
  <c r="L95" i="6"/>
  <c r="G91" i="6"/>
  <c r="G95" i="6"/>
  <c r="F91" i="6"/>
  <c r="F95" i="6"/>
  <c r="E91" i="6"/>
  <c r="M91" i="6" s="1"/>
  <c r="N91" i="6" s="1"/>
  <c r="O91" i="6" s="1"/>
  <c r="P91" i="6" s="1"/>
  <c r="E95" i="6"/>
  <c r="N1358" i="4"/>
  <c r="N1362" i="4"/>
  <c r="L1358" i="4"/>
  <c r="L1362" i="4"/>
  <c r="K1358" i="4"/>
  <c r="K1362" i="4"/>
  <c r="H1358" i="4"/>
  <c r="H1362" i="4"/>
  <c r="N1106" i="4"/>
  <c r="N1110" i="4"/>
  <c r="L1106" i="4"/>
  <c r="L1110" i="4"/>
  <c r="K1106" i="4"/>
  <c r="K1110" i="4"/>
  <c r="H1106" i="4"/>
  <c r="H1110" i="4"/>
  <c r="N980" i="4"/>
  <c r="N984" i="4"/>
  <c r="L980" i="4"/>
  <c r="L984" i="4"/>
  <c r="K980" i="4"/>
  <c r="K984" i="4"/>
  <c r="H980" i="4"/>
  <c r="H984" i="4"/>
  <c r="N854" i="4"/>
  <c r="N858" i="4"/>
  <c r="L854" i="4"/>
  <c r="L858" i="4"/>
  <c r="K854" i="4"/>
  <c r="K858" i="4"/>
  <c r="H854" i="4"/>
  <c r="H858" i="4"/>
  <c r="N728" i="4"/>
  <c r="N732" i="4"/>
  <c r="L728" i="4"/>
  <c r="L732" i="4"/>
  <c r="K728" i="4"/>
  <c r="K732" i="4"/>
  <c r="H728" i="4"/>
  <c r="H732" i="4"/>
  <c r="N602" i="4"/>
  <c r="N606" i="4"/>
  <c r="L602" i="4"/>
  <c r="L606" i="4"/>
  <c r="K602" i="4"/>
  <c r="K606" i="4"/>
  <c r="H602" i="4"/>
  <c r="H606" i="4"/>
  <c r="N476" i="4"/>
  <c r="N480" i="4"/>
  <c r="L476" i="4"/>
  <c r="L480" i="4"/>
  <c r="K476" i="4"/>
  <c r="K480" i="4"/>
  <c r="H476" i="4"/>
  <c r="H480" i="4"/>
  <c r="N350" i="4"/>
  <c r="N354" i="4"/>
  <c r="L350" i="4"/>
  <c r="L354" i="4"/>
  <c r="K350" i="4"/>
  <c r="K354" i="4"/>
  <c r="H350" i="4"/>
  <c r="H354" i="4"/>
  <c r="N224" i="4"/>
  <c r="N228" i="4"/>
  <c r="L224" i="4"/>
  <c r="L228" i="4"/>
  <c r="K224" i="4"/>
  <c r="K228" i="4"/>
  <c r="H224" i="4"/>
  <c r="H228" i="4"/>
  <c r="D1099" i="4"/>
  <c r="D1105" i="4"/>
  <c r="D1224" i="4"/>
  <c r="D1218" i="4"/>
  <c r="D1329" i="4"/>
  <c r="I273" i="4"/>
  <c r="I291" i="4"/>
  <c r="N98" i="4"/>
  <c r="N102" i="4"/>
  <c r="L98" i="4"/>
  <c r="L102" i="4"/>
  <c r="K98" i="4"/>
  <c r="K102" i="4"/>
  <c r="I266" i="4"/>
  <c r="I284" i="4"/>
  <c r="H98" i="4"/>
  <c r="H102" i="4"/>
  <c r="M91" i="4"/>
  <c r="M95" i="4"/>
  <c r="J91" i="4"/>
  <c r="J95" i="4"/>
  <c r="I259" i="4"/>
  <c r="I277" i="4"/>
  <c r="G91" i="4"/>
  <c r="G95" i="4"/>
  <c r="F91" i="4"/>
  <c r="F95" i="4"/>
  <c r="E91" i="4"/>
  <c r="O91" i="4" s="1"/>
  <c r="P91" i="4" s="1"/>
  <c r="Q91" i="4" s="1"/>
  <c r="R91" i="4" s="1"/>
  <c r="E95" i="4"/>
  <c r="N1358" i="3"/>
  <c r="N1362" i="3"/>
  <c r="L1358" i="3"/>
  <c r="L1362" i="3"/>
  <c r="K1358" i="3"/>
  <c r="K1362" i="3"/>
  <c r="H1358" i="3"/>
  <c r="H1362" i="3"/>
  <c r="N1106" i="3"/>
  <c r="N1110" i="3"/>
  <c r="L1106" i="3"/>
  <c r="L1110" i="3"/>
  <c r="K1106" i="3"/>
  <c r="K1110" i="3"/>
  <c r="H1106" i="3"/>
  <c r="H1110" i="3"/>
  <c r="N980" i="3"/>
  <c r="N984" i="3"/>
  <c r="L980" i="3"/>
  <c r="L984" i="3"/>
  <c r="K980" i="3"/>
  <c r="K984" i="3"/>
  <c r="H980" i="3"/>
  <c r="H984" i="3"/>
  <c r="N854" i="3"/>
  <c r="N858" i="3"/>
  <c r="L854" i="3"/>
  <c r="L858" i="3"/>
  <c r="K854" i="3"/>
  <c r="K858" i="3"/>
  <c r="H854" i="3"/>
  <c r="H858" i="3"/>
  <c r="N735" i="3"/>
  <c r="N739" i="3"/>
  <c r="L728" i="3"/>
  <c r="L732" i="3"/>
  <c r="K728" i="3"/>
  <c r="K732" i="3"/>
  <c r="H728" i="3"/>
  <c r="H732" i="3"/>
  <c r="N602" i="3"/>
  <c r="N606" i="3"/>
  <c r="L602" i="3"/>
  <c r="L606" i="3"/>
  <c r="K602" i="3"/>
  <c r="K606" i="3"/>
  <c r="H602" i="3"/>
  <c r="H606" i="3"/>
  <c r="N476" i="3"/>
  <c r="N480" i="3"/>
  <c r="L476" i="3"/>
  <c r="L480" i="3"/>
  <c r="K476" i="3"/>
  <c r="K480" i="3"/>
  <c r="H476" i="3"/>
  <c r="H480" i="3"/>
  <c r="N350" i="3"/>
  <c r="N354" i="3"/>
  <c r="L350" i="3"/>
  <c r="L354" i="3"/>
  <c r="K350" i="3"/>
  <c r="K354" i="3"/>
  <c r="H350" i="3"/>
  <c r="H354" i="3"/>
  <c r="N224" i="3"/>
  <c r="N228" i="3"/>
  <c r="L224" i="3"/>
  <c r="L228" i="3"/>
  <c r="K224" i="3"/>
  <c r="K228" i="3"/>
  <c r="H224" i="3"/>
  <c r="H228" i="3"/>
  <c r="D1099" i="3"/>
  <c r="D1105" i="3"/>
  <c r="D1224" i="3"/>
  <c r="D1218" i="3"/>
  <c r="D1329" i="3"/>
  <c r="I273" i="3"/>
  <c r="I291" i="3"/>
  <c r="N98" i="3"/>
  <c r="N102" i="3"/>
  <c r="L98" i="3"/>
  <c r="L102" i="3"/>
  <c r="K98" i="3"/>
  <c r="K102" i="3"/>
  <c r="I266" i="3"/>
  <c r="I284" i="3"/>
  <c r="H98" i="3"/>
  <c r="H102" i="3"/>
  <c r="M91" i="3"/>
  <c r="M95" i="3"/>
  <c r="J91" i="3"/>
  <c r="J95" i="3"/>
  <c r="I259" i="3"/>
  <c r="I277" i="3"/>
  <c r="G91" i="3"/>
  <c r="G95" i="3"/>
  <c r="F91" i="3"/>
  <c r="F95" i="3"/>
  <c r="X15" i="1"/>
  <c r="W15" i="1"/>
  <c r="V15" i="1"/>
  <c r="U15" i="1"/>
  <c r="E91" i="3"/>
  <c r="O91" i="3" s="1"/>
  <c r="P91" i="3" s="1"/>
  <c r="Q91" i="3" s="1"/>
  <c r="R91" i="3" s="1"/>
  <c r="T16" i="1" s="1"/>
  <c r="E95" i="3"/>
  <c r="E469" i="7"/>
  <c r="E473" i="7"/>
  <c r="E301" i="7"/>
  <c r="E305" i="7"/>
  <c r="F980" i="8" l="1"/>
  <c r="F984" i="8"/>
  <c r="G539" i="8"/>
  <c r="G543" i="8"/>
  <c r="F539" i="8"/>
  <c r="F543" i="8"/>
  <c r="E574" i="8"/>
  <c r="E580" i="8"/>
  <c r="E615" i="8"/>
  <c r="K105" i="8"/>
  <c r="K110" i="8"/>
  <c r="J105" i="8"/>
  <c r="J109" i="8"/>
  <c r="E651" i="8"/>
  <c r="E657" i="8"/>
  <c r="E658" i="8" s="1"/>
  <c r="E693" i="8"/>
  <c r="E699" i="8"/>
  <c r="L98" i="8"/>
  <c r="L102" i="8"/>
  <c r="I98" i="8"/>
  <c r="I102" i="8"/>
  <c r="G98" i="8"/>
  <c r="G102" i="8"/>
  <c r="F98" i="8"/>
  <c r="M98" i="8" s="1"/>
  <c r="N98" i="8" s="1"/>
  <c r="O98" i="8" s="1"/>
  <c r="P98" i="8" s="1"/>
  <c r="F102" i="8"/>
  <c r="H441" i="7"/>
  <c r="H445" i="7"/>
  <c r="H273" i="7"/>
  <c r="H277" i="7"/>
  <c r="H105" i="7"/>
  <c r="H109" i="7"/>
  <c r="J98" i="7"/>
  <c r="J102" i="7"/>
  <c r="G98" i="7"/>
  <c r="G102" i="7"/>
  <c r="E98" i="7"/>
  <c r="K98" i="7" s="1"/>
  <c r="L98" i="7" s="1"/>
  <c r="M98" i="7" s="1"/>
  <c r="N98" i="7" s="1"/>
  <c r="E102" i="7"/>
  <c r="G266" i="6"/>
  <c r="G270" i="6"/>
  <c r="F266" i="6"/>
  <c r="F270" i="6"/>
  <c r="E266" i="6"/>
  <c r="E270" i="6"/>
  <c r="I140" i="6"/>
  <c r="I144" i="6"/>
  <c r="I266" i="6"/>
  <c r="I270" i="6"/>
  <c r="L98" i="6"/>
  <c r="L102" i="6"/>
  <c r="G98" i="6"/>
  <c r="G102" i="6"/>
  <c r="F98" i="6"/>
  <c r="F102" i="6"/>
  <c r="E98" i="6"/>
  <c r="M98" i="6" s="1"/>
  <c r="N98" i="6" s="1"/>
  <c r="O98" i="6" s="1"/>
  <c r="P98" i="6" s="1"/>
  <c r="E102" i="6"/>
  <c r="N1365" i="4"/>
  <c r="N1369" i="4"/>
  <c r="L1365" i="4"/>
  <c r="L1369" i="4"/>
  <c r="K1365" i="4"/>
  <c r="K1369" i="4"/>
  <c r="H1365" i="4"/>
  <c r="H1369" i="4"/>
  <c r="N1113" i="4"/>
  <c r="N1117" i="4"/>
  <c r="L1113" i="4"/>
  <c r="L1117" i="4"/>
  <c r="K1113" i="4"/>
  <c r="K1117" i="4"/>
  <c r="H1113" i="4"/>
  <c r="H1117" i="4"/>
  <c r="N987" i="4"/>
  <c r="N991" i="4"/>
  <c r="L987" i="4"/>
  <c r="L991" i="4"/>
  <c r="K987" i="4"/>
  <c r="K991" i="4"/>
  <c r="H987" i="4"/>
  <c r="H991" i="4"/>
  <c r="N861" i="4"/>
  <c r="N865" i="4"/>
  <c r="L861" i="4"/>
  <c r="L865" i="4"/>
  <c r="K861" i="4"/>
  <c r="K865" i="4"/>
  <c r="H861" i="4"/>
  <c r="H865" i="4"/>
  <c r="N735" i="4"/>
  <c r="N739" i="4"/>
  <c r="L735" i="4"/>
  <c r="L739" i="4"/>
  <c r="K735" i="4"/>
  <c r="K739" i="4"/>
  <c r="H735" i="4"/>
  <c r="H739" i="4"/>
  <c r="N609" i="4"/>
  <c r="N613" i="4"/>
  <c r="L609" i="4"/>
  <c r="L613" i="4"/>
  <c r="K609" i="4"/>
  <c r="K613" i="4"/>
  <c r="H609" i="4"/>
  <c r="H613" i="4"/>
  <c r="N483" i="4"/>
  <c r="N487" i="4"/>
  <c r="L483" i="4"/>
  <c r="L487" i="4"/>
  <c r="K483" i="4"/>
  <c r="K487" i="4"/>
  <c r="H483" i="4"/>
  <c r="H487" i="4"/>
  <c r="N357" i="4"/>
  <c r="N361" i="4"/>
  <c r="L357" i="4"/>
  <c r="L361" i="4"/>
  <c r="K357" i="4"/>
  <c r="K361" i="4"/>
  <c r="H357" i="4"/>
  <c r="H361" i="4"/>
  <c r="N231" i="4"/>
  <c r="N235" i="4"/>
  <c r="L231" i="4"/>
  <c r="L235" i="4"/>
  <c r="K231" i="4"/>
  <c r="K235" i="4"/>
  <c r="H231" i="4"/>
  <c r="H235" i="4"/>
  <c r="D1106" i="4"/>
  <c r="D1112" i="4"/>
  <c r="D1113" i="4" s="1"/>
  <c r="D1225" i="4"/>
  <c r="D1231" i="4"/>
  <c r="D1330" i="4"/>
  <c r="D1336" i="4"/>
  <c r="I294" i="4"/>
  <c r="I312" i="4"/>
  <c r="N105" i="4"/>
  <c r="N109" i="4"/>
  <c r="L105" i="4"/>
  <c r="L109" i="4"/>
  <c r="K105" i="4"/>
  <c r="K109" i="4"/>
  <c r="I287" i="4"/>
  <c r="I305" i="4"/>
  <c r="H105" i="4"/>
  <c r="H109" i="4"/>
  <c r="M98" i="4"/>
  <c r="M102" i="4"/>
  <c r="J98" i="4"/>
  <c r="J102" i="4"/>
  <c r="I280" i="4"/>
  <c r="I298" i="4"/>
  <c r="G98" i="4"/>
  <c r="G102" i="4"/>
  <c r="F98" i="4"/>
  <c r="F102" i="4"/>
  <c r="E98" i="4"/>
  <c r="O98" i="4" s="1"/>
  <c r="P98" i="4" s="1"/>
  <c r="Q98" i="4" s="1"/>
  <c r="R98" i="4" s="1"/>
  <c r="E102" i="4"/>
  <c r="N1365" i="3"/>
  <c r="N1369" i="3"/>
  <c r="L1365" i="3"/>
  <c r="L1369" i="3"/>
  <c r="K1365" i="3"/>
  <c r="K1369" i="3"/>
  <c r="H1365" i="3"/>
  <c r="H1369" i="3"/>
  <c r="N1113" i="3"/>
  <c r="N1117" i="3"/>
  <c r="L1113" i="3"/>
  <c r="L1117" i="3"/>
  <c r="K1113" i="3"/>
  <c r="K1117" i="3"/>
  <c r="H1113" i="3"/>
  <c r="H1117" i="3"/>
  <c r="N987" i="3"/>
  <c r="N991" i="3"/>
  <c r="L987" i="3"/>
  <c r="L991" i="3"/>
  <c r="K987" i="3"/>
  <c r="K991" i="3"/>
  <c r="H987" i="3"/>
  <c r="H991" i="3"/>
  <c r="N861" i="3"/>
  <c r="N865" i="3"/>
  <c r="L861" i="3"/>
  <c r="L865" i="3"/>
  <c r="K861" i="3"/>
  <c r="K865" i="3"/>
  <c r="H861" i="3"/>
  <c r="H865" i="3"/>
  <c r="N742" i="3"/>
  <c r="N746" i="3"/>
  <c r="L735" i="3"/>
  <c r="L739" i="3"/>
  <c r="K735" i="3"/>
  <c r="K739" i="3"/>
  <c r="H735" i="3"/>
  <c r="H739" i="3"/>
  <c r="N609" i="3"/>
  <c r="N613" i="3"/>
  <c r="L609" i="3"/>
  <c r="L613" i="3"/>
  <c r="K609" i="3"/>
  <c r="K613" i="3"/>
  <c r="H609" i="3"/>
  <c r="H613" i="3"/>
  <c r="N483" i="3"/>
  <c r="N487" i="3"/>
  <c r="L483" i="3"/>
  <c r="L487" i="3"/>
  <c r="K483" i="3"/>
  <c r="K487" i="3"/>
  <c r="H483" i="3"/>
  <c r="H487" i="3"/>
  <c r="N357" i="3"/>
  <c r="N361" i="3"/>
  <c r="L357" i="3"/>
  <c r="L361" i="3"/>
  <c r="K357" i="3"/>
  <c r="K361" i="3"/>
  <c r="H357" i="3"/>
  <c r="H361" i="3"/>
  <c r="N231" i="3"/>
  <c r="N235" i="3"/>
  <c r="L231" i="3"/>
  <c r="L235" i="3"/>
  <c r="K231" i="3"/>
  <c r="K235" i="3"/>
  <c r="H231" i="3"/>
  <c r="H235" i="3"/>
  <c r="D1106" i="3"/>
  <c r="D1112" i="3"/>
  <c r="D1113" i="3" s="1"/>
  <c r="D1225" i="3"/>
  <c r="D1231" i="3"/>
  <c r="D1330" i="3"/>
  <c r="D1336" i="3"/>
  <c r="I294" i="3"/>
  <c r="I312" i="3"/>
  <c r="N105" i="3"/>
  <c r="N109" i="3"/>
  <c r="L105" i="3"/>
  <c r="L109" i="3"/>
  <c r="K105" i="3"/>
  <c r="K109" i="3"/>
  <c r="I287" i="3"/>
  <c r="I305" i="3"/>
  <c r="H105" i="3"/>
  <c r="H109" i="3"/>
  <c r="M98" i="3"/>
  <c r="M102" i="3"/>
  <c r="J98" i="3"/>
  <c r="J102" i="3"/>
  <c r="I280" i="3"/>
  <c r="I298" i="3"/>
  <c r="G98" i="3"/>
  <c r="G102" i="3"/>
  <c r="F98" i="3"/>
  <c r="F102" i="3"/>
  <c r="X16" i="1"/>
  <c r="W16" i="1"/>
  <c r="U16" i="1"/>
  <c r="V16" i="1"/>
  <c r="E98" i="3"/>
  <c r="O98" i="3" s="1"/>
  <c r="P98" i="3" s="1"/>
  <c r="Q98" i="3" s="1"/>
  <c r="R98" i="3" s="1"/>
  <c r="T17" i="1" s="1"/>
  <c r="E102" i="3"/>
  <c r="E476" i="7"/>
  <c r="E480" i="7"/>
  <c r="E308" i="7"/>
  <c r="E312" i="7"/>
  <c r="F987" i="8" l="1"/>
  <c r="F991" i="8"/>
  <c r="G546" i="8"/>
  <c r="G550" i="8"/>
  <c r="F546" i="8"/>
  <c r="F550" i="8"/>
  <c r="E581" i="8"/>
  <c r="E587" i="8"/>
  <c r="E588" i="8" s="1"/>
  <c r="E616" i="8"/>
  <c r="E622" i="8"/>
  <c r="K112" i="8"/>
  <c r="K117" i="8"/>
  <c r="J112" i="8"/>
  <c r="J116" i="8"/>
  <c r="E700" i="8"/>
  <c r="E706" i="8"/>
  <c r="L105" i="8"/>
  <c r="L109" i="8"/>
  <c r="I105" i="8"/>
  <c r="I109" i="8"/>
  <c r="G105" i="8"/>
  <c r="G109" i="8"/>
  <c r="F105" i="8"/>
  <c r="M105" i="8" s="1"/>
  <c r="N105" i="8" s="1"/>
  <c r="O105" i="8" s="1"/>
  <c r="P105" i="8" s="1"/>
  <c r="T544" i="1" s="1"/>
  <c r="F109" i="8"/>
  <c r="H448" i="7"/>
  <c r="H452" i="7"/>
  <c r="H280" i="7"/>
  <c r="H284" i="7"/>
  <c r="H112" i="7"/>
  <c r="H116" i="7"/>
  <c r="J105" i="7"/>
  <c r="J109" i="7"/>
  <c r="G105" i="7"/>
  <c r="G109" i="7"/>
  <c r="E105" i="7"/>
  <c r="K105" i="7" s="1"/>
  <c r="L105" i="7" s="1"/>
  <c r="M105" i="7" s="1"/>
  <c r="N105" i="7" s="1"/>
  <c r="T470" i="1" s="1"/>
  <c r="E109" i="7"/>
  <c r="G273" i="6"/>
  <c r="G277" i="6"/>
  <c r="F273" i="6"/>
  <c r="F277" i="6"/>
  <c r="E273" i="6"/>
  <c r="E277" i="6"/>
  <c r="I147" i="6"/>
  <c r="I151" i="6"/>
  <c r="I273" i="6"/>
  <c r="I277" i="6"/>
  <c r="L105" i="6"/>
  <c r="L109" i="6"/>
  <c r="G105" i="6"/>
  <c r="G109" i="6"/>
  <c r="F105" i="6"/>
  <c r="F109" i="6"/>
  <c r="E105" i="6"/>
  <c r="M105" i="6" s="1"/>
  <c r="N105" i="6" s="1"/>
  <c r="O105" i="6" s="1"/>
  <c r="P105" i="6" s="1"/>
  <c r="T422" i="1" s="1"/>
  <c r="E109" i="6"/>
  <c r="N1372" i="4"/>
  <c r="N1376" i="4"/>
  <c r="L1372" i="4"/>
  <c r="L1376" i="4"/>
  <c r="K1372" i="4"/>
  <c r="K1376" i="4"/>
  <c r="H1372" i="4"/>
  <c r="H1376" i="4"/>
  <c r="N1120" i="4"/>
  <c r="N1124" i="4"/>
  <c r="L1120" i="4"/>
  <c r="L1124" i="4"/>
  <c r="K1120" i="4"/>
  <c r="K1124" i="4"/>
  <c r="H1120" i="4"/>
  <c r="H1124" i="4"/>
  <c r="N994" i="4"/>
  <c r="N998" i="4"/>
  <c r="L994" i="4"/>
  <c r="L998" i="4"/>
  <c r="K994" i="4"/>
  <c r="K998" i="4"/>
  <c r="H994" i="4"/>
  <c r="H998" i="4"/>
  <c r="N868" i="4"/>
  <c r="N872" i="4"/>
  <c r="L868" i="4"/>
  <c r="L872" i="4"/>
  <c r="K868" i="4"/>
  <c r="K872" i="4"/>
  <c r="H868" i="4"/>
  <c r="H872" i="4"/>
  <c r="N742" i="4"/>
  <c r="N746" i="4"/>
  <c r="L742" i="4"/>
  <c r="L746" i="4"/>
  <c r="K742" i="4"/>
  <c r="K746" i="4"/>
  <c r="H742" i="4"/>
  <c r="H746" i="4"/>
  <c r="N616" i="4"/>
  <c r="N620" i="4"/>
  <c r="L616" i="4"/>
  <c r="L620" i="4"/>
  <c r="K616" i="4"/>
  <c r="K620" i="4"/>
  <c r="H616" i="4"/>
  <c r="H620" i="4"/>
  <c r="N490" i="4"/>
  <c r="N494" i="4"/>
  <c r="L490" i="4"/>
  <c r="L494" i="4"/>
  <c r="K490" i="4"/>
  <c r="K494" i="4"/>
  <c r="H490" i="4"/>
  <c r="H494" i="4"/>
  <c r="N364" i="4"/>
  <c r="N368" i="4"/>
  <c r="L364" i="4"/>
  <c r="L368" i="4"/>
  <c r="K364" i="4"/>
  <c r="K368" i="4"/>
  <c r="H364" i="4"/>
  <c r="H368" i="4"/>
  <c r="N238" i="4"/>
  <c r="N242" i="4"/>
  <c r="L238" i="4"/>
  <c r="L242" i="4"/>
  <c r="K238" i="4"/>
  <c r="K242" i="4"/>
  <c r="H238" i="4"/>
  <c r="H242" i="4"/>
  <c r="D1232" i="4"/>
  <c r="D1238" i="4"/>
  <c r="D1239" i="4" s="1"/>
  <c r="D1350" i="4"/>
  <c r="D1337" i="4"/>
  <c r="D1343" i="4"/>
  <c r="D1344" i="4" s="1"/>
  <c r="I315" i="4"/>
  <c r="I333" i="4"/>
  <c r="N112" i="4"/>
  <c r="N116" i="4"/>
  <c r="L112" i="4"/>
  <c r="L116" i="4"/>
  <c r="K112" i="4"/>
  <c r="K116" i="4"/>
  <c r="I308" i="4"/>
  <c r="I326" i="4"/>
  <c r="H112" i="4"/>
  <c r="H116" i="4"/>
  <c r="M105" i="4"/>
  <c r="M109" i="4"/>
  <c r="J105" i="4"/>
  <c r="J109" i="4"/>
  <c r="I301" i="4"/>
  <c r="I319" i="4"/>
  <c r="G105" i="4"/>
  <c r="G109" i="4"/>
  <c r="F105" i="4"/>
  <c r="F109" i="4"/>
  <c r="E105" i="4"/>
  <c r="O105" i="4" s="1"/>
  <c r="P105" i="4" s="1"/>
  <c r="Q105" i="4" s="1"/>
  <c r="R105" i="4" s="1"/>
  <c r="T216" i="1" s="1"/>
  <c r="E109" i="4"/>
  <c r="N1372" i="3"/>
  <c r="N1376" i="3"/>
  <c r="L1372" i="3"/>
  <c r="L1376" i="3"/>
  <c r="K1372" i="3"/>
  <c r="K1376" i="3"/>
  <c r="H1372" i="3"/>
  <c r="H1376" i="3"/>
  <c r="N1120" i="3"/>
  <c r="N1124" i="3"/>
  <c r="L1120" i="3"/>
  <c r="L1124" i="3"/>
  <c r="K1120" i="3"/>
  <c r="K1124" i="3"/>
  <c r="H1120" i="3"/>
  <c r="H1124" i="3"/>
  <c r="N994" i="3"/>
  <c r="N998" i="3"/>
  <c r="L994" i="3"/>
  <c r="L998" i="3"/>
  <c r="K994" i="3"/>
  <c r="K998" i="3"/>
  <c r="H994" i="3"/>
  <c r="H998" i="3"/>
  <c r="N868" i="3"/>
  <c r="N872" i="3"/>
  <c r="L868" i="3"/>
  <c r="L872" i="3"/>
  <c r="K868" i="3"/>
  <c r="K872" i="3"/>
  <c r="H868" i="3"/>
  <c r="H872" i="3"/>
  <c r="N749" i="3"/>
  <c r="N753" i="3"/>
  <c r="N756" i="3" s="1"/>
  <c r="L742" i="3"/>
  <c r="L746" i="3"/>
  <c r="K742" i="3"/>
  <c r="K746" i="3"/>
  <c r="H742" i="3"/>
  <c r="H746" i="3"/>
  <c r="N616" i="3"/>
  <c r="N620" i="3"/>
  <c r="L616" i="3"/>
  <c r="L620" i="3"/>
  <c r="K616" i="3"/>
  <c r="K620" i="3"/>
  <c r="H616" i="3"/>
  <c r="H620" i="3"/>
  <c r="N490" i="3"/>
  <c r="N494" i="3"/>
  <c r="L490" i="3"/>
  <c r="L494" i="3"/>
  <c r="K490" i="3"/>
  <c r="K494" i="3"/>
  <c r="H490" i="3"/>
  <c r="H494" i="3"/>
  <c r="N364" i="3"/>
  <c r="N368" i="3"/>
  <c r="L364" i="3"/>
  <c r="L368" i="3"/>
  <c r="K364" i="3"/>
  <c r="K368" i="3"/>
  <c r="H364" i="3"/>
  <c r="H368" i="3"/>
  <c r="N238" i="3"/>
  <c r="N242" i="3"/>
  <c r="L238" i="3"/>
  <c r="L242" i="3"/>
  <c r="K238" i="3"/>
  <c r="K242" i="3"/>
  <c r="H238" i="3"/>
  <c r="H242" i="3"/>
  <c r="D1232" i="3"/>
  <c r="D1238" i="3"/>
  <c r="D1239" i="3" s="1"/>
  <c r="D1350" i="3"/>
  <c r="D1337" i="3"/>
  <c r="D1343" i="3"/>
  <c r="D1344" i="3" s="1"/>
  <c r="I315" i="3"/>
  <c r="I333" i="3"/>
  <c r="N112" i="3"/>
  <c r="N116" i="3"/>
  <c r="L112" i="3"/>
  <c r="L116" i="3"/>
  <c r="K112" i="3"/>
  <c r="K116" i="3"/>
  <c r="I308" i="3"/>
  <c r="I326" i="3"/>
  <c r="H112" i="3"/>
  <c r="H116" i="3"/>
  <c r="M105" i="3"/>
  <c r="M109" i="3"/>
  <c r="J105" i="3"/>
  <c r="J109" i="3"/>
  <c r="I301" i="3"/>
  <c r="I319" i="3"/>
  <c r="G105" i="3"/>
  <c r="G109" i="3"/>
  <c r="F105" i="3"/>
  <c r="F109" i="3"/>
  <c r="V17" i="1"/>
  <c r="U17" i="1"/>
  <c r="X17" i="1"/>
  <c r="W17" i="1"/>
  <c r="E105" i="3"/>
  <c r="O105" i="3" s="1"/>
  <c r="P105" i="3" s="1"/>
  <c r="Q105" i="3" s="1"/>
  <c r="R105" i="3" s="1"/>
  <c r="T18" i="1" s="1"/>
  <c r="E109" i="3"/>
  <c r="E483" i="7"/>
  <c r="E487" i="7"/>
  <c r="E315" i="7"/>
  <c r="E319" i="7"/>
  <c r="F994" i="8" l="1"/>
  <c r="F998" i="8"/>
  <c r="G553" i="8"/>
  <c r="G557" i="8"/>
  <c r="F553" i="8"/>
  <c r="F557" i="8"/>
  <c r="E623" i="8"/>
  <c r="E629" i="8"/>
  <c r="E664" i="8"/>
  <c r="E909" i="8"/>
  <c r="K119" i="8"/>
  <c r="K124" i="8"/>
  <c r="J119" i="8"/>
  <c r="J123" i="8"/>
  <c r="E707" i="8"/>
  <c r="E888" i="8"/>
  <c r="L112" i="8"/>
  <c r="L116" i="8"/>
  <c r="I112" i="8"/>
  <c r="I116" i="8"/>
  <c r="G112" i="8"/>
  <c r="G116" i="8"/>
  <c r="V544" i="1"/>
  <c r="W544" i="1"/>
  <c r="X544" i="1"/>
  <c r="U544" i="1"/>
  <c r="F112" i="8"/>
  <c r="M112" i="8" s="1"/>
  <c r="N112" i="8" s="1"/>
  <c r="O112" i="8" s="1"/>
  <c r="P112" i="8" s="1"/>
  <c r="T545" i="1" s="1"/>
  <c r="F116" i="8"/>
  <c r="H455" i="7"/>
  <c r="H459" i="7"/>
  <c r="H287" i="7"/>
  <c r="H291" i="7"/>
  <c r="H119" i="7"/>
  <c r="H123" i="7"/>
  <c r="J112" i="7"/>
  <c r="J116" i="7"/>
  <c r="J172" i="7"/>
  <c r="G112" i="7"/>
  <c r="G116" i="7"/>
  <c r="U470" i="1"/>
  <c r="V470" i="1"/>
  <c r="W470" i="1"/>
  <c r="X470" i="1"/>
  <c r="E112" i="7"/>
  <c r="K112" i="7" s="1"/>
  <c r="L112" i="7" s="1"/>
  <c r="M112" i="7" s="1"/>
  <c r="N112" i="7" s="1"/>
  <c r="T471" i="1" s="1"/>
  <c r="E116" i="7"/>
  <c r="G280" i="6"/>
  <c r="G284" i="6"/>
  <c r="F280" i="6"/>
  <c r="F284" i="6"/>
  <c r="E280" i="6"/>
  <c r="E284" i="6"/>
  <c r="I154" i="6"/>
  <c r="I158" i="6"/>
  <c r="I280" i="6"/>
  <c r="I284" i="6"/>
  <c r="L112" i="6"/>
  <c r="L116" i="6"/>
  <c r="G112" i="6"/>
  <c r="G116" i="6"/>
  <c r="F112" i="6"/>
  <c r="F116" i="6"/>
  <c r="U422" i="1"/>
  <c r="V422" i="1"/>
  <c r="W422" i="1"/>
  <c r="X422" i="1"/>
  <c r="E112" i="6"/>
  <c r="M112" i="6" s="1"/>
  <c r="N112" i="6" s="1"/>
  <c r="O112" i="6" s="1"/>
  <c r="P112" i="6" s="1"/>
  <c r="T423" i="1" s="1"/>
  <c r="E116" i="6"/>
  <c r="N1379" i="4"/>
  <c r="N1383" i="4"/>
  <c r="N1386" i="4" s="1"/>
  <c r="L1379" i="4"/>
  <c r="L1383" i="4"/>
  <c r="L1386" i="4" s="1"/>
  <c r="K1379" i="4"/>
  <c r="K1383" i="4"/>
  <c r="K1386" i="4" s="1"/>
  <c r="H1379" i="4"/>
  <c r="H1383" i="4"/>
  <c r="H1386" i="4" s="1"/>
  <c r="N1127" i="4"/>
  <c r="N1131" i="4"/>
  <c r="N1134" i="4" s="1"/>
  <c r="L1127" i="4"/>
  <c r="L1131" i="4"/>
  <c r="L1134" i="4" s="1"/>
  <c r="K1127" i="4"/>
  <c r="K1131" i="4"/>
  <c r="K1134" i="4" s="1"/>
  <c r="H1127" i="4"/>
  <c r="H1131" i="4"/>
  <c r="H1134" i="4" s="1"/>
  <c r="N1001" i="4"/>
  <c r="N1005" i="4"/>
  <c r="N1008" i="4" s="1"/>
  <c r="L1001" i="4"/>
  <c r="L1005" i="4"/>
  <c r="L1008" i="4" s="1"/>
  <c r="K1001" i="4"/>
  <c r="K1005" i="4"/>
  <c r="K1008" i="4" s="1"/>
  <c r="H1001" i="4"/>
  <c r="H1005" i="4"/>
  <c r="H1008" i="4" s="1"/>
  <c r="N875" i="4"/>
  <c r="N879" i="4"/>
  <c r="N882" i="4" s="1"/>
  <c r="L875" i="4"/>
  <c r="L879" i="4"/>
  <c r="L882" i="4" s="1"/>
  <c r="K875" i="4"/>
  <c r="K879" i="4"/>
  <c r="K882" i="4" s="1"/>
  <c r="H875" i="4"/>
  <c r="H879" i="4"/>
  <c r="H882" i="4" s="1"/>
  <c r="N749" i="4"/>
  <c r="N753" i="4"/>
  <c r="N756" i="4" s="1"/>
  <c r="L749" i="4"/>
  <c r="L753" i="4"/>
  <c r="L756" i="4" s="1"/>
  <c r="K749" i="4"/>
  <c r="K753" i="4"/>
  <c r="K756" i="4" s="1"/>
  <c r="H749" i="4"/>
  <c r="H753" i="4"/>
  <c r="H756" i="4" s="1"/>
  <c r="N623" i="4"/>
  <c r="N627" i="4"/>
  <c r="N630" i="4" s="1"/>
  <c r="L623" i="4"/>
  <c r="L627" i="4"/>
  <c r="L630" i="4" s="1"/>
  <c r="K623" i="4"/>
  <c r="K627" i="4"/>
  <c r="K630" i="4" s="1"/>
  <c r="H623" i="4"/>
  <c r="H627" i="4"/>
  <c r="H630" i="4" s="1"/>
  <c r="N497" i="4"/>
  <c r="N501" i="4"/>
  <c r="N504" i="4" s="1"/>
  <c r="L497" i="4"/>
  <c r="L501" i="4"/>
  <c r="L504" i="4" s="1"/>
  <c r="K497" i="4"/>
  <c r="K501" i="4"/>
  <c r="K504" i="4" s="1"/>
  <c r="H497" i="4"/>
  <c r="H501" i="4"/>
  <c r="H504" i="4" s="1"/>
  <c r="N371" i="4"/>
  <c r="N375" i="4"/>
  <c r="N378" i="4" s="1"/>
  <c r="L371" i="4"/>
  <c r="L375" i="4"/>
  <c r="L378" i="4" s="1"/>
  <c r="K371" i="4"/>
  <c r="K375" i="4"/>
  <c r="K378" i="4" s="1"/>
  <c r="H371" i="4"/>
  <c r="H375" i="4"/>
  <c r="H378" i="4" s="1"/>
  <c r="N245" i="4"/>
  <c r="N249" i="4"/>
  <c r="N252" i="4" s="1"/>
  <c r="L245" i="4"/>
  <c r="L249" i="4"/>
  <c r="L252" i="4" s="1"/>
  <c r="K245" i="4"/>
  <c r="K249" i="4"/>
  <c r="K252" i="4" s="1"/>
  <c r="H245" i="4"/>
  <c r="H249" i="4"/>
  <c r="H252" i="4" s="1"/>
  <c r="D1351" i="4"/>
  <c r="D1357" i="4"/>
  <c r="I336" i="4"/>
  <c r="I354" i="4"/>
  <c r="N119" i="4"/>
  <c r="N123" i="4"/>
  <c r="N126" i="4" s="1"/>
  <c r="L119" i="4"/>
  <c r="L123" i="4"/>
  <c r="L126" i="4" s="1"/>
  <c r="K119" i="4"/>
  <c r="K123" i="4"/>
  <c r="K126" i="4" s="1"/>
  <c r="I329" i="4"/>
  <c r="I347" i="4"/>
  <c r="H119" i="4"/>
  <c r="H123" i="4"/>
  <c r="H126" i="4" s="1"/>
  <c r="M112" i="4"/>
  <c r="M116" i="4"/>
  <c r="J112" i="4"/>
  <c r="J116" i="4"/>
  <c r="I322" i="4"/>
  <c r="I340" i="4"/>
  <c r="G112" i="4"/>
  <c r="G116" i="4"/>
  <c r="F112" i="4"/>
  <c r="F116" i="4"/>
  <c r="V216" i="1"/>
  <c r="W216" i="1"/>
  <c r="X216" i="1"/>
  <c r="U216" i="1"/>
  <c r="E112" i="4"/>
  <c r="O112" i="4" s="1"/>
  <c r="P112" i="4" s="1"/>
  <c r="Q112" i="4" s="1"/>
  <c r="R112" i="4" s="1"/>
  <c r="T217" i="1" s="1"/>
  <c r="E116" i="4"/>
  <c r="N1379" i="3"/>
  <c r="N1383" i="3"/>
  <c r="N1386" i="3" s="1"/>
  <c r="L1379" i="3"/>
  <c r="L1383" i="3"/>
  <c r="L1386" i="3" s="1"/>
  <c r="K1379" i="3"/>
  <c r="K1383" i="3"/>
  <c r="K1386" i="3" s="1"/>
  <c r="H1379" i="3"/>
  <c r="H1383" i="3"/>
  <c r="H1386" i="3" s="1"/>
  <c r="N1127" i="3"/>
  <c r="N1131" i="3"/>
  <c r="N1134" i="3" s="1"/>
  <c r="L1127" i="3"/>
  <c r="L1131" i="3"/>
  <c r="L1134" i="3" s="1"/>
  <c r="K1127" i="3"/>
  <c r="K1131" i="3"/>
  <c r="K1134" i="3" s="1"/>
  <c r="H1127" i="3"/>
  <c r="H1131" i="3"/>
  <c r="H1134" i="3" s="1"/>
  <c r="N1001" i="3"/>
  <c r="N1005" i="3"/>
  <c r="N1008" i="3" s="1"/>
  <c r="L1001" i="3"/>
  <c r="L1005" i="3"/>
  <c r="L1008" i="3" s="1"/>
  <c r="K1001" i="3"/>
  <c r="K1005" i="3"/>
  <c r="K1008" i="3" s="1"/>
  <c r="H1001" i="3"/>
  <c r="H1005" i="3"/>
  <c r="H1008" i="3" s="1"/>
  <c r="N875" i="3"/>
  <c r="N879" i="3"/>
  <c r="N882" i="3" s="1"/>
  <c r="L875" i="3"/>
  <c r="L879" i="3"/>
  <c r="L882" i="3" s="1"/>
  <c r="K875" i="3"/>
  <c r="K879" i="3"/>
  <c r="K882" i="3" s="1"/>
  <c r="H875" i="3"/>
  <c r="H879" i="3"/>
  <c r="H882" i="3" s="1"/>
  <c r="L749" i="3"/>
  <c r="L753" i="3"/>
  <c r="L756" i="3" s="1"/>
  <c r="K749" i="3"/>
  <c r="K753" i="3"/>
  <c r="K756" i="3" s="1"/>
  <c r="H749" i="3"/>
  <c r="H753" i="3"/>
  <c r="H756" i="3" s="1"/>
  <c r="N623" i="3"/>
  <c r="N627" i="3"/>
  <c r="N630" i="3" s="1"/>
  <c r="L623" i="3"/>
  <c r="L627" i="3"/>
  <c r="L630" i="3" s="1"/>
  <c r="K623" i="3"/>
  <c r="K627" i="3"/>
  <c r="K630" i="3" s="1"/>
  <c r="H623" i="3"/>
  <c r="H627" i="3"/>
  <c r="H630" i="3" s="1"/>
  <c r="N497" i="3"/>
  <c r="N501" i="3"/>
  <c r="N504" i="3" s="1"/>
  <c r="L497" i="3"/>
  <c r="L501" i="3"/>
  <c r="L504" i="3" s="1"/>
  <c r="K497" i="3"/>
  <c r="K501" i="3"/>
  <c r="K504" i="3" s="1"/>
  <c r="H497" i="3"/>
  <c r="H501" i="3"/>
  <c r="H504" i="3" s="1"/>
  <c r="N371" i="3"/>
  <c r="N375" i="3"/>
  <c r="N378" i="3" s="1"/>
  <c r="L371" i="3"/>
  <c r="L375" i="3"/>
  <c r="L378" i="3" s="1"/>
  <c r="K371" i="3"/>
  <c r="K375" i="3"/>
  <c r="K378" i="3" s="1"/>
  <c r="H371" i="3"/>
  <c r="H375" i="3"/>
  <c r="H378" i="3" s="1"/>
  <c r="N245" i="3"/>
  <c r="N249" i="3"/>
  <c r="N252" i="3" s="1"/>
  <c r="L245" i="3"/>
  <c r="L249" i="3"/>
  <c r="L252" i="3" s="1"/>
  <c r="K245" i="3"/>
  <c r="K249" i="3"/>
  <c r="K252" i="3" s="1"/>
  <c r="H245" i="3"/>
  <c r="H249" i="3"/>
  <c r="H252" i="3" s="1"/>
  <c r="D1351" i="3"/>
  <c r="D1357" i="3"/>
  <c r="I336" i="3"/>
  <c r="I354" i="3"/>
  <c r="N119" i="3"/>
  <c r="N123" i="3"/>
  <c r="N126" i="3" s="1"/>
  <c r="L119" i="3"/>
  <c r="L123" i="3"/>
  <c r="L126" i="3" s="1"/>
  <c r="K119" i="3"/>
  <c r="K123" i="3"/>
  <c r="K126" i="3" s="1"/>
  <c r="I329" i="3"/>
  <c r="I347" i="3"/>
  <c r="H119" i="3"/>
  <c r="H123" i="3"/>
  <c r="H126" i="3" s="1"/>
  <c r="M112" i="3"/>
  <c r="M116" i="3"/>
  <c r="J112" i="3"/>
  <c r="J116" i="3"/>
  <c r="I322" i="3"/>
  <c r="I340" i="3"/>
  <c r="G112" i="3"/>
  <c r="G116" i="3"/>
  <c r="F112" i="3"/>
  <c r="F116" i="3"/>
  <c r="U18" i="1"/>
  <c r="V18" i="1"/>
  <c r="W18" i="1"/>
  <c r="X18" i="1"/>
  <c r="E112" i="3"/>
  <c r="O112" i="3" s="1"/>
  <c r="P112" i="3" s="1"/>
  <c r="Q112" i="3" s="1"/>
  <c r="R112" i="3" s="1"/>
  <c r="T19" i="1" s="1"/>
  <c r="E116" i="3"/>
  <c r="E490" i="7"/>
  <c r="E494" i="7"/>
  <c r="E322" i="7"/>
  <c r="E326" i="7"/>
  <c r="F1001" i="8" l="1"/>
  <c r="F1005" i="8"/>
  <c r="G560" i="8"/>
  <c r="G564" i="8"/>
  <c r="F560" i="8"/>
  <c r="F564" i="8"/>
  <c r="E630" i="8"/>
  <c r="E636" i="8"/>
  <c r="E637" i="8" s="1"/>
  <c r="E665" i="8"/>
  <c r="E671" i="8"/>
  <c r="E910" i="8"/>
  <c r="E916" i="8"/>
  <c r="K126" i="8"/>
  <c r="K131" i="8"/>
  <c r="J126" i="8"/>
  <c r="J130" i="8"/>
  <c r="E889" i="8"/>
  <c r="E895" i="8"/>
  <c r="E937" i="8"/>
  <c r="L119" i="8"/>
  <c r="L123" i="8"/>
  <c r="I119" i="8"/>
  <c r="I123" i="8"/>
  <c r="G119" i="8"/>
  <c r="G123" i="8"/>
  <c r="X545" i="1"/>
  <c r="W545" i="1"/>
  <c r="V545" i="1"/>
  <c r="U545" i="1"/>
  <c r="F119" i="8"/>
  <c r="M119" i="8" s="1"/>
  <c r="N119" i="8" s="1"/>
  <c r="O119" i="8" s="1"/>
  <c r="P119" i="8" s="1"/>
  <c r="T546" i="1" s="1"/>
  <c r="F123" i="8"/>
  <c r="H462" i="7"/>
  <c r="H466" i="7"/>
  <c r="H294" i="7"/>
  <c r="H298" i="7"/>
  <c r="H126" i="7"/>
  <c r="H130" i="7"/>
  <c r="J119" i="7"/>
  <c r="J123" i="7"/>
  <c r="J175" i="7"/>
  <c r="K175" i="7" s="1"/>
  <c r="L175" i="7" s="1"/>
  <c r="M175" i="7" s="1"/>
  <c r="N175" i="7" s="1"/>
  <c r="T480" i="1" s="1"/>
  <c r="J179" i="7"/>
  <c r="G119" i="7"/>
  <c r="G123" i="7"/>
  <c r="X471" i="1"/>
  <c r="W471" i="1"/>
  <c r="V471" i="1"/>
  <c r="U471" i="1"/>
  <c r="E119" i="7"/>
  <c r="K119" i="7" s="1"/>
  <c r="L119" i="7" s="1"/>
  <c r="M119" i="7" s="1"/>
  <c r="N119" i="7" s="1"/>
  <c r="T472" i="1" s="1"/>
  <c r="E123" i="7"/>
  <c r="G287" i="6"/>
  <c r="G291" i="6"/>
  <c r="F287" i="6"/>
  <c r="F291" i="6"/>
  <c r="E287" i="6"/>
  <c r="E291" i="6"/>
  <c r="I161" i="6"/>
  <c r="I165" i="6"/>
  <c r="I168" i="6" s="1"/>
  <c r="I287" i="6"/>
  <c r="I291" i="6"/>
  <c r="L119" i="6"/>
  <c r="L123" i="6"/>
  <c r="G119" i="6"/>
  <c r="G123" i="6"/>
  <c r="F119" i="6"/>
  <c r="F123" i="6"/>
  <c r="U423" i="1"/>
  <c r="V423" i="1"/>
  <c r="W423" i="1"/>
  <c r="X423" i="1"/>
  <c r="E119" i="6"/>
  <c r="M119" i="6" s="1"/>
  <c r="N119" i="6" s="1"/>
  <c r="O119" i="6" s="1"/>
  <c r="P119" i="6" s="1"/>
  <c r="T424" i="1" s="1"/>
  <c r="E123" i="6"/>
  <c r="D1358" i="4"/>
  <c r="D1364" i="4"/>
  <c r="D1365" i="4" s="1"/>
  <c r="I357" i="4"/>
  <c r="I375" i="4"/>
  <c r="I350" i="4"/>
  <c r="I368" i="4"/>
  <c r="M119" i="4"/>
  <c r="M123" i="4"/>
  <c r="J119" i="4"/>
  <c r="J123" i="4"/>
  <c r="I343" i="4"/>
  <c r="I361" i="4"/>
  <c r="G119" i="4"/>
  <c r="G123" i="4"/>
  <c r="F119" i="4"/>
  <c r="F123" i="4"/>
  <c r="W217" i="1"/>
  <c r="X217" i="1"/>
  <c r="V217" i="1"/>
  <c r="U217" i="1"/>
  <c r="E119" i="4"/>
  <c r="O119" i="4" s="1"/>
  <c r="P119" i="4" s="1"/>
  <c r="Q119" i="4" s="1"/>
  <c r="R119" i="4" s="1"/>
  <c r="T218" i="1" s="1"/>
  <c r="E123" i="4"/>
  <c r="D1358" i="3"/>
  <c r="D1364" i="3"/>
  <c r="D1365" i="3" s="1"/>
  <c r="I357" i="3"/>
  <c r="I375" i="3"/>
  <c r="I350" i="3"/>
  <c r="I368" i="3"/>
  <c r="M119" i="3"/>
  <c r="M123" i="3"/>
  <c r="J119" i="3"/>
  <c r="J123" i="3"/>
  <c r="I343" i="3"/>
  <c r="I361" i="3"/>
  <c r="G119" i="3"/>
  <c r="G123" i="3"/>
  <c r="F119" i="3"/>
  <c r="F123" i="3"/>
  <c r="V19" i="1"/>
  <c r="W19" i="1"/>
  <c r="U19" i="1"/>
  <c r="X19" i="1"/>
  <c r="E119" i="3"/>
  <c r="E123" i="3"/>
  <c r="E497" i="7"/>
  <c r="E501" i="7"/>
  <c r="E504" i="7" s="1"/>
  <c r="E329" i="7"/>
  <c r="E333" i="7"/>
  <c r="E336" i="7" s="1"/>
  <c r="F1008" i="8" l="1"/>
  <c r="F1012" i="8"/>
  <c r="G567" i="8"/>
  <c r="G571" i="8"/>
  <c r="F567" i="8"/>
  <c r="F571" i="8"/>
  <c r="E672" i="8"/>
  <c r="E678" i="8"/>
  <c r="E713" i="8"/>
  <c r="E917" i="8"/>
  <c r="E923" i="8"/>
  <c r="E958" i="8"/>
  <c r="K133" i="8"/>
  <c r="K138" i="8"/>
  <c r="J133" i="8"/>
  <c r="J137" i="8"/>
  <c r="E896" i="8"/>
  <c r="E902" i="8"/>
  <c r="E903" i="8" s="1"/>
  <c r="E938" i="8"/>
  <c r="E944" i="8"/>
  <c r="E986" i="8"/>
  <c r="L126" i="8"/>
  <c r="L130" i="8"/>
  <c r="I126" i="8"/>
  <c r="I130" i="8"/>
  <c r="G126" i="8"/>
  <c r="G130" i="8"/>
  <c r="X546" i="1"/>
  <c r="W546" i="1"/>
  <c r="V546" i="1"/>
  <c r="U546" i="1"/>
  <c r="F126" i="8"/>
  <c r="M126" i="8" s="1"/>
  <c r="N126" i="8" s="1"/>
  <c r="O126" i="8" s="1"/>
  <c r="P126" i="8" s="1"/>
  <c r="T547" i="1" s="1"/>
  <c r="F130" i="8"/>
  <c r="H469" i="7"/>
  <c r="H473" i="7"/>
  <c r="H301" i="7"/>
  <c r="H305" i="7"/>
  <c r="H133" i="7"/>
  <c r="H137" i="7"/>
  <c r="J126" i="7"/>
  <c r="J130" i="7"/>
  <c r="U480" i="1"/>
  <c r="V480" i="1"/>
  <c r="W480" i="1"/>
  <c r="X480" i="1"/>
  <c r="J182" i="7"/>
  <c r="K182" i="7" s="1"/>
  <c r="L182" i="7" s="1"/>
  <c r="M182" i="7" s="1"/>
  <c r="N182" i="7" s="1"/>
  <c r="T481" i="1" s="1"/>
  <c r="J186" i="7"/>
  <c r="G126" i="7"/>
  <c r="G130" i="7"/>
  <c r="U472" i="1"/>
  <c r="V472" i="1"/>
  <c r="W472" i="1"/>
  <c r="X472" i="1"/>
  <c r="E126" i="7"/>
  <c r="E130" i="7"/>
  <c r="G294" i="6"/>
  <c r="G298" i="6"/>
  <c r="F294" i="6"/>
  <c r="F298" i="6"/>
  <c r="E294" i="6"/>
  <c r="E298" i="6"/>
  <c r="I294" i="6"/>
  <c r="I298" i="6"/>
  <c r="L126" i="6"/>
  <c r="L130" i="6"/>
  <c r="L172" i="6"/>
  <c r="G126" i="6"/>
  <c r="G130" i="6"/>
  <c r="F126" i="6"/>
  <c r="F130" i="6"/>
  <c r="U424" i="1"/>
  <c r="V424" i="1"/>
  <c r="W424" i="1"/>
  <c r="X424" i="1"/>
  <c r="E126" i="6"/>
  <c r="M126" i="6" s="1"/>
  <c r="N126" i="6" s="1"/>
  <c r="O126" i="6" s="1"/>
  <c r="P126" i="6" s="1"/>
  <c r="T425" i="1" s="1"/>
  <c r="E130" i="6"/>
  <c r="I378" i="4"/>
  <c r="I396" i="4"/>
  <c r="I371" i="4"/>
  <c r="I389" i="4"/>
  <c r="M126" i="4"/>
  <c r="M130" i="4"/>
  <c r="J126" i="4"/>
  <c r="J130" i="4"/>
  <c r="I364" i="4"/>
  <c r="I382" i="4"/>
  <c r="G126" i="4"/>
  <c r="G130" i="4"/>
  <c r="F126" i="4"/>
  <c r="F130" i="4"/>
  <c r="W218" i="1"/>
  <c r="U218" i="1"/>
  <c r="X218" i="1"/>
  <c r="V218" i="1"/>
  <c r="E126" i="4"/>
  <c r="E130" i="4"/>
  <c r="I378" i="3"/>
  <c r="I396" i="3"/>
  <c r="I371" i="3"/>
  <c r="I389" i="3"/>
  <c r="M126" i="3"/>
  <c r="M130" i="3"/>
  <c r="J126" i="3"/>
  <c r="J130" i="3"/>
  <c r="I364" i="3"/>
  <c r="I382" i="3"/>
  <c r="G126" i="3"/>
  <c r="G130" i="3"/>
  <c r="F126" i="3"/>
  <c r="F130" i="3"/>
  <c r="E126" i="3"/>
  <c r="O126" i="3" s="1"/>
  <c r="P126" i="3" s="1"/>
  <c r="Q126" i="3" s="1"/>
  <c r="R126" i="3" s="1"/>
  <c r="T21" i="1" s="1"/>
  <c r="E130" i="3"/>
  <c r="O119" i="3"/>
  <c r="P119" i="3" s="1"/>
  <c r="Q119" i="3" s="1"/>
  <c r="R119" i="3" s="1"/>
  <c r="T20" i="1" s="1"/>
  <c r="F1015" i="8" l="1"/>
  <c r="F1019" i="8"/>
  <c r="G574" i="8"/>
  <c r="G578" i="8"/>
  <c r="F574" i="8"/>
  <c r="F578" i="8"/>
  <c r="E679" i="8"/>
  <c r="E685" i="8"/>
  <c r="E686" i="8" s="1"/>
  <c r="E714" i="8"/>
  <c r="E720" i="8"/>
  <c r="E924" i="8"/>
  <c r="E930" i="8"/>
  <c r="E931" i="8" s="1"/>
  <c r="E959" i="8"/>
  <c r="E965" i="8"/>
  <c r="K140" i="8"/>
  <c r="K145" i="8"/>
  <c r="J140" i="8"/>
  <c r="J144" i="8"/>
  <c r="E945" i="8"/>
  <c r="E951" i="8"/>
  <c r="E952" i="8" s="1"/>
  <c r="E987" i="8"/>
  <c r="E993" i="8"/>
  <c r="E1035" i="8"/>
  <c r="L133" i="8"/>
  <c r="L137" i="8"/>
  <c r="I133" i="8"/>
  <c r="I137" i="8"/>
  <c r="G133" i="8"/>
  <c r="G137" i="8"/>
  <c r="W547" i="1"/>
  <c r="X547" i="1"/>
  <c r="V547" i="1"/>
  <c r="U547" i="1"/>
  <c r="F133" i="8"/>
  <c r="M133" i="8" s="1"/>
  <c r="N133" i="8" s="1"/>
  <c r="O133" i="8" s="1"/>
  <c r="P133" i="8" s="1"/>
  <c r="T548" i="1" s="1"/>
  <c r="F137" i="8"/>
  <c r="F200" i="8"/>
  <c r="F203" i="8" s="1"/>
  <c r="H476" i="7"/>
  <c r="H480" i="7"/>
  <c r="H308" i="7"/>
  <c r="H312" i="7"/>
  <c r="H140" i="7"/>
  <c r="H144" i="7"/>
  <c r="J133" i="7"/>
  <c r="J137" i="7"/>
  <c r="X481" i="1"/>
  <c r="W481" i="1"/>
  <c r="V481" i="1"/>
  <c r="U481" i="1"/>
  <c r="J189" i="7"/>
  <c r="K189" i="7" s="1"/>
  <c r="L189" i="7" s="1"/>
  <c r="M189" i="7" s="1"/>
  <c r="N189" i="7" s="1"/>
  <c r="T482" i="1" s="1"/>
  <c r="J193" i="7"/>
  <c r="G133" i="7"/>
  <c r="G137" i="7"/>
  <c r="E133" i="7"/>
  <c r="K133" i="7" s="1"/>
  <c r="L133" i="7" s="1"/>
  <c r="M133" i="7" s="1"/>
  <c r="N133" i="7" s="1"/>
  <c r="T474" i="1" s="1"/>
  <c r="E137" i="7"/>
  <c r="G301" i="6"/>
  <c r="G305" i="6"/>
  <c r="F301" i="6"/>
  <c r="F305" i="6"/>
  <c r="E301" i="6"/>
  <c r="E305" i="6"/>
  <c r="I301" i="6"/>
  <c r="I305" i="6"/>
  <c r="L133" i="6"/>
  <c r="L137" i="6"/>
  <c r="L175" i="6"/>
  <c r="M175" i="6" s="1"/>
  <c r="N175" i="6" s="1"/>
  <c r="O175" i="6" s="1"/>
  <c r="P175" i="6" s="1"/>
  <c r="T432" i="1" s="1"/>
  <c r="L179" i="6"/>
  <c r="G133" i="6"/>
  <c r="G137" i="6"/>
  <c r="F133" i="6"/>
  <c r="F137" i="6"/>
  <c r="U425" i="1"/>
  <c r="V425" i="1"/>
  <c r="W425" i="1"/>
  <c r="X425" i="1"/>
  <c r="E133" i="6"/>
  <c r="E137" i="6"/>
  <c r="I399" i="4"/>
  <c r="I417" i="4"/>
  <c r="I392" i="4"/>
  <c r="I410" i="4"/>
  <c r="M133" i="4"/>
  <c r="M137" i="4"/>
  <c r="J133" i="4"/>
  <c r="J137" i="4"/>
  <c r="I385" i="4"/>
  <c r="I403" i="4"/>
  <c r="G133" i="4"/>
  <c r="G137" i="4"/>
  <c r="F133" i="4"/>
  <c r="F137" i="4"/>
  <c r="E133" i="4"/>
  <c r="O133" i="4" s="1"/>
  <c r="P133" i="4" s="1"/>
  <c r="Q133" i="4" s="1"/>
  <c r="R133" i="4" s="1"/>
  <c r="T220" i="1" s="1"/>
  <c r="E137" i="4"/>
  <c r="I399" i="3"/>
  <c r="I417" i="3"/>
  <c r="I392" i="3"/>
  <c r="I410" i="3"/>
  <c r="M133" i="3"/>
  <c r="M137" i="3"/>
  <c r="J133" i="3"/>
  <c r="J137" i="3"/>
  <c r="I385" i="3"/>
  <c r="I403" i="3"/>
  <c r="G133" i="3"/>
  <c r="G137" i="3"/>
  <c r="F133" i="3"/>
  <c r="F137" i="3"/>
  <c r="X21" i="1"/>
  <c r="W21" i="1"/>
  <c r="V21" i="1"/>
  <c r="U21" i="1"/>
  <c r="E133" i="3"/>
  <c r="O133" i="3" s="1"/>
  <c r="P133" i="3" s="1"/>
  <c r="Q133" i="3" s="1"/>
  <c r="R133" i="3" s="1"/>
  <c r="T22" i="1" s="1"/>
  <c r="E137" i="3"/>
  <c r="U20" i="1"/>
  <c r="V20" i="1"/>
  <c r="W20" i="1"/>
  <c r="X20" i="1"/>
  <c r="K126" i="7"/>
  <c r="L126" i="7" s="1"/>
  <c r="M126" i="7" s="1"/>
  <c r="N126" i="7" s="1"/>
  <c r="T473" i="1" s="1"/>
  <c r="O126" i="4"/>
  <c r="P126" i="4" s="1"/>
  <c r="Q126" i="4" s="1"/>
  <c r="R126" i="4" s="1"/>
  <c r="T219" i="1" s="1"/>
  <c r="F1022" i="8" l="1"/>
  <c r="F1026" i="8"/>
  <c r="G581" i="8"/>
  <c r="G585" i="8"/>
  <c r="F581" i="8"/>
  <c r="F585" i="8"/>
  <c r="E721" i="8"/>
  <c r="E727" i="8"/>
  <c r="E966" i="8"/>
  <c r="E972" i="8"/>
  <c r="E1007" i="8"/>
  <c r="K147" i="8"/>
  <c r="K152" i="8"/>
  <c r="J147" i="8"/>
  <c r="J151" i="8"/>
  <c r="E994" i="8"/>
  <c r="E1000" i="8"/>
  <c r="E1001" i="8" s="1"/>
  <c r="E1036" i="8"/>
  <c r="E1042" i="8"/>
  <c r="E1084" i="8"/>
  <c r="L140" i="8"/>
  <c r="L144" i="8"/>
  <c r="I140" i="8"/>
  <c r="I144" i="8"/>
  <c r="G140" i="8"/>
  <c r="G144" i="8"/>
  <c r="X548" i="1"/>
  <c r="W548" i="1"/>
  <c r="V548" i="1"/>
  <c r="U548" i="1"/>
  <c r="F140" i="8"/>
  <c r="M140" i="8" s="1"/>
  <c r="N140" i="8" s="1"/>
  <c r="O140" i="8" s="1"/>
  <c r="P140" i="8" s="1"/>
  <c r="T549" i="1" s="1"/>
  <c r="F144" i="8"/>
  <c r="F207" i="8"/>
  <c r="F210" i="8" s="1"/>
  <c r="H483" i="7"/>
  <c r="H487" i="7"/>
  <c r="H315" i="7"/>
  <c r="H319" i="7"/>
  <c r="H147" i="7"/>
  <c r="H151" i="7"/>
  <c r="J140" i="7"/>
  <c r="J144" i="7"/>
  <c r="X482" i="1"/>
  <c r="W482" i="1"/>
  <c r="V482" i="1"/>
  <c r="U482" i="1"/>
  <c r="J196" i="7"/>
  <c r="K196" i="7" s="1"/>
  <c r="L196" i="7" s="1"/>
  <c r="M196" i="7" s="1"/>
  <c r="N196" i="7" s="1"/>
  <c r="T483" i="1" s="1"/>
  <c r="J200" i="7"/>
  <c r="G140" i="7"/>
  <c r="G144" i="7"/>
  <c r="U474" i="1"/>
  <c r="V474" i="1"/>
  <c r="W474" i="1"/>
  <c r="X474" i="1"/>
  <c r="E140" i="7"/>
  <c r="K140" i="7" s="1"/>
  <c r="L140" i="7" s="1"/>
  <c r="M140" i="7" s="1"/>
  <c r="N140" i="7" s="1"/>
  <c r="T475" i="1" s="1"/>
  <c r="E144" i="7"/>
  <c r="G308" i="6"/>
  <c r="G312" i="6"/>
  <c r="F308" i="6"/>
  <c r="F312" i="6"/>
  <c r="E308" i="6"/>
  <c r="E312" i="6"/>
  <c r="I308" i="6"/>
  <c r="I312" i="6"/>
  <c r="L140" i="6"/>
  <c r="L144" i="6"/>
  <c r="U432" i="1"/>
  <c r="V432" i="1"/>
  <c r="W432" i="1"/>
  <c r="X432" i="1"/>
  <c r="L182" i="6"/>
  <c r="M182" i="6" s="1"/>
  <c r="N182" i="6" s="1"/>
  <c r="O182" i="6" s="1"/>
  <c r="P182" i="6" s="1"/>
  <c r="T433" i="1" s="1"/>
  <c r="L186" i="6"/>
  <c r="G140" i="6"/>
  <c r="G144" i="6"/>
  <c r="F140" i="6"/>
  <c r="F144" i="6"/>
  <c r="E140" i="6"/>
  <c r="M140" i="6" s="1"/>
  <c r="N140" i="6" s="1"/>
  <c r="O140" i="6" s="1"/>
  <c r="P140" i="6" s="1"/>
  <c r="T427" i="1" s="1"/>
  <c r="E144" i="6"/>
  <c r="I420" i="4"/>
  <c r="I438" i="4"/>
  <c r="I413" i="4"/>
  <c r="I431" i="4"/>
  <c r="M140" i="4"/>
  <c r="M144" i="4"/>
  <c r="J140" i="4"/>
  <c r="J144" i="4"/>
  <c r="I406" i="4"/>
  <c r="I424" i="4"/>
  <c r="G140" i="4"/>
  <c r="G144" i="4"/>
  <c r="F140" i="4"/>
  <c r="F144" i="4"/>
  <c r="X220" i="1"/>
  <c r="V220" i="1"/>
  <c r="W220" i="1"/>
  <c r="U220" i="1"/>
  <c r="E140" i="4"/>
  <c r="O140" i="4" s="1"/>
  <c r="P140" i="4" s="1"/>
  <c r="Q140" i="4" s="1"/>
  <c r="R140" i="4" s="1"/>
  <c r="T221" i="1" s="1"/>
  <c r="E144" i="4"/>
  <c r="I420" i="3"/>
  <c r="I438" i="3"/>
  <c r="I413" i="3"/>
  <c r="I431" i="3"/>
  <c r="M140" i="3"/>
  <c r="M144" i="3"/>
  <c r="J140" i="3"/>
  <c r="J144" i="3"/>
  <c r="I406" i="3"/>
  <c r="I424" i="3"/>
  <c r="G140" i="3"/>
  <c r="G144" i="3"/>
  <c r="F140" i="3"/>
  <c r="F144" i="3"/>
  <c r="U22" i="1"/>
  <c r="V22" i="1"/>
  <c r="W22" i="1"/>
  <c r="X22" i="1"/>
  <c r="E140" i="3"/>
  <c r="O140" i="3" s="1"/>
  <c r="P140" i="3" s="1"/>
  <c r="Q140" i="3" s="1"/>
  <c r="R140" i="3" s="1"/>
  <c r="T23" i="1" s="1"/>
  <c r="E144" i="3"/>
  <c r="X473" i="1"/>
  <c r="W473" i="1"/>
  <c r="V473" i="1"/>
  <c r="U473" i="1"/>
  <c r="V219" i="1"/>
  <c r="X219" i="1"/>
  <c r="W219" i="1"/>
  <c r="U219" i="1"/>
  <c r="M133" i="6"/>
  <c r="N133" i="6" s="1"/>
  <c r="O133" i="6" s="1"/>
  <c r="P133" i="6" s="1"/>
  <c r="T426" i="1" s="1"/>
  <c r="F1029" i="8" l="1"/>
  <c r="F1033" i="8"/>
  <c r="G588" i="8"/>
  <c r="G592" i="8"/>
  <c r="F588" i="8"/>
  <c r="F592" i="8"/>
  <c r="E728" i="8"/>
  <c r="E734" i="8"/>
  <c r="E735" i="8" s="1"/>
  <c r="E973" i="8"/>
  <c r="E979" i="8"/>
  <c r="E980" i="8" s="1"/>
  <c r="E1008" i="8"/>
  <c r="E1014" i="8"/>
  <c r="K154" i="8"/>
  <c r="K159" i="8"/>
  <c r="J154" i="8"/>
  <c r="J158" i="8"/>
  <c r="E1043" i="8"/>
  <c r="E1049" i="8"/>
  <c r="E1050" i="8" s="1"/>
  <c r="E1085" i="8"/>
  <c r="E1091" i="8"/>
  <c r="E1133" i="8"/>
  <c r="L147" i="8"/>
  <c r="L151" i="8"/>
  <c r="I147" i="8"/>
  <c r="I151" i="8"/>
  <c r="G147" i="8"/>
  <c r="G151" i="8"/>
  <c r="X549" i="1"/>
  <c r="W549" i="1"/>
  <c r="V549" i="1"/>
  <c r="U549" i="1"/>
  <c r="F147" i="8"/>
  <c r="M147" i="8" s="1"/>
  <c r="N147" i="8" s="1"/>
  <c r="O147" i="8" s="1"/>
  <c r="P147" i="8" s="1"/>
  <c r="T550" i="1" s="1"/>
  <c r="F151" i="8"/>
  <c r="F214" i="8"/>
  <c r="F217" i="8" s="1"/>
  <c r="H490" i="7"/>
  <c r="H494" i="7"/>
  <c r="H322" i="7"/>
  <c r="H326" i="7"/>
  <c r="H154" i="7"/>
  <c r="H158" i="7"/>
  <c r="J147" i="7"/>
  <c r="J151" i="7"/>
  <c r="X483" i="1"/>
  <c r="W483" i="1"/>
  <c r="V483" i="1"/>
  <c r="U483" i="1"/>
  <c r="J203" i="7"/>
  <c r="K203" i="7" s="1"/>
  <c r="L203" i="7" s="1"/>
  <c r="M203" i="7" s="1"/>
  <c r="N203" i="7" s="1"/>
  <c r="T484" i="1" s="1"/>
  <c r="J207" i="7"/>
  <c r="G147" i="7"/>
  <c r="G151" i="7"/>
  <c r="U475" i="1"/>
  <c r="V475" i="1"/>
  <c r="W475" i="1"/>
  <c r="X475" i="1"/>
  <c r="E147" i="7"/>
  <c r="K147" i="7" s="1"/>
  <c r="L147" i="7" s="1"/>
  <c r="M147" i="7" s="1"/>
  <c r="N147" i="7" s="1"/>
  <c r="T476" i="1" s="1"/>
  <c r="E151" i="7"/>
  <c r="G315" i="6"/>
  <c r="G319" i="6"/>
  <c r="F315" i="6"/>
  <c r="F319" i="6"/>
  <c r="E315" i="6"/>
  <c r="E319" i="6"/>
  <c r="I315" i="6"/>
  <c r="I319" i="6"/>
  <c r="L147" i="6"/>
  <c r="L151" i="6"/>
  <c r="X433" i="1"/>
  <c r="W433" i="1"/>
  <c r="V433" i="1"/>
  <c r="U433" i="1"/>
  <c r="L189" i="6"/>
  <c r="M189" i="6" s="1"/>
  <c r="N189" i="6" s="1"/>
  <c r="O189" i="6" s="1"/>
  <c r="P189" i="6" s="1"/>
  <c r="T434" i="1" s="1"/>
  <c r="L193" i="6"/>
  <c r="G147" i="6"/>
  <c r="G151" i="6"/>
  <c r="F147" i="6"/>
  <c r="F151" i="6"/>
  <c r="U427" i="1"/>
  <c r="V427" i="1"/>
  <c r="W427" i="1"/>
  <c r="X427" i="1"/>
  <c r="E147" i="6"/>
  <c r="M147" i="6" s="1"/>
  <c r="N147" i="6" s="1"/>
  <c r="O147" i="6" s="1"/>
  <c r="P147" i="6" s="1"/>
  <c r="T428" i="1" s="1"/>
  <c r="E151" i="6"/>
  <c r="I441" i="4"/>
  <c r="I459" i="4"/>
  <c r="I434" i="4"/>
  <c r="I452" i="4"/>
  <c r="M147" i="4"/>
  <c r="M151" i="4"/>
  <c r="J147" i="4"/>
  <c r="J151" i="4"/>
  <c r="I427" i="4"/>
  <c r="I445" i="4"/>
  <c r="G147" i="4"/>
  <c r="G151" i="4"/>
  <c r="F147" i="4"/>
  <c r="F151" i="4"/>
  <c r="V221" i="1"/>
  <c r="W221" i="1"/>
  <c r="X221" i="1"/>
  <c r="U221" i="1"/>
  <c r="E147" i="4"/>
  <c r="O147" i="4" s="1"/>
  <c r="P147" i="4" s="1"/>
  <c r="Q147" i="4" s="1"/>
  <c r="R147" i="4" s="1"/>
  <c r="T222" i="1" s="1"/>
  <c r="E151" i="4"/>
  <c r="I441" i="3"/>
  <c r="I459" i="3"/>
  <c r="I434" i="3"/>
  <c r="I452" i="3"/>
  <c r="M147" i="3"/>
  <c r="M151" i="3"/>
  <c r="J147" i="3"/>
  <c r="J151" i="3"/>
  <c r="I427" i="3"/>
  <c r="I445" i="3"/>
  <c r="G147" i="3"/>
  <c r="G151" i="3"/>
  <c r="F147" i="3"/>
  <c r="F151" i="3"/>
  <c r="U23" i="1"/>
  <c r="V23" i="1"/>
  <c r="W23" i="1"/>
  <c r="X23" i="1"/>
  <c r="E147" i="3"/>
  <c r="E151" i="3"/>
  <c r="X426" i="1"/>
  <c r="W426" i="1"/>
  <c r="V426" i="1"/>
  <c r="U426" i="1"/>
  <c r="F1036" i="8" l="1"/>
  <c r="F1040" i="8"/>
  <c r="G595" i="8"/>
  <c r="G599" i="8"/>
  <c r="F595" i="8"/>
  <c r="F599" i="8"/>
  <c r="E1015" i="8"/>
  <c r="E1021" i="8"/>
  <c r="E1056" i="8"/>
  <c r="K161" i="8"/>
  <c r="K166" i="8"/>
  <c r="J161" i="8"/>
  <c r="J165" i="8"/>
  <c r="E1092" i="8"/>
  <c r="E1098" i="8"/>
  <c r="E1099" i="8" s="1"/>
  <c r="E1134" i="8"/>
  <c r="E1140" i="8"/>
  <c r="L154" i="8"/>
  <c r="L158" i="8"/>
  <c r="I154" i="8"/>
  <c r="I158" i="8"/>
  <c r="G154" i="8"/>
  <c r="G158" i="8"/>
  <c r="X550" i="1"/>
  <c r="W550" i="1"/>
  <c r="V550" i="1"/>
  <c r="U550" i="1"/>
  <c r="F154" i="8"/>
  <c r="M154" i="8" s="1"/>
  <c r="N154" i="8" s="1"/>
  <c r="O154" i="8" s="1"/>
  <c r="P154" i="8" s="1"/>
  <c r="T551" i="1" s="1"/>
  <c r="F158" i="8"/>
  <c r="F221" i="8"/>
  <c r="F224" i="8" s="1"/>
  <c r="H497" i="7"/>
  <c r="H501" i="7"/>
  <c r="H504" i="7" s="1"/>
  <c r="H329" i="7"/>
  <c r="H333" i="7"/>
  <c r="H336" i="7" s="1"/>
  <c r="H161" i="7"/>
  <c r="H165" i="7"/>
  <c r="H168" i="7" s="1"/>
  <c r="J154" i="7"/>
  <c r="J158" i="7"/>
  <c r="U484" i="1"/>
  <c r="V484" i="1"/>
  <c r="W484" i="1"/>
  <c r="X484" i="1"/>
  <c r="J210" i="7"/>
  <c r="K210" i="7" s="1"/>
  <c r="L210" i="7" s="1"/>
  <c r="M210" i="7" s="1"/>
  <c r="N210" i="7" s="1"/>
  <c r="T485" i="1" s="1"/>
  <c r="J214" i="7"/>
  <c r="G154" i="7"/>
  <c r="G158" i="7"/>
  <c r="U476" i="1"/>
  <c r="V476" i="1"/>
  <c r="W476" i="1"/>
  <c r="X476" i="1"/>
  <c r="E154" i="7"/>
  <c r="K154" i="7" s="1"/>
  <c r="L154" i="7" s="1"/>
  <c r="M154" i="7" s="1"/>
  <c r="N154" i="7" s="1"/>
  <c r="T477" i="1" s="1"/>
  <c r="E158" i="7"/>
  <c r="G322" i="6"/>
  <c r="G326" i="6"/>
  <c r="F322" i="6"/>
  <c r="F326" i="6"/>
  <c r="E322" i="6"/>
  <c r="E326" i="6"/>
  <c r="I322" i="6"/>
  <c r="I326" i="6"/>
  <c r="L154" i="6"/>
  <c r="L158" i="6"/>
  <c r="X434" i="1"/>
  <c r="W434" i="1"/>
  <c r="V434" i="1"/>
  <c r="U434" i="1"/>
  <c r="L196" i="6"/>
  <c r="M196" i="6" s="1"/>
  <c r="N196" i="6" s="1"/>
  <c r="O196" i="6" s="1"/>
  <c r="P196" i="6" s="1"/>
  <c r="T435" i="1" s="1"/>
  <c r="L200" i="6"/>
  <c r="G154" i="6"/>
  <c r="G158" i="6"/>
  <c r="F154" i="6"/>
  <c r="F158" i="6"/>
  <c r="U428" i="1"/>
  <c r="V428" i="1"/>
  <c r="W428" i="1"/>
  <c r="X428" i="1"/>
  <c r="E154" i="6"/>
  <c r="E158" i="6"/>
  <c r="I462" i="4"/>
  <c r="I480" i="4"/>
  <c r="I455" i="4"/>
  <c r="I473" i="4"/>
  <c r="M154" i="4"/>
  <c r="M158" i="4"/>
  <c r="J154" i="4"/>
  <c r="J158" i="4"/>
  <c r="I448" i="4"/>
  <c r="I466" i="4"/>
  <c r="G154" i="4"/>
  <c r="G158" i="4"/>
  <c r="F154" i="4"/>
  <c r="F158" i="4"/>
  <c r="W222" i="1"/>
  <c r="V222" i="1"/>
  <c r="U222" i="1"/>
  <c r="X222" i="1"/>
  <c r="E154" i="4"/>
  <c r="O154" i="4" s="1"/>
  <c r="P154" i="4" s="1"/>
  <c r="Q154" i="4" s="1"/>
  <c r="R154" i="4" s="1"/>
  <c r="T223" i="1" s="1"/>
  <c r="E158" i="4"/>
  <c r="I462" i="3"/>
  <c r="I480" i="3"/>
  <c r="I455" i="3"/>
  <c r="I473" i="3"/>
  <c r="M154" i="3"/>
  <c r="M158" i="3"/>
  <c r="J154" i="3"/>
  <c r="J158" i="3"/>
  <c r="I448" i="3"/>
  <c r="I466" i="3"/>
  <c r="G154" i="3"/>
  <c r="G158" i="3"/>
  <c r="F154" i="3"/>
  <c r="F158" i="3"/>
  <c r="E154" i="3"/>
  <c r="O154" i="3" s="1"/>
  <c r="P154" i="3" s="1"/>
  <c r="Q154" i="3" s="1"/>
  <c r="R154" i="3" s="1"/>
  <c r="T25" i="1" s="1"/>
  <c r="E158" i="3"/>
  <c r="O147" i="3"/>
  <c r="P147" i="3" s="1"/>
  <c r="Q147" i="3" s="1"/>
  <c r="R147" i="3" s="1"/>
  <c r="T24" i="1" s="1"/>
  <c r="F1043" i="8" l="1"/>
  <c r="F1047" i="8"/>
  <c r="G602" i="8"/>
  <c r="G606" i="8"/>
  <c r="F602" i="8"/>
  <c r="F606" i="8"/>
  <c r="E1022" i="8"/>
  <c r="E1028" i="8"/>
  <c r="E1029" i="8" s="1"/>
  <c r="E1057" i="8"/>
  <c r="E1063" i="8"/>
  <c r="K168" i="8"/>
  <c r="K173" i="8"/>
  <c r="J168" i="8"/>
  <c r="J172" i="8"/>
  <c r="E1141" i="8"/>
  <c r="E1147" i="8"/>
  <c r="E1148" i="8" s="1"/>
  <c r="L161" i="8"/>
  <c r="L165" i="8"/>
  <c r="I161" i="8"/>
  <c r="I165" i="8"/>
  <c r="G161" i="8"/>
  <c r="G165" i="8"/>
  <c r="U551" i="1"/>
  <c r="V551" i="1"/>
  <c r="W551" i="1"/>
  <c r="X551" i="1"/>
  <c r="F161" i="8"/>
  <c r="M161" i="8" s="1"/>
  <c r="N161" i="8" s="1"/>
  <c r="O161" i="8" s="1"/>
  <c r="P161" i="8" s="1"/>
  <c r="T552" i="1" s="1"/>
  <c r="F228" i="8"/>
  <c r="J161" i="7"/>
  <c r="J165" i="7"/>
  <c r="J168" i="7" s="1"/>
  <c r="U485" i="1"/>
  <c r="V485" i="1"/>
  <c r="W485" i="1"/>
  <c r="X485" i="1"/>
  <c r="J217" i="7"/>
  <c r="K217" i="7" s="1"/>
  <c r="L217" i="7" s="1"/>
  <c r="M217" i="7" s="1"/>
  <c r="N217" i="7" s="1"/>
  <c r="T486" i="1" s="1"/>
  <c r="J221" i="7"/>
  <c r="G161" i="7"/>
  <c r="G165" i="7"/>
  <c r="G168" i="7" s="1"/>
  <c r="U477" i="1"/>
  <c r="V477" i="1"/>
  <c r="W477" i="1"/>
  <c r="X477" i="1"/>
  <c r="E161" i="7"/>
  <c r="K161" i="7" s="1"/>
  <c r="L161" i="7" s="1"/>
  <c r="M161" i="7" s="1"/>
  <c r="N161" i="7" s="1"/>
  <c r="T478" i="1" s="1"/>
  <c r="E165" i="7"/>
  <c r="E168" i="7" s="1"/>
  <c r="K168" i="7" s="1"/>
  <c r="L168" i="7" s="1"/>
  <c r="M168" i="7" s="1"/>
  <c r="N168" i="7" s="1"/>
  <c r="T479" i="1" s="1"/>
  <c r="G329" i="6"/>
  <c r="G333" i="6"/>
  <c r="G336" i="6" s="1"/>
  <c r="F329" i="6"/>
  <c r="F333" i="6"/>
  <c r="F336" i="6" s="1"/>
  <c r="E329" i="6"/>
  <c r="E333" i="6"/>
  <c r="E336" i="6" s="1"/>
  <c r="I329" i="6"/>
  <c r="I333" i="6"/>
  <c r="I336" i="6" s="1"/>
  <c r="L161" i="6"/>
  <c r="L165" i="6"/>
  <c r="L168" i="6" s="1"/>
  <c r="X435" i="1"/>
  <c r="W435" i="1"/>
  <c r="V435" i="1"/>
  <c r="U435" i="1"/>
  <c r="L203" i="6"/>
  <c r="M203" i="6" s="1"/>
  <c r="N203" i="6" s="1"/>
  <c r="O203" i="6" s="1"/>
  <c r="P203" i="6" s="1"/>
  <c r="T436" i="1" s="1"/>
  <c r="L207" i="6"/>
  <c r="G161" i="6"/>
  <c r="G165" i="6"/>
  <c r="G168" i="6" s="1"/>
  <c r="F161" i="6"/>
  <c r="F165" i="6"/>
  <c r="F168" i="6" s="1"/>
  <c r="E161" i="6"/>
  <c r="M161" i="6" s="1"/>
  <c r="N161" i="6" s="1"/>
  <c r="O161" i="6" s="1"/>
  <c r="P161" i="6" s="1"/>
  <c r="T430" i="1" s="1"/>
  <c r="E165" i="6"/>
  <c r="E168" i="6" s="1"/>
  <c r="M168" i="6" s="1"/>
  <c r="N168" i="6" s="1"/>
  <c r="O168" i="6" s="1"/>
  <c r="P168" i="6" s="1"/>
  <c r="T431" i="1" s="1"/>
  <c r="I483" i="4"/>
  <c r="I501" i="4"/>
  <c r="I476" i="4"/>
  <c r="I494" i="4"/>
  <c r="M161" i="4"/>
  <c r="M165" i="4"/>
  <c r="J161" i="4"/>
  <c r="J165" i="4"/>
  <c r="I469" i="4"/>
  <c r="I487" i="4"/>
  <c r="G161" i="4"/>
  <c r="G165" i="4"/>
  <c r="F161" i="4"/>
  <c r="F165" i="4"/>
  <c r="V223" i="1"/>
  <c r="U223" i="1"/>
  <c r="X223" i="1"/>
  <c r="W223" i="1"/>
  <c r="E161" i="4"/>
  <c r="O161" i="4" s="1"/>
  <c r="P161" i="4" s="1"/>
  <c r="Q161" i="4" s="1"/>
  <c r="R161" i="4" s="1"/>
  <c r="T224" i="1" s="1"/>
  <c r="E165" i="4"/>
  <c r="I483" i="3"/>
  <c r="I501" i="3"/>
  <c r="I476" i="3"/>
  <c r="I494" i="3"/>
  <c r="M161" i="3"/>
  <c r="M165" i="3"/>
  <c r="J161" i="3"/>
  <c r="J165" i="3"/>
  <c r="I469" i="3"/>
  <c r="I487" i="3"/>
  <c r="G161" i="3"/>
  <c r="G165" i="3"/>
  <c r="F161" i="3"/>
  <c r="F165" i="3"/>
  <c r="X25" i="1"/>
  <c r="W25" i="1"/>
  <c r="V25" i="1"/>
  <c r="U25" i="1"/>
  <c r="E161" i="3"/>
  <c r="O161" i="3" s="1"/>
  <c r="P161" i="3" s="1"/>
  <c r="Q161" i="3" s="1"/>
  <c r="R161" i="3" s="1"/>
  <c r="T26" i="1" s="1"/>
  <c r="E165" i="3"/>
  <c r="X24" i="1"/>
  <c r="W24" i="1"/>
  <c r="V24" i="1"/>
  <c r="U24" i="1"/>
  <c r="M154" i="6"/>
  <c r="N154" i="6" s="1"/>
  <c r="O154" i="6" s="1"/>
  <c r="P154" i="6" s="1"/>
  <c r="T429" i="1" s="1"/>
  <c r="F1050" i="8" l="1"/>
  <c r="F1054" i="8"/>
  <c r="G609" i="8"/>
  <c r="G613" i="8"/>
  <c r="F609" i="8"/>
  <c r="F613" i="8"/>
  <c r="E1064" i="8"/>
  <c r="E1070" i="8"/>
  <c r="E1105" i="8"/>
  <c r="K175" i="8"/>
  <c r="K180" i="8"/>
  <c r="J175" i="8"/>
  <c r="J179" i="8"/>
  <c r="L168" i="8"/>
  <c r="L172" i="8"/>
  <c r="I168" i="8"/>
  <c r="I172" i="8"/>
  <c r="G168" i="8"/>
  <c r="M168" i="8" s="1"/>
  <c r="N168" i="8" s="1"/>
  <c r="O168" i="8" s="1"/>
  <c r="P168" i="8" s="1"/>
  <c r="T553" i="1" s="1"/>
  <c r="G172" i="8"/>
  <c r="X552" i="1"/>
  <c r="W552" i="1"/>
  <c r="V552" i="1"/>
  <c r="U552" i="1"/>
  <c r="F231" i="8"/>
  <c r="F235" i="8"/>
  <c r="U486" i="1"/>
  <c r="V486" i="1"/>
  <c r="W486" i="1"/>
  <c r="X486" i="1"/>
  <c r="J224" i="7"/>
  <c r="K224" i="7" s="1"/>
  <c r="L224" i="7" s="1"/>
  <c r="M224" i="7" s="1"/>
  <c r="N224" i="7" s="1"/>
  <c r="T487" i="1" s="1"/>
  <c r="J228" i="7"/>
  <c r="U478" i="1"/>
  <c r="V478" i="1"/>
  <c r="W478" i="1"/>
  <c r="X478" i="1"/>
  <c r="U479" i="1"/>
  <c r="V479" i="1"/>
  <c r="W479" i="1"/>
  <c r="X479" i="1"/>
  <c r="X436" i="1"/>
  <c r="W436" i="1"/>
  <c r="V436" i="1"/>
  <c r="U436" i="1"/>
  <c r="L210" i="6"/>
  <c r="M210" i="6" s="1"/>
  <c r="N210" i="6" s="1"/>
  <c r="O210" i="6" s="1"/>
  <c r="P210" i="6" s="1"/>
  <c r="T437" i="1" s="1"/>
  <c r="L214" i="6"/>
  <c r="U430" i="1"/>
  <c r="V430" i="1"/>
  <c r="W430" i="1"/>
  <c r="X430" i="1"/>
  <c r="U431" i="1"/>
  <c r="V431" i="1"/>
  <c r="W431" i="1"/>
  <c r="X431" i="1"/>
  <c r="I504" i="4"/>
  <c r="I522" i="4"/>
  <c r="I497" i="4"/>
  <c r="I515" i="4"/>
  <c r="M168" i="4"/>
  <c r="M172" i="4"/>
  <c r="J168" i="4"/>
  <c r="J172" i="4"/>
  <c r="I490" i="4"/>
  <c r="I508" i="4"/>
  <c r="G168" i="4"/>
  <c r="G172" i="4"/>
  <c r="F168" i="4"/>
  <c r="F172" i="4"/>
  <c r="U224" i="1"/>
  <c r="W224" i="1"/>
  <c r="V224" i="1"/>
  <c r="X224" i="1"/>
  <c r="E168" i="4"/>
  <c r="O168" i="4" s="1"/>
  <c r="P168" i="4" s="1"/>
  <c r="Q168" i="4" s="1"/>
  <c r="R168" i="4" s="1"/>
  <c r="T225" i="1" s="1"/>
  <c r="E172" i="4"/>
  <c r="I504" i="3"/>
  <c r="I522" i="3"/>
  <c r="I497" i="3"/>
  <c r="I515" i="3"/>
  <c r="M168" i="3"/>
  <c r="M172" i="3"/>
  <c r="J168" i="3"/>
  <c r="J172" i="3"/>
  <c r="I490" i="3"/>
  <c r="I508" i="3"/>
  <c r="G168" i="3"/>
  <c r="G172" i="3"/>
  <c r="F168" i="3"/>
  <c r="F172" i="3"/>
  <c r="U26" i="1"/>
  <c r="V26" i="1"/>
  <c r="W26" i="1"/>
  <c r="X26" i="1"/>
  <c r="E168" i="3"/>
  <c r="O168" i="3" s="1"/>
  <c r="P168" i="3" s="1"/>
  <c r="Q168" i="3" s="1"/>
  <c r="R168" i="3" s="1"/>
  <c r="T27" i="1" s="1"/>
  <c r="E172" i="3"/>
  <c r="X429" i="1"/>
  <c r="W429" i="1"/>
  <c r="V429" i="1"/>
  <c r="U429" i="1"/>
  <c r="F1057" i="8" l="1"/>
  <c r="F1061" i="8"/>
  <c r="G616" i="8"/>
  <c r="G620" i="8"/>
  <c r="F616" i="8"/>
  <c r="F620" i="8"/>
  <c r="E1071" i="8"/>
  <c r="E1077" i="8"/>
  <c r="E1078" i="8" s="1"/>
  <c r="E1106" i="8"/>
  <c r="E1112" i="8"/>
  <c r="K182" i="8"/>
  <c r="K187" i="8"/>
  <c r="J182" i="8"/>
  <c r="J186" i="8"/>
  <c r="L175" i="8"/>
  <c r="L179" i="8"/>
  <c r="I175" i="8"/>
  <c r="I179" i="8"/>
  <c r="X553" i="1"/>
  <c r="W553" i="1"/>
  <c r="V553" i="1"/>
  <c r="U553" i="1"/>
  <c r="G175" i="8"/>
  <c r="M175" i="8" s="1"/>
  <c r="N175" i="8" s="1"/>
  <c r="O175" i="8" s="1"/>
  <c r="P175" i="8" s="1"/>
  <c r="T554" i="1" s="1"/>
  <c r="G179" i="8"/>
  <c r="F238" i="8"/>
  <c r="F242" i="8"/>
  <c r="U487" i="1"/>
  <c r="V487" i="1"/>
  <c r="W487" i="1"/>
  <c r="X487" i="1"/>
  <c r="J231" i="7"/>
  <c r="K231" i="7" s="1"/>
  <c r="L231" i="7" s="1"/>
  <c r="M231" i="7" s="1"/>
  <c r="N231" i="7" s="1"/>
  <c r="T488" i="1" s="1"/>
  <c r="J235" i="7"/>
  <c r="U437" i="1"/>
  <c r="V437" i="1"/>
  <c r="W437" i="1"/>
  <c r="X437" i="1"/>
  <c r="L217" i="6"/>
  <c r="M217" i="6" s="1"/>
  <c r="N217" i="6" s="1"/>
  <c r="O217" i="6" s="1"/>
  <c r="P217" i="6" s="1"/>
  <c r="T438" i="1" s="1"/>
  <c r="L221" i="6"/>
  <c r="I525" i="4"/>
  <c r="I543" i="4"/>
  <c r="I518" i="4"/>
  <c r="I536" i="4"/>
  <c r="M175" i="4"/>
  <c r="M179" i="4"/>
  <c r="J175" i="4"/>
  <c r="J179" i="4"/>
  <c r="I511" i="4"/>
  <c r="I529" i="4"/>
  <c r="G175" i="4"/>
  <c r="G179" i="4"/>
  <c r="F175" i="4"/>
  <c r="F179" i="4"/>
  <c r="V225" i="1"/>
  <c r="X225" i="1"/>
  <c r="U225" i="1"/>
  <c r="W225" i="1"/>
  <c r="E175" i="4"/>
  <c r="O175" i="4" s="1"/>
  <c r="P175" i="4" s="1"/>
  <c r="Q175" i="4" s="1"/>
  <c r="R175" i="4" s="1"/>
  <c r="T226" i="1" s="1"/>
  <c r="E179" i="4"/>
  <c r="I525" i="3"/>
  <c r="I543" i="3"/>
  <c r="I518" i="3"/>
  <c r="I536" i="3"/>
  <c r="M175" i="3"/>
  <c r="M179" i="3"/>
  <c r="J175" i="3"/>
  <c r="J179" i="3"/>
  <c r="I511" i="3"/>
  <c r="I529" i="3"/>
  <c r="G175" i="3"/>
  <c r="G179" i="3"/>
  <c r="F175" i="3"/>
  <c r="F179" i="3"/>
  <c r="W27" i="1"/>
  <c r="U27" i="1"/>
  <c r="V27" i="1"/>
  <c r="X27" i="1"/>
  <c r="E175" i="3"/>
  <c r="O175" i="3" s="1"/>
  <c r="P175" i="3" s="1"/>
  <c r="Q175" i="3" s="1"/>
  <c r="R175" i="3" s="1"/>
  <c r="T28" i="1" s="1"/>
  <c r="E179" i="3"/>
  <c r="F1064" i="8" l="1"/>
  <c r="F1068" i="8"/>
  <c r="G623" i="8"/>
  <c r="G627" i="8"/>
  <c r="F623" i="8"/>
  <c r="F627" i="8"/>
  <c r="E1113" i="8"/>
  <c r="E1119" i="8"/>
  <c r="E1154" i="8"/>
  <c r="K189" i="8"/>
  <c r="K194" i="8"/>
  <c r="J189" i="8"/>
  <c r="J193" i="8"/>
  <c r="L182" i="8"/>
  <c r="L186" i="8"/>
  <c r="I182" i="8"/>
  <c r="I186" i="8"/>
  <c r="X554" i="1"/>
  <c r="W554" i="1"/>
  <c r="V554" i="1"/>
  <c r="U554" i="1"/>
  <c r="G182" i="8"/>
  <c r="M182" i="8" s="1"/>
  <c r="N182" i="8" s="1"/>
  <c r="O182" i="8" s="1"/>
  <c r="P182" i="8" s="1"/>
  <c r="T555" i="1" s="1"/>
  <c r="G186" i="8"/>
  <c r="F245" i="8"/>
  <c r="F249" i="8"/>
  <c r="U488" i="1"/>
  <c r="V488" i="1"/>
  <c r="W488" i="1"/>
  <c r="X488" i="1"/>
  <c r="J238" i="7"/>
  <c r="K238" i="7" s="1"/>
  <c r="L238" i="7" s="1"/>
  <c r="M238" i="7" s="1"/>
  <c r="N238" i="7" s="1"/>
  <c r="T489" i="1" s="1"/>
  <c r="J242" i="7"/>
  <c r="U438" i="1"/>
  <c r="V438" i="1"/>
  <c r="W438" i="1"/>
  <c r="X438" i="1"/>
  <c r="L224" i="6"/>
  <c r="M224" i="6" s="1"/>
  <c r="N224" i="6" s="1"/>
  <c r="O224" i="6" s="1"/>
  <c r="P224" i="6" s="1"/>
  <c r="T439" i="1" s="1"/>
  <c r="L228" i="6"/>
  <c r="I546" i="4"/>
  <c r="I564" i="4"/>
  <c r="I539" i="4"/>
  <c r="I557" i="4"/>
  <c r="M182" i="4"/>
  <c r="M186" i="4"/>
  <c r="J182" i="4"/>
  <c r="J186" i="4"/>
  <c r="I532" i="4"/>
  <c r="I550" i="4"/>
  <c r="G182" i="4"/>
  <c r="G186" i="4"/>
  <c r="F182" i="4"/>
  <c r="F186" i="4"/>
  <c r="X226" i="1"/>
  <c r="W226" i="1"/>
  <c r="V226" i="1"/>
  <c r="U226" i="1"/>
  <c r="E182" i="4"/>
  <c r="O182" i="4" s="1"/>
  <c r="P182" i="4" s="1"/>
  <c r="Q182" i="4" s="1"/>
  <c r="R182" i="4" s="1"/>
  <c r="T227" i="1" s="1"/>
  <c r="E186" i="4"/>
  <c r="I546" i="3"/>
  <c r="I564" i="3"/>
  <c r="I539" i="3"/>
  <c r="I557" i="3"/>
  <c r="M182" i="3"/>
  <c r="M186" i="3"/>
  <c r="J182" i="3"/>
  <c r="J186" i="3"/>
  <c r="I532" i="3"/>
  <c r="I550" i="3"/>
  <c r="G182" i="3"/>
  <c r="G186" i="3"/>
  <c r="F182" i="3"/>
  <c r="F186" i="3"/>
  <c r="U28" i="1"/>
  <c r="W28" i="1"/>
  <c r="X28" i="1"/>
  <c r="V28" i="1"/>
  <c r="E182" i="3"/>
  <c r="O182" i="3" s="1"/>
  <c r="P182" i="3" s="1"/>
  <c r="Q182" i="3" s="1"/>
  <c r="R182" i="3" s="1"/>
  <c r="T29" i="1" s="1"/>
  <c r="E186" i="3"/>
  <c r="F1071" i="8" l="1"/>
  <c r="F1075" i="8"/>
  <c r="G630" i="8"/>
  <c r="G634" i="8"/>
  <c r="F630" i="8"/>
  <c r="F634" i="8"/>
  <c r="E1120" i="8"/>
  <c r="E1126" i="8"/>
  <c r="E1127" i="8" s="1"/>
  <c r="E1155" i="8"/>
  <c r="E1161" i="8"/>
  <c r="K196" i="8"/>
  <c r="K201" i="8"/>
  <c r="J196" i="8"/>
  <c r="J200" i="8"/>
  <c r="L189" i="8"/>
  <c r="L193" i="8"/>
  <c r="I189" i="8"/>
  <c r="I193" i="8"/>
  <c r="X555" i="1"/>
  <c r="W555" i="1"/>
  <c r="V555" i="1"/>
  <c r="U555" i="1"/>
  <c r="G189" i="8"/>
  <c r="M189" i="8" s="1"/>
  <c r="N189" i="8" s="1"/>
  <c r="O189" i="8" s="1"/>
  <c r="P189" i="8" s="1"/>
  <c r="T556" i="1" s="1"/>
  <c r="G193" i="8"/>
  <c r="F252" i="8"/>
  <c r="F256" i="8"/>
  <c r="U489" i="1"/>
  <c r="V489" i="1"/>
  <c r="W489" i="1"/>
  <c r="X489" i="1"/>
  <c r="J245" i="7"/>
  <c r="K245" i="7" s="1"/>
  <c r="L245" i="7" s="1"/>
  <c r="M245" i="7" s="1"/>
  <c r="N245" i="7" s="1"/>
  <c r="T490" i="1" s="1"/>
  <c r="J249" i="7"/>
  <c r="U439" i="1"/>
  <c r="V439" i="1"/>
  <c r="W439" i="1"/>
  <c r="X439" i="1"/>
  <c r="L231" i="6"/>
  <c r="M231" i="6" s="1"/>
  <c r="N231" i="6" s="1"/>
  <c r="O231" i="6" s="1"/>
  <c r="P231" i="6" s="1"/>
  <c r="T440" i="1" s="1"/>
  <c r="L235" i="6"/>
  <c r="I567" i="4"/>
  <c r="I585" i="4"/>
  <c r="I560" i="4"/>
  <c r="I578" i="4"/>
  <c r="M189" i="4"/>
  <c r="M193" i="4"/>
  <c r="J189" i="4"/>
  <c r="J193" i="4"/>
  <c r="I553" i="4"/>
  <c r="I571" i="4"/>
  <c r="G189" i="4"/>
  <c r="G193" i="4"/>
  <c r="F189" i="4"/>
  <c r="F193" i="4"/>
  <c r="W227" i="1"/>
  <c r="V227" i="1"/>
  <c r="X227" i="1"/>
  <c r="U227" i="1"/>
  <c r="E189" i="4"/>
  <c r="O189" i="4" s="1"/>
  <c r="P189" i="4" s="1"/>
  <c r="Q189" i="4" s="1"/>
  <c r="R189" i="4" s="1"/>
  <c r="T228" i="1" s="1"/>
  <c r="E193" i="4"/>
  <c r="I567" i="3"/>
  <c r="I585" i="3"/>
  <c r="I560" i="3"/>
  <c r="I578" i="3"/>
  <c r="M189" i="3"/>
  <c r="M193" i="3"/>
  <c r="J189" i="3"/>
  <c r="J193" i="3"/>
  <c r="I553" i="3"/>
  <c r="I571" i="3"/>
  <c r="G189" i="3"/>
  <c r="G193" i="3"/>
  <c r="F189" i="3"/>
  <c r="F193" i="3"/>
  <c r="X29" i="1"/>
  <c r="U29" i="1"/>
  <c r="V29" i="1"/>
  <c r="W29" i="1"/>
  <c r="E189" i="3"/>
  <c r="O189" i="3" s="1"/>
  <c r="P189" i="3" s="1"/>
  <c r="Q189" i="3" s="1"/>
  <c r="R189" i="3" s="1"/>
  <c r="T30" i="1" s="1"/>
  <c r="E193" i="3"/>
  <c r="F1078" i="8" l="1"/>
  <c r="F1082" i="8"/>
  <c r="G637" i="8"/>
  <c r="G641" i="8"/>
  <c r="F637" i="8"/>
  <c r="F641" i="8"/>
  <c r="E1162" i="8"/>
  <c r="E1168" i="8"/>
  <c r="K203" i="8"/>
  <c r="K208" i="8"/>
  <c r="J203" i="8"/>
  <c r="J207" i="8"/>
  <c r="L196" i="8"/>
  <c r="L200" i="8"/>
  <c r="I196" i="8"/>
  <c r="I200" i="8"/>
  <c r="X556" i="1"/>
  <c r="W556" i="1"/>
  <c r="V556" i="1"/>
  <c r="U556" i="1"/>
  <c r="G196" i="8"/>
  <c r="M196" i="8" s="1"/>
  <c r="N196" i="8" s="1"/>
  <c r="O196" i="8" s="1"/>
  <c r="P196" i="8" s="1"/>
  <c r="T557" i="1" s="1"/>
  <c r="G200" i="8"/>
  <c r="F259" i="8"/>
  <c r="F263" i="8"/>
  <c r="U490" i="1"/>
  <c r="V490" i="1"/>
  <c r="W490" i="1"/>
  <c r="X490" i="1"/>
  <c r="J252" i="7"/>
  <c r="K252" i="7" s="1"/>
  <c r="L252" i="7" s="1"/>
  <c r="M252" i="7" s="1"/>
  <c r="N252" i="7" s="1"/>
  <c r="T491" i="1" s="1"/>
  <c r="J256" i="7"/>
  <c r="U440" i="1"/>
  <c r="V440" i="1"/>
  <c r="W440" i="1"/>
  <c r="X440" i="1"/>
  <c r="L238" i="6"/>
  <c r="M238" i="6" s="1"/>
  <c r="N238" i="6" s="1"/>
  <c r="O238" i="6" s="1"/>
  <c r="P238" i="6" s="1"/>
  <c r="T441" i="1" s="1"/>
  <c r="L242" i="6"/>
  <c r="I588" i="4"/>
  <c r="I606" i="4"/>
  <c r="I581" i="4"/>
  <c r="I599" i="4"/>
  <c r="M196" i="4"/>
  <c r="M200" i="4"/>
  <c r="J196" i="4"/>
  <c r="J200" i="4"/>
  <c r="I574" i="4"/>
  <c r="I592" i="4"/>
  <c r="G196" i="4"/>
  <c r="G200" i="4"/>
  <c r="F196" i="4"/>
  <c r="F200" i="4"/>
  <c r="V228" i="1"/>
  <c r="X228" i="1"/>
  <c r="U228" i="1"/>
  <c r="W228" i="1"/>
  <c r="E196" i="4"/>
  <c r="O196" i="4" s="1"/>
  <c r="P196" i="4" s="1"/>
  <c r="Q196" i="4" s="1"/>
  <c r="R196" i="4" s="1"/>
  <c r="T229" i="1" s="1"/>
  <c r="E200" i="4"/>
  <c r="I588" i="3"/>
  <c r="I606" i="3"/>
  <c r="I581" i="3"/>
  <c r="I599" i="3"/>
  <c r="M196" i="3"/>
  <c r="M200" i="3"/>
  <c r="J196" i="3"/>
  <c r="J200" i="3"/>
  <c r="I574" i="3"/>
  <c r="I592" i="3"/>
  <c r="G196" i="3"/>
  <c r="G200" i="3"/>
  <c r="F196" i="3"/>
  <c r="F200" i="3"/>
  <c r="W30" i="1"/>
  <c r="V30" i="1"/>
  <c r="X30" i="1"/>
  <c r="U30" i="1"/>
  <c r="E196" i="3"/>
  <c r="O196" i="3" s="1"/>
  <c r="P196" i="3" s="1"/>
  <c r="Q196" i="3" s="1"/>
  <c r="R196" i="3" s="1"/>
  <c r="T31" i="1" s="1"/>
  <c r="E200" i="3"/>
  <c r="F1085" i="8" l="1"/>
  <c r="F1089" i="8"/>
  <c r="G644" i="8"/>
  <c r="G648" i="8"/>
  <c r="F644" i="8"/>
  <c r="F648" i="8"/>
  <c r="E1169" i="8"/>
  <c r="E1175" i="8"/>
  <c r="E1176" i="8" s="1"/>
  <c r="K210" i="8"/>
  <c r="K215" i="8"/>
  <c r="J210" i="8"/>
  <c r="J214" i="8"/>
  <c r="L203" i="8"/>
  <c r="L207" i="8"/>
  <c r="I203" i="8"/>
  <c r="I207" i="8"/>
  <c r="X557" i="1"/>
  <c r="W557" i="1"/>
  <c r="V557" i="1"/>
  <c r="U557" i="1"/>
  <c r="G203" i="8"/>
  <c r="M203" i="8" s="1"/>
  <c r="N203" i="8" s="1"/>
  <c r="O203" i="8" s="1"/>
  <c r="P203" i="8" s="1"/>
  <c r="T558" i="1" s="1"/>
  <c r="G207" i="8"/>
  <c r="F266" i="8"/>
  <c r="F270" i="8"/>
  <c r="U491" i="1"/>
  <c r="V491" i="1"/>
  <c r="W491" i="1"/>
  <c r="X491" i="1"/>
  <c r="J259" i="7"/>
  <c r="K259" i="7" s="1"/>
  <c r="L259" i="7" s="1"/>
  <c r="M259" i="7" s="1"/>
  <c r="N259" i="7" s="1"/>
  <c r="T492" i="1" s="1"/>
  <c r="J263" i="7"/>
  <c r="U441" i="1"/>
  <c r="V441" i="1"/>
  <c r="W441" i="1"/>
  <c r="X441" i="1"/>
  <c r="L245" i="6"/>
  <c r="M245" i="6" s="1"/>
  <c r="N245" i="6" s="1"/>
  <c r="O245" i="6" s="1"/>
  <c r="P245" i="6" s="1"/>
  <c r="T442" i="1" s="1"/>
  <c r="L249" i="6"/>
  <c r="I609" i="4"/>
  <c r="I627" i="4"/>
  <c r="I602" i="4"/>
  <c r="I620" i="4"/>
  <c r="M203" i="4"/>
  <c r="M207" i="4"/>
  <c r="J203" i="4"/>
  <c r="J207" i="4"/>
  <c r="I595" i="4"/>
  <c r="I613" i="4"/>
  <c r="G203" i="4"/>
  <c r="G207" i="4"/>
  <c r="F203" i="4"/>
  <c r="F207" i="4"/>
  <c r="W229" i="1"/>
  <c r="U229" i="1"/>
  <c r="X229" i="1"/>
  <c r="V229" i="1"/>
  <c r="E203" i="4"/>
  <c r="O203" i="4" s="1"/>
  <c r="P203" i="4" s="1"/>
  <c r="Q203" i="4" s="1"/>
  <c r="R203" i="4" s="1"/>
  <c r="T230" i="1" s="1"/>
  <c r="E207" i="4"/>
  <c r="I609" i="3"/>
  <c r="I627" i="3"/>
  <c r="I602" i="3"/>
  <c r="I620" i="3"/>
  <c r="M203" i="3"/>
  <c r="M207" i="3"/>
  <c r="J203" i="3"/>
  <c r="J207" i="3"/>
  <c r="I595" i="3"/>
  <c r="I613" i="3"/>
  <c r="G203" i="3"/>
  <c r="G207" i="3"/>
  <c r="F203" i="3"/>
  <c r="F207" i="3"/>
  <c r="W31" i="1"/>
  <c r="X31" i="1"/>
  <c r="V31" i="1"/>
  <c r="U31" i="1"/>
  <c r="E203" i="3"/>
  <c r="O203" i="3" s="1"/>
  <c r="P203" i="3" s="1"/>
  <c r="Q203" i="3" s="1"/>
  <c r="R203" i="3" s="1"/>
  <c r="T32" i="1" s="1"/>
  <c r="E207" i="3"/>
  <c r="F1092" i="8" l="1"/>
  <c r="F1096" i="8"/>
  <c r="G651" i="8"/>
  <c r="G655" i="8"/>
  <c r="F651" i="8"/>
  <c r="F655" i="8"/>
  <c r="K217" i="8"/>
  <c r="K222" i="8"/>
  <c r="J217" i="8"/>
  <c r="J221" i="8"/>
  <c r="L210" i="8"/>
  <c r="L214" i="8"/>
  <c r="I210" i="8"/>
  <c r="I214" i="8"/>
  <c r="U558" i="1"/>
  <c r="V558" i="1"/>
  <c r="W558" i="1"/>
  <c r="X558" i="1"/>
  <c r="G210" i="8"/>
  <c r="M210" i="8" s="1"/>
  <c r="N210" i="8" s="1"/>
  <c r="O210" i="8" s="1"/>
  <c r="P210" i="8" s="1"/>
  <c r="T559" i="1" s="1"/>
  <c r="G214" i="8"/>
  <c r="F273" i="8"/>
  <c r="F277" i="8"/>
  <c r="W492" i="1"/>
  <c r="U492" i="1"/>
  <c r="V492" i="1"/>
  <c r="X492" i="1"/>
  <c r="J266" i="7"/>
  <c r="K266" i="7" s="1"/>
  <c r="L266" i="7" s="1"/>
  <c r="M266" i="7" s="1"/>
  <c r="N266" i="7" s="1"/>
  <c r="T493" i="1" s="1"/>
  <c r="J270" i="7"/>
  <c r="U442" i="1"/>
  <c r="V442" i="1"/>
  <c r="W442" i="1"/>
  <c r="X442" i="1"/>
  <c r="L252" i="6"/>
  <c r="M252" i="6" s="1"/>
  <c r="N252" i="6" s="1"/>
  <c r="O252" i="6" s="1"/>
  <c r="P252" i="6" s="1"/>
  <c r="T443" i="1" s="1"/>
  <c r="L256" i="6"/>
  <c r="I630" i="4"/>
  <c r="I648" i="4"/>
  <c r="I623" i="4"/>
  <c r="I641" i="4"/>
  <c r="M210" i="4"/>
  <c r="M214" i="4"/>
  <c r="J210" i="4"/>
  <c r="J214" i="4"/>
  <c r="I616" i="4"/>
  <c r="I634" i="4"/>
  <c r="G210" i="4"/>
  <c r="G214" i="4"/>
  <c r="F210" i="4"/>
  <c r="F214" i="4"/>
  <c r="X230" i="1"/>
  <c r="W230" i="1"/>
  <c r="V230" i="1"/>
  <c r="U230" i="1"/>
  <c r="E210" i="4"/>
  <c r="O210" i="4" s="1"/>
  <c r="P210" i="4" s="1"/>
  <c r="Q210" i="4" s="1"/>
  <c r="R210" i="4" s="1"/>
  <c r="T231" i="1" s="1"/>
  <c r="E214" i="4"/>
  <c r="I630" i="3"/>
  <c r="I648" i="3"/>
  <c r="I623" i="3"/>
  <c r="I641" i="3"/>
  <c r="M210" i="3"/>
  <c r="M214" i="3"/>
  <c r="J210" i="3"/>
  <c r="J214" i="3"/>
  <c r="I616" i="3"/>
  <c r="I634" i="3"/>
  <c r="G210" i="3"/>
  <c r="G214" i="3"/>
  <c r="F210" i="3"/>
  <c r="F214" i="3"/>
  <c r="V32" i="1"/>
  <c r="X32" i="1"/>
  <c r="W32" i="1"/>
  <c r="U32" i="1"/>
  <c r="E210" i="3"/>
  <c r="O210" i="3" s="1"/>
  <c r="P210" i="3" s="1"/>
  <c r="Q210" i="3" s="1"/>
  <c r="R210" i="3" s="1"/>
  <c r="T33" i="1" s="1"/>
  <c r="E214" i="3"/>
  <c r="F1099" i="8" l="1"/>
  <c r="F1103" i="8"/>
  <c r="G658" i="8"/>
  <c r="G662" i="8"/>
  <c r="F658" i="8"/>
  <c r="F662" i="8"/>
  <c r="K224" i="8"/>
  <c r="K229" i="8"/>
  <c r="J224" i="8"/>
  <c r="J228" i="8"/>
  <c r="L217" i="8"/>
  <c r="L221" i="8"/>
  <c r="I217" i="8"/>
  <c r="I221" i="8"/>
  <c r="U559" i="1"/>
  <c r="V559" i="1"/>
  <c r="W559" i="1"/>
  <c r="X559" i="1"/>
  <c r="G217" i="8"/>
  <c r="M217" i="8" s="1"/>
  <c r="N217" i="8" s="1"/>
  <c r="O217" i="8" s="1"/>
  <c r="P217" i="8" s="1"/>
  <c r="T560" i="1" s="1"/>
  <c r="G221" i="8"/>
  <c r="F280" i="8"/>
  <c r="F284" i="8"/>
  <c r="F347" i="8"/>
  <c r="F350" i="8" s="1"/>
  <c r="X493" i="1"/>
  <c r="W493" i="1"/>
  <c r="V493" i="1"/>
  <c r="U493" i="1"/>
  <c r="J273" i="7"/>
  <c r="K273" i="7" s="1"/>
  <c r="L273" i="7" s="1"/>
  <c r="M273" i="7" s="1"/>
  <c r="N273" i="7" s="1"/>
  <c r="T494" i="1" s="1"/>
  <c r="J277" i="7"/>
  <c r="U443" i="1"/>
  <c r="V443" i="1"/>
  <c r="W443" i="1"/>
  <c r="X443" i="1"/>
  <c r="L259" i="6"/>
  <c r="M259" i="6" s="1"/>
  <c r="N259" i="6" s="1"/>
  <c r="O259" i="6" s="1"/>
  <c r="P259" i="6" s="1"/>
  <c r="T444" i="1" s="1"/>
  <c r="L263" i="6"/>
  <c r="I651" i="4"/>
  <c r="I669" i="4"/>
  <c r="I644" i="4"/>
  <c r="I662" i="4"/>
  <c r="M217" i="4"/>
  <c r="M221" i="4"/>
  <c r="J217" i="4"/>
  <c r="J221" i="4"/>
  <c r="I637" i="4"/>
  <c r="I655" i="4"/>
  <c r="G217" i="4"/>
  <c r="G221" i="4"/>
  <c r="F217" i="4"/>
  <c r="F221" i="4"/>
  <c r="X231" i="1"/>
  <c r="W231" i="1"/>
  <c r="V231" i="1"/>
  <c r="U231" i="1"/>
  <c r="E217" i="4"/>
  <c r="O217" i="4" s="1"/>
  <c r="P217" i="4" s="1"/>
  <c r="Q217" i="4" s="1"/>
  <c r="R217" i="4" s="1"/>
  <c r="T232" i="1" s="1"/>
  <c r="E221" i="4"/>
  <c r="I651" i="3"/>
  <c r="I669" i="3"/>
  <c r="I644" i="3"/>
  <c r="I662" i="3"/>
  <c r="M217" i="3"/>
  <c r="M221" i="3"/>
  <c r="J217" i="3"/>
  <c r="J221" i="3"/>
  <c r="I637" i="3"/>
  <c r="I655" i="3"/>
  <c r="G217" i="3"/>
  <c r="G221" i="3"/>
  <c r="F217" i="3"/>
  <c r="F221" i="3"/>
  <c r="W33" i="1"/>
  <c r="V33" i="1"/>
  <c r="X33" i="1"/>
  <c r="U33" i="1"/>
  <c r="E217" i="3"/>
  <c r="O217" i="3" s="1"/>
  <c r="P217" i="3" s="1"/>
  <c r="Q217" i="3" s="1"/>
  <c r="R217" i="3" s="1"/>
  <c r="T34" i="1" s="1"/>
  <c r="E221" i="3"/>
  <c r="F1106" i="8" l="1"/>
  <c r="F1110" i="8"/>
  <c r="G665" i="8"/>
  <c r="G669" i="8"/>
  <c r="F665" i="8"/>
  <c r="F669" i="8"/>
  <c r="K231" i="8"/>
  <c r="K236" i="8"/>
  <c r="J231" i="8"/>
  <c r="J235" i="8"/>
  <c r="L224" i="8"/>
  <c r="L228" i="8"/>
  <c r="I224" i="8"/>
  <c r="I228" i="8"/>
  <c r="U560" i="1"/>
  <c r="V560" i="1"/>
  <c r="W560" i="1"/>
  <c r="X560" i="1"/>
  <c r="G224" i="8"/>
  <c r="M224" i="8" s="1"/>
  <c r="N224" i="8" s="1"/>
  <c r="O224" i="8" s="1"/>
  <c r="P224" i="8" s="1"/>
  <c r="T561" i="1" s="1"/>
  <c r="G228" i="8"/>
  <c r="F287" i="8"/>
  <c r="F291" i="8"/>
  <c r="F354" i="8"/>
  <c r="F357" i="8" s="1"/>
  <c r="X494" i="1"/>
  <c r="W494" i="1"/>
  <c r="V494" i="1"/>
  <c r="U494" i="1"/>
  <c r="J280" i="7"/>
  <c r="K280" i="7" s="1"/>
  <c r="L280" i="7" s="1"/>
  <c r="M280" i="7" s="1"/>
  <c r="N280" i="7" s="1"/>
  <c r="T495" i="1" s="1"/>
  <c r="J284" i="7"/>
  <c r="J340" i="7"/>
  <c r="U444" i="1"/>
  <c r="V444" i="1"/>
  <c r="W444" i="1"/>
  <c r="X444" i="1"/>
  <c r="L266" i="6"/>
  <c r="M266" i="6" s="1"/>
  <c r="N266" i="6" s="1"/>
  <c r="O266" i="6" s="1"/>
  <c r="P266" i="6" s="1"/>
  <c r="T445" i="1" s="1"/>
  <c r="L270" i="6"/>
  <c r="I672" i="4"/>
  <c r="I690" i="4"/>
  <c r="I665" i="4"/>
  <c r="I683" i="4"/>
  <c r="M224" i="4"/>
  <c r="M228" i="4"/>
  <c r="J224" i="4"/>
  <c r="J228" i="4"/>
  <c r="I658" i="4"/>
  <c r="I676" i="4"/>
  <c r="G224" i="4"/>
  <c r="G228" i="4"/>
  <c r="F224" i="4"/>
  <c r="F228" i="4"/>
  <c r="W232" i="1"/>
  <c r="U232" i="1"/>
  <c r="X232" i="1"/>
  <c r="V232" i="1"/>
  <c r="E224" i="4"/>
  <c r="O224" i="4" s="1"/>
  <c r="P224" i="4" s="1"/>
  <c r="Q224" i="4" s="1"/>
  <c r="R224" i="4" s="1"/>
  <c r="T233" i="1" s="1"/>
  <c r="E228" i="4"/>
  <c r="I672" i="3"/>
  <c r="I690" i="3"/>
  <c r="I665" i="3"/>
  <c r="I683" i="3"/>
  <c r="M224" i="3"/>
  <c r="M228" i="3"/>
  <c r="J224" i="3"/>
  <c r="J228" i="3"/>
  <c r="I658" i="3"/>
  <c r="I676" i="3"/>
  <c r="G224" i="3"/>
  <c r="G228" i="3"/>
  <c r="F224" i="3"/>
  <c r="F228" i="3"/>
  <c r="V34" i="1"/>
  <c r="W34" i="1"/>
  <c r="X34" i="1"/>
  <c r="U34" i="1"/>
  <c r="E224" i="3"/>
  <c r="O224" i="3" s="1"/>
  <c r="P224" i="3" s="1"/>
  <c r="Q224" i="3" s="1"/>
  <c r="R224" i="3" s="1"/>
  <c r="T35" i="1" s="1"/>
  <c r="E228" i="3"/>
  <c r="F1113" i="8" l="1"/>
  <c r="F1117" i="8"/>
  <c r="G672" i="8"/>
  <c r="G676" i="8"/>
  <c r="F672" i="8"/>
  <c r="F676" i="8"/>
  <c r="K238" i="8"/>
  <c r="K243" i="8"/>
  <c r="J238" i="8"/>
  <c r="J242" i="8"/>
  <c r="L231" i="8"/>
  <c r="L235" i="8"/>
  <c r="I231" i="8"/>
  <c r="I235" i="8"/>
  <c r="U561" i="1"/>
  <c r="V561" i="1"/>
  <c r="X561" i="1"/>
  <c r="W561" i="1"/>
  <c r="G231" i="8"/>
  <c r="M231" i="8" s="1"/>
  <c r="N231" i="8" s="1"/>
  <c r="O231" i="8" s="1"/>
  <c r="P231" i="8" s="1"/>
  <c r="T562" i="1" s="1"/>
  <c r="G235" i="8"/>
  <c r="F294" i="8"/>
  <c r="F361" i="8"/>
  <c r="X495" i="1"/>
  <c r="W495" i="1"/>
  <c r="V495" i="1"/>
  <c r="U495" i="1"/>
  <c r="J287" i="7"/>
  <c r="K287" i="7" s="1"/>
  <c r="L287" i="7" s="1"/>
  <c r="M287" i="7" s="1"/>
  <c r="N287" i="7" s="1"/>
  <c r="T496" i="1" s="1"/>
  <c r="J291" i="7"/>
  <c r="J343" i="7"/>
  <c r="K343" i="7" s="1"/>
  <c r="L343" i="7" s="1"/>
  <c r="M343" i="7" s="1"/>
  <c r="N343" i="7" s="1"/>
  <c r="T504" i="1" s="1"/>
  <c r="J347" i="7"/>
  <c r="U445" i="1"/>
  <c r="V445" i="1"/>
  <c r="W445" i="1"/>
  <c r="X445" i="1"/>
  <c r="L273" i="6"/>
  <c r="M273" i="6" s="1"/>
  <c r="N273" i="6" s="1"/>
  <c r="O273" i="6" s="1"/>
  <c r="P273" i="6" s="1"/>
  <c r="T446" i="1" s="1"/>
  <c r="L277" i="6"/>
  <c r="I693" i="4"/>
  <c r="I711" i="4"/>
  <c r="I686" i="4"/>
  <c r="I704" i="4"/>
  <c r="M231" i="4"/>
  <c r="M235" i="4"/>
  <c r="J231" i="4"/>
  <c r="J235" i="4"/>
  <c r="I679" i="4"/>
  <c r="I697" i="4"/>
  <c r="G231" i="4"/>
  <c r="G235" i="4"/>
  <c r="F231" i="4"/>
  <c r="F235" i="4"/>
  <c r="W233" i="1"/>
  <c r="X233" i="1"/>
  <c r="V233" i="1"/>
  <c r="U233" i="1"/>
  <c r="E231" i="4"/>
  <c r="O231" i="4" s="1"/>
  <c r="P231" i="4" s="1"/>
  <c r="Q231" i="4" s="1"/>
  <c r="R231" i="4" s="1"/>
  <c r="T234" i="1" s="1"/>
  <c r="E235" i="4"/>
  <c r="I693" i="3"/>
  <c r="I711" i="3"/>
  <c r="I686" i="3"/>
  <c r="I704" i="3"/>
  <c r="M231" i="3"/>
  <c r="M235" i="3"/>
  <c r="J231" i="3"/>
  <c r="J235" i="3"/>
  <c r="I679" i="3"/>
  <c r="I697" i="3"/>
  <c r="G231" i="3"/>
  <c r="G235" i="3"/>
  <c r="F231" i="3"/>
  <c r="F235" i="3"/>
  <c r="V35" i="1"/>
  <c r="U35" i="1"/>
  <c r="X35" i="1"/>
  <c r="W35" i="1"/>
  <c r="E231" i="3"/>
  <c r="O231" i="3" s="1"/>
  <c r="P231" i="3" s="1"/>
  <c r="Q231" i="3" s="1"/>
  <c r="R231" i="3" s="1"/>
  <c r="T36" i="1" s="1"/>
  <c r="E235" i="3"/>
  <c r="F1120" i="8" l="1"/>
  <c r="F1124" i="8"/>
  <c r="G679" i="8"/>
  <c r="G683" i="8"/>
  <c r="F679" i="8"/>
  <c r="F683" i="8"/>
  <c r="K245" i="8"/>
  <c r="K250" i="8"/>
  <c r="J245" i="8"/>
  <c r="J249" i="8"/>
  <c r="L238" i="8"/>
  <c r="L242" i="8"/>
  <c r="I238" i="8"/>
  <c r="I242" i="8"/>
  <c r="U562" i="1"/>
  <c r="V562" i="1"/>
  <c r="W562" i="1"/>
  <c r="X562" i="1"/>
  <c r="G238" i="8"/>
  <c r="M238" i="8" s="1"/>
  <c r="N238" i="8" s="1"/>
  <c r="O238" i="8" s="1"/>
  <c r="P238" i="8" s="1"/>
  <c r="T563" i="1" s="1"/>
  <c r="G242" i="8"/>
  <c r="F364" i="8"/>
  <c r="F368" i="8"/>
  <c r="U496" i="1"/>
  <c r="V496" i="1"/>
  <c r="W496" i="1"/>
  <c r="X496" i="1"/>
  <c r="J294" i="7"/>
  <c r="K294" i="7" s="1"/>
  <c r="L294" i="7" s="1"/>
  <c r="M294" i="7" s="1"/>
  <c r="N294" i="7" s="1"/>
  <c r="T497" i="1" s="1"/>
  <c r="J298" i="7"/>
  <c r="U504" i="1"/>
  <c r="V504" i="1"/>
  <c r="W504" i="1"/>
  <c r="X504" i="1"/>
  <c r="J350" i="7"/>
  <c r="K350" i="7" s="1"/>
  <c r="L350" i="7" s="1"/>
  <c r="M350" i="7" s="1"/>
  <c r="N350" i="7" s="1"/>
  <c r="T505" i="1" s="1"/>
  <c r="J354" i="7"/>
  <c r="U446" i="1"/>
  <c r="V446" i="1"/>
  <c r="W446" i="1"/>
  <c r="X446" i="1"/>
  <c r="L280" i="6"/>
  <c r="M280" i="6" s="1"/>
  <c r="N280" i="6" s="1"/>
  <c r="O280" i="6" s="1"/>
  <c r="P280" i="6" s="1"/>
  <c r="T447" i="1" s="1"/>
  <c r="L284" i="6"/>
  <c r="I714" i="4"/>
  <c r="I732" i="4"/>
  <c r="I707" i="4"/>
  <c r="I725" i="4"/>
  <c r="M238" i="4"/>
  <c r="M242" i="4"/>
  <c r="J238" i="4"/>
  <c r="J242" i="4"/>
  <c r="I700" i="4"/>
  <c r="I718" i="4"/>
  <c r="G238" i="4"/>
  <c r="G242" i="4"/>
  <c r="F238" i="4"/>
  <c r="F242" i="4"/>
  <c r="U234" i="1"/>
  <c r="W234" i="1"/>
  <c r="V234" i="1"/>
  <c r="X234" i="1"/>
  <c r="E238" i="4"/>
  <c r="O238" i="4" s="1"/>
  <c r="P238" i="4" s="1"/>
  <c r="Q238" i="4" s="1"/>
  <c r="R238" i="4" s="1"/>
  <c r="T235" i="1" s="1"/>
  <c r="E242" i="4"/>
  <c r="I714" i="3"/>
  <c r="I732" i="3"/>
  <c r="I707" i="3"/>
  <c r="I725" i="3"/>
  <c r="M238" i="3"/>
  <c r="M242" i="3"/>
  <c r="J238" i="3"/>
  <c r="J242" i="3"/>
  <c r="I700" i="3"/>
  <c r="I718" i="3"/>
  <c r="G238" i="3"/>
  <c r="G242" i="3"/>
  <c r="F238" i="3"/>
  <c r="F242" i="3"/>
  <c r="X36" i="1"/>
  <c r="V36" i="1"/>
  <c r="U36" i="1"/>
  <c r="W36" i="1"/>
  <c r="E238" i="3"/>
  <c r="O238" i="3" s="1"/>
  <c r="P238" i="3" s="1"/>
  <c r="Q238" i="3" s="1"/>
  <c r="R238" i="3" s="1"/>
  <c r="T37" i="1" s="1"/>
  <c r="E242" i="3"/>
  <c r="F1127" i="8" l="1"/>
  <c r="F1131" i="8"/>
  <c r="G686" i="8"/>
  <c r="G690" i="8"/>
  <c r="F686" i="8"/>
  <c r="F690" i="8"/>
  <c r="K252" i="8"/>
  <c r="K257" i="8"/>
  <c r="J252" i="8"/>
  <c r="J256" i="8"/>
  <c r="L245" i="8"/>
  <c r="L249" i="8"/>
  <c r="I245" i="8"/>
  <c r="I249" i="8"/>
  <c r="U563" i="1"/>
  <c r="W563" i="1"/>
  <c r="X563" i="1"/>
  <c r="V563" i="1"/>
  <c r="G245" i="8"/>
  <c r="M245" i="8" s="1"/>
  <c r="N245" i="8" s="1"/>
  <c r="O245" i="8" s="1"/>
  <c r="P245" i="8" s="1"/>
  <c r="T564" i="1" s="1"/>
  <c r="G249" i="8"/>
  <c r="F371" i="8"/>
  <c r="F375" i="8"/>
  <c r="U497" i="1"/>
  <c r="V497" i="1"/>
  <c r="W497" i="1"/>
  <c r="X497" i="1"/>
  <c r="J301" i="7"/>
  <c r="K301" i="7" s="1"/>
  <c r="L301" i="7" s="1"/>
  <c r="M301" i="7" s="1"/>
  <c r="N301" i="7" s="1"/>
  <c r="T498" i="1" s="1"/>
  <c r="J305" i="7"/>
  <c r="U505" i="1"/>
  <c r="V505" i="1"/>
  <c r="W505" i="1"/>
  <c r="X505" i="1"/>
  <c r="J357" i="7"/>
  <c r="K357" i="7" s="1"/>
  <c r="L357" i="7" s="1"/>
  <c r="M357" i="7" s="1"/>
  <c r="N357" i="7" s="1"/>
  <c r="T506" i="1" s="1"/>
  <c r="J361" i="7"/>
  <c r="U447" i="1"/>
  <c r="V447" i="1"/>
  <c r="W447" i="1"/>
  <c r="X447" i="1"/>
  <c r="L287" i="6"/>
  <c r="M287" i="6" s="1"/>
  <c r="N287" i="6" s="1"/>
  <c r="O287" i="6" s="1"/>
  <c r="P287" i="6" s="1"/>
  <c r="T448" i="1" s="1"/>
  <c r="L291" i="6"/>
  <c r="I735" i="4"/>
  <c r="I753" i="4"/>
  <c r="I728" i="4"/>
  <c r="I746" i="4"/>
  <c r="M245" i="4"/>
  <c r="M249" i="4"/>
  <c r="J245" i="4"/>
  <c r="J249" i="4"/>
  <c r="I721" i="4"/>
  <c r="I739" i="4"/>
  <c r="G245" i="4"/>
  <c r="G249" i="4"/>
  <c r="F245" i="4"/>
  <c r="F249" i="4"/>
  <c r="U235" i="1"/>
  <c r="W235" i="1"/>
  <c r="X235" i="1"/>
  <c r="V235" i="1"/>
  <c r="E245" i="4"/>
  <c r="E249" i="4"/>
  <c r="I735" i="3"/>
  <c r="I753" i="3"/>
  <c r="I728" i="3"/>
  <c r="I746" i="3"/>
  <c r="M245" i="3"/>
  <c r="M249" i="3"/>
  <c r="J245" i="3"/>
  <c r="J249" i="3"/>
  <c r="I721" i="3"/>
  <c r="I739" i="3"/>
  <c r="G245" i="3"/>
  <c r="G249" i="3"/>
  <c r="F245" i="3"/>
  <c r="F249" i="3"/>
  <c r="W37" i="1"/>
  <c r="U37" i="1"/>
  <c r="X37" i="1"/>
  <c r="V37" i="1"/>
  <c r="E245" i="3"/>
  <c r="O245" i="3" s="1"/>
  <c r="P245" i="3" s="1"/>
  <c r="Q245" i="3" s="1"/>
  <c r="R245" i="3" s="1"/>
  <c r="T38" i="1" s="1"/>
  <c r="E249" i="3"/>
  <c r="F1134" i="8" l="1"/>
  <c r="F1138" i="8"/>
  <c r="G693" i="8"/>
  <c r="G697" i="8"/>
  <c r="F693" i="8"/>
  <c r="F697" i="8"/>
  <c r="K259" i="8"/>
  <c r="K264" i="8"/>
  <c r="J259" i="8"/>
  <c r="J263" i="8"/>
  <c r="L252" i="8"/>
  <c r="L256" i="8"/>
  <c r="I252" i="8"/>
  <c r="I256" i="8"/>
  <c r="U564" i="1"/>
  <c r="V564" i="1"/>
  <c r="W564" i="1"/>
  <c r="X564" i="1"/>
  <c r="G252" i="8"/>
  <c r="M252" i="8" s="1"/>
  <c r="N252" i="8" s="1"/>
  <c r="O252" i="8" s="1"/>
  <c r="P252" i="8" s="1"/>
  <c r="T565" i="1" s="1"/>
  <c r="G256" i="8"/>
  <c r="F378" i="8"/>
  <c r="F382" i="8"/>
  <c r="U498" i="1"/>
  <c r="V498" i="1"/>
  <c r="W498" i="1"/>
  <c r="X498" i="1"/>
  <c r="J308" i="7"/>
  <c r="K308" i="7" s="1"/>
  <c r="L308" i="7" s="1"/>
  <c r="M308" i="7" s="1"/>
  <c r="N308" i="7" s="1"/>
  <c r="T499" i="1" s="1"/>
  <c r="J312" i="7"/>
  <c r="U506" i="1"/>
  <c r="V506" i="1"/>
  <c r="W506" i="1"/>
  <c r="X506" i="1"/>
  <c r="J364" i="7"/>
  <c r="K364" i="7" s="1"/>
  <c r="L364" i="7" s="1"/>
  <c r="M364" i="7" s="1"/>
  <c r="N364" i="7" s="1"/>
  <c r="T507" i="1" s="1"/>
  <c r="J368" i="7"/>
  <c r="U448" i="1"/>
  <c r="V448" i="1"/>
  <c r="W448" i="1"/>
  <c r="X448" i="1"/>
  <c r="L294" i="6"/>
  <c r="M294" i="6" s="1"/>
  <c r="N294" i="6" s="1"/>
  <c r="O294" i="6" s="1"/>
  <c r="P294" i="6" s="1"/>
  <c r="T449" i="1" s="1"/>
  <c r="L298" i="6"/>
  <c r="I756" i="4"/>
  <c r="I774" i="4"/>
  <c r="I749" i="4"/>
  <c r="I767" i="4"/>
  <c r="M252" i="4"/>
  <c r="M256" i="4"/>
  <c r="J252" i="4"/>
  <c r="J256" i="4"/>
  <c r="I742" i="4"/>
  <c r="I760" i="4"/>
  <c r="G252" i="4"/>
  <c r="G256" i="4"/>
  <c r="F252" i="4"/>
  <c r="F256" i="4"/>
  <c r="E252" i="4"/>
  <c r="E256" i="4"/>
  <c r="I756" i="3"/>
  <c r="I774" i="3"/>
  <c r="I749" i="3"/>
  <c r="I767" i="3"/>
  <c r="M252" i="3"/>
  <c r="M256" i="3"/>
  <c r="J252" i="3"/>
  <c r="J256" i="3"/>
  <c r="I742" i="3"/>
  <c r="I760" i="3"/>
  <c r="G252" i="3"/>
  <c r="G256" i="3"/>
  <c r="F252" i="3"/>
  <c r="F256" i="3"/>
  <c r="X38" i="1"/>
  <c r="U38" i="1"/>
  <c r="V38" i="1"/>
  <c r="W38" i="1"/>
  <c r="E252" i="3"/>
  <c r="O252" i="3" s="1"/>
  <c r="P252" i="3" s="1"/>
  <c r="Q252" i="3" s="1"/>
  <c r="R252" i="3" s="1"/>
  <c r="T39" i="1" s="1"/>
  <c r="E256" i="3"/>
  <c r="O245" i="4"/>
  <c r="P245" i="4" s="1"/>
  <c r="Q245" i="4" s="1"/>
  <c r="R245" i="4" s="1"/>
  <c r="T236" i="1" s="1"/>
  <c r="F1141" i="8" l="1"/>
  <c r="F1145" i="8"/>
  <c r="G700" i="8"/>
  <c r="G704" i="8"/>
  <c r="F700" i="8"/>
  <c r="F704" i="8"/>
  <c r="K266" i="8"/>
  <c r="K271" i="8"/>
  <c r="J266" i="8"/>
  <c r="J270" i="8"/>
  <c r="L259" i="8"/>
  <c r="L263" i="8"/>
  <c r="I259" i="8"/>
  <c r="I263" i="8"/>
  <c r="U565" i="1"/>
  <c r="V565" i="1"/>
  <c r="W565" i="1"/>
  <c r="X565" i="1"/>
  <c r="G259" i="8"/>
  <c r="M259" i="8" s="1"/>
  <c r="N259" i="8" s="1"/>
  <c r="O259" i="8" s="1"/>
  <c r="P259" i="8" s="1"/>
  <c r="T566" i="1" s="1"/>
  <c r="G263" i="8"/>
  <c r="F385" i="8"/>
  <c r="F389" i="8"/>
  <c r="U499" i="1"/>
  <c r="V499" i="1"/>
  <c r="W499" i="1"/>
  <c r="X499" i="1"/>
  <c r="J315" i="7"/>
  <c r="K315" i="7" s="1"/>
  <c r="L315" i="7" s="1"/>
  <c r="M315" i="7" s="1"/>
  <c r="N315" i="7" s="1"/>
  <c r="T500" i="1" s="1"/>
  <c r="J319" i="7"/>
  <c r="U507" i="1"/>
  <c r="V507" i="1"/>
  <c r="W507" i="1"/>
  <c r="X507" i="1"/>
  <c r="J371" i="7"/>
  <c r="K371" i="7" s="1"/>
  <c r="L371" i="7" s="1"/>
  <c r="M371" i="7" s="1"/>
  <c r="N371" i="7" s="1"/>
  <c r="T508" i="1" s="1"/>
  <c r="J375" i="7"/>
  <c r="U449" i="1"/>
  <c r="V449" i="1"/>
  <c r="W449" i="1"/>
  <c r="X449" i="1"/>
  <c r="L301" i="6"/>
  <c r="M301" i="6" s="1"/>
  <c r="N301" i="6" s="1"/>
  <c r="O301" i="6" s="1"/>
  <c r="P301" i="6" s="1"/>
  <c r="T450" i="1" s="1"/>
  <c r="L305" i="6"/>
  <c r="I777" i="4"/>
  <c r="I795" i="4"/>
  <c r="I770" i="4"/>
  <c r="I788" i="4"/>
  <c r="M259" i="4"/>
  <c r="M263" i="4"/>
  <c r="J259" i="4"/>
  <c r="J263" i="4"/>
  <c r="I763" i="4"/>
  <c r="I781" i="4"/>
  <c r="G259" i="4"/>
  <c r="G263" i="4"/>
  <c r="F259" i="4"/>
  <c r="F263" i="4"/>
  <c r="E259" i="4"/>
  <c r="O259" i="4" s="1"/>
  <c r="P259" i="4" s="1"/>
  <c r="Q259" i="4" s="1"/>
  <c r="R259" i="4" s="1"/>
  <c r="T238" i="1" s="1"/>
  <c r="E263" i="4"/>
  <c r="I777" i="3"/>
  <c r="I795" i="3"/>
  <c r="I770" i="3"/>
  <c r="I788" i="3"/>
  <c r="M259" i="3"/>
  <c r="M263" i="3"/>
  <c r="J259" i="3"/>
  <c r="J263" i="3"/>
  <c r="I763" i="3"/>
  <c r="I781" i="3"/>
  <c r="G259" i="3"/>
  <c r="G263" i="3"/>
  <c r="F259" i="3"/>
  <c r="F263" i="3"/>
  <c r="V39" i="1"/>
  <c r="U39" i="1"/>
  <c r="X39" i="1"/>
  <c r="W39" i="1"/>
  <c r="E259" i="3"/>
  <c r="O259" i="3" s="1"/>
  <c r="P259" i="3" s="1"/>
  <c r="Q259" i="3" s="1"/>
  <c r="R259" i="3" s="1"/>
  <c r="T40" i="1" s="1"/>
  <c r="E263" i="3"/>
  <c r="W236" i="1"/>
  <c r="U236" i="1"/>
  <c r="X236" i="1"/>
  <c r="V236" i="1"/>
  <c r="O252" i="4"/>
  <c r="P252" i="4" s="1"/>
  <c r="Q252" i="4" s="1"/>
  <c r="R252" i="4" s="1"/>
  <c r="T237" i="1" s="1"/>
  <c r="F1148" i="8" l="1"/>
  <c r="F1152" i="8"/>
  <c r="G707" i="8"/>
  <c r="G711" i="8"/>
  <c r="F707" i="8"/>
  <c r="F711" i="8"/>
  <c r="K273" i="8"/>
  <c r="K278" i="8"/>
  <c r="J273" i="8"/>
  <c r="J277" i="8"/>
  <c r="L266" i="8"/>
  <c r="L270" i="8"/>
  <c r="I266" i="8"/>
  <c r="I270" i="8"/>
  <c r="U566" i="1"/>
  <c r="V566" i="1"/>
  <c r="W566" i="1"/>
  <c r="X566" i="1"/>
  <c r="G266" i="8"/>
  <c r="M266" i="8" s="1"/>
  <c r="N266" i="8" s="1"/>
  <c r="O266" i="8" s="1"/>
  <c r="P266" i="8" s="1"/>
  <c r="T567" i="1" s="1"/>
  <c r="G270" i="8"/>
  <c r="F392" i="8"/>
  <c r="F396" i="8"/>
  <c r="X500" i="1"/>
  <c r="U500" i="1"/>
  <c r="V500" i="1"/>
  <c r="W500" i="1"/>
  <c r="J322" i="7"/>
  <c r="K322" i="7" s="1"/>
  <c r="L322" i="7" s="1"/>
  <c r="M322" i="7" s="1"/>
  <c r="N322" i="7" s="1"/>
  <c r="T501" i="1" s="1"/>
  <c r="J326" i="7"/>
  <c r="U508" i="1"/>
  <c r="V508" i="1"/>
  <c r="W508" i="1"/>
  <c r="X508" i="1"/>
  <c r="J378" i="7"/>
  <c r="K378" i="7" s="1"/>
  <c r="L378" i="7" s="1"/>
  <c r="M378" i="7" s="1"/>
  <c r="N378" i="7" s="1"/>
  <c r="T509" i="1" s="1"/>
  <c r="J382" i="7"/>
  <c r="U450" i="1"/>
  <c r="V450" i="1"/>
  <c r="W450" i="1"/>
  <c r="X450" i="1"/>
  <c r="L308" i="6"/>
  <c r="M308" i="6" s="1"/>
  <c r="N308" i="6" s="1"/>
  <c r="O308" i="6" s="1"/>
  <c r="P308" i="6" s="1"/>
  <c r="T451" i="1" s="1"/>
  <c r="L312" i="6"/>
  <c r="I798" i="4"/>
  <c r="I816" i="4"/>
  <c r="I791" i="4"/>
  <c r="I809" i="4"/>
  <c r="M266" i="4"/>
  <c r="M270" i="4"/>
  <c r="J266" i="4"/>
  <c r="J270" i="4"/>
  <c r="I784" i="4"/>
  <c r="I802" i="4"/>
  <c r="G266" i="4"/>
  <c r="G270" i="4"/>
  <c r="F266" i="4"/>
  <c r="F270" i="4"/>
  <c r="U238" i="1"/>
  <c r="V238" i="1"/>
  <c r="W238" i="1"/>
  <c r="X238" i="1"/>
  <c r="E266" i="4"/>
  <c r="O266" i="4" s="1"/>
  <c r="P266" i="4" s="1"/>
  <c r="Q266" i="4" s="1"/>
  <c r="R266" i="4" s="1"/>
  <c r="T239" i="1" s="1"/>
  <c r="E270" i="4"/>
  <c r="I798" i="3"/>
  <c r="I816" i="3"/>
  <c r="I791" i="3"/>
  <c r="I809" i="3"/>
  <c r="M266" i="3"/>
  <c r="M270" i="3"/>
  <c r="J266" i="3"/>
  <c r="J270" i="3"/>
  <c r="I784" i="3"/>
  <c r="I802" i="3"/>
  <c r="G266" i="3"/>
  <c r="G270" i="3"/>
  <c r="F266" i="3"/>
  <c r="F270" i="3"/>
  <c r="V40" i="1"/>
  <c r="X40" i="1"/>
  <c r="W40" i="1"/>
  <c r="U40" i="1"/>
  <c r="E266" i="3"/>
  <c r="O266" i="3" s="1"/>
  <c r="P266" i="3" s="1"/>
  <c r="Q266" i="3" s="1"/>
  <c r="R266" i="3" s="1"/>
  <c r="T41" i="1" s="1"/>
  <c r="E270" i="3"/>
  <c r="V237" i="1"/>
  <c r="X237" i="1"/>
  <c r="W237" i="1"/>
  <c r="U237" i="1"/>
  <c r="F1155" i="8" l="1"/>
  <c r="F1159" i="8"/>
  <c r="G714" i="8"/>
  <c r="G718" i="8"/>
  <c r="F714" i="8"/>
  <c r="F718" i="8"/>
  <c r="K280" i="8"/>
  <c r="K285" i="8"/>
  <c r="J280" i="8"/>
  <c r="J284" i="8"/>
  <c r="L273" i="8"/>
  <c r="L277" i="8"/>
  <c r="I273" i="8"/>
  <c r="I277" i="8"/>
  <c r="V567" i="1"/>
  <c r="W567" i="1"/>
  <c r="X567" i="1"/>
  <c r="U567" i="1"/>
  <c r="G273" i="8"/>
  <c r="M273" i="8" s="1"/>
  <c r="N273" i="8" s="1"/>
  <c r="O273" i="8" s="1"/>
  <c r="P273" i="8" s="1"/>
  <c r="T568" i="1" s="1"/>
  <c r="G277" i="8"/>
  <c r="F399" i="8"/>
  <c r="F403" i="8"/>
  <c r="X501" i="1"/>
  <c r="W501" i="1"/>
  <c r="V501" i="1"/>
  <c r="U501" i="1"/>
  <c r="J329" i="7"/>
  <c r="K329" i="7" s="1"/>
  <c r="L329" i="7" s="1"/>
  <c r="M329" i="7" s="1"/>
  <c r="N329" i="7" s="1"/>
  <c r="T502" i="1" s="1"/>
  <c r="J333" i="7"/>
  <c r="J336" i="7" s="1"/>
  <c r="K336" i="7" s="1"/>
  <c r="L336" i="7" s="1"/>
  <c r="M336" i="7" s="1"/>
  <c r="N336" i="7" s="1"/>
  <c r="T503" i="1" s="1"/>
  <c r="X509" i="1"/>
  <c r="W509" i="1"/>
  <c r="V509" i="1"/>
  <c r="U509" i="1"/>
  <c r="J385" i="7"/>
  <c r="K385" i="7" s="1"/>
  <c r="L385" i="7" s="1"/>
  <c r="M385" i="7" s="1"/>
  <c r="N385" i="7" s="1"/>
  <c r="T510" i="1" s="1"/>
  <c r="J389" i="7"/>
  <c r="X451" i="1"/>
  <c r="W451" i="1"/>
  <c r="V451" i="1"/>
  <c r="U451" i="1"/>
  <c r="L315" i="6"/>
  <c r="M315" i="6" s="1"/>
  <c r="N315" i="6" s="1"/>
  <c r="O315" i="6" s="1"/>
  <c r="P315" i="6" s="1"/>
  <c r="T452" i="1" s="1"/>
  <c r="L319" i="6"/>
  <c r="I819" i="4"/>
  <c r="I837" i="4"/>
  <c r="I812" i="4"/>
  <c r="I830" i="4"/>
  <c r="M273" i="4"/>
  <c r="M277" i="4"/>
  <c r="J273" i="4"/>
  <c r="J277" i="4"/>
  <c r="I805" i="4"/>
  <c r="I823" i="4"/>
  <c r="G273" i="4"/>
  <c r="G277" i="4"/>
  <c r="F273" i="4"/>
  <c r="F277" i="4"/>
  <c r="U239" i="1"/>
  <c r="V239" i="1"/>
  <c r="W239" i="1"/>
  <c r="X239" i="1"/>
  <c r="E273" i="4"/>
  <c r="O273" i="4" s="1"/>
  <c r="P273" i="4" s="1"/>
  <c r="Q273" i="4" s="1"/>
  <c r="R273" i="4" s="1"/>
  <c r="T240" i="1" s="1"/>
  <c r="E277" i="4"/>
  <c r="I819" i="3"/>
  <c r="I837" i="3"/>
  <c r="I812" i="3"/>
  <c r="I830" i="3"/>
  <c r="M273" i="3"/>
  <c r="M277" i="3"/>
  <c r="J273" i="3"/>
  <c r="J277" i="3"/>
  <c r="I805" i="3"/>
  <c r="I823" i="3"/>
  <c r="G273" i="3"/>
  <c r="G277" i="3"/>
  <c r="F273" i="3"/>
  <c r="F277" i="3"/>
  <c r="U41" i="1"/>
  <c r="X41" i="1"/>
  <c r="W41" i="1"/>
  <c r="V41" i="1"/>
  <c r="E273" i="3"/>
  <c r="O273" i="3" s="1"/>
  <c r="P273" i="3" s="1"/>
  <c r="Q273" i="3" s="1"/>
  <c r="R273" i="3" s="1"/>
  <c r="T42" i="1" s="1"/>
  <c r="E277" i="3"/>
  <c r="F1162" i="8" l="1"/>
  <c r="F1166" i="8"/>
  <c r="G721" i="8"/>
  <c r="G725" i="8"/>
  <c r="F721" i="8"/>
  <c r="F725" i="8"/>
  <c r="K287" i="8"/>
  <c r="K292" i="8"/>
  <c r="J287" i="8"/>
  <c r="J291" i="8"/>
  <c r="L280" i="8"/>
  <c r="L284" i="8"/>
  <c r="I280" i="8"/>
  <c r="I284" i="8"/>
  <c r="U568" i="1"/>
  <c r="V568" i="1"/>
  <c r="W568" i="1"/>
  <c r="X568" i="1"/>
  <c r="G280" i="8"/>
  <c r="M280" i="8" s="1"/>
  <c r="N280" i="8" s="1"/>
  <c r="O280" i="8" s="1"/>
  <c r="P280" i="8" s="1"/>
  <c r="T569" i="1" s="1"/>
  <c r="G284" i="8"/>
  <c r="F406" i="8"/>
  <c r="F410" i="8"/>
  <c r="X502" i="1"/>
  <c r="W502" i="1"/>
  <c r="V502" i="1"/>
  <c r="U502" i="1"/>
  <c r="X503" i="1"/>
  <c r="W503" i="1"/>
  <c r="V503" i="1"/>
  <c r="U503" i="1"/>
  <c r="U510" i="1"/>
  <c r="V510" i="1"/>
  <c r="W510" i="1"/>
  <c r="X510" i="1"/>
  <c r="J392" i="7"/>
  <c r="K392" i="7" s="1"/>
  <c r="L392" i="7" s="1"/>
  <c r="M392" i="7" s="1"/>
  <c r="N392" i="7" s="1"/>
  <c r="T511" i="1" s="1"/>
  <c r="J396" i="7"/>
  <c r="U452" i="1"/>
  <c r="V452" i="1"/>
  <c r="W452" i="1"/>
  <c r="X452" i="1"/>
  <c r="L322" i="6"/>
  <c r="M322" i="6" s="1"/>
  <c r="N322" i="6" s="1"/>
  <c r="O322" i="6" s="1"/>
  <c r="P322" i="6" s="1"/>
  <c r="T453" i="1" s="1"/>
  <c r="L326" i="6"/>
  <c r="I840" i="4"/>
  <c r="I858" i="4"/>
  <c r="I833" i="4"/>
  <c r="I851" i="4"/>
  <c r="M280" i="4"/>
  <c r="M284" i="4"/>
  <c r="J280" i="4"/>
  <c r="J284" i="4"/>
  <c r="I826" i="4"/>
  <c r="I844" i="4"/>
  <c r="G280" i="4"/>
  <c r="G284" i="4"/>
  <c r="F280" i="4"/>
  <c r="F284" i="4"/>
  <c r="U240" i="1"/>
  <c r="V240" i="1"/>
  <c r="W240" i="1"/>
  <c r="X240" i="1"/>
  <c r="E280" i="4"/>
  <c r="O280" i="4" s="1"/>
  <c r="P280" i="4" s="1"/>
  <c r="Q280" i="4" s="1"/>
  <c r="R280" i="4" s="1"/>
  <c r="T241" i="1" s="1"/>
  <c r="E284" i="4"/>
  <c r="I840" i="3"/>
  <c r="I858" i="3"/>
  <c r="I833" i="3"/>
  <c r="I851" i="3"/>
  <c r="M280" i="3"/>
  <c r="M284" i="3"/>
  <c r="J280" i="3"/>
  <c r="J284" i="3"/>
  <c r="I826" i="3"/>
  <c r="I844" i="3"/>
  <c r="G280" i="3"/>
  <c r="G284" i="3"/>
  <c r="F280" i="3"/>
  <c r="F284" i="3"/>
  <c r="U42" i="1"/>
  <c r="W42" i="1"/>
  <c r="V42" i="1"/>
  <c r="X42" i="1"/>
  <c r="E280" i="3"/>
  <c r="E284" i="3"/>
  <c r="F1169" i="8" l="1"/>
  <c r="F1173" i="8"/>
  <c r="G728" i="8"/>
  <c r="G732" i="8"/>
  <c r="F728" i="8"/>
  <c r="F732" i="8"/>
  <c r="K294" i="8"/>
  <c r="K299" i="8"/>
  <c r="J294" i="8"/>
  <c r="J298" i="8"/>
  <c r="L287" i="8"/>
  <c r="L291" i="8"/>
  <c r="I287" i="8"/>
  <c r="I291" i="8"/>
  <c r="U569" i="1"/>
  <c r="V569" i="1"/>
  <c r="W569" i="1"/>
  <c r="X569" i="1"/>
  <c r="G287" i="8"/>
  <c r="M287" i="8" s="1"/>
  <c r="N287" i="8" s="1"/>
  <c r="O287" i="8" s="1"/>
  <c r="P287" i="8" s="1"/>
  <c r="T570" i="1" s="1"/>
  <c r="G291" i="8"/>
  <c r="F413" i="8"/>
  <c r="F417" i="8"/>
  <c r="U511" i="1"/>
  <c r="V511" i="1"/>
  <c r="W511" i="1"/>
  <c r="X511" i="1"/>
  <c r="J399" i="7"/>
  <c r="K399" i="7" s="1"/>
  <c r="L399" i="7" s="1"/>
  <c r="M399" i="7" s="1"/>
  <c r="N399" i="7" s="1"/>
  <c r="T512" i="1" s="1"/>
  <c r="J403" i="7"/>
  <c r="X453" i="1"/>
  <c r="W453" i="1"/>
  <c r="V453" i="1"/>
  <c r="U453" i="1"/>
  <c r="L329" i="6"/>
  <c r="M329" i="6" s="1"/>
  <c r="N329" i="6" s="1"/>
  <c r="O329" i="6" s="1"/>
  <c r="P329" i="6" s="1"/>
  <c r="T454" i="1" s="1"/>
  <c r="L333" i="6"/>
  <c r="L336" i="6" s="1"/>
  <c r="M336" i="6" s="1"/>
  <c r="N336" i="6" s="1"/>
  <c r="O336" i="6" s="1"/>
  <c r="P336" i="6" s="1"/>
  <c r="T455" i="1" s="1"/>
  <c r="I861" i="4"/>
  <c r="I879" i="4"/>
  <c r="I854" i="4"/>
  <c r="I872" i="4"/>
  <c r="M287" i="4"/>
  <c r="M291" i="4"/>
  <c r="J287" i="4"/>
  <c r="J291" i="4"/>
  <c r="I847" i="4"/>
  <c r="I865" i="4"/>
  <c r="G287" i="4"/>
  <c r="G291" i="4"/>
  <c r="F287" i="4"/>
  <c r="F291" i="4"/>
  <c r="U241" i="1"/>
  <c r="V241" i="1"/>
  <c r="W241" i="1"/>
  <c r="X241" i="1"/>
  <c r="E287" i="4"/>
  <c r="O287" i="4" s="1"/>
  <c r="P287" i="4" s="1"/>
  <c r="Q287" i="4" s="1"/>
  <c r="R287" i="4" s="1"/>
  <c r="T242" i="1" s="1"/>
  <c r="E291" i="4"/>
  <c r="I861" i="3"/>
  <c r="I879" i="3"/>
  <c r="I854" i="3"/>
  <c r="I872" i="3"/>
  <c r="M287" i="3"/>
  <c r="M291" i="3"/>
  <c r="J287" i="3"/>
  <c r="J291" i="3"/>
  <c r="I847" i="3"/>
  <c r="I865" i="3"/>
  <c r="G287" i="3"/>
  <c r="G291" i="3"/>
  <c r="F287" i="3"/>
  <c r="F291" i="3"/>
  <c r="E287" i="3"/>
  <c r="O287" i="3" s="1"/>
  <c r="P287" i="3" s="1"/>
  <c r="Q287" i="3" s="1"/>
  <c r="R287" i="3" s="1"/>
  <c r="T44" i="1" s="1"/>
  <c r="E291" i="3"/>
  <c r="O280" i="3"/>
  <c r="P280" i="3" s="1"/>
  <c r="Q280" i="3" s="1"/>
  <c r="R280" i="3" s="1"/>
  <c r="T43" i="1" s="1"/>
  <c r="F1176" i="8" l="1"/>
  <c r="F1180" i="8"/>
  <c r="G735" i="8"/>
  <c r="G739" i="8"/>
  <c r="F735" i="8"/>
  <c r="F739" i="8"/>
  <c r="K301" i="8"/>
  <c r="K306" i="8"/>
  <c r="J301" i="8"/>
  <c r="J305" i="8"/>
  <c r="L294" i="8"/>
  <c r="L298" i="8"/>
  <c r="I294" i="8"/>
  <c r="I298" i="8"/>
  <c r="U570" i="1"/>
  <c r="V570" i="1"/>
  <c r="W570" i="1"/>
  <c r="X570" i="1"/>
  <c r="G294" i="8"/>
  <c r="M294" i="8" s="1"/>
  <c r="N294" i="8" s="1"/>
  <c r="O294" i="8" s="1"/>
  <c r="P294" i="8" s="1"/>
  <c r="T571" i="1" s="1"/>
  <c r="G298" i="8"/>
  <c r="F420" i="8"/>
  <c r="F424" i="8"/>
  <c r="X512" i="1"/>
  <c r="W512" i="1"/>
  <c r="V512" i="1"/>
  <c r="U512" i="1"/>
  <c r="J406" i="7"/>
  <c r="K406" i="7" s="1"/>
  <c r="L406" i="7" s="1"/>
  <c r="M406" i="7" s="1"/>
  <c r="N406" i="7" s="1"/>
  <c r="T513" i="1" s="1"/>
  <c r="J410" i="7"/>
  <c r="U454" i="1"/>
  <c r="V454" i="1"/>
  <c r="W454" i="1"/>
  <c r="X454" i="1"/>
  <c r="U455" i="1"/>
  <c r="V455" i="1"/>
  <c r="W455" i="1"/>
  <c r="X455" i="1"/>
  <c r="I882" i="4"/>
  <c r="I900" i="4"/>
  <c r="I875" i="4"/>
  <c r="I893" i="4"/>
  <c r="M294" i="4"/>
  <c r="M298" i="4"/>
  <c r="J294" i="4"/>
  <c r="J298" i="4"/>
  <c r="I868" i="4"/>
  <c r="I886" i="4"/>
  <c r="G294" i="4"/>
  <c r="G298" i="4"/>
  <c r="F294" i="4"/>
  <c r="F298" i="4"/>
  <c r="U242" i="1"/>
  <c r="V242" i="1"/>
  <c r="W242" i="1"/>
  <c r="X242" i="1"/>
  <c r="E294" i="4"/>
  <c r="E298" i="4"/>
  <c r="I882" i="3"/>
  <c r="I900" i="3"/>
  <c r="I875" i="3"/>
  <c r="I893" i="3"/>
  <c r="M294" i="3"/>
  <c r="M298" i="3"/>
  <c r="J294" i="3"/>
  <c r="J298" i="3"/>
  <c r="I868" i="3"/>
  <c r="I886" i="3"/>
  <c r="G294" i="3"/>
  <c r="G298" i="3"/>
  <c r="F294" i="3"/>
  <c r="F298" i="3"/>
  <c r="W44" i="1"/>
  <c r="V44" i="1"/>
  <c r="U44" i="1"/>
  <c r="X44" i="1"/>
  <c r="E294" i="3"/>
  <c r="O294" i="3" s="1"/>
  <c r="P294" i="3" s="1"/>
  <c r="Q294" i="3" s="1"/>
  <c r="R294" i="3" s="1"/>
  <c r="T45" i="1" s="1"/>
  <c r="E298" i="3"/>
  <c r="W43" i="1"/>
  <c r="U43" i="1"/>
  <c r="X43" i="1"/>
  <c r="V43" i="1"/>
  <c r="F1183" i="8" l="1"/>
  <c r="F1187" i="8"/>
  <c r="G742" i="8"/>
  <c r="G746" i="8"/>
  <c r="F742" i="8"/>
  <c r="F746" i="8"/>
  <c r="K308" i="8"/>
  <c r="K313" i="8"/>
  <c r="J308" i="8"/>
  <c r="J312" i="8"/>
  <c r="L301" i="8"/>
  <c r="L305" i="8"/>
  <c r="I301" i="8"/>
  <c r="I305" i="8"/>
  <c r="U571" i="1"/>
  <c r="V571" i="1"/>
  <c r="W571" i="1"/>
  <c r="X571" i="1"/>
  <c r="G301" i="8"/>
  <c r="M301" i="8" s="1"/>
  <c r="N301" i="8" s="1"/>
  <c r="O301" i="8" s="1"/>
  <c r="P301" i="8" s="1"/>
  <c r="T572" i="1" s="1"/>
  <c r="G305" i="8"/>
  <c r="F427" i="8"/>
  <c r="F431" i="8"/>
  <c r="U513" i="1"/>
  <c r="V513" i="1"/>
  <c r="W513" i="1"/>
  <c r="X513" i="1"/>
  <c r="J413" i="7"/>
  <c r="K413" i="7" s="1"/>
  <c r="L413" i="7" s="1"/>
  <c r="M413" i="7" s="1"/>
  <c r="N413" i="7" s="1"/>
  <c r="T514" i="1" s="1"/>
  <c r="J417" i="7"/>
  <c r="I903" i="4"/>
  <c r="I921" i="4"/>
  <c r="I896" i="4"/>
  <c r="I914" i="4"/>
  <c r="M301" i="4"/>
  <c r="M305" i="4"/>
  <c r="J301" i="4"/>
  <c r="J305" i="4"/>
  <c r="I889" i="4"/>
  <c r="I907" i="4"/>
  <c r="G301" i="4"/>
  <c r="G305" i="4"/>
  <c r="F301" i="4"/>
  <c r="F305" i="4"/>
  <c r="E301" i="4"/>
  <c r="E305" i="4"/>
  <c r="I903" i="3"/>
  <c r="I921" i="3"/>
  <c r="I896" i="3"/>
  <c r="I914" i="3"/>
  <c r="M301" i="3"/>
  <c r="M305" i="3"/>
  <c r="J301" i="3"/>
  <c r="J305" i="3"/>
  <c r="I889" i="3"/>
  <c r="I907" i="3"/>
  <c r="G301" i="3"/>
  <c r="G305" i="3"/>
  <c r="F301" i="3"/>
  <c r="F305" i="3"/>
  <c r="V45" i="1"/>
  <c r="X45" i="1"/>
  <c r="W45" i="1"/>
  <c r="U45" i="1"/>
  <c r="E301" i="3"/>
  <c r="O301" i="3" s="1"/>
  <c r="P301" i="3" s="1"/>
  <c r="Q301" i="3" s="1"/>
  <c r="R301" i="3" s="1"/>
  <c r="T46" i="1" s="1"/>
  <c r="E305" i="3"/>
  <c r="O294" i="4"/>
  <c r="P294" i="4" s="1"/>
  <c r="Q294" i="4" s="1"/>
  <c r="R294" i="4" s="1"/>
  <c r="T243" i="1" s="1"/>
  <c r="F1190" i="8" l="1"/>
  <c r="F1194" i="8"/>
  <c r="G749" i="8"/>
  <c r="G753" i="8"/>
  <c r="F749" i="8"/>
  <c r="F753" i="8"/>
  <c r="K315" i="8"/>
  <c r="K320" i="8"/>
  <c r="J315" i="8"/>
  <c r="J319" i="8"/>
  <c r="L308" i="8"/>
  <c r="L312" i="8"/>
  <c r="I308" i="8"/>
  <c r="I312" i="8"/>
  <c r="U572" i="1"/>
  <c r="V572" i="1"/>
  <c r="W572" i="1"/>
  <c r="X572" i="1"/>
  <c r="G308" i="8"/>
  <c r="M308" i="8" s="1"/>
  <c r="N308" i="8" s="1"/>
  <c r="O308" i="8" s="1"/>
  <c r="P308" i="8" s="1"/>
  <c r="T573" i="1" s="1"/>
  <c r="G312" i="8"/>
  <c r="F434" i="8"/>
  <c r="F438" i="8"/>
  <c r="F441" i="8" s="1"/>
  <c r="U514" i="1"/>
  <c r="V514" i="1"/>
  <c r="W514" i="1"/>
  <c r="X514" i="1"/>
  <c r="J420" i="7"/>
  <c r="K420" i="7" s="1"/>
  <c r="L420" i="7" s="1"/>
  <c r="M420" i="7" s="1"/>
  <c r="N420" i="7" s="1"/>
  <c r="T515" i="1" s="1"/>
  <c r="J424" i="7"/>
  <c r="I924" i="4"/>
  <c r="I942" i="4"/>
  <c r="I917" i="4"/>
  <c r="I935" i="4"/>
  <c r="M308" i="4"/>
  <c r="M312" i="4"/>
  <c r="J308" i="4"/>
  <c r="J312" i="4"/>
  <c r="I910" i="4"/>
  <c r="I928" i="4"/>
  <c r="G308" i="4"/>
  <c r="G312" i="4"/>
  <c r="F308" i="4"/>
  <c r="F312" i="4"/>
  <c r="E308" i="4"/>
  <c r="E312" i="4"/>
  <c r="I924" i="3"/>
  <c r="I942" i="3"/>
  <c r="I917" i="3"/>
  <c r="I935" i="3"/>
  <c r="M308" i="3"/>
  <c r="M312" i="3"/>
  <c r="J308" i="3"/>
  <c r="J312" i="3"/>
  <c r="I910" i="3"/>
  <c r="I928" i="3"/>
  <c r="G308" i="3"/>
  <c r="G312" i="3"/>
  <c r="F308" i="3"/>
  <c r="F312" i="3"/>
  <c r="U46" i="1"/>
  <c r="V46" i="1"/>
  <c r="W46" i="1"/>
  <c r="X46" i="1"/>
  <c r="E308" i="3"/>
  <c r="O308" i="3" s="1"/>
  <c r="P308" i="3" s="1"/>
  <c r="Q308" i="3" s="1"/>
  <c r="R308" i="3" s="1"/>
  <c r="T47" i="1" s="1"/>
  <c r="E312" i="3"/>
  <c r="X243" i="1"/>
  <c r="W243" i="1"/>
  <c r="V243" i="1"/>
  <c r="U243" i="1"/>
  <c r="O301" i="4"/>
  <c r="P301" i="4" s="1"/>
  <c r="Q301" i="4" s="1"/>
  <c r="R301" i="4" s="1"/>
  <c r="T244" i="1" s="1"/>
  <c r="F1197" i="8" l="1"/>
  <c r="F1201" i="8"/>
  <c r="G756" i="8"/>
  <c r="G760" i="8"/>
  <c r="F756" i="8"/>
  <c r="F760" i="8"/>
  <c r="K322" i="8"/>
  <c r="K327" i="8"/>
  <c r="J322" i="8"/>
  <c r="J326" i="8"/>
  <c r="L315" i="8"/>
  <c r="L319" i="8"/>
  <c r="I315" i="8"/>
  <c r="I319" i="8"/>
  <c r="U573" i="1"/>
  <c r="V573" i="1"/>
  <c r="W573" i="1"/>
  <c r="X573" i="1"/>
  <c r="G315" i="8"/>
  <c r="M315" i="8" s="1"/>
  <c r="N315" i="8" s="1"/>
  <c r="O315" i="8" s="1"/>
  <c r="P315" i="8" s="1"/>
  <c r="T574" i="1" s="1"/>
  <c r="G319" i="8"/>
  <c r="U515" i="1"/>
  <c r="V515" i="1"/>
  <c r="W515" i="1"/>
  <c r="X515" i="1"/>
  <c r="J427" i="7"/>
  <c r="K427" i="7" s="1"/>
  <c r="L427" i="7" s="1"/>
  <c r="M427" i="7" s="1"/>
  <c r="N427" i="7" s="1"/>
  <c r="T516" i="1" s="1"/>
  <c r="J431" i="7"/>
  <c r="I945" i="4"/>
  <c r="I963" i="4"/>
  <c r="I938" i="4"/>
  <c r="I956" i="4"/>
  <c r="M315" i="4"/>
  <c r="M319" i="4"/>
  <c r="J315" i="4"/>
  <c r="J319" i="4"/>
  <c r="I931" i="4"/>
  <c r="I949" i="4"/>
  <c r="G315" i="4"/>
  <c r="G319" i="4"/>
  <c r="F315" i="4"/>
  <c r="F319" i="4"/>
  <c r="E315" i="4"/>
  <c r="E319" i="4"/>
  <c r="I945" i="3"/>
  <c r="I963" i="3"/>
  <c r="I938" i="3"/>
  <c r="I956" i="3"/>
  <c r="M315" i="3"/>
  <c r="M319" i="3"/>
  <c r="J315" i="3"/>
  <c r="J319" i="3"/>
  <c r="I931" i="3"/>
  <c r="I949" i="3"/>
  <c r="G315" i="3"/>
  <c r="G319" i="3"/>
  <c r="F315" i="3"/>
  <c r="F319" i="3"/>
  <c r="W47" i="1"/>
  <c r="V47" i="1"/>
  <c r="X47" i="1"/>
  <c r="U47" i="1"/>
  <c r="E315" i="3"/>
  <c r="O315" i="3" s="1"/>
  <c r="P315" i="3" s="1"/>
  <c r="Q315" i="3" s="1"/>
  <c r="R315" i="3" s="1"/>
  <c r="T48" i="1" s="1"/>
  <c r="E319" i="3"/>
  <c r="X244" i="1"/>
  <c r="W244" i="1"/>
  <c r="V244" i="1"/>
  <c r="U244" i="1"/>
  <c r="O308" i="4"/>
  <c r="P308" i="4" s="1"/>
  <c r="Q308" i="4" s="1"/>
  <c r="R308" i="4" s="1"/>
  <c r="T245" i="1" s="1"/>
  <c r="F1204" i="8" l="1"/>
  <c r="F1208" i="8"/>
  <c r="G763" i="8"/>
  <c r="G767" i="8"/>
  <c r="F763" i="8"/>
  <c r="F767" i="8"/>
  <c r="K329" i="8"/>
  <c r="K334" i="8"/>
  <c r="J329" i="8"/>
  <c r="J333" i="8"/>
  <c r="L322" i="8"/>
  <c r="L326" i="8"/>
  <c r="I322" i="8"/>
  <c r="I326" i="8"/>
  <c r="U574" i="1"/>
  <c r="V574" i="1"/>
  <c r="W574" i="1"/>
  <c r="X574" i="1"/>
  <c r="G322" i="8"/>
  <c r="M322" i="8" s="1"/>
  <c r="N322" i="8" s="1"/>
  <c r="O322" i="8" s="1"/>
  <c r="P322" i="8" s="1"/>
  <c r="T575" i="1" s="1"/>
  <c r="G326" i="8"/>
  <c r="U516" i="1"/>
  <c r="V516" i="1"/>
  <c r="W516" i="1"/>
  <c r="X516" i="1"/>
  <c r="J434" i="7"/>
  <c r="K434" i="7" s="1"/>
  <c r="L434" i="7" s="1"/>
  <c r="M434" i="7" s="1"/>
  <c r="N434" i="7" s="1"/>
  <c r="T517" i="1" s="1"/>
  <c r="J438" i="7"/>
  <c r="I966" i="4"/>
  <c r="I984" i="4"/>
  <c r="I959" i="4"/>
  <c r="I977" i="4"/>
  <c r="M322" i="4"/>
  <c r="M326" i="4"/>
  <c r="J322" i="4"/>
  <c r="J326" i="4"/>
  <c r="I952" i="4"/>
  <c r="I970" i="4"/>
  <c r="G322" i="4"/>
  <c r="G326" i="4"/>
  <c r="F322" i="4"/>
  <c r="F326" i="4"/>
  <c r="E322" i="4"/>
  <c r="E326" i="4"/>
  <c r="I966" i="3"/>
  <c r="I984" i="3"/>
  <c r="I959" i="3"/>
  <c r="I977" i="3"/>
  <c r="M322" i="3"/>
  <c r="M326" i="3"/>
  <c r="J322" i="3"/>
  <c r="J326" i="3"/>
  <c r="I952" i="3"/>
  <c r="I970" i="3"/>
  <c r="G322" i="3"/>
  <c r="G326" i="3"/>
  <c r="F322" i="3"/>
  <c r="F326" i="3"/>
  <c r="U48" i="1"/>
  <c r="V48" i="1"/>
  <c r="X48" i="1"/>
  <c r="W48" i="1"/>
  <c r="E322" i="3"/>
  <c r="O322" i="3" s="1"/>
  <c r="P322" i="3" s="1"/>
  <c r="Q322" i="3" s="1"/>
  <c r="R322" i="3" s="1"/>
  <c r="T49" i="1" s="1"/>
  <c r="E326" i="3"/>
  <c r="X245" i="1"/>
  <c r="W245" i="1"/>
  <c r="V245" i="1"/>
  <c r="U245" i="1"/>
  <c r="O315" i="4"/>
  <c r="P315" i="4" s="1"/>
  <c r="Q315" i="4" s="1"/>
  <c r="R315" i="4" s="1"/>
  <c r="T246" i="1" s="1"/>
  <c r="F1211" i="8" l="1"/>
  <c r="F1215" i="8"/>
  <c r="G770" i="8"/>
  <c r="G774" i="8"/>
  <c r="F770" i="8"/>
  <c r="F774" i="8"/>
  <c r="K336" i="8"/>
  <c r="K341" i="8"/>
  <c r="J336" i="8"/>
  <c r="J340" i="8"/>
  <c r="L329" i="8"/>
  <c r="L333" i="8"/>
  <c r="I329" i="8"/>
  <c r="I333" i="8"/>
  <c r="U575" i="1"/>
  <c r="V575" i="1"/>
  <c r="W575" i="1"/>
  <c r="X575" i="1"/>
  <c r="G329" i="8"/>
  <c r="M329" i="8" s="1"/>
  <c r="N329" i="8" s="1"/>
  <c r="O329" i="8" s="1"/>
  <c r="P329" i="8" s="1"/>
  <c r="T576" i="1" s="1"/>
  <c r="G333" i="8"/>
  <c r="U517" i="1"/>
  <c r="V517" i="1"/>
  <c r="W517" i="1"/>
  <c r="X517" i="1"/>
  <c r="J441" i="7"/>
  <c r="K441" i="7" s="1"/>
  <c r="L441" i="7" s="1"/>
  <c r="M441" i="7" s="1"/>
  <c r="N441" i="7" s="1"/>
  <c r="T518" i="1" s="1"/>
  <c r="J445" i="7"/>
  <c r="I987" i="4"/>
  <c r="I1005" i="4"/>
  <c r="I980" i="4"/>
  <c r="I998" i="4"/>
  <c r="M329" i="4"/>
  <c r="M333" i="4"/>
  <c r="J329" i="4"/>
  <c r="J333" i="4"/>
  <c r="I973" i="4"/>
  <c r="I991" i="4"/>
  <c r="G329" i="4"/>
  <c r="G333" i="4"/>
  <c r="F329" i="4"/>
  <c r="F333" i="4"/>
  <c r="E329" i="4"/>
  <c r="E333" i="4"/>
  <c r="I987" i="3"/>
  <c r="I1005" i="3"/>
  <c r="I980" i="3"/>
  <c r="I998" i="3"/>
  <c r="M329" i="3"/>
  <c r="M333" i="3"/>
  <c r="J329" i="3"/>
  <c r="J333" i="3"/>
  <c r="I973" i="3"/>
  <c r="I991" i="3"/>
  <c r="G329" i="3"/>
  <c r="G333" i="3"/>
  <c r="F329" i="3"/>
  <c r="F333" i="3"/>
  <c r="X49" i="1"/>
  <c r="W49" i="1"/>
  <c r="V49" i="1"/>
  <c r="U49" i="1"/>
  <c r="E329" i="3"/>
  <c r="O329" i="3" s="1"/>
  <c r="P329" i="3" s="1"/>
  <c r="Q329" i="3" s="1"/>
  <c r="R329" i="3" s="1"/>
  <c r="T50" i="1" s="1"/>
  <c r="E333" i="3"/>
  <c r="X246" i="1"/>
  <c r="W246" i="1"/>
  <c r="V246" i="1"/>
  <c r="U246" i="1"/>
  <c r="O322" i="4"/>
  <c r="P322" i="4" s="1"/>
  <c r="Q322" i="4" s="1"/>
  <c r="R322" i="4" s="1"/>
  <c r="T247" i="1" s="1"/>
  <c r="F1218" i="8" l="1"/>
  <c r="F1222" i="8"/>
  <c r="G777" i="8"/>
  <c r="G781" i="8"/>
  <c r="G784" i="8" s="1"/>
  <c r="F777" i="8"/>
  <c r="F781" i="8"/>
  <c r="F784" i="8" s="1"/>
  <c r="K343" i="8"/>
  <c r="K348" i="8"/>
  <c r="J343" i="8"/>
  <c r="J347" i="8"/>
  <c r="L336" i="8"/>
  <c r="L340" i="8"/>
  <c r="I336" i="8"/>
  <c r="I340" i="8"/>
  <c r="U576" i="1"/>
  <c r="V576" i="1"/>
  <c r="W576" i="1"/>
  <c r="X576" i="1"/>
  <c r="G336" i="8"/>
  <c r="M336" i="8" s="1"/>
  <c r="N336" i="8" s="1"/>
  <c r="O336" i="8" s="1"/>
  <c r="P336" i="8" s="1"/>
  <c r="T577" i="1" s="1"/>
  <c r="G340" i="8"/>
  <c r="X518" i="1"/>
  <c r="U518" i="1"/>
  <c r="V518" i="1"/>
  <c r="W518" i="1"/>
  <c r="J448" i="7"/>
  <c r="K448" i="7" s="1"/>
  <c r="L448" i="7" s="1"/>
  <c r="M448" i="7" s="1"/>
  <c r="N448" i="7" s="1"/>
  <c r="T519" i="1" s="1"/>
  <c r="J452" i="7"/>
  <c r="I1008" i="4"/>
  <c r="I1026" i="4"/>
  <c r="I1001" i="4"/>
  <c r="I1019" i="4"/>
  <c r="M336" i="4"/>
  <c r="M340" i="4"/>
  <c r="J336" i="4"/>
  <c r="J340" i="4"/>
  <c r="I994" i="4"/>
  <c r="I1012" i="4"/>
  <c r="G336" i="4"/>
  <c r="G340" i="4"/>
  <c r="F336" i="4"/>
  <c r="F340" i="4"/>
  <c r="E336" i="4"/>
  <c r="O336" i="4" s="1"/>
  <c r="P336" i="4" s="1"/>
  <c r="Q336" i="4" s="1"/>
  <c r="R336" i="4" s="1"/>
  <c r="T249" i="1" s="1"/>
  <c r="E340" i="4"/>
  <c r="I1008" i="3"/>
  <c r="I1026" i="3"/>
  <c r="I1001" i="3"/>
  <c r="I1019" i="3"/>
  <c r="M336" i="3"/>
  <c r="M340" i="3"/>
  <c r="J336" i="3"/>
  <c r="J340" i="3"/>
  <c r="I994" i="3"/>
  <c r="I1012" i="3"/>
  <c r="G336" i="3"/>
  <c r="G340" i="3"/>
  <c r="F336" i="3"/>
  <c r="F340" i="3"/>
  <c r="X50" i="1"/>
  <c r="W50" i="1"/>
  <c r="V50" i="1"/>
  <c r="U50" i="1"/>
  <c r="E336" i="3"/>
  <c r="E340" i="3"/>
  <c r="U247" i="1"/>
  <c r="V247" i="1"/>
  <c r="W247" i="1"/>
  <c r="X247" i="1"/>
  <c r="O329" i="4"/>
  <c r="P329" i="4" s="1"/>
  <c r="Q329" i="4" s="1"/>
  <c r="R329" i="4" s="1"/>
  <c r="T248" i="1" s="1"/>
  <c r="F1225" i="8" l="1"/>
  <c r="F1229" i="8"/>
  <c r="K350" i="8"/>
  <c r="K355" i="8"/>
  <c r="J350" i="8"/>
  <c r="J354" i="8"/>
  <c r="L343" i="8"/>
  <c r="L347" i="8"/>
  <c r="I343" i="8"/>
  <c r="I347" i="8"/>
  <c r="U577" i="1"/>
  <c r="V577" i="1"/>
  <c r="W577" i="1"/>
  <c r="X577" i="1"/>
  <c r="G343" i="8"/>
  <c r="M343" i="8" s="1"/>
  <c r="N343" i="8" s="1"/>
  <c r="O343" i="8" s="1"/>
  <c r="P343" i="8" s="1"/>
  <c r="T578" i="1" s="1"/>
  <c r="G347" i="8"/>
  <c r="U519" i="1"/>
  <c r="W519" i="1"/>
  <c r="V519" i="1"/>
  <c r="X519" i="1"/>
  <c r="J455" i="7"/>
  <c r="K455" i="7" s="1"/>
  <c r="L455" i="7" s="1"/>
  <c r="M455" i="7" s="1"/>
  <c r="N455" i="7" s="1"/>
  <c r="T520" i="1" s="1"/>
  <c r="J459" i="7"/>
  <c r="I1029" i="4"/>
  <c r="I1047" i="4"/>
  <c r="I1022" i="4"/>
  <c r="I1040" i="4"/>
  <c r="M343" i="4"/>
  <c r="M347" i="4"/>
  <c r="J343" i="4"/>
  <c r="J347" i="4"/>
  <c r="I1015" i="4"/>
  <c r="I1033" i="4"/>
  <c r="G343" i="4"/>
  <c r="G347" i="4"/>
  <c r="F343" i="4"/>
  <c r="F347" i="4"/>
  <c r="X249" i="1"/>
  <c r="W249" i="1"/>
  <c r="V249" i="1"/>
  <c r="U249" i="1"/>
  <c r="E343" i="4"/>
  <c r="E347" i="4"/>
  <c r="I1029" i="3"/>
  <c r="I1047" i="3"/>
  <c r="I1022" i="3"/>
  <c r="I1040" i="3"/>
  <c r="M343" i="3"/>
  <c r="M347" i="3"/>
  <c r="J343" i="3"/>
  <c r="J347" i="3"/>
  <c r="I1015" i="3"/>
  <c r="I1033" i="3"/>
  <c r="G343" i="3"/>
  <c r="G347" i="3"/>
  <c r="F343" i="3"/>
  <c r="F347" i="3"/>
  <c r="E343" i="3"/>
  <c r="O343" i="3" s="1"/>
  <c r="P343" i="3" s="1"/>
  <c r="Q343" i="3" s="1"/>
  <c r="R343" i="3" s="1"/>
  <c r="T52" i="1" s="1"/>
  <c r="E347" i="3"/>
  <c r="U248" i="1"/>
  <c r="V248" i="1"/>
  <c r="W248" i="1"/>
  <c r="X248" i="1"/>
  <c r="O336" i="3"/>
  <c r="P336" i="3" s="1"/>
  <c r="Q336" i="3" s="1"/>
  <c r="R336" i="3" s="1"/>
  <c r="T51" i="1" s="1"/>
  <c r="F1232" i="8" l="1"/>
  <c r="F1236" i="8"/>
  <c r="K357" i="8"/>
  <c r="K362" i="8"/>
  <c r="J357" i="8"/>
  <c r="J361" i="8"/>
  <c r="L350" i="8"/>
  <c r="L354" i="8"/>
  <c r="I350" i="8"/>
  <c r="I354" i="8"/>
  <c r="U578" i="1"/>
  <c r="V578" i="1"/>
  <c r="W578" i="1"/>
  <c r="X578" i="1"/>
  <c r="G350" i="8"/>
  <c r="M350" i="8" s="1"/>
  <c r="N350" i="8" s="1"/>
  <c r="O350" i="8" s="1"/>
  <c r="P350" i="8" s="1"/>
  <c r="T579" i="1" s="1"/>
  <c r="G354" i="8"/>
  <c r="U520" i="1"/>
  <c r="V520" i="1"/>
  <c r="W520" i="1"/>
  <c r="X520" i="1"/>
  <c r="J462" i="7"/>
  <c r="K462" i="7" s="1"/>
  <c r="L462" i="7" s="1"/>
  <c r="M462" i="7" s="1"/>
  <c r="N462" i="7" s="1"/>
  <c r="T521" i="1" s="1"/>
  <c r="J466" i="7"/>
  <c r="I1050" i="4"/>
  <c r="I1068" i="4"/>
  <c r="I1043" i="4"/>
  <c r="I1061" i="4"/>
  <c r="M350" i="4"/>
  <c r="M354" i="4"/>
  <c r="J350" i="4"/>
  <c r="J354" i="4"/>
  <c r="I1036" i="4"/>
  <c r="I1054" i="4"/>
  <c r="G350" i="4"/>
  <c r="G354" i="4"/>
  <c r="F350" i="4"/>
  <c r="F354" i="4"/>
  <c r="E350" i="4"/>
  <c r="E354" i="4"/>
  <c r="I1050" i="3"/>
  <c r="I1068" i="3"/>
  <c r="I1043" i="3"/>
  <c r="I1061" i="3"/>
  <c r="M350" i="3"/>
  <c r="M354" i="3"/>
  <c r="J350" i="3"/>
  <c r="J354" i="3"/>
  <c r="I1036" i="3"/>
  <c r="I1054" i="3"/>
  <c r="G350" i="3"/>
  <c r="G354" i="3"/>
  <c r="F350" i="3"/>
  <c r="F354" i="3"/>
  <c r="X52" i="1"/>
  <c r="U52" i="1"/>
  <c r="W52" i="1"/>
  <c r="V52" i="1"/>
  <c r="E350" i="3"/>
  <c r="O350" i="3" s="1"/>
  <c r="P350" i="3" s="1"/>
  <c r="Q350" i="3" s="1"/>
  <c r="R350" i="3" s="1"/>
  <c r="T53" i="1" s="1"/>
  <c r="E354" i="3"/>
  <c r="U51" i="1"/>
  <c r="V51" i="1"/>
  <c r="W51" i="1"/>
  <c r="X51" i="1"/>
  <c r="O343" i="4"/>
  <c r="P343" i="4" s="1"/>
  <c r="Q343" i="4" s="1"/>
  <c r="R343" i="4" s="1"/>
  <c r="T250" i="1" s="1"/>
  <c r="F1239" i="8" l="1"/>
  <c r="F1243" i="8"/>
  <c r="K364" i="8"/>
  <c r="K369" i="8"/>
  <c r="J364" i="8"/>
  <c r="J368" i="8"/>
  <c r="L357" i="8"/>
  <c r="L361" i="8"/>
  <c r="I357" i="8"/>
  <c r="I361" i="8"/>
  <c r="X579" i="1"/>
  <c r="W579" i="1"/>
  <c r="V579" i="1"/>
  <c r="U579" i="1"/>
  <c r="G357" i="8"/>
  <c r="M357" i="8" s="1"/>
  <c r="N357" i="8" s="1"/>
  <c r="O357" i="8" s="1"/>
  <c r="P357" i="8" s="1"/>
  <c r="T580" i="1" s="1"/>
  <c r="G361" i="8"/>
  <c r="U521" i="1"/>
  <c r="V521" i="1"/>
  <c r="W521" i="1"/>
  <c r="X521" i="1"/>
  <c r="J469" i="7"/>
  <c r="K469" i="7" s="1"/>
  <c r="L469" i="7" s="1"/>
  <c r="M469" i="7" s="1"/>
  <c r="N469" i="7" s="1"/>
  <c r="T522" i="1" s="1"/>
  <c r="J473" i="7"/>
  <c r="I1071" i="4"/>
  <c r="I1089" i="4"/>
  <c r="I1064" i="4"/>
  <c r="I1082" i="4"/>
  <c r="M357" i="4"/>
  <c r="M361" i="4"/>
  <c r="J357" i="4"/>
  <c r="J361" i="4"/>
  <c r="I1057" i="4"/>
  <c r="I1075" i="4"/>
  <c r="G357" i="4"/>
  <c r="G361" i="4"/>
  <c r="F357" i="4"/>
  <c r="F361" i="4"/>
  <c r="E357" i="4"/>
  <c r="E361" i="4"/>
  <c r="I1071" i="3"/>
  <c r="I1089" i="3"/>
  <c r="I1064" i="3"/>
  <c r="I1082" i="3"/>
  <c r="M357" i="3"/>
  <c r="M361" i="3"/>
  <c r="J357" i="3"/>
  <c r="J361" i="3"/>
  <c r="I1057" i="3"/>
  <c r="I1075" i="3"/>
  <c r="G357" i="3"/>
  <c r="G361" i="3"/>
  <c r="F357" i="3"/>
  <c r="F361" i="3"/>
  <c r="U53" i="1"/>
  <c r="W53" i="1"/>
  <c r="X53" i="1"/>
  <c r="V53" i="1"/>
  <c r="E357" i="3"/>
  <c r="O357" i="3" s="1"/>
  <c r="P357" i="3" s="1"/>
  <c r="Q357" i="3" s="1"/>
  <c r="R357" i="3" s="1"/>
  <c r="T54" i="1" s="1"/>
  <c r="E361" i="3"/>
  <c r="X250" i="1"/>
  <c r="W250" i="1"/>
  <c r="V250" i="1"/>
  <c r="U250" i="1"/>
  <c r="O350" i="4"/>
  <c r="P350" i="4" s="1"/>
  <c r="Q350" i="4" s="1"/>
  <c r="R350" i="4" s="1"/>
  <c r="T251" i="1" s="1"/>
  <c r="F1246" i="8" l="1"/>
  <c r="F1250" i="8"/>
  <c r="K371" i="8"/>
  <c r="K376" i="8"/>
  <c r="J371" i="8"/>
  <c r="J375" i="8"/>
  <c r="L364" i="8"/>
  <c r="L368" i="8"/>
  <c r="I364" i="8"/>
  <c r="I368" i="8"/>
  <c r="X580" i="1"/>
  <c r="W580" i="1"/>
  <c r="V580" i="1"/>
  <c r="U580" i="1"/>
  <c r="G364" i="8"/>
  <c r="M364" i="8" s="1"/>
  <c r="N364" i="8" s="1"/>
  <c r="O364" i="8" s="1"/>
  <c r="P364" i="8" s="1"/>
  <c r="T581" i="1" s="1"/>
  <c r="G368" i="8"/>
  <c r="U522" i="1"/>
  <c r="V522" i="1"/>
  <c r="W522" i="1"/>
  <c r="X522" i="1"/>
  <c r="J476" i="7"/>
  <c r="K476" i="7" s="1"/>
  <c r="L476" i="7" s="1"/>
  <c r="M476" i="7" s="1"/>
  <c r="N476" i="7" s="1"/>
  <c r="T523" i="1" s="1"/>
  <c r="J480" i="7"/>
  <c r="I1092" i="4"/>
  <c r="I1110" i="4"/>
  <c r="I1085" i="4"/>
  <c r="I1103" i="4"/>
  <c r="M364" i="4"/>
  <c r="M368" i="4"/>
  <c r="J364" i="4"/>
  <c r="J368" i="4"/>
  <c r="I1078" i="4"/>
  <c r="I1096" i="4"/>
  <c r="G364" i="4"/>
  <c r="G368" i="4"/>
  <c r="F364" i="4"/>
  <c r="F368" i="4"/>
  <c r="E364" i="4"/>
  <c r="O364" i="4" s="1"/>
  <c r="P364" i="4" s="1"/>
  <c r="Q364" i="4" s="1"/>
  <c r="R364" i="4" s="1"/>
  <c r="T253" i="1" s="1"/>
  <c r="E368" i="4"/>
  <c r="I1092" i="3"/>
  <c r="I1110" i="3"/>
  <c r="I1085" i="3"/>
  <c r="I1103" i="3"/>
  <c r="M364" i="3"/>
  <c r="M368" i="3"/>
  <c r="J364" i="3"/>
  <c r="J368" i="3"/>
  <c r="I1078" i="3"/>
  <c r="I1096" i="3"/>
  <c r="G364" i="3"/>
  <c r="G368" i="3"/>
  <c r="F364" i="3"/>
  <c r="F368" i="3"/>
  <c r="U54" i="1"/>
  <c r="V54" i="1"/>
  <c r="W54" i="1"/>
  <c r="X54" i="1"/>
  <c r="E364" i="3"/>
  <c r="O364" i="3" s="1"/>
  <c r="P364" i="3" s="1"/>
  <c r="Q364" i="3" s="1"/>
  <c r="R364" i="3" s="1"/>
  <c r="T55" i="1" s="1"/>
  <c r="E368" i="3"/>
  <c r="X251" i="1"/>
  <c r="W251" i="1"/>
  <c r="V251" i="1"/>
  <c r="U251" i="1"/>
  <c r="O357" i="4"/>
  <c r="P357" i="4" s="1"/>
  <c r="Q357" i="4" s="1"/>
  <c r="R357" i="4" s="1"/>
  <c r="T252" i="1" s="1"/>
  <c r="F1253" i="8" l="1"/>
  <c r="F1257" i="8"/>
  <c r="K378" i="8"/>
  <c r="K383" i="8"/>
  <c r="J378" i="8"/>
  <c r="J382" i="8"/>
  <c r="L371" i="8"/>
  <c r="L375" i="8"/>
  <c r="I371" i="8"/>
  <c r="I375" i="8"/>
  <c r="X581" i="1"/>
  <c r="W581" i="1"/>
  <c r="V581" i="1"/>
  <c r="U581" i="1"/>
  <c r="G371" i="8"/>
  <c r="M371" i="8" s="1"/>
  <c r="N371" i="8" s="1"/>
  <c r="O371" i="8" s="1"/>
  <c r="P371" i="8" s="1"/>
  <c r="T582" i="1" s="1"/>
  <c r="G375" i="8"/>
  <c r="U523" i="1"/>
  <c r="V523" i="1"/>
  <c r="W523" i="1"/>
  <c r="X523" i="1"/>
  <c r="J483" i="7"/>
  <c r="K483" i="7" s="1"/>
  <c r="L483" i="7" s="1"/>
  <c r="M483" i="7" s="1"/>
  <c r="N483" i="7" s="1"/>
  <c r="T524" i="1" s="1"/>
  <c r="J487" i="7"/>
  <c r="I1113" i="4"/>
  <c r="I1131" i="4"/>
  <c r="I1106" i="4"/>
  <c r="I1124" i="4"/>
  <c r="M371" i="4"/>
  <c r="M375" i="4"/>
  <c r="J371" i="4"/>
  <c r="J375" i="4"/>
  <c r="I1099" i="4"/>
  <c r="I1117" i="4"/>
  <c r="G371" i="4"/>
  <c r="G375" i="4"/>
  <c r="F371" i="4"/>
  <c r="F375" i="4"/>
  <c r="V253" i="1"/>
  <c r="X253" i="1"/>
  <c r="U253" i="1"/>
  <c r="W253" i="1"/>
  <c r="E371" i="4"/>
  <c r="E375" i="4"/>
  <c r="I1113" i="3"/>
  <c r="I1131" i="3"/>
  <c r="I1106" i="3"/>
  <c r="I1124" i="3"/>
  <c r="M371" i="3"/>
  <c r="M375" i="3"/>
  <c r="J371" i="3"/>
  <c r="J375" i="3"/>
  <c r="I1099" i="3"/>
  <c r="I1117" i="3"/>
  <c r="G371" i="3"/>
  <c r="G375" i="3"/>
  <c r="F371" i="3"/>
  <c r="F375" i="3"/>
  <c r="V55" i="1"/>
  <c r="U55" i="1"/>
  <c r="W55" i="1"/>
  <c r="X55" i="1"/>
  <c r="E371" i="3"/>
  <c r="O371" i="3" s="1"/>
  <c r="P371" i="3" s="1"/>
  <c r="Q371" i="3" s="1"/>
  <c r="R371" i="3" s="1"/>
  <c r="T56" i="1" s="1"/>
  <c r="E375" i="3"/>
  <c r="X252" i="1"/>
  <c r="W252" i="1"/>
  <c r="V252" i="1"/>
  <c r="U252" i="1"/>
  <c r="F1260" i="8" l="1"/>
  <c r="F1264" i="8"/>
  <c r="K385" i="8"/>
  <c r="K390" i="8"/>
  <c r="J385" i="8"/>
  <c r="J389" i="8"/>
  <c r="L378" i="8"/>
  <c r="L382" i="8"/>
  <c r="I378" i="8"/>
  <c r="I382" i="8"/>
  <c r="X582" i="1"/>
  <c r="W582" i="1"/>
  <c r="V582" i="1"/>
  <c r="U582" i="1"/>
  <c r="G378" i="8"/>
  <c r="M378" i="8" s="1"/>
  <c r="N378" i="8" s="1"/>
  <c r="O378" i="8" s="1"/>
  <c r="P378" i="8" s="1"/>
  <c r="T583" i="1" s="1"/>
  <c r="G382" i="8"/>
  <c r="U524" i="1"/>
  <c r="V524" i="1"/>
  <c r="W524" i="1"/>
  <c r="X524" i="1"/>
  <c r="J490" i="7"/>
  <c r="K490" i="7" s="1"/>
  <c r="L490" i="7" s="1"/>
  <c r="M490" i="7" s="1"/>
  <c r="N490" i="7" s="1"/>
  <c r="T525" i="1" s="1"/>
  <c r="J494" i="7"/>
  <c r="I1134" i="4"/>
  <c r="I1152" i="4"/>
  <c r="I1127" i="4"/>
  <c r="I1145" i="4"/>
  <c r="M378" i="4"/>
  <c r="M382" i="4"/>
  <c r="J378" i="4"/>
  <c r="J382" i="4"/>
  <c r="I1120" i="4"/>
  <c r="I1138" i="4"/>
  <c r="G378" i="4"/>
  <c r="G382" i="4"/>
  <c r="F378" i="4"/>
  <c r="F382" i="4"/>
  <c r="E378" i="4"/>
  <c r="O378" i="4" s="1"/>
  <c r="P378" i="4" s="1"/>
  <c r="Q378" i="4" s="1"/>
  <c r="R378" i="4" s="1"/>
  <c r="T255" i="1" s="1"/>
  <c r="E382" i="4"/>
  <c r="I1134" i="3"/>
  <c r="I1152" i="3"/>
  <c r="I1127" i="3"/>
  <c r="I1145" i="3"/>
  <c r="M378" i="3"/>
  <c r="M382" i="3"/>
  <c r="J378" i="3"/>
  <c r="J382" i="3"/>
  <c r="I1120" i="3"/>
  <c r="I1138" i="3"/>
  <c r="G378" i="3"/>
  <c r="G382" i="3"/>
  <c r="F378" i="3"/>
  <c r="F382" i="3"/>
  <c r="V56" i="1"/>
  <c r="W56" i="1"/>
  <c r="U56" i="1"/>
  <c r="X56" i="1"/>
  <c r="E378" i="3"/>
  <c r="O378" i="3" s="1"/>
  <c r="P378" i="3" s="1"/>
  <c r="Q378" i="3" s="1"/>
  <c r="R378" i="3" s="1"/>
  <c r="T57" i="1" s="1"/>
  <c r="E382" i="3"/>
  <c r="O371" i="4"/>
  <c r="P371" i="4" s="1"/>
  <c r="Q371" i="4" s="1"/>
  <c r="R371" i="4" s="1"/>
  <c r="T254" i="1" s="1"/>
  <c r="F1267" i="8" l="1"/>
  <c r="F1271" i="8"/>
  <c r="K392" i="8"/>
  <c r="K397" i="8"/>
  <c r="J392" i="8"/>
  <c r="J396" i="8"/>
  <c r="L385" i="8"/>
  <c r="L389" i="8"/>
  <c r="I385" i="8"/>
  <c r="I389" i="8"/>
  <c r="X583" i="1"/>
  <c r="W583" i="1"/>
  <c r="V583" i="1"/>
  <c r="U583" i="1"/>
  <c r="G385" i="8"/>
  <c r="M385" i="8" s="1"/>
  <c r="N385" i="8" s="1"/>
  <c r="O385" i="8" s="1"/>
  <c r="P385" i="8" s="1"/>
  <c r="T584" i="1" s="1"/>
  <c r="G389" i="8"/>
  <c r="U525" i="1"/>
  <c r="V525" i="1"/>
  <c r="W525" i="1"/>
  <c r="X525" i="1"/>
  <c r="J497" i="7"/>
  <c r="K497" i="7" s="1"/>
  <c r="L497" i="7" s="1"/>
  <c r="M497" i="7" s="1"/>
  <c r="N497" i="7" s="1"/>
  <c r="T526" i="1" s="1"/>
  <c r="J501" i="7"/>
  <c r="J504" i="7" s="1"/>
  <c r="K504" i="7" s="1"/>
  <c r="L504" i="7" s="1"/>
  <c r="M504" i="7" s="1"/>
  <c r="N504" i="7" s="1"/>
  <c r="T527" i="1" s="1"/>
  <c r="I1155" i="4"/>
  <c r="I1173" i="4"/>
  <c r="I1148" i="4"/>
  <c r="I1166" i="4"/>
  <c r="M385" i="4"/>
  <c r="M389" i="4"/>
  <c r="J385" i="4"/>
  <c r="J389" i="4"/>
  <c r="I1141" i="4"/>
  <c r="I1159" i="4"/>
  <c r="G385" i="4"/>
  <c r="G389" i="4"/>
  <c r="F385" i="4"/>
  <c r="F389" i="4"/>
  <c r="U255" i="1"/>
  <c r="V255" i="1"/>
  <c r="W255" i="1"/>
  <c r="X255" i="1"/>
  <c r="E385" i="4"/>
  <c r="E389" i="4"/>
  <c r="I1155" i="3"/>
  <c r="I1173" i="3"/>
  <c r="I1148" i="3"/>
  <c r="I1166" i="3"/>
  <c r="M385" i="3"/>
  <c r="M389" i="3"/>
  <c r="J385" i="3"/>
  <c r="J389" i="3"/>
  <c r="I1141" i="3"/>
  <c r="I1159" i="3"/>
  <c r="G385" i="3"/>
  <c r="G389" i="3"/>
  <c r="F385" i="3"/>
  <c r="F389" i="3"/>
  <c r="U57" i="1"/>
  <c r="V57" i="1"/>
  <c r="W57" i="1"/>
  <c r="X57" i="1"/>
  <c r="E385" i="3"/>
  <c r="O385" i="3" s="1"/>
  <c r="P385" i="3" s="1"/>
  <c r="Q385" i="3" s="1"/>
  <c r="R385" i="3" s="1"/>
  <c r="T58" i="1" s="1"/>
  <c r="E389" i="3"/>
  <c r="X254" i="1"/>
  <c r="W254" i="1"/>
  <c r="V254" i="1"/>
  <c r="U254" i="1"/>
  <c r="F1274" i="8" l="1"/>
  <c r="F1278" i="8"/>
  <c r="K399" i="8"/>
  <c r="K404" i="8"/>
  <c r="J399" i="8"/>
  <c r="J403" i="8"/>
  <c r="L392" i="8"/>
  <c r="L396" i="8"/>
  <c r="I392" i="8"/>
  <c r="I396" i="8"/>
  <c r="X584" i="1"/>
  <c r="W584" i="1"/>
  <c r="V584" i="1"/>
  <c r="U584" i="1"/>
  <c r="G392" i="8"/>
  <c r="M392" i="8" s="1"/>
  <c r="N392" i="8" s="1"/>
  <c r="O392" i="8" s="1"/>
  <c r="P392" i="8" s="1"/>
  <c r="T585" i="1" s="1"/>
  <c r="G396" i="8"/>
  <c r="W526" i="1"/>
  <c r="X526" i="1"/>
  <c r="V526" i="1"/>
  <c r="U526" i="1"/>
  <c r="U527" i="1"/>
  <c r="W527" i="1"/>
  <c r="V527" i="1"/>
  <c r="X527" i="1"/>
  <c r="I1176" i="4"/>
  <c r="I1194" i="4"/>
  <c r="I1169" i="4"/>
  <c r="I1187" i="4"/>
  <c r="M392" i="4"/>
  <c r="M396" i="4"/>
  <c r="J392" i="4"/>
  <c r="J396" i="4"/>
  <c r="I1162" i="4"/>
  <c r="I1180" i="4"/>
  <c r="G392" i="4"/>
  <c r="G396" i="4"/>
  <c r="F392" i="4"/>
  <c r="F396" i="4"/>
  <c r="E392" i="4"/>
  <c r="O392" i="4" s="1"/>
  <c r="P392" i="4" s="1"/>
  <c r="Q392" i="4" s="1"/>
  <c r="R392" i="4" s="1"/>
  <c r="T257" i="1" s="1"/>
  <c r="E396" i="4"/>
  <c r="I1176" i="3"/>
  <c r="I1194" i="3"/>
  <c r="I1169" i="3"/>
  <c r="I1187" i="3"/>
  <c r="M392" i="3"/>
  <c r="M396" i="3"/>
  <c r="J392" i="3"/>
  <c r="J396" i="3"/>
  <c r="I1162" i="3"/>
  <c r="I1180" i="3"/>
  <c r="G392" i="3"/>
  <c r="G396" i="3"/>
  <c r="F392" i="3"/>
  <c r="F396" i="3"/>
  <c r="U58" i="1"/>
  <c r="W58" i="1"/>
  <c r="V58" i="1"/>
  <c r="X58" i="1"/>
  <c r="E392" i="3"/>
  <c r="O392" i="3" s="1"/>
  <c r="P392" i="3" s="1"/>
  <c r="Q392" i="3" s="1"/>
  <c r="R392" i="3" s="1"/>
  <c r="T59" i="1" s="1"/>
  <c r="E396" i="3"/>
  <c r="O385" i="4"/>
  <c r="P385" i="4" s="1"/>
  <c r="Q385" i="4" s="1"/>
  <c r="R385" i="4" s="1"/>
  <c r="T256" i="1" s="1"/>
  <c r="F1281" i="8" l="1"/>
  <c r="F1285" i="8"/>
  <c r="K406" i="8"/>
  <c r="K411" i="8"/>
  <c r="J406" i="8"/>
  <c r="J410" i="8"/>
  <c r="L399" i="8"/>
  <c r="L403" i="8"/>
  <c r="I399" i="8"/>
  <c r="I403" i="8"/>
  <c r="X585" i="1"/>
  <c r="V585" i="1"/>
  <c r="U585" i="1"/>
  <c r="W585" i="1"/>
  <c r="G399" i="8"/>
  <c r="M399" i="8" s="1"/>
  <c r="N399" i="8" s="1"/>
  <c r="O399" i="8" s="1"/>
  <c r="P399" i="8" s="1"/>
  <c r="T586" i="1" s="1"/>
  <c r="G403" i="8"/>
  <c r="I1197" i="4"/>
  <c r="I1215" i="4"/>
  <c r="I1190" i="4"/>
  <c r="I1208" i="4"/>
  <c r="M399" i="4"/>
  <c r="M403" i="4"/>
  <c r="J399" i="4"/>
  <c r="J403" i="4"/>
  <c r="I1183" i="4"/>
  <c r="I1201" i="4"/>
  <c r="G399" i="4"/>
  <c r="G403" i="4"/>
  <c r="F399" i="4"/>
  <c r="F403" i="4"/>
  <c r="U257" i="1"/>
  <c r="V257" i="1"/>
  <c r="W257" i="1"/>
  <c r="X257" i="1"/>
  <c r="E399" i="4"/>
  <c r="E403" i="4"/>
  <c r="I1197" i="3"/>
  <c r="I1215" i="3"/>
  <c r="I1190" i="3"/>
  <c r="I1208" i="3"/>
  <c r="M399" i="3"/>
  <c r="M403" i="3"/>
  <c r="J399" i="3"/>
  <c r="J403" i="3"/>
  <c r="I1183" i="3"/>
  <c r="I1201" i="3"/>
  <c r="G399" i="3"/>
  <c r="G403" i="3"/>
  <c r="F399" i="3"/>
  <c r="F403" i="3"/>
  <c r="U59" i="1"/>
  <c r="W59" i="1"/>
  <c r="V59" i="1"/>
  <c r="X59" i="1"/>
  <c r="E399" i="3"/>
  <c r="O399" i="3" s="1"/>
  <c r="P399" i="3" s="1"/>
  <c r="Q399" i="3" s="1"/>
  <c r="R399" i="3" s="1"/>
  <c r="T60" i="1" s="1"/>
  <c r="E403" i="3"/>
  <c r="X256" i="1"/>
  <c r="W256" i="1"/>
  <c r="V256" i="1"/>
  <c r="U256" i="1"/>
  <c r="F1288" i="8" l="1"/>
  <c r="F1292" i="8"/>
  <c r="K413" i="8"/>
  <c r="K418" i="8"/>
  <c r="J413" i="8"/>
  <c r="J417" i="8"/>
  <c r="L406" i="8"/>
  <c r="L410" i="8"/>
  <c r="I406" i="8"/>
  <c r="I410" i="8"/>
  <c r="X586" i="1"/>
  <c r="V586" i="1"/>
  <c r="W586" i="1"/>
  <c r="U586" i="1"/>
  <c r="G406" i="8"/>
  <c r="M406" i="8" s="1"/>
  <c r="N406" i="8" s="1"/>
  <c r="O406" i="8" s="1"/>
  <c r="P406" i="8" s="1"/>
  <c r="T587" i="1" s="1"/>
  <c r="G410" i="8"/>
  <c r="I1218" i="4"/>
  <c r="I1236" i="4"/>
  <c r="I1211" i="4"/>
  <c r="I1229" i="4"/>
  <c r="M406" i="4"/>
  <c r="M410" i="4"/>
  <c r="J406" i="4"/>
  <c r="J410" i="4"/>
  <c r="I1204" i="4"/>
  <c r="I1222" i="4"/>
  <c r="G406" i="4"/>
  <c r="G410" i="4"/>
  <c r="F406" i="4"/>
  <c r="F410" i="4"/>
  <c r="E406" i="4"/>
  <c r="O406" i="4" s="1"/>
  <c r="P406" i="4" s="1"/>
  <c r="Q406" i="4" s="1"/>
  <c r="R406" i="4" s="1"/>
  <c r="T259" i="1" s="1"/>
  <c r="E410" i="4"/>
  <c r="I1218" i="3"/>
  <c r="I1236" i="3"/>
  <c r="I1211" i="3"/>
  <c r="I1229" i="3"/>
  <c r="M406" i="3"/>
  <c r="M410" i="3"/>
  <c r="J406" i="3"/>
  <c r="J410" i="3"/>
  <c r="I1204" i="3"/>
  <c r="I1222" i="3"/>
  <c r="G406" i="3"/>
  <c r="G410" i="3"/>
  <c r="F406" i="3"/>
  <c r="F410" i="3"/>
  <c r="W60" i="1"/>
  <c r="V60" i="1"/>
  <c r="U60" i="1"/>
  <c r="X60" i="1"/>
  <c r="E406" i="3"/>
  <c r="O406" i="3" s="1"/>
  <c r="P406" i="3" s="1"/>
  <c r="Q406" i="3" s="1"/>
  <c r="R406" i="3" s="1"/>
  <c r="T61" i="1" s="1"/>
  <c r="E410" i="3"/>
  <c r="O399" i="4"/>
  <c r="P399" i="4" s="1"/>
  <c r="Q399" i="4" s="1"/>
  <c r="R399" i="4" s="1"/>
  <c r="T258" i="1" s="1"/>
  <c r="F1295" i="8" l="1"/>
  <c r="F1299" i="8"/>
  <c r="K420" i="8"/>
  <c r="K425" i="8"/>
  <c r="J420" i="8"/>
  <c r="J424" i="8"/>
  <c r="L413" i="8"/>
  <c r="L417" i="8"/>
  <c r="I413" i="8"/>
  <c r="I417" i="8"/>
  <c r="X587" i="1"/>
  <c r="W587" i="1"/>
  <c r="V587" i="1"/>
  <c r="U587" i="1"/>
  <c r="G413" i="8"/>
  <c r="M413" i="8" s="1"/>
  <c r="N413" i="8" s="1"/>
  <c r="O413" i="8" s="1"/>
  <c r="P413" i="8" s="1"/>
  <c r="T588" i="1" s="1"/>
  <c r="G417" i="8"/>
  <c r="I1239" i="4"/>
  <c r="I1257" i="4"/>
  <c r="I1232" i="4"/>
  <c r="I1250" i="4"/>
  <c r="M413" i="4"/>
  <c r="M417" i="4"/>
  <c r="J413" i="4"/>
  <c r="J417" i="4"/>
  <c r="I1225" i="4"/>
  <c r="I1243" i="4"/>
  <c r="G413" i="4"/>
  <c r="G417" i="4"/>
  <c r="F413" i="4"/>
  <c r="F417" i="4"/>
  <c r="X259" i="1"/>
  <c r="W259" i="1"/>
  <c r="V259" i="1"/>
  <c r="U259" i="1"/>
  <c r="E413" i="4"/>
  <c r="E417" i="4"/>
  <c r="I1239" i="3"/>
  <c r="I1257" i="3"/>
  <c r="I1232" i="3"/>
  <c r="I1250" i="3"/>
  <c r="M413" i="3"/>
  <c r="M417" i="3"/>
  <c r="J413" i="3"/>
  <c r="J417" i="3"/>
  <c r="I1225" i="3"/>
  <c r="I1243" i="3"/>
  <c r="G413" i="3"/>
  <c r="G417" i="3"/>
  <c r="F413" i="3"/>
  <c r="F417" i="3"/>
  <c r="V61" i="1"/>
  <c r="X61" i="1"/>
  <c r="U61" i="1"/>
  <c r="W61" i="1"/>
  <c r="E413" i="3"/>
  <c r="O413" i="3" s="1"/>
  <c r="P413" i="3" s="1"/>
  <c r="Q413" i="3" s="1"/>
  <c r="R413" i="3" s="1"/>
  <c r="T62" i="1" s="1"/>
  <c r="E417" i="3"/>
  <c r="X258" i="1"/>
  <c r="W258" i="1"/>
  <c r="V258" i="1"/>
  <c r="U258" i="1"/>
  <c r="F1302" i="8" l="1"/>
  <c r="F1306" i="8"/>
  <c r="K427" i="8"/>
  <c r="K432" i="8"/>
  <c r="J427" i="8"/>
  <c r="J431" i="8"/>
  <c r="L420" i="8"/>
  <c r="L424" i="8"/>
  <c r="I420" i="8"/>
  <c r="I424" i="8"/>
  <c r="W588" i="1"/>
  <c r="X588" i="1"/>
  <c r="V588" i="1"/>
  <c r="U588" i="1"/>
  <c r="G420" i="8"/>
  <c r="M420" i="8" s="1"/>
  <c r="N420" i="8" s="1"/>
  <c r="O420" i="8" s="1"/>
  <c r="P420" i="8" s="1"/>
  <c r="T589" i="1" s="1"/>
  <c r="G424" i="8"/>
  <c r="I1260" i="4"/>
  <c r="I1278" i="4"/>
  <c r="I1253" i="4"/>
  <c r="I1271" i="4"/>
  <c r="M420" i="4"/>
  <c r="M424" i="4"/>
  <c r="J420" i="4"/>
  <c r="J424" i="4"/>
  <c r="I1246" i="4"/>
  <c r="I1264" i="4"/>
  <c r="G420" i="4"/>
  <c r="G424" i="4"/>
  <c r="F420" i="4"/>
  <c r="F424" i="4"/>
  <c r="E420" i="4"/>
  <c r="O420" i="4" s="1"/>
  <c r="P420" i="4" s="1"/>
  <c r="Q420" i="4" s="1"/>
  <c r="R420" i="4" s="1"/>
  <c r="T261" i="1" s="1"/>
  <c r="E424" i="4"/>
  <c r="I1260" i="3"/>
  <c r="I1278" i="3"/>
  <c r="I1253" i="3"/>
  <c r="I1271" i="3"/>
  <c r="M420" i="3"/>
  <c r="M424" i="3"/>
  <c r="J420" i="3"/>
  <c r="J424" i="3"/>
  <c r="I1246" i="3"/>
  <c r="I1264" i="3"/>
  <c r="G420" i="3"/>
  <c r="G424" i="3"/>
  <c r="F420" i="3"/>
  <c r="F424" i="3"/>
  <c r="V62" i="1"/>
  <c r="U62" i="1"/>
  <c r="W62" i="1"/>
  <c r="X62" i="1"/>
  <c r="E420" i="3"/>
  <c r="E424" i="3"/>
  <c r="O413" i="4"/>
  <c r="P413" i="4" s="1"/>
  <c r="Q413" i="4" s="1"/>
  <c r="R413" i="4" s="1"/>
  <c r="T260" i="1" s="1"/>
  <c r="F1309" i="8" l="1"/>
  <c r="F1313" i="8"/>
  <c r="K434" i="8"/>
  <c r="K439" i="8"/>
  <c r="J434" i="8"/>
  <c r="J438" i="8"/>
  <c r="L427" i="8"/>
  <c r="L431" i="8"/>
  <c r="I427" i="8"/>
  <c r="I431" i="8"/>
  <c r="X589" i="1"/>
  <c r="W589" i="1"/>
  <c r="V589" i="1"/>
  <c r="U589" i="1"/>
  <c r="G427" i="8"/>
  <c r="M427" i="8" s="1"/>
  <c r="N427" i="8" s="1"/>
  <c r="O427" i="8" s="1"/>
  <c r="P427" i="8" s="1"/>
  <c r="T590" i="1" s="1"/>
  <c r="G431" i="8"/>
  <c r="I1281" i="4"/>
  <c r="I1299" i="4"/>
  <c r="I1274" i="4"/>
  <c r="I1292" i="4"/>
  <c r="M427" i="4"/>
  <c r="M431" i="4"/>
  <c r="J427" i="4"/>
  <c r="J431" i="4"/>
  <c r="I1267" i="4"/>
  <c r="I1285" i="4"/>
  <c r="G427" i="4"/>
  <c r="G431" i="4"/>
  <c r="F427" i="4"/>
  <c r="F431" i="4"/>
  <c r="U261" i="1"/>
  <c r="V261" i="1"/>
  <c r="W261" i="1"/>
  <c r="X261" i="1"/>
  <c r="E427" i="4"/>
  <c r="O427" i="4" s="1"/>
  <c r="P427" i="4" s="1"/>
  <c r="Q427" i="4" s="1"/>
  <c r="R427" i="4" s="1"/>
  <c r="T262" i="1" s="1"/>
  <c r="E431" i="4"/>
  <c r="I1281" i="3"/>
  <c r="I1299" i="3"/>
  <c r="I1274" i="3"/>
  <c r="I1292" i="3"/>
  <c r="M427" i="3"/>
  <c r="M431" i="3"/>
  <c r="J427" i="3"/>
  <c r="J431" i="3"/>
  <c r="I1267" i="3"/>
  <c r="I1285" i="3"/>
  <c r="G427" i="3"/>
  <c r="G431" i="3"/>
  <c r="F427" i="3"/>
  <c r="F431" i="3"/>
  <c r="E427" i="3"/>
  <c r="E431" i="3"/>
  <c r="X260" i="1"/>
  <c r="W260" i="1"/>
  <c r="V260" i="1"/>
  <c r="U260" i="1"/>
  <c r="O420" i="3"/>
  <c r="P420" i="3" s="1"/>
  <c r="Q420" i="3" s="1"/>
  <c r="R420" i="3" s="1"/>
  <c r="T63" i="1" s="1"/>
  <c r="F1316" i="8" l="1"/>
  <c r="F1320" i="8"/>
  <c r="F1323" i="8" s="1"/>
  <c r="K441" i="8"/>
  <c r="K446" i="8"/>
  <c r="J441" i="8"/>
  <c r="J445" i="8"/>
  <c r="L434" i="8"/>
  <c r="L438" i="8"/>
  <c r="I434" i="8"/>
  <c r="I438" i="8"/>
  <c r="X590" i="1"/>
  <c r="W590" i="1"/>
  <c r="V590" i="1"/>
  <c r="U590" i="1"/>
  <c r="G434" i="8"/>
  <c r="M434" i="8" s="1"/>
  <c r="N434" i="8" s="1"/>
  <c r="O434" i="8" s="1"/>
  <c r="P434" i="8" s="1"/>
  <c r="T591" i="1" s="1"/>
  <c r="G438" i="8"/>
  <c r="G441" i="8" s="1"/>
  <c r="I1302" i="4"/>
  <c r="I1320" i="4"/>
  <c r="I1295" i="4"/>
  <c r="I1313" i="4"/>
  <c r="M434" i="4"/>
  <c r="M438" i="4"/>
  <c r="J434" i="4"/>
  <c r="J438" i="4"/>
  <c r="I1288" i="4"/>
  <c r="I1306" i="4"/>
  <c r="G434" i="4"/>
  <c r="G438" i="4"/>
  <c r="F434" i="4"/>
  <c r="F438" i="4"/>
  <c r="X262" i="1"/>
  <c r="W262" i="1"/>
  <c r="V262" i="1"/>
  <c r="U262" i="1"/>
  <c r="E434" i="4"/>
  <c r="E438" i="4"/>
  <c r="I1302" i="3"/>
  <c r="I1320" i="3"/>
  <c r="I1295" i="3"/>
  <c r="I1313" i="3"/>
  <c r="M434" i="3"/>
  <c r="M438" i="3"/>
  <c r="J434" i="3"/>
  <c r="J438" i="3"/>
  <c r="I1288" i="3"/>
  <c r="I1306" i="3"/>
  <c r="G434" i="3"/>
  <c r="G438" i="3"/>
  <c r="F434" i="3"/>
  <c r="F438" i="3"/>
  <c r="E434" i="3"/>
  <c r="O434" i="3" s="1"/>
  <c r="P434" i="3" s="1"/>
  <c r="Q434" i="3" s="1"/>
  <c r="R434" i="3" s="1"/>
  <c r="T65" i="1" s="1"/>
  <c r="E438" i="3"/>
  <c r="X63" i="1"/>
  <c r="W63" i="1"/>
  <c r="V63" i="1"/>
  <c r="U63" i="1"/>
  <c r="O427" i="3"/>
  <c r="P427" i="3" s="1"/>
  <c r="Q427" i="3" s="1"/>
  <c r="R427" i="3" s="1"/>
  <c r="T64" i="1" s="1"/>
  <c r="K448" i="8" l="1"/>
  <c r="K453" i="8"/>
  <c r="J448" i="8"/>
  <c r="J452" i="8"/>
  <c r="L441" i="8"/>
  <c r="L445" i="8"/>
  <c r="I441" i="8"/>
  <c r="M441" i="8" s="1"/>
  <c r="N441" i="8" s="1"/>
  <c r="O441" i="8" s="1"/>
  <c r="P441" i="8" s="1"/>
  <c r="T592" i="1" s="1"/>
  <c r="I445" i="8"/>
  <c r="W591" i="1"/>
  <c r="U591" i="1"/>
  <c r="X591" i="1"/>
  <c r="V591" i="1"/>
  <c r="I1323" i="4"/>
  <c r="I1341" i="4"/>
  <c r="I1316" i="4"/>
  <c r="I1334" i="4"/>
  <c r="M441" i="4"/>
  <c r="M445" i="4"/>
  <c r="J441" i="4"/>
  <c r="J445" i="4"/>
  <c r="I1309" i="4"/>
  <c r="I1327" i="4"/>
  <c r="G441" i="4"/>
  <c r="G445" i="4"/>
  <c r="F441" i="4"/>
  <c r="F445" i="4"/>
  <c r="E441" i="4"/>
  <c r="E445" i="4"/>
  <c r="I1323" i="3"/>
  <c r="I1341" i="3"/>
  <c r="I1316" i="3"/>
  <c r="I1334" i="3"/>
  <c r="M441" i="3"/>
  <c r="M445" i="3"/>
  <c r="J441" i="3"/>
  <c r="J445" i="3"/>
  <c r="I1309" i="3"/>
  <c r="I1327" i="3"/>
  <c r="G441" i="3"/>
  <c r="G445" i="3"/>
  <c r="F441" i="3"/>
  <c r="F445" i="3"/>
  <c r="X65" i="1"/>
  <c r="W65" i="1"/>
  <c r="V65" i="1"/>
  <c r="U65" i="1"/>
  <c r="E441" i="3"/>
  <c r="O441" i="3" s="1"/>
  <c r="P441" i="3" s="1"/>
  <c r="Q441" i="3" s="1"/>
  <c r="R441" i="3" s="1"/>
  <c r="T66" i="1" s="1"/>
  <c r="E445" i="3"/>
  <c r="U64" i="1"/>
  <c r="V64" i="1"/>
  <c r="W64" i="1"/>
  <c r="X64" i="1"/>
  <c r="O434" i="4"/>
  <c r="P434" i="4" s="1"/>
  <c r="Q434" i="4" s="1"/>
  <c r="R434" i="4" s="1"/>
  <c r="T263" i="1" s="1"/>
  <c r="K455" i="8" l="1"/>
  <c r="K460" i="8"/>
  <c r="J455" i="8"/>
  <c r="J459" i="8"/>
  <c r="L448" i="8"/>
  <c r="L452" i="8"/>
  <c r="I448" i="8"/>
  <c r="M448" i="8" s="1"/>
  <c r="N448" i="8" s="1"/>
  <c r="O448" i="8" s="1"/>
  <c r="P448" i="8" s="1"/>
  <c r="T593" i="1" s="1"/>
  <c r="I452" i="8"/>
  <c r="I1344" i="4"/>
  <c r="I1362" i="4"/>
  <c r="I1337" i="4"/>
  <c r="I1355" i="4"/>
  <c r="M448" i="4"/>
  <c r="M452" i="4"/>
  <c r="J448" i="4"/>
  <c r="J452" i="4"/>
  <c r="I1330" i="4"/>
  <c r="I1348" i="4"/>
  <c r="G448" i="4"/>
  <c r="G452" i="4"/>
  <c r="F448" i="4"/>
  <c r="F452" i="4"/>
  <c r="E448" i="4"/>
  <c r="O448" i="4" s="1"/>
  <c r="P448" i="4" s="1"/>
  <c r="Q448" i="4" s="1"/>
  <c r="R448" i="4" s="1"/>
  <c r="T265" i="1" s="1"/>
  <c r="E452" i="4"/>
  <c r="I1344" i="3"/>
  <c r="I1362" i="3"/>
  <c r="I1337" i="3"/>
  <c r="I1355" i="3"/>
  <c r="M448" i="3"/>
  <c r="M452" i="3"/>
  <c r="J448" i="3"/>
  <c r="J452" i="3"/>
  <c r="I1330" i="3"/>
  <c r="I1348" i="3"/>
  <c r="G448" i="3"/>
  <c r="G452" i="3"/>
  <c r="F448" i="3"/>
  <c r="F452" i="3"/>
  <c r="U66" i="1"/>
  <c r="V66" i="1"/>
  <c r="W66" i="1"/>
  <c r="X66" i="1"/>
  <c r="E448" i="3"/>
  <c r="E452" i="3"/>
  <c r="U263" i="1"/>
  <c r="V263" i="1"/>
  <c r="W263" i="1"/>
  <c r="X263" i="1"/>
  <c r="O441" i="4"/>
  <c r="P441" i="4" s="1"/>
  <c r="Q441" i="4" s="1"/>
  <c r="R441" i="4" s="1"/>
  <c r="T264" i="1" s="1"/>
  <c r="U592" i="1"/>
  <c r="X592" i="1"/>
  <c r="W592" i="1"/>
  <c r="V592" i="1"/>
  <c r="K462" i="8" l="1"/>
  <c r="K467" i="8"/>
  <c r="J462" i="8"/>
  <c r="J466" i="8"/>
  <c r="L455" i="8"/>
  <c r="L459" i="8"/>
  <c r="X593" i="1"/>
  <c r="V593" i="1"/>
  <c r="W593" i="1"/>
  <c r="U593" i="1"/>
  <c r="I455" i="8"/>
  <c r="M455" i="8" s="1"/>
  <c r="N455" i="8" s="1"/>
  <c r="O455" i="8" s="1"/>
  <c r="P455" i="8" s="1"/>
  <c r="T594" i="1" s="1"/>
  <c r="I459" i="8"/>
  <c r="I1365" i="4"/>
  <c r="I1383" i="4"/>
  <c r="I1386" i="4" s="1"/>
  <c r="I1358" i="4"/>
  <c r="I1376" i="4"/>
  <c r="I1379" i="4" s="1"/>
  <c r="M455" i="4"/>
  <c r="M459" i="4"/>
  <c r="J455" i="4"/>
  <c r="J459" i="4"/>
  <c r="I1351" i="4"/>
  <c r="I1369" i="4"/>
  <c r="I1372" i="4" s="1"/>
  <c r="G455" i="4"/>
  <c r="G459" i="4"/>
  <c r="F455" i="4"/>
  <c r="F459" i="4"/>
  <c r="X265" i="1"/>
  <c r="W265" i="1"/>
  <c r="V265" i="1"/>
  <c r="U265" i="1"/>
  <c r="E455" i="4"/>
  <c r="O455" i="4" s="1"/>
  <c r="P455" i="4" s="1"/>
  <c r="Q455" i="4" s="1"/>
  <c r="R455" i="4" s="1"/>
  <c r="T266" i="1" s="1"/>
  <c r="E459" i="4"/>
  <c r="I1365" i="3"/>
  <c r="I1383" i="3"/>
  <c r="I1386" i="3" s="1"/>
  <c r="I1358" i="3"/>
  <c r="I1376" i="3"/>
  <c r="I1379" i="3" s="1"/>
  <c r="M455" i="3"/>
  <c r="M459" i="3"/>
  <c r="J455" i="3"/>
  <c r="J459" i="3"/>
  <c r="I1351" i="3"/>
  <c r="I1369" i="3"/>
  <c r="I1372" i="3" s="1"/>
  <c r="G455" i="3"/>
  <c r="G459" i="3"/>
  <c r="F455" i="3"/>
  <c r="F459" i="3"/>
  <c r="E455" i="3"/>
  <c r="O455" i="3" s="1"/>
  <c r="P455" i="3" s="1"/>
  <c r="Q455" i="3" s="1"/>
  <c r="R455" i="3" s="1"/>
  <c r="T68" i="1" s="1"/>
  <c r="E459" i="3"/>
  <c r="X264" i="1"/>
  <c r="W264" i="1"/>
  <c r="V264" i="1"/>
  <c r="U264" i="1"/>
  <c r="O448" i="3"/>
  <c r="P448" i="3" s="1"/>
  <c r="Q448" i="3" s="1"/>
  <c r="R448" i="3" s="1"/>
  <c r="T67" i="1" s="1"/>
  <c r="K469" i="8" l="1"/>
  <c r="K474" i="8"/>
  <c r="J469" i="8"/>
  <c r="J473" i="8"/>
  <c r="L462" i="8"/>
  <c r="L466" i="8"/>
  <c r="X594" i="1"/>
  <c r="W594" i="1"/>
  <c r="V594" i="1"/>
  <c r="U594" i="1"/>
  <c r="I462" i="8"/>
  <c r="M462" i="8" s="1"/>
  <c r="N462" i="8" s="1"/>
  <c r="O462" i="8" s="1"/>
  <c r="P462" i="8" s="1"/>
  <c r="T595" i="1" s="1"/>
  <c r="I466" i="8"/>
  <c r="M462" i="4"/>
  <c r="M466" i="4"/>
  <c r="J462" i="4"/>
  <c r="J466" i="4"/>
  <c r="G462" i="4"/>
  <c r="G466" i="4"/>
  <c r="F462" i="4"/>
  <c r="F466" i="4"/>
  <c r="X266" i="1"/>
  <c r="W266" i="1"/>
  <c r="V266" i="1"/>
  <c r="U266" i="1"/>
  <c r="E462" i="4"/>
  <c r="O462" i="4" s="1"/>
  <c r="P462" i="4" s="1"/>
  <c r="Q462" i="4" s="1"/>
  <c r="R462" i="4" s="1"/>
  <c r="T267" i="1" s="1"/>
  <c r="E466" i="4"/>
  <c r="M462" i="3"/>
  <c r="M466" i="3"/>
  <c r="J462" i="3"/>
  <c r="J466" i="3"/>
  <c r="G462" i="3"/>
  <c r="G466" i="3"/>
  <c r="F462" i="3"/>
  <c r="F466" i="3"/>
  <c r="W68" i="1"/>
  <c r="X68" i="1"/>
  <c r="V68" i="1"/>
  <c r="U68" i="1"/>
  <c r="E462" i="3"/>
  <c r="O462" i="3" s="1"/>
  <c r="P462" i="3" s="1"/>
  <c r="Q462" i="3" s="1"/>
  <c r="R462" i="3" s="1"/>
  <c r="T69" i="1" s="1"/>
  <c r="E466" i="3"/>
  <c r="W67" i="1"/>
  <c r="V67" i="1"/>
  <c r="U67" i="1"/>
  <c r="X67" i="1"/>
  <c r="K476" i="8" l="1"/>
  <c r="K481" i="8"/>
  <c r="J476" i="8"/>
  <c r="J480" i="8"/>
  <c r="L469" i="8"/>
  <c r="L473" i="8"/>
  <c r="X595" i="1"/>
  <c r="W595" i="1"/>
  <c r="V595" i="1"/>
  <c r="U595" i="1"/>
  <c r="I469" i="8"/>
  <c r="M469" i="8" s="1"/>
  <c r="N469" i="8" s="1"/>
  <c r="O469" i="8" s="1"/>
  <c r="P469" i="8" s="1"/>
  <c r="T596" i="1" s="1"/>
  <c r="I473" i="8"/>
  <c r="M469" i="4"/>
  <c r="M473" i="4"/>
  <c r="J469" i="4"/>
  <c r="J473" i="4"/>
  <c r="G469" i="4"/>
  <c r="G473" i="4"/>
  <c r="F469" i="4"/>
  <c r="F473" i="4"/>
  <c r="X267" i="1"/>
  <c r="W267" i="1"/>
  <c r="V267" i="1"/>
  <c r="U267" i="1"/>
  <c r="E469" i="4"/>
  <c r="O469" i="4" s="1"/>
  <c r="P469" i="4" s="1"/>
  <c r="Q469" i="4" s="1"/>
  <c r="R469" i="4" s="1"/>
  <c r="T268" i="1" s="1"/>
  <c r="E473" i="4"/>
  <c r="M469" i="3"/>
  <c r="M473" i="3"/>
  <c r="J469" i="3"/>
  <c r="J473" i="3"/>
  <c r="G469" i="3"/>
  <c r="G473" i="3"/>
  <c r="F469" i="3"/>
  <c r="F473" i="3"/>
  <c r="U69" i="1"/>
  <c r="V69" i="1"/>
  <c r="W69" i="1"/>
  <c r="X69" i="1"/>
  <c r="E469" i="3"/>
  <c r="O469" i="3" s="1"/>
  <c r="P469" i="3" s="1"/>
  <c r="Q469" i="3" s="1"/>
  <c r="R469" i="3" s="1"/>
  <c r="T70" i="1" s="1"/>
  <c r="E473" i="3"/>
  <c r="K483" i="8" l="1"/>
  <c r="K488" i="8"/>
  <c r="J483" i="8"/>
  <c r="J487" i="8"/>
  <c r="L476" i="8"/>
  <c r="L480" i="8"/>
  <c r="W596" i="1"/>
  <c r="V596" i="1"/>
  <c r="X596" i="1"/>
  <c r="U596" i="1"/>
  <c r="I476" i="8"/>
  <c r="M476" i="8" s="1"/>
  <c r="N476" i="8" s="1"/>
  <c r="O476" i="8" s="1"/>
  <c r="P476" i="8" s="1"/>
  <c r="T597" i="1" s="1"/>
  <c r="I480" i="8"/>
  <c r="M476" i="4"/>
  <c r="M480" i="4"/>
  <c r="J476" i="4"/>
  <c r="J480" i="4"/>
  <c r="G476" i="4"/>
  <c r="G480" i="4"/>
  <c r="F476" i="4"/>
  <c r="F480" i="4"/>
  <c r="U268" i="1"/>
  <c r="V268" i="1"/>
  <c r="W268" i="1"/>
  <c r="X268" i="1"/>
  <c r="E476" i="4"/>
  <c r="O476" i="4" s="1"/>
  <c r="P476" i="4" s="1"/>
  <c r="Q476" i="4" s="1"/>
  <c r="R476" i="4" s="1"/>
  <c r="T269" i="1" s="1"/>
  <c r="E480" i="4"/>
  <c r="M476" i="3"/>
  <c r="M480" i="3"/>
  <c r="J476" i="3"/>
  <c r="J480" i="3"/>
  <c r="G476" i="3"/>
  <c r="G480" i="3"/>
  <c r="F476" i="3"/>
  <c r="F480" i="3"/>
  <c r="V70" i="1"/>
  <c r="W70" i="1"/>
  <c r="X70" i="1"/>
  <c r="U70" i="1"/>
  <c r="E476" i="3"/>
  <c r="O476" i="3" s="1"/>
  <c r="P476" i="3" s="1"/>
  <c r="Q476" i="3" s="1"/>
  <c r="R476" i="3" s="1"/>
  <c r="T71" i="1" s="1"/>
  <c r="E480" i="3"/>
  <c r="K490" i="8" l="1"/>
  <c r="K495" i="8"/>
  <c r="J490" i="8"/>
  <c r="J494" i="8"/>
  <c r="L483" i="8"/>
  <c r="L487" i="8"/>
  <c r="X597" i="1"/>
  <c r="W597" i="1"/>
  <c r="V597" i="1"/>
  <c r="U597" i="1"/>
  <c r="I483" i="8"/>
  <c r="M483" i="8" s="1"/>
  <c r="N483" i="8" s="1"/>
  <c r="O483" i="8" s="1"/>
  <c r="P483" i="8" s="1"/>
  <c r="T598" i="1" s="1"/>
  <c r="I487" i="8"/>
  <c r="M483" i="4"/>
  <c r="M487" i="4"/>
  <c r="J483" i="4"/>
  <c r="J487" i="4"/>
  <c r="G483" i="4"/>
  <c r="G487" i="4"/>
  <c r="F483" i="4"/>
  <c r="F487" i="4"/>
  <c r="U269" i="1"/>
  <c r="V269" i="1"/>
  <c r="W269" i="1"/>
  <c r="X269" i="1"/>
  <c r="E483" i="4"/>
  <c r="O483" i="4" s="1"/>
  <c r="P483" i="4" s="1"/>
  <c r="Q483" i="4" s="1"/>
  <c r="R483" i="4" s="1"/>
  <c r="T270" i="1" s="1"/>
  <c r="E487" i="4"/>
  <c r="M483" i="3"/>
  <c r="M487" i="3"/>
  <c r="J483" i="3"/>
  <c r="J487" i="3"/>
  <c r="G483" i="3"/>
  <c r="G487" i="3"/>
  <c r="F483" i="3"/>
  <c r="F487" i="3"/>
  <c r="W71" i="1"/>
  <c r="V71" i="1"/>
  <c r="U71" i="1"/>
  <c r="X71" i="1"/>
  <c r="E483" i="3"/>
  <c r="O483" i="3" s="1"/>
  <c r="P483" i="3" s="1"/>
  <c r="Q483" i="3" s="1"/>
  <c r="R483" i="3" s="1"/>
  <c r="T72" i="1" s="1"/>
  <c r="E487" i="3"/>
  <c r="K497" i="8" l="1"/>
  <c r="K502" i="8"/>
  <c r="J497" i="8"/>
  <c r="J501" i="8"/>
  <c r="L490" i="8"/>
  <c r="L494" i="8"/>
  <c r="U598" i="1"/>
  <c r="X598" i="1"/>
  <c r="W598" i="1"/>
  <c r="V598" i="1"/>
  <c r="I490" i="8"/>
  <c r="M490" i="8" s="1"/>
  <c r="N490" i="8" s="1"/>
  <c r="O490" i="8" s="1"/>
  <c r="P490" i="8" s="1"/>
  <c r="T599" i="1" s="1"/>
  <c r="I494" i="8"/>
  <c r="M490" i="4"/>
  <c r="M494" i="4"/>
  <c r="J490" i="4"/>
  <c r="J494" i="4"/>
  <c r="G490" i="4"/>
  <c r="G494" i="4"/>
  <c r="F490" i="4"/>
  <c r="F494" i="4"/>
  <c r="U270" i="1"/>
  <c r="V270" i="1"/>
  <c r="W270" i="1"/>
  <c r="X270" i="1"/>
  <c r="E490" i="4"/>
  <c r="E494" i="4"/>
  <c r="M490" i="3"/>
  <c r="M494" i="3"/>
  <c r="J490" i="3"/>
  <c r="J494" i="3"/>
  <c r="G490" i="3"/>
  <c r="G494" i="3"/>
  <c r="F490" i="3"/>
  <c r="F494" i="3"/>
  <c r="U72" i="1"/>
  <c r="V72" i="1"/>
  <c r="X72" i="1"/>
  <c r="W72" i="1"/>
  <c r="E490" i="3"/>
  <c r="O490" i="3" s="1"/>
  <c r="P490" i="3" s="1"/>
  <c r="Q490" i="3" s="1"/>
  <c r="R490" i="3" s="1"/>
  <c r="T73" i="1" s="1"/>
  <c r="E494" i="3"/>
  <c r="K504" i="8" l="1"/>
  <c r="K509" i="8"/>
  <c r="J504" i="8"/>
  <c r="J508" i="8"/>
  <c r="L497" i="8"/>
  <c r="L501" i="8"/>
  <c r="X599" i="1"/>
  <c r="U599" i="1"/>
  <c r="W599" i="1"/>
  <c r="V599" i="1"/>
  <c r="I497" i="8"/>
  <c r="M497" i="8" s="1"/>
  <c r="N497" i="8" s="1"/>
  <c r="O497" i="8" s="1"/>
  <c r="P497" i="8" s="1"/>
  <c r="T600" i="1" s="1"/>
  <c r="I501" i="8"/>
  <c r="M497" i="4"/>
  <c r="M501" i="4"/>
  <c r="J497" i="4"/>
  <c r="J501" i="4"/>
  <c r="G497" i="4"/>
  <c r="G501" i="4"/>
  <c r="F497" i="4"/>
  <c r="F501" i="4"/>
  <c r="E497" i="4"/>
  <c r="O497" i="4" s="1"/>
  <c r="P497" i="4" s="1"/>
  <c r="Q497" i="4" s="1"/>
  <c r="R497" i="4" s="1"/>
  <c r="T272" i="1" s="1"/>
  <c r="E501" i="4"/>
  <c r="M497" i="3"/>
  <c r="M501" i="3"/>
  <c r="J497" i="3"/>
  <c r="J501" i="3"/>
  <c r="G497" i="3"/>
  <c r="G501" i="3"/>
  <c r="F497" i="3"/>
  <c r="F501" i="3"/>
  <c r="V73" i="1"/>
  <c r="U73" i="1"/>
  <c r="X73" i="1"/>
  <c r="W73" i="1"/>
  <c r="E497" i="3"/>
  <c r="O497" i="3" s="1"/>
  <c r="P497" i="3" s="1"/>
  <c r="Q497" i="3" s="1"/>
  <c r="R497" i="3" s="1"/>
  <c r="T74" i="1" s="1"/>
  <c r="E501" i="3"/>
  <c r="O490" i="4"/>
  <c r="P490" i="4" s="1"/>
  <c r="Q490" i="4" s="1"/>
  <c r="R490" i="4" s="1"/>
  <c r="T271" i="1" s="1"/>
  <c r="K511" i="8" l="1"/>
  <c r="K516" i="8"/>
  <c r="J511" i="8"/>
  <c r="J515" i="8"/>
  <c r="L504" i="8"/>
  <c r="L508" i="8"/>
  <c r="X600" i="1"/>
  <c r="W600" i="1"/>
  <c r="V600" i="1"/>
  <c r="U600" i="1"/>
  <c r="I504" i="8"/>
  <c r="M504" i="8" s="1"/>
  <c r="N504" i="8" s="1"/>
  <c r="O504" i="8" s="1"/>
  <c r="P504" i="8" s="1"/>
  <c r="T601" i="1" s="1"/>
  <c r="I508" i="8"/>
  <c r="M504" i="4"/>
  <c r="M508" i="4"/>
  <c r="J504" i="4"/>
  <c r="J508" i="4"/>
  <c r="G504" i="4"/>
  <c r="G508" i="4"/>
  <c r="F504" i="4"/>
  <c r="F508" i="4"/>
  <c r="U272" i="1"/>
  <c r="V272" i="1"/>
  <c r="W272" i="1"/>
  <c r="X272" i="1"/>
  <c r="E504" i="4"/>
  <c r="O504" i="4" s="1"/>
  <c r="P504" i="4" s="1"/>
  <c r="Q504" i="4" s="1"/>
  <c r="R504" i="4" s="1"/>
  <c r="T273" i="1" s="1"/>
  <c r="E508" i="4"/>
  <c r="M504" i="3"/>
  <c r="M508" i="3"/>
  <c r="J504" i="3"/>
  <c r="J508" i="3"/>
  <c r="G504" i="3"/>
  <c r="G508" i="3"/>
  <c r="F504" i="3"/>
  <c r="F508" i="3"/>
  <c r="V74" i="1"/>
  <c r="X74" i="1"/>
  <c r="W74" i="1"/>
  <c r="U74" i="1"/>
  <c r="E504" i="3"/>
  <c r="O504" i="3" s="1"/>
  <c r="P504" i="3" s="1"/>
  <c r="Q504" i="3" s="1"/>
  <c r="R504" i="3" s="1"/>
  <c r="T75" i="1" s="1"/>
  <c r="E508" i="3"/>
  <c r="X271" i="1"/>
  <c r="W271" i="1"/>
  <c r="V271" i="1"/>
  <c r="U271" i="1"/>
  <c r="K518" i="8" l="1"/>
  <c r="K523" i="8"/>
  <c r="J518" i="8"/>
  <c r="J522" i="8"/>
  <c r="L511" i="8"/>
  <c r="L515" i="8"/>
  <c r="X601" i="1"/>
  <c r="W601" i="1"/>
  <c r="V601" i="1"/>
  <c r="U601" i="1"/>
  <c r="I511" i="8"/>
  <c r="M511" i="8" s="1"/>
  <c r="N511" i="8" s="1"/>
  <c r="O511" i="8" s="1"/>
  <c r="P511" i="8" s="1"/>
  <c r="T602" i="1" s="1"/>
  <c r="I515" i="8"/>
  <c r="M511" i="4"/>
  <c r="M515" i="4"/>
  <c r="J511" i="4"/>
  <c r="J515" i="4"/>
  <c r="G511" i="4"/>
  <c r="G515" i="4"/>
  <c r="F511" i="4"/>
  <c r="F515" i="4"/>
  <c r="U273" i="1"/>
  <c r="V273" i="1"/>
  <c r="W273" i="1"/>
  <c r="X273" i="1"/>
  <c r="E511" i="4"/>
  <c r="O511" i="4" s="1"/>
  <c r="P511" i="4" s="1"/>
  <c r="Q511" i="4" s="1"/>
  <c r="R511" i="4" s="1"/>
  <c r="T274" i="1" s="1"/>
  <c r="E515" i="4"/>
  <c r="M511" i="3"/>
  <c r="M515" i="3"/>
  <c r="J511" i="3"/>
  <c r="J515" i="3"/>
  <c r="G511" i="3"/>
  <c r="G515" i="3"/>
  <c r="F511" i="3"/>
  <c r="F515" i="3"/>
  <c r="X75" i="1"/>
  <c r="U75" i="1"/>
  <c r="V75" i="1"/>
  <c r="W75" i="1"/>
  <c r="E511" i="3"/>
  <c r="O511" i="3" s="1"/>
  <c r="P511" i="3" s="1"/>
  <c r="Q511" i="3" s="1"/>
  <c r="R511" i="3" s="1"/>
  <c r="T76" i="1" s="1"/>
  <c r="E515" i="3"/>
  <c r="K525" i="8" l="1"/>
  <c r="K530" i="8"/>
  <c r="J525" i="8"/>
  <c r="J529" i="8"/>
  <c r="L518" i="8"/>
  <c r="L522" i="8"/>
  <c r="X602" i="1"/>
  <c r="W602" i="1"/>
  <c r="V602" i="1"/>
  <c r="U602" i="1"/>
  <c r="I518" i="8"/>
  <c r="M518" i="8" s="1"/>
  <c r="N518" i="8" s="1"/>
  <c r="O518" i="8" s="1"/>
  <c r="P518" i="8" s="1"/>
  <c r="T603" i="1" s="1"/>
  <c r="I522" i="8"/>
  <c r="M518" i="4"/>
  <c r="M522" i="4"/>
  <c r="J518" i="4"/>
  <c r="J522" i="4"/>
  <c r="G518" i="4"/>
  <c r="G522" i="4"/>
  <c r="F518" i="4"/>
  <c r="F522" i="4"/>
  <c r="U274" i="1"/>
  <c r="V274" i="1"/>
  <c r="W274" i="1"/>
  <c r="X274" i="1"/>
  <c r="E518" i="4"/>
  <c r="O518" i="4" s="1"/>
  <c r="P518" i="4" s="1"/>
  <c r="Q518" i="4" s="1"/>
  <c r="R518" i="4" s="1"/>
  <c r="T275" i="1" s="1"/>
  <c r="E522" i="4"/>
  <c r="M518" i="3"/>
  <c r="M522" i="3"/>
  <c r="J518" i="3"/>
  <c r="J522" i="3"/>
  <c r="G518" i="3"/>
  <c r="G522" i="3"/>
  <c r="F518" i="3"/>
  <c r="F522" i="3"/>
  <c r="X76" i="1"/>
  <c r="U76" i="1"/>
  <c r="V76" i="1"/>
  <c r="W76" i="1"/>
  <c r="E518" i="3"/>
  <c r="O518" i="3" s="1"/>
  <c r="P518" i="3" s="1"/>
  <c r="Q518" i="3" s="1"/>
  <c r="R518" i="3" s="1"/>
  <c r="T77" i="1" s="1"/>
  <c r="E522" i="3"/>
  <c r="K532" i="8" l="1"/>
  <c r="K537" i="8"/>
  <c r="J532" i="8"/>
  <c r="J536" i="8"/>
  <c r="L525" i="8"/>
  <c r="L529" i="8"/>
  <c r="X603" i="1"/>
  <c r="W603" i="1"/>
  <c r="V603" i="1"/>
  <c r="U603" i="1"/>
  <c r="I525" i="8"/>
  <c r="M525" i="8" s="1"/>
  <c r="N525" i="8" s="1"/>
  <c r="O525" i="8" s="1"/>
  <c r="P525" i="8" s="1"/>
  <c r="T604" i="1" s="1"/>
  <c r="I529" i="8"/>
  <c r="M525" i="4"/>
  <c r="M529" i="4"/>
  <c r="J525" i="4"/>
  <c r="J529" i="4"/>
  <c r="G525" i="4"/>
  <c r="G529" i="4"/>
  <c r="F525" i="4"/>
  <c r="F529" i="4"/>
  <c r="U275" i="1"/>
  <c r="V275" i="1"/>
  <c r="W275" i="1"/>
  <c r="X275" i="1"/>
  <c r="E525" i="4"/>
  <c r="E529" i="4"/>
  <c r="M525" i="3"/>
  <c r="M529" i="3"/>
  <c r="J525" i="3"/>
  <c r="J529" i="3"/>
  <c r="G525" i="3"/>
  <c r="G529" i="3"/>
  <c r="F525" i="3"/>
  <c r="F529" i="3"/>
  <c r="U77" i="1"/>
  <c r="X77" i="1"/>
  <c r="V77" i="1"/>
  <c r="W77" i="1"/>
  <c r="E525" i="3"/>
  <c r="O525" i="3" s="1"/>
  <c r="P525" i="3" s="1"/>
  <c r="Q525" i="3" s="1"/>
  <c r="R525" i="3" s="1"/>
  <c r="T78" i="1" s="1"/>
  <c r="E529" i="3"/>
  <c r="K539" i="8" l="1"/>
  <c r="K544" i="8"/>
  <c r="J539" i="8"/>
  <c r="J543" i="8"/>
  <c r="L532" i="8"/>
  <c r="L536" i="8"/>
  <c r="X604" i="1"/>
  <c r="W604" i="1"/>
  <c r="V604" i="1"/>
  <c r="U604" i="1"/>
  <c r="I532" i="8"/>
  <c r="M532" i="8" s="1"/>
  <c r="N532" i="8" s="1"/>
  <c r="O532" i="8" s="1"/>
  <c r="P532" i="8" s="1"/>
  <c r="T605" i="1" s="1"/>
  <c r="I536" i="8"/>
  <c r="M532" i="4"/>
  <c r="M536" i="4"/>
  <c r="J532" i="4"/>
  <c r="J536" i="4"/>
  <c r="G532" i="4"/>
  <c r="G536" i="4"/>
  <c r="F532" i="4"/>
  <c r="F536" i="4"/>
  <c r="E532" i="4"/>
  <c r="O532" i="4" s="1"/>
  <c r="P532" i="4" s="1"/>
  <c r="Q532" i="4" s="1"/>
  <c r="R532" i="4" s="1"/>
  <c r="T277" i="1" s="1"/>
  <c r="E536" i="4"/>
  <c r="M532" i="3"/>
  <c r="M536" i="3"/>
  <c r="J532" i="3"/>
  <c r="J536" i="3"/>
  <c r="G532" i="3"/>
  <c r="G536" i="3"/>
  <c r="F532" i="3"/>
  <c r="F536" i="3"/>
  <c r="W78" i="1"/>
  <c r="U78" i="1"/>
  <c r="V78" i="1"/>
  <c r="X78" i="1"/>
  <c r="E532" i="3"/>
  <c r="O532" i="3" s="1"/>
  <c r="P532" i="3" s="1"/>
  <c r="Q532" i="3" s="1"/>
  <c r="R532" i="3" s="1"/>
  <c r="T79" i="1" s="1"/>
  <c r="E536" i="3"/>
  <c r="O525" i="4"/>
  <c r="P525" i="4" s="1"/>
  <c r="Q525" i="4" s="1"/>
  <c r="R525" i="4" s="1"/>
  <c r="T276" i="1" s="1"/>
  <c r="K546" i="8" l="1"/>
  <c r="K551" i="8"/>
  <c r="J546" i="8"/>
  <c r="J550" i="8"/>
  <c r="L539" i="8"/>
  <c r="L543" i="8"/>
  <c r="X605" i="1"/>
  <c r="W605" i="1"/>
  <c r="V605" i="1"/>
  <c r="U605" i="1"/>
  <c r="I539" i="8"/>
  <c r="M539" i="8" s="1"/>
  <c r="N539" i="8" s="1"/>
  <c r="O539" i="8" s="1"/>
  <c r="P539" i="8" s="1"/>
  <c r="T606" i="1" s="1"/>
  <c r="I543" i="8"/>
  <c r="M539" i="4"/>
  <c r="M543" i="4"/>
  <c r="J539" i="4"/>
  <c r="J543" i="4"/>
  <c r="G539" i="4"/>
  <c r="G543" i="4"/>
  <c r="F539" i="4"/>
  <c r="F543" i="4"/>
  <c r="U277" i="1"/>
  <c r="V277" i="1"/>
  <c r="W277" i="1"/>
  <c r="X277" i="1"/>
  <c r="E539" i="4"/>
  <c r="O539" i="4" s="1"/>
  <c r="P539" i="4" s="1"/>
  <c r="Q539" i="4" s="1"/>
  <c r="R539" i="4" s="1"/>
  <c r="T278" i="1" s="1"/>
  <c r="E543" i="4"/>
  <c r="M539" i="3"/>
  <c r="M543" i="3"/>
  <c r="J539" i="3"/>
  <c r="J543" i="3"/>
  <c r="G539" i="3"/>
  <c r="G543" i="3"/>
  <c r="F539" i="3"/>
  <c r="F543" i="3"/>
  <c r="X79" i="1"/>
  <c r="U79" i="1"/>
  <c r="V79" i="1"/>
  <c r="W79" i="1"/>
  <c r="E539" i="3"/>
  <c r="O539" i="3" s="1"/>
  <c r="P539" i="3" s="1"/>
  <c r="Q539" i="3" s="1"/>
  <c r="R539" i="3" s="1"/>
  <c r="T80" i="1" s="1"/>
  <c r="E543" i="3"/>
  <c r="X276" i="1"/>
  <c r="W276" i="1"/>
  <c r="V276" i="1"/>
  <c r="U276" i="1"/>
  <c r="K553" i="8" l="1"/>
  <c r="K558" i="8"/>
  <c r="J553" i="8"/>
  <c r="J557" i="8"/>
  <c r="L546" i="8"/>
  <c r="L550" i="8"/>
  <c r="X606" i="1"/>
  <c r="W606" i="1"/>
  <c r="V606" i="1"/>
  <c r="U606" i="1"/>
  <c r="I546" i="8"/>
  <c r="M546" i="8" s="1"/>
  <c r="N546" i="8" s="1"/>
  <c r="O546" i="8" s="1"/>
  <c r="P546" i="8" s="1"/>
  <c r="T607" i="1" s="1"/>
  <c r="I550" i="8"/>
  <c r="M546" i="4"/>
  <c r="M550" i="4"/>
  <c r="J546" i="4"/>
  <c r="J550" i="4"/>
  <c r="G546" i="4"/>
  <c r="G550" i="4"/>
  <c r="F546" i="4"/>
  <c r="F550" i="4"/>
  <c r="U278" i="1"/>
  <c r="V278" i="1"/>
  <c r="W278" i="1"/>
  <c r="X278" i="1"/>
  <c r="E546" i="4"/>
  <c r="O546" i="4" s="1"/>
  <c r="P546" i="4" s="1"/>
  <c r="Q546" i="4" s="1"/>
  <c r="R546" i="4" s="1"/>
  <c r="T279" i="1" s="1"/>
  <c r="E550" i="4"/>
  <c r="M546" i="3"/>
  <c r="M550" i="3"/>
  <c r="J546" i="3"/>
  <c r="J550" i="3"/>
  <c r="G546" i="3"/>
  <c r="G550" i="3"/>
  <c r="F546" i="3"/>
  <c r="F550" i="3"/>
  <c r="U80" i="1"/>
  <c r="V80" i="1"/>
  <c r="W80" i="1"/>
  <c r="X80" i="1"/>
  <c r="E546" i="3"/>
  <c r="O546" i="3" s="1"/>
  <c r="P546" i="3" s="1"/>
  <c r="Q546" i="3" s="1"/>
  <c r="R546" i="3" s="1"/>
  <c r="T81" i="1" s="1"/>
  <c r="E550" i="3"/>
  <c r="K560" i="8" l="1"/>
  <c r="K565" i="8"/>
  <c r="J560" i="8"/>
  <c r="J564" i="8"/>
  <c r="L553" i="8"/>
  <c r="L557" i="8"/>
  <c r="U607" i="1"/>
  <c r="X607" i="1"/>
  <c r="V607" i="1"/>
  <c r="W607" i="1"/>
  <c r="I553" i="8"/>
  <c r="M553" i="8" s="1"/>
  <c r="N553" i="8" s="1"/>
  <c r="O553" i="8" s="1"/>
  <c r="P553" i="8" s="1"/>
  <c r="T608" i="1" s="1"/>
  <c r="I557" i="8"/>
  <c r="M553" i="4"/>
  <c r="M557" i="4"/>
  <c r="J553" i="4"/>
  <c r="J557" i="4"/>
  <c r="G553" i="4"/>
  <c r="G557" i="4"/>
  <c r="F553" i="4"/>
  <c r="F557" i="4"/>
  <c r="U279" i="1"/>
  <c r="V279" i="1"/>
  <c r="W279" i="1"/>
  <c r="X279" i="1"/>
  <c r="E553" i="4"/>
  <c r="O553" i="4" s="1"/>
  <c r="P553" i="4" s="1"/>
  <c r="Q553" i="4" s="1"/>
  <c r="R553" i="4" s="1"/>
  <c r="T280" i="1" s="1"/>
  <c r="E557" i="4"/>
  <c r="M553" i="3"/>
  <c r="M557" i="3"/>
  <c r="J553" i="3"/>
  <c r="J557" i="3"/>
  <c r="G553" i="3"/>
  <c r="G557" i="3"/>
  <c r="F553" i="3"/>
  <c r="F557" i="3"/>
  <c r="V81" i="1"/>
  <c r="X81" i="1"/>
  <c r="U81" i="1"/>
  <c r="W81" i="1"/>
  <c r="E553" i="3"/>
  <c r="O553" i="3" s="1"/>
  <c r="P553" i="3" s="1"/>
  <c r="Q553" i="3" s="1"/>
  <c r="R553" i="3" s="1"/>
  <c r="T82" i="1" s="1"/>
  <c r="E557" i="3"/>
  <c r="K567" i="8" l="1"/>
  <c r="K572" i="8"/>
  <c r="J567" i="8"/>
  <c r="J571" i="8"/>
  <c r="L560" i="8"/>
  <c r="L564" i="8"/>
  <c r="U608" i="1"/>
  <c r="V608" i="1"/>
  <c r="W608" i="1"/>
  <c r="X608" i="1"/>
  <c r="I560" i="8"/>
  <c r="M560" i="8" s="1"/>
  <c r="N560" i="8" s="1"/>
  <c r="O560" i="8" s="1"/>
  <c r="P560" i="8" s="1"/>
  <c r="T609" i="1" s="1"/>
  <c r="I564" i="8"/>
  <c r="M560" i="4"/>
  <c r="M564" i="4"/>
  <c r="J560" i="4"/>
  <c r="J564" i="4"/>
  <c r="G560" i="4"/>
  <c r="G564" i="4"/>
  <c r="F560" i="4"/>
  <c r="F564" i="4"/>
  <c r="X280" i="1"/>
  <c r="W280" i="1"/>
  <c r="V280" i="1"/>
  <c r="U280" i="1"/>
  <c r="E560" i="4"/>
  <c r="O560" i="4" s="1"/>
  <c r="P560" i="4" s="1"/>
  <c r="Q560" i="4" s="1"/>
  <c r="R560" i="4" s="1"/>
  <c r="T281" i="1" s="1"/>
  <c r="E564" i="4"/>
  <c r="M560" i="3"/>
  <c r="M564" i="3"/>
  <c r="J560" i="3"/>
  <c r="J564" i="3"/>
  <c r="G560" i="3"/>
  <c r="G564" i="3"/>
  <c r="F560" i="3"/>
  <c r="F564" i="3"/>
  <c r="X82" i="1"/>
  <c r="U82" i="1"/>
  <c r="W82" i="1"/>
  <c r="V82" i="1"/>
  <c r="E560" i="3"/>
  <c r="E564" i="3"/>
  <c r="K574" i="8" l="1"/>
  <c r="K579" i="8"/>
  <c r="J574" i="8"/>
  <c r="J578" i="8"/>
  <c r="L567" i="8"/>
  <c r="L571" i="8"/>
  <c r="U609" i="1"/>
  <c r="V609" i="1"/>
  <c r="W609" i="1"/>
  <c r="X609" i="1"/>
  <c r="I567" i="8"/>
  <c r="M567" i="8" s="1"/>
  <c r="N567" i="8" s="1"/>
  <c r="O567" i="8" s="1"/>
  <c r="P567" i="8" s="1"/>
  <c r="T610" i="1" s="1"/>
  <c r="I571" i="8"/>
  <c r="M567" i="4"/>
  <c r="M571" i="4"/>
  <c r="J567" i="4"/>
  <c r="J571" i="4"/>
  <c r="G567" i="4"/>
  <c r="G571" i="4"/>
  <c r="F567" i="4"/>
  <c r="F571" i="4"/>
  <c r="X281" i="1"/>
  <c r="W281" i="1"/>
  <c r="V281" i="1"/>
  <c r="U281" i="1"/>
  <c r="E567" i="4"/>
  <c r="O567" i="4" s="1"/>
  <c r="P567" i="4" s="1"/>
  <c r="Q567" i="4" s="1"/>
  <c r="R567" i="4" s="1"/>
  <c r="T282" i="1" s="1"/>
  <c r="E571" i="4"/>
  <c r="M567" i="3"/>
  <c r="M571" i="3"/>
  <c r="J567" i="3"/>
  <c r="J571" i="3"/>
  <c r="G567" i="3"/>
  <c r="G571" i="3"/>
  <c r="F567" i="3"/>
  <c r="F571" i="3"/>
  <c r="E567" i="3"/>
  <c r="O567" i="3" s="1"/>
  <c r="P567" i="3" s="1"/>
  <c r="Q567" i="3" s="1"/>
  <c r="R567" i="3" s="1"/>
  <c r="T84" i="1" s="1"/>
  <c r="E571" i="3"/>
  <c r="O560" i="3"/>
  <c r="P560" i="3" s="1"/>
  <c r="Q560" i="3" s="1"/>
  <c r="R560" i="3" s="1"/>
  <c r="T83" i="1" s="1"/>
  <c r="K581" i="8" l="1"/>
  <c r="K586" i="8"/>
  <c r="J581" i="8"/>
  <c r="J585" i="8"/>
  <c r="L574" i="8"/>
  <c r="L578" i="8"/>
  <c r="U610" i="1"/>
  <c r="V610" i="1"/>
  <c r="W610" i="1"/>
  <c r="X610" i="1"/>
  <c r="I574" i="8"/>
  <c r="M574" i="8" s="1"/>
  <c r="N574" i="8" s="1"/>
  <c r="O574" i="8" s="1"/>
  <c r="P574" i="8" s="1"/>
  <c r="T611" i="1" s="1"/>
  <c r="I578" i="8"/>
  <c r="M574" i="4"/>
  <c r="M578" i="4"/>
  <c r="J574" i="4"/>
  <c r="J578" i="4"/>
  <c r="G574" i="4"/>
  <c r="G578" i="4"/>
  <c r="F574" i="4"/>
  <c r="F578" i="4"/>
  <c r="U282" i="1"/>
  <c r="V282" i="1"/>
  <c r="W282" i="1"/>
  <c r="X282" i="1"/>
  <c r="E574" i="4"/>
  <c r="O574" i="4" s="1"/>
  <c r="P574" i="4" s="1"/>
  <c r="Q574" i="4" s="1"/>
  <c r="R574" i="4" s="1"/>
  <c r="T283" i="1" s="1"/>
  <c r="E578" i="4"/>
  <c r="M574" i="3"/>
  <c r="M578" i="3"/>
  <c r="J574" i="3"/>
  <c r="J578" i="3"/>
  <c r="G574" i="3"/>
  <c r="G578" i="3"/>
  <c r="F574" i="3"/>
  <c r="F578" i="3"/>
  <c r="U84" i="1"/>
  <c r="X84" i="1"/>
  <c r="W84" i="1"/>
  <c r="V84" i="1"/>
  <c r="E574" i="3"/>
  <c r="O574" i="3" s="1"/>
  <c r="P574" i="3" s="1"/>
  <c r="Q574" i="3" s="1"/>
  <c r="R574" i="3" s="1"/>
  <c r="T85" i="1" s="1"/>
  <c r="E578" i="3"/>
  <c r="U83" i="1"/>
  <c r="V83" i="1"/>
  <c r="X83" i="1"/>
  <c r="W83" i="1"/>
  <c r="K588" i="8" l="1"/>
  <c r="K593" i="8"/>
  <c r="J588" i="8"/>
  <c r="J592" i="8"/>
  <c r="L581" i="8"/>
  <c r="L585" i="8"/>
  <c r="W611" i="1"/>
  <c r="U611" i="1"/>
  <c r="V611" i="1"/>
  <c r="X611" i="1"/>
  <c r="I581" i="8"/>
  <c r="M581" i="8" s="1"/>
  <c r="N581" i="8" s="1"/>
  <c r="O581" i="8" s="1"/>
  <c r="P581" i="8" s="1"/>
  <c r="T612" i="1" s="1"/>
  <c r="I585" i="8"/>
  <c r="M581" i="4"/>
  <c r="M585" i="4"/>
  <c r="J581" i="4"/>
  <c r="J585" i="4"/>
  <c r="G581" i="4"/>
  <c r="G585" i="4"/>
  <c r="F581" i="4"/>
  <c r="F585" i="4"/>
  <c r="X283" i="1"/>
  <c r="W283" i="1"/>
  <c r="V283" i="1"/>
  <c r="U283" i="1"/>
  <c r="E581" i="4"/>
  <c r="O581" i="4" s="1"/>
  <c r="P581" i="4" s="1"/>
  <c r="Q581" i="4" s="1"/>
  <c r="R581" i="4" s="1"/>
  <c r="T284" i="1" s="1"/>
  <c r="E585" i="4"/>
  <c r="M581" i="3"/>
  <c r="M585" i="3"/>
  <c r="J581" i="3"/>
  <c r="J585" i="3"/>
  <c r="G581" i="3"/>
  <c r="G585" i="3"/>
  <c r="F581" i="3"/>
  <c r="F585" i="3"/>
  <c r="V85" i="1"/>
  <c r="W85" i="1"/>
  <c r="X85" i="1"/>
  <c r="U85" i="1"/>
  <c r="E581" i="3"/>
  <c r="O581" i="3" s="1"/>
  <c r="P581" i="3" s="1"/>
  <c r="Q581" i="3" s="1"/>
  <c r="R581" i="3" s="1"/>
  <c r="T86" i="1" s="1"/>
  <c r="E585" i="3"/>
  <c r="K595" i="8" l="1"/>
  <c r="K600" i="8"/>
  <c r="J595" i="8"/>
  <c r="J599" i="8"/>
  <c r="L588" i="8"/>
  <c r="L592" i="8"/>
  <c r="V612" i="1"/>
  <c r="W612" i="1"/>
  <c r="X612" i="1"/>
  <c r="U612" i="1"/>
  <c r="I588" i="8"/>
  <c r="M588" i="8" s="1"/>
  <c r="N588" i="8" s="1"/>
  <c r="O588" i="8" s="1"/>
  <c r="P588" i="8" s="1"/>
  <c r="T613" i="1" s="1"/>
  <c r="I592" i="8"/>
  <c r="M588" i="4"/>
  <c r="M592" i="4"/>
  <c r="J588" i="4"/>
  <c r="J592" i="4"/>
  <c r="G588" i="4"/>
  <c r="G592" i="4"/>
  <c r="F588" i="4"/>
  <c r="F592" i="4"/>
  <c r="X284" i="1"/>
  <c r="W284" i="1"/>
  <c r="V284" i="1"/>
  <c r="U284" i="1"/>
  <c r="E588" i="4"/>
  <c r="O588" i="4" s="1"/>
  <c r="P588" i="4" s="1"/>
  <c r="Q588" i="4" s="1"/>
  <c r="R588" i="4" s="1"/>
  <c r="T285" i="1" s="1"/>
  <c r="E592" i="4"/>
  <c r="M588" i="3"/>
  <c r="M592" i="3"/>
  <c r="J588" i="3"/>
  <c r="J592" i="3"/>
  <c r="G588" i="3"/>
  <c r="G592" i="3"/>
  <c r="F588" i="3"/>
  <c r="F592" i="3"/>
  <c r="U86" i="1"/>
  <c r="W86" i="1"/>
  <c r="X86" i="1"/>
  <c r="V86" i="1"/>
  <c r="E588" i="3"/>
  <c r="O588" i="3" s="1"/>
  <c r="P588" i="3" s="1"/>
  <c r="Q588" i="3" s="1"/>
  <c r="R588" i="3" s="1"/>
  <c r="T87" i="1" s="1"/>
  <c r="E592" i="3"/>
  <c r="K602" i="8" l="1"/>
  <c r="K607" i="8"/>
  <c r="J602" i="8"/>
  <c r="J606" i="8"/>
  <c r="L595" i="8"/>
  <c r="L599" i="8"/>
  <c r="U613" i="1"/>
  <c r="V613" i="1"/>
  <c r="W613" i="1"/>
  <c r="X613" i="1"/>
  <c r="I595" i="8"/>
  <c r="M595" i="8" s="1"/>
  <c r="N595" i="8" s="1"/>
  <c r="O595" i="8" s="1"/>
  <c r="P595" i="8" s="1"/>
  <c r="T614" i="1" s="1"/>
  <c r="I599" i="8"/>
  <c r="M595" i="4"/>
  <c r="M599" i="4"/>
  <c r="J595" i="4"/>
  <c r="J599" i="4"/>
  <c r="G595" i="4"/>
  <c r="G599" i="4"/>
  <c r="F595" i="4"/>
  <c r="F599" i="4"/>
  <c r="U285" i="1"/>
  <c r="V285" i="1"/>
  <c r="W285" i="1"/>
  <c r="X285" i="1"/>
  <c r="E595" i="4"/>
  <c r="O595" i="4" s="1"/>
  <c r="P595" i="4" s="1"/>
  <c r="Q595" i="4" s="1"/>
  <c r="R595" i="4" s="1"/>
  <c r="T286" i="1" s="1"/>
  <c r="E599" i="4"/>
  <c r="M595" i="3"/>
  <c r="M599" i="3"/>
  <c r="J595" i="3"/>
  <c r="J599" i="3"/>
  <c r="G595" i="3"/>
  <c r="G599" i="3"/>
  <c r="F595" i="3"/>
  <c r="F599" i="3"/>
  <c r="W87" i="1"/>
  <c r="U87" i="1"/>
  <c r="X87" i="1"/>
  <c r="V87" i="1"/>
  <c r="E595" i="3"/>
  <c r="O595" i="3" s="1"/>
  <c r="P595" i="3" s="1"/>
  <c r="Q595" i="3" s="1"/>
  <c r="R595" i="3" s="1"/>
  <c r="T88" i="1" s="1"/>
  <c r="E599" i="3"/>
  <c r="K609" i="8" l="1"/>
  <c r="K614" i="8"/>
  <c r="J609" i="8"/>
  <c r="J613" i="8"/>
  <c r="L602" i="8"/>
  <c r="L606" i="8"/>
  <c r="U614" i="1"/>
  <c r="W614" i="1"/>
  <c r="V614" i="1"/>
  <c r="X614" i="1"/>
  <c r="I602" i="8"/>
  <c r="M602" i="8" s="1"/>
  <c r="N602" i="8" s="1"/>
  <c r="O602" i="8" s="1"/>
  <c r="P602" i="8" s="1"/>
  <c r="T615" i="1" s="1"/>
  <c r="I606" i="8"/>
  <c r="M602" i="4"/>
  <c r="M606" i="4"/>
  <c r="J602" i="4"/>
  <c r="J606" i="4"/>
  <c r="G602" i="4"/>
  <c r="G606" i="4"/>
  <c r="F602" i="4"/>
  <c r="F606" i="4"/>
  <c r="U286" i="1"/>
  <c r="V286" i="1"/>
  <c r="W286" i="1"/>
  <c r="X286" i="1"/>
  <c r="E602" i="4"/>
  <c r="O602" i="4" s="1"/>
  <c r="P602" i="4" s="1"/>
  <c r="Q602" i="4" s="1"/>
  <c r="R602" i="4" s="1"/>
  <c r="T287" i="1" s="1"/>
  <c r="E606" i="4"/>
  <c r="M602" i="3"/>
  <c r="M606" i="3"/>
  <c r="J602" i="3"/>
  <c r="J606" i="3"/>
  <c r="G602" i="3"/>
  <c r="G606" i="3"/>
  <c r="F602" i="3"/>
  <c r="F606" i="3"/>
  <c r="U88" i="1"/>
  <c r="V88" i="1"/>
  <c r="W88" i="1"/>
  <c r="X88" i="1"/>
  <c r="E602" i="3"/>
  <c r="O602" i="3" s="1"/>
  <c r="P602" i="3" s="1"/>
  <c r="Q602" i="3" s="1"/>
  <c r="R602" i="3" s="1"/>
  <c r="T89" i="1" s="1"/>
  <c r="E606" i="3"/>
  <c r="K616" i="8" l="1"/>
  <c r="K621" i="8"/>
  <c r="J616" i="8"/>
  <c r="J620" i="8"/>
  <c r="L609" i="8"/>
  <c r="L613" i="8"/>
  <c r="U615" i="1"/>
  <c r="V615" i="1"/>
  <c r="W615" i="1"/>
  <c r="X615" i="1"/>
  <c r="I609" i="8"/>
  <c r="M609" i="8" s="1"/>
  <c r="N609" i="8" s="1"/>
  <c r="O609" i="8" s="1"/>
  <c r="P609" i="8" s="1"/>
  <c r="T616" i="1" s="1"/>
  <c r="I613" i="8"/>
  <c r="M609" i="4"/>
  <c r="M613" i="4"/>
  <c r="J609" i="4"/>
  <c r="J613" i="4"/>
  <c r="G609" i="4"/>
  <c r="G613" i="4"/>
  <c r="F609" i="4"/>
  <c r="F613" i="4"/>
  <c r="U287" i="1"/>
  <c r="V287" i="1"/>
  <c r="W287" i="1"/>
  <c r="X287" i="1"/>
  <c r="E609" i="4"/>
  <c r="E613" i="4"/>
  <c r="M609" i="3"/>
  <c r="M613" i="3"/>
  <c r="J609" i="3"/>
  <c r="J613" i="3"/>
  <c r="G609" i="3"/>
  <c r="G613" i="3"/>
  <c r="F609" i="3"/>
  <c r="F613" i="3"/>
  <c r="V89" i="1"/>
  <c r="W89" i="1"/>
  <c r="U89" i="1"/>
  <c r="X89" i="1"/>
  <c r="E609" i="3"/>
  <c r="O609" i="3" s="1"/>
  <c r="P609" i="3" s="1"/>
  <c r="Q609" i="3" s="1"/>
  <c r="R609" i="3" s="1"/>
  <c r="T90" i="1" s="1"/>
  <c r="E613" i="3"/>
  <c r="K623" i="8" l="1"/>
  <c r="K628" i="8"/>
  <c r="J623" i="8"/>
  <c r="J627" i="8"/>
  <c r="L616" i="8"/>
  <c r="L620" i="8"/>
  <c r="U616" i="1"/>
  <c r="W616" i="1"/>
  <c r="V616" i="1"/>
  <c r="X616" i="1"/>
  <c r="I616" i="8"/>
  <c r="M616" i="8" s="1"/>
  <c r="N616" i="8" s="1"/>
  <c r="O616" i="8" s="1"/>
  <c r="P616" i="8" s="1"/>
  <c r="T617" i="1" s="1"/>
  <c r="I620" i="8"/>
  <c r="M616" i="4"/>
  <c r="M620" i="4"/>
  <c r="J616" i="4"/>
  <c r="J620" i="4"/>
  <c r="G616" i="4"/>
  <c r="G620" i="4"/>
  <c r="F616" i="4"/>
  <c r="F620" i="4"/>
  <c r="E616" i="4"/>
  <c r="O616" i="4" s="1"/>
  <c r="P616" i="4" s="1"/>
  <c r="Q616" i="4" s="1"/>
  <c r="R616" i="4" s="1"/>
  <c r="T289" i="1" s="1"/>
  <c r="E620" i="4"/>
  <c r="M616" i="3"/>
  <c r="M620" i="3"/>
  <c r="J616" i="3"/>
  <c r="J620" i="3"/>
  <c r="G616" i="3"/>
  <c r="G620" i="3"/>
  <c r="F616" i="3"/>
  <c r="F620" i="3"/>
  <c r="V90" i="1"/>
  <c r="U90" i="1"/>
  <c r="X90" i="1"/>
  <c r="W90" i="1"/>
  <c r="E616" i="3"/>
  <c r="E620" i="3"/>
  <c r="O609" i="4"/>
  <c r="P609" i="4" s="1"/>
  <c r="Q609" i="4" s="1"/>
  <c r="R609" i="4" s="1"/>
  <c r="T288" i="1" s="1"/>
  <c r="K630" i="8" l="1"/>
  <c r="K635" i="8"/>
  <c r="J630" i="8"/>
  <c r="J634" i="8"/>
  <c r="L623" i="8"/>
  <c r="L627" i="8"/>
  <c r="U617" i="1"/>
  <c r="X617" i="1"/>
  <c r="W617" i="1"/>
  <c r="V617" i="1"/>
  <c r="I623" i="8"/>
  <c r="M623" i="8" s="1"/>
  <c r="N623" i="8" s="1"/>
  <c r="O623" i="8" s="1"/>
  <c r="P623" i="8" s="1"/>
  <c r="T618" i="1" s="1"/>
  <c r="I627" i="8"/>
  <c r="M623" i="4"/>
  <c r="M627" i="4"/>
  <c r="J623" i="4"/>
  <c r="J627" i="4"/>
  <c r="G623" i="4"/>
  <c r="G627" i="4"/>
  <c r="F623" i="4"/>
  <c r="F627" i="4"/>
  <c r="U289" i="1"/>
  <c r="V289" i="1"/>
  <c r="W289" i="1"/>
  <c r="X289" i="1"/>
  <c r="E623" i="4"/>
  <c r="O623" i="4" s="1"/>
  <c r="P623" i="4" s="1"/>
  <c r="Q623" i="4" s="1"/>
  <c r="R623" i="4" s="1"/>
  <c r="T290" i="1" s="1"/>
  <c r="E627" i="4"/>
  <c r="M623" i="3"/>
  <c r="M627" i="3"/>
  <c r="J623" i="3"/>
  <c r="J627" i="3"/>
  <c r="G623" i="3"/>
  <c r="G627" i="3"/>
  <c r="F623" i="3"/>
  <c r="F627" i="3"/>
  <c r="E623" i="3"/>
  <c r="E627" i="3"/>
  <c r="X288" i="1"/>
  <c r="W288" i="1"/>
  <c r="V288" i="1"/>
  <c r="U288" i="1"/>
  <c r="O616" i="3"/>
  <c r="P616" i="3" s="1"/>
  <c r="Q616" i="3" s="1"/>
  <c r="R616" i="3" s="1"/>
  <c r="T91" i="1" s="1"/>
  <c r="K637" i="8" l="1"/>
  <c r="K642" i="8"/>
  <c r="J637" i="8"/>
  <c r="J641" i="8"/>
  <c r="L630" i="8"/>
  <c r="L634" i="8"/>
  <c r="X618" i="1"/>
  <c r="W618" i="1"/>
  <c r="U618" i="1"/>
  <c r="V618" i="1"/>
  <c r="I630" i="8"/>
  <c r="M630" i="8" s="1"/>
  <c r="N630" i="8" s="1"/>
  <c r="O630" i="8" s="1"/>
  <c r="P630" i="8" s="1"/>
  <c r="T619" i="1" s="1"/>
  <c r="I634" i="8"/>
  <c r="M630" i="4"/>
  <c r="M634" i="4"/>
  <c r="J630" i="4"/>
  <c r="J634" i="4"/>
  <c r="G630" i="4"/>
  <c r="G634" i="4"/>
  <c r="F630" i="4"/>
  <c r="F634" i="4"/>
  <c r="U290" i="1"/>
  <c r="V290" i="1"/>
  <c r="W290" i="1"/>
  <c r="X290" i="1"/>
  <c r="E630" i="4"/>
  <c r="O630" i="4" s="1"/>
  <c r="P630" i="4" s="1"/>
  <c r="Q630" i="4" s="1"/>
  <c r="R630" i="4" s="1"/>
  <c r="T291" i="1" s="1"/>
  <c r="E634" i="4"/>
  <c r="M630" i="3"/>
  <c r="M634" i="3"/>
  <c r="J630" i="3"/>
  <c r="J634" i="3"/>
  <c r="G630" i="3"/>
  <c r="G634" i="3"/>
  <c r="F630" i="3"/>
  <c r="F634" i="3"/>
  <c r="E630" i="3"/>
  <c r="O630" i="3" s="1"/>
  <c r="P630" i="3" s="1"/>
  <c r="Q630" i="3" s="1"/>
  <c r="R630" i="3" s="1"/>
  <c r="T93" i="1" s="1"/>
  <c r="E634" i="3"/>
  <c r="W91" i="1"/>
  <c r="X91" i="1"/>
  <c r="V91" i="1"/>
  <c r="U91" i="1"/>
  <c r="O623" i="3"/>
  <c r="P623" i="3" s="1"/>
  <c r="Q623" i="3" s="1"/>
  <c r="R623" i="3" s="1"/>
  <c r="T92" i="1" s="1"/>
  <c r="K644" i="8" l="1"/>
  <c r="K649" i="8"/>
  <c r="J644" i="8"/>
  <c r="J648" i="8"/>
  <c r="L637" i="8"/>
  <c r="L641" i="8"/>
  <c r="U619" i="1"/>
  <c r="X619" i="1"/>
  <c r="W619" i="1"/>
  <c r="V619" i="1"/>
  <c r="I637" i="8"/>
  <c r="M637" i="8" s="1"/>
  <c r="N637" i="8" s="1"/>
  <c r="O637" i="8" s="1"/>
  <c r="P637" i="8" s="1"/>
  <c r="T620" i="1" s="1"/>
  <c r="I641" i="8"/>
  <c r="M637" i="4"/>
  <c r="M641" i="4"/>
  <c r="J637" i="4"/>
  <c r="J641" i="4"/>
  <c r="G637" i="4"/>
  <c r="G641" i="4"/>
  <c r="F637" i="4"/>
  <c r="F641" i="4"/>
  <c r="U291" i="1"/>
  <c r="V291" i="1"/>
  <c r="W291" i="1"/>
  <c r="X291" i="1"/>
  <c r="E637" i="4"/>
  <c r="O637" i="4" s="1"/>
  <c r="P637" i="4" s="1"/>
  <c r="Q637" i="4" s="1"/>
  <c r="R637" i="4" s="1"/>
  <c r="T292" i="1" s="1"/>
  <c r="E641" i="4"/>
  <c r="M637" i="3"/>
  <c r="M641" i="3"/>
  <c r="J637" i="3"/>
  <c r="J641" i="3"/>
  <c r="G637" i="3"/>
  <c r="G641" i="3"/>
  <c r="F637" i="3"/>
  <c r="F641" i="3"/>
  <c r="X93" i="1"/>
  <c r="W93" i="1"/>
  <c r="V93" i="1"/>
  <c r="U93" i="1"/>
  <c r="E637" i="3"/>
  <c r="O637" i="3" s="1"/>
  <c r="P637" i="3" s="1"/>
  <c r="Q637" i="3" s="1"/>
  <c r="R637" i="3" s="1"/>
  <c r="T94" i="1" s="1"/>
  <c r="E641" i="3"/>
  <c r="U92" i="1"/>
  <c r="V92" i="1"/>
  <c r="X92" i="1"/>
  <c r="W92" i="1"/>
  <c r="K651" i="8" l="1"/>
  <c r="K656" i="8"/>
  <c r="J651" i="8"/>
  <c r="J655" i="8"/>
  <c r="L644" i="8"/>
  <c r="L648" i="8"/>
  <c r="V620" i="1"/>
  <c r="X620" i="1"/>
  <c r="W620" i="1"/>
  <c r="U620" i="1"/>
  <c r="I644" i="8"/>
  <c r="M644" i="8" s="1"/>
  <c r="N644" i="8" s="1"/>
  <c r="O644" i="8" s="1"/>
  <c r="P644" i="8" s="1"/>
  <c r="T621" i="1" s="1"/>
  <c r="I648" i="8"/>
  <c r="M644" i="4"/>
  <c r="M648" i="4"/>
  <c r="J644" i="4"/>
  <c r="J648" i="4"/>
  <c r="G644" i="4"/>
  <c r="G648" i="4"/>
  <c r="F644" i="4"/>
  <c r="F648" i="4"/>
  <c r="U292" i="1"/>
  <c r="V292" i="1"/>
  <c r="W292" i="1"/>
  <c r="X292" i="1"/>
  <c r="E644" i="4"/>
  <c r="O644" i="4" s="1"/>
  <c r="P644" i="4" s="1"/>
  <c r="Q644" i="4" s="1"/>
  <c r="R644" i="4" s="1"/>
  <c r="T293" i="1" s="1"/>
  <c r="E648" i="4"/>
  <c r="M644" i="3"/>
  <c r="M648" i="3"/>
  <c r="J644" i="3"/>
  <c r="J648" i="3"/>
  <c r="G644" i="3"/>
  <c r="G648" i="3"/>
  <c r="F644" i="3"/>
  <c r="F648" i="3"/>
  <c r="X94" i="1"/>
  <c r="U94" i="1"/>
  <c r="V94" i="1"/>
  <c r="W94" i="1"/>
  <c r="E644" i="3"/>
  <c r="E648" i="3"/>
  <c r="K658" i="8" l="1"/>
  <c r="K663" i="8"/>
  <c r="J658" i="8"/>
  <c r="J662" i="8"/>
  <c r="L651" i="8"/>
  <c r="L655" i="8"/>
  <c r="U621" i="1"/>
  <c r="X621" i="1"/>
  <c r="W621" i="1"/>
  <c r="V621" i="1"/>
  <c r="I651" i="8"/>
  <c r="M651" i="8" s="1"/>
  <c r="N651" i="8" s="1"/>
  <c r="O651" i="8" s="1"/>
  <c r="P651" i="8" s="1"/>
  <c r="T622" i="1" s="1"/>
  <c r="I655" i="8"/>
  <c r="M651" i="4"/>
  <c r="M655" i="4"/>
  <c r="J651" i="4"/>
  <c r="J655" i="4"/>
  <c r="G651" i="4"/>
  <c r="G655" i="4"/>
  <c r="F651" i="4"/>
  <c r="F655" i="4"/>
  <c r="U293" i="1"/>
  <c r="V293" i="1"/>
  <c r="W293" i="1"/>
  <c r="X293" i="1"/>
  <c r="E651" i="4"/>
  <c r="E655" i="4"/>
  <c r="M651" i="3"/>
  <c r="M655" i="3"/>
  <c r="J651" i="3"/>
  <c r="J655" i="3"/>
  <c r="G651" i="3"/>
  <c r="G655" i="3"/>
  <c r="F651" i="3"/>
  <c r="F655" i="3"/>
  <c r="E651" i="3"/>
  <c r="E655" i="3"/>
  <c r="O644" i="3"/>
  <c r="P644" i="3" s="1"/>
  <c r="Q644" i="3" s="1"/>
  <c r="R644" i="3" s="1"/>
  <c r="T95" i="1" s="1"/>
  <c r="K665" i="8" l="1"/>
  <c r="K670" i="8"/>
  <c r="J665" i="8"/>
  <c r="J669" i="8"/>
  <c r="L658" i="8"/>
  <c r="L662" i="8"/>
  <c r="V622" i="1"/>
  <c r="W622" i="1"/>
  <c r="X622" i="1"/>
  <c r="U622" i="1"/>
  <c r="I658" i="8"/>
  <c r="M658" i="8" s="1"/>
  <c r="N658" i="8" s="1"/>
  <c r="O658" i="8" s="1"/>
  <c r="P658" i="8" s="1"/>
  <c r="T623" i="1" s="1"/>
  <c r="I662" i="8"/>
  <c r="M658" i="4"/>
  <c r="M662" i="4"/>
  <c r="J658" i="4"/>
  <c r="J662" i="4"/>
  <c r="G658" i="4"/>
  <c r="G662" i="4"/>
  <c r="F658" i="4"/>
  <c r="F662" i="4"/>
  <c r="E658" i="4"/>
  <c r="O658" i="4" s="1"/>
  <c r="P658" i="4" s="1"/>
  <c r="Q658" i="4" s="1"/>
  <c r="R658" i="4" s="1"/>
  <c r="T295" i="1" s="1"/>
  <c r="E662" i="4"/>
  <c r="M658" i="3"/>
  <c r="M662" i="3"/>
  <c r="J658" i="3"/>
  <c r="J662" i="3"/>
  <c r="G658" i="3"/>
  <c r="G662" i="3"/>
  <c r="F658" i="3"/>
  <c r="F662" i="3"/>
  <c r="E658" i="3"/>
  <c r="O658" i="3" s="1"/>
  <c r="P658" i="3" s="1"/>
  <c r="Q658" i="3" s="1"/>
  <c r="R658" i="3" s="1"/>
  <c r="T97" i="1" s="1"/>
  <c r="E662" i="3"/>
  <c r="V95" i="1"/>
  <c r="X95" i="1"/>
  <c r="U95" i="1"/>
  <c r="W95" i="1"/>
  <c r="O651" i="4"/>
  <c r="P651" i="4" s="1"/>
  <c r="Q651" i="4" s="1"/>
  <c r="R651" i="4" s="1"/>
  <c r="T294" i="1" s="1"/>
  <c r="O651" i="3"/>
  <c r="P651" i="3" s="1"/>
  <c r="Q651" i="3" s="1"/>
  <c r="R651" i="3" s="1"/>
  <c r="T96" i="1" s="1"/>
  <c r="K672" i="8" l="1"/>
  <c r="K677" i="8"/>
  <c r="J672" i="8"/>
  <c r="J676" i="8"/>
  <c r="L665" i="8"/>
  <c r="L669" i="8"/>
  <c r="U623" i="1"/>
  <c r="V623" i="1"/>
  <c r="W623" i="1"/>
  <c r="X623" i="1"/>
  <c r="I665" i="8"/>
  <c r="M665" i="8" s="1"/>
  <c r="N665" i="8" s="1"/>
  <c r="O665" i="8" s="1"/>
  <c r="P665" i="8" s="1"/>
  <c r="T624" i="1" s="1"/>
  <c r="I669" i="8"/>
  <c r="M665" i="4"/>
  <c r="M669" i="4"/>
  <c r="J665" i="4"/>
  <c r="J669" i="4"/>
  <c r="G665" i="4"/>
  <c r="G669" i="4"/>
  <c r="F665" i="4"/>
  <c r="F669" i="4"/>
  <c r="U295" i="1"/>
  <c r="V295" i="1"/>
  <c r="W295" i="1"/>
  <c r="X295" i="1"/>
  <c r="E665" i="4"/>
  <c r="O665" i="4" s="1"/>
  <c r="P665" i="4" s="1"/>
  <c r="Q665" i="4" s="1"/>
  <c r="R665" i="4" s="1"/>
  <c r="T296" i="1" s="1"/>
  <c r="E669" i="4"/>
  <c r="M665" i="3"/>
  <c r="M669" i="3"/>
  <c r="J665" i="3"/>
  <c r="J669" i="3"/>
  <c r="G665" i="3"/>
  <c r="G669" i="3"/>
  <c r="F665" i="3"/>
  <c r="F669" i="3"/>
  <c r="W97" i="1"/>
  <c r="V97" i="1"/>
  <c r="U97" i="1"/>
  <c r="X97" i="1"/>
  <c r="E665" i="3"/>
  <c r="O665" i="3" s="1"/>
  <c r="P665" i="3" s="1"/>
  <c r="Q665" i="3" s="1"/>
  <c r="R665" i="3" s="1"/>
  <c r="T98" i="1" s="1"/>
  <c r="E669" i="3"/>
  <c r="X294" i="1"/>
  <c r="W294" i="1"/>
  <c r="V294" i="1"/>
  <c r="U294" i="1"/>
  <c r="U96" i="1"/>
  <c r="W96" i="1"/>
  <c r="V96" i="1"/>
  <c r="X96" i="1"/>
  <c r="K679" i="8" l="1"/>
  <c r="K684" i="8"/>
  <c r="J679" i="8"/>
  <c r="J683" i="8"/>
  <c r="L672" i="8"/>
  <c r="L676" i="8"/>
  <c r="V624" i="1"/>
  <c r="W624" i="1"/>
  <c r="X624" i="1"/>
  <c r="U624" i="1"/>
  <c r="I672" i="8"/>
  <c r="M672" i="8" s="1"/>
  <c r="N672" i="8" s="1"/>
  <c r="O672" i="8" s="1"/>
  <c r="P672" i="8" s="1"/>
  <c r="T625" i="1" s="1"/>
  <c r="I676" i="8"/>
  <c r="M672" i="4"/>
  <c r="M676" i="4"/>
  <c r="J672" i="4"/>
  <c r="J676" i="4"/>
  <c r="G672" i="4"/>
  <c r="G676" i="4"/>
  <c r="F672" i="4"/>
  <c r="F676" i="4"/>
  <c r="U296" i="1"/>
  <c r="V296" i="1"/>
  <c r="W296" i="1"/>
  <c r="X296" i="1"/>
  <c r="E672" i="4"/>
  <c r="O672" i="4" s="1"/>
  <c r="P672" i="4" s="1"/>
  <c r="Q672" i="4" s="1"/>
  <c r="R672" i="4" s="1"/>
  <c r="T297" i="1" s="1"/>
  <c r="E676" i="4"/>
  <c r="M672" i="3"/>
  <c r="M676" i="3"/>
  <c r="J672" i="3"/>
  <c r="J676" i="3"/>
  <c r="G672" i="3"/>
  <c r="G676" i="3"/>
  <c r="F672" i="3"/>
  <c r="F676" i="3"/>
  <c r="X98" i="1"/>
  <c r="W98" i="1"/>
  <c r="V98" i="1"/>
  <c r="U98" i="1"/>
  <c r="E672" i="3"/>
  <c r="O672" i="3" s="1"/>
  <c r="P672" i="3" s="1"/>
  <c r="Q672" i="3" s="1"/>
  <c r="R672" i="3" s="1"/>
  <c r="T99" i="1" s="1"/>
  <c r="E676" i="3"/>
  <c r="K686" i="8" l="1"/>
  <c r="K691" i="8"/>
  <c r="J686" i="8"/>
  <c r="J690" i="8"/>
  <c r="L679" i="8"/>
  <c r="L683" i="8"/>
  <c r="X625" i="1"/>
  <c r="W625" i="1"/>
  <c r="V625" i="1"/>
  <c r="U625" i="1"/>
  <c r="I679" i="8"/>
  <c r="M679" i="8" s="1"/>
  <c r="N679" i="8" s="1"/>
  <c r="O679" i="8" s="1"/>
  <c r="P679" i="8" s="1"/>
  <c r="T626" i="1" s="1"/>
  <c r="I683" i="8"/>
  <c r="M679" i="4"/>
  <c r="M683" i="4"/>
  <c r="J679" i="4"/>
  <c r="J683" i="4"/>
  <c r="G679" i="4"/>
  <c r="G683" i="4"/>
  <c r="F679" i="4"/>
  <c r="F683" i="4"/>
  <c r="U297" i="1"/>
  <c r="V297" i="1"/>
  <c r="W297" i="1"/>
  <c r="X297" i="1"/>
  <c r="E679" i="4"/>
  <c r="O679" i="4" s="1"/>
  <c r="P679" i="4" s="1"/>
  <c r="Q679" i="4" s="1"/>
  <c r="R679" i="4" s="1"/>
  <c r="T298" i="1" s="1"/>
  <c r="E683" i="4"/>
  <c r="M679" i="3"/>
  <c r="M683" i="3"/>
  <c r="J679" i="3"/>
  <c r="J683" i="3"/>
  <c r="G679" i="3"/>
  <c r="G683" i="3"/>
  <c r="F679" i="3"/>
  <c r="F683" i="3"/>
  <c r="U99" i="1"/>
  <c r="W99" i="1"/>
  <c r="X99" i="1"/>
  <c r="V99" i="1"/>
  <c r="E679" i="3"/>
  <c r="O679" i="3" s="1"/>
  <c r="P679" i="3" s="1"/>
  <c r="Q679" i="3" s="1"/>
  <c r="R679" i="3" s="1"/>
  <c r="T100" i="1" s="1"/>
  <c r="E683" i="3"/>
  <c r="K693" i="8" l="1"/>
  <c r="K698" i="8"/>
  <c r="J693" i="8"/>
  <c r="J697" i="8"/>
  <c r="L686" i="8"/>
  <c r="L690" i="8"/>
  <c r="X626" i="1"/>
  <c r="W626" i="1"/>
  <c r="V626" i="1"/>
  <c r="U626" i="1"/>
  <c r="I686" i="8"/>
  <c r="M686" i="8" s="1"/>
  <c r="N686" i="8" s="1"/>
  <c r="O686" i="8" s="1"/>
  <c r="P686" i="8" s="1"/>
  <c r="T627" i="1" s="1"/>
  <c r="I690" i="8"/>
  <c r="M686" i="4"/>
  <c r="M690" i="4"/>
  <c r="J686" i="4"/>
  <c r="J690" i="4"/>
  <c r="G686" i="4"/>
  <c r="G690" i="4"/>
  <c r="F686" i="4"/>
  <c r="F690" i="4"/>
  <c r="X298" i="1"/>
  <c r="W298" i="1"/>
  <c r="V298" i="1"/>
  <c r="U298" i="1"/>
  <c r="E686" i="4"/>
  <c r="E690" i="4"/>
  <c r="M686" i="3"/>
  <c r="M690" i="3"/>
  <c r="J686" i="3"/>
  <c r="J690" i="3"/>
  <c r="G686" i="3"/>
  <c r="G690" i="3"/>
  <c r="F686" i="3"/>
  <c r="F690" i="3"/>
  <c r="U100" i="1"/>
  <c r="V100" i="1"/>
  <c r="W100" i="1"/>
  <c r="X100" i="1"/>
  <c r="E686" i="3"/>
  <c r="O686" i="3" s="1"/>
  <c r="P686" i="3" s="1"/>
  <c r="Q686" i="3" s="1"/>
  <c r="R686" i="3" s="1"/>
  <c r="T101" i="1" s="1"/>
  <c r="E690" i="3"/>
  <c r="K700" i="8" l="1"/>
  <c r="K705" i="8"/>
  <c r="J700" i="8"/>
  <c r="J704" i="8"/>
  <c r="L693" i="8"/>
  <c r="L697" i="8"/>
  <c r="X627" i="1"/>
  <c r="W627" i="1"/>
  <c r="V627" i="1"/>
  <c r="U627" i="1"/>
  <c r="I693" i="8"/>
  <c r="I697" i="8"/>
  <c r="M693" i="4"/>
  <c r="M697" i="4"/>
  <c r="J693" i="4"/>
  <c r="J697" i="4"/>
  <c r="G693" i="4"/>
  <c r="G697" i="4"/>
  <c r="F693" i="4"/>
  <c r="F697" i="4"/>
  <c r="E693" i="4"/>
  <c r="O693" i="4" s="1"/>
  <c r="P693" i="4" s="1"/>
  <c r="Q693" i="4" s="1"/>
  <c r="R693" i="4" s="1"/>
  <c r="T300" i="1" s="1"/>
  <c r="E697" i="4"/>
  <c r="M693" i="3"/>
  <c r="M697" i="3"/>
  <c r="J693" i="3"/>
  <c r="J697" i="3"/>
  <c r="G693" i="3"/>
  <c r="G697" i="3"/>
  <c r="F693" i="3"/>
  <c r="F697" i="3"/>
  <c r="X101" i="1"/>
  <c r="W101" i="1"/>
  <c r="V101" i="1"/>
  <c r="U101" i="1"/>
  <c r="E693" i="3"/>
  <c r="O693" i="3" s="1"/>
  <c r="P693" i="3" s="1"/>
  <c r="Q693" i="3" s="1"/>
  <c r="R693" i="3" s="1"/>
  <c r="T102" i="1" s="1"/>
  <c r="E697" i="3"/>
  <c r="O686" i="4"/>
  <c r="P686" i="4" s="1"/>
  <c r="Q686" i="4" s="1"/>
  <c r="R686" i="4" s="1"/>
  <c r="T299" i="1" s="1"/>
  <c r="K707" i="8" l="1"/>
  <c r="K712" i="8"/>
  <c r="J707" i="8"/>
  <c r="J711" i="8"/>
  <c r="L700" i="8"/>
  <c r="L704" i="8"/>
  <c r="I700" i="8"/>
  <c r="M700" i="8" s="1"/>
  <c r="N700" i="8" s="1"/>
  <c r="O700" i="8" s="1"/>
  <c r="P700" i="8" s="1"/>
  <c r="T629" i="1" s="1"/>
  <c r="I704" i="8"/>
  <c r="M700" i="4"/>
  <c r="M704" i="4"/>
  <c r="J700" i="4"/>
  <c r="J704" i="4"/>
  <c r="G700" i="4"/>
  <c r="G704" i="4"/>
  <c r="F700" i="4"/>
  <c r="F704" i="4"/>
  <c r="X300" i="1"/>
  <c r="W300" i="1"/>
  <c r="V300" i="1"/>
  <c r="U300" i="1"/>
  <c r="E700" i="4"/>
  <c r="E704" i="4"/>
  <c r="M700" i="3"/>
  <c r="M704" i="3"/>
  <c r="J700" i="3"/>
  <c r="J704" i="3"/>
  <c r="G700" i="3"/>
  <c r="G704" i="3"/>
  <c r="F700" i="3"/>
  <c r="F704" i="3"/>
  <c r="V102" i="1"/>
  <c r="W102" i="1"/>
  <c r="U102" i="1"/>
  <c r="X102" i="1"/>
  <c r="E700" i="3"/>
  <c r="O700" i="3" s="1"/>
  <c r="P700" i="3" s="1"/>
  <c r="Q700" i="3" s="1"/>
  <c r="R700" i="3" s="1"/>
  <c r="T103" i="1" s="1"/>
  <c r="E704" i="3"/>
  <c r="U299" i="1"/>
  <c r="V299" i="1"/>
  <c r="W299" i="1"/>
  <c r="X299" i="1"/>
  <c r="M693" i="8"/>
  <c r="N693" i="8" s="1"/>
  <c r="O693" i="8" s="1"/>
  <c r="P693" i="8" s="1"/>
  <c r="T628" i="1" s="1"/>
  <c r="K714" i="8" l="1"/>
  <c r="K719" i="8"/>
  <c r="J714" i="8"/>
  <c r="J718" i="8"/>
  <c r="L707" i="8"/>
  <c r="L711" i="8"/>
  <c r="U629" i="1"/>
  <c r="V629" i="1"/>
  <c r="W629" i="1"/>
  <c r="X629" i="1"/>
  <c r="I707" i="8"/>
  <c r="M707" i="8" s="1"/>
  <c r="N707" i="8" s="1"/>
  <c r="O707" i="8" s="1"/>
  <c r="P707" i="8" s="1"/>
  <c r="T630" i="1" s="1"/>
  <c r="I711" i="8"/>
  <c r="M707" i="4"/>
  <c r="M711" i="4"/>
  <c r="J707" i="4"/>
  <c r="J711" i="4"/>
  <c r="G707" i="4"/>
  <c r="G711" i="4"/>
  <c r="F707" i="4"/>
  <c r="F711" i="4"/>
  <c r="E707" i="4"/>
  <c r="O707" i="4" s="1"/>
  <c r="P707" i="4" s="1"/>
  <c r="Q707" i="4" s="1"/>
  <c r="R707" i="4" s="1"/>
  <c r="T302" i="1" s="1"/>
  <c r="E711" i="4"/>
  <c r="M707" i="3"/>
  <c r="M711" i="3"/>
  <c r="J707" i="3"/>
  <c r="J711" i="3"/>
  <c r="G707" i="3"/>
  <c r="G711" i="3"/>
  <c r="F707" i="3"/>
  <c r="F711" i="3"/>
  <c r="W103" i="1"/>
  <c r="X103" i="1"/>
  <c r="V103" i="1"/>
  <c r="U103" i="1"/>
  <c r="E707" i="3"/>
  <c r="O707" i="3" s="1"/>
  <c r="P707" i="3" s="1"/>
  <c r="Q707" i="3" s="1"/>
  <c r="R707" i="3" s="1"/>
  <c r="T104" i="1" s="1"/>
  <c r="E711" i="3"/>
  <c r="U628" i="1"/>
  <c r="V628" i="1"/>
  <c r="W628" i="1"/>
  <c r="X628" i="1"/>
  <c r="O700" i="4"/>
  <c r="P700" i="4" s="1"/>
  <c r="Q700" i="4" s="1"/>
  <c r="R700" i="4" s="1"/>
  <c r="T301" i="1" s="1"/>
  <c r="K721" i="8" l="1"/>
  <c r="K726" i="8"/>
  <c r="J721" i="8"/>
  <c r="J725" i="8"/>
  <c r="L714" i="8"/>
  <c r="L718" i="8"/>
  <c r="V630" i="1"/>
  <c r="W630" i="1"/>
  <c r="U630" i="1"/>
  <c r="X630" i="1"/>
  <c r="I714" i="8"/>
  <c r="M714" i="8" s="1"/>
  <c r="N714" i="8" s="1"/>
  <c r="O714" i="8" s="1"/>
  <c r="P714" i="8" s="1"/>
  <c r="T631" i="1" s="1"/>
  <c r="I718" i="8"/>
  <c r="M714" i="4"/>
  <c r="M718" i="4"/>
  <c r="J714" i="4"/>
  <c r="J718" i="4"/>
  <c r="G714" i="4"/>
  <c r="G718" i="4"/>
  <c r="F714" i="4"/>
  <c r="F718" i="4"/>
  <c r="X302" i="1"/>
  <c r="W302" i="1"/>
  <c r="V302" i="1"/>
  <c r="U302" i="1"/>
  <c r="E714" i="4"/>
  <c r="E718" i="4"/>
  <c r="M714" i="3"/>
  <c r="M718" i="3"/>
  <c r="J714" i="3"/>
  <c r="J718" i="3"/>
  <c r="G714" i="3"/>
  <c r="G718" i="3"/>
  <c r="F714" i="3"/>
  <c r="F718" i="3"/>
  <c r="V104" i="1"/>
  <c r="U104" i="1"/>
  <c r="X104" i="1"/>
  <c r="W104" i="1"/>
  <c r="E714" i="3"/>
  <c r="O714" i="3" s="1"/>
  <c r="P714" i="3" s="1"/>
  <c r="Q714" i="3" s="1"/>
  <c r="R714" i="3" s="1"/>
  <c r="T105" i="1" s="1"/>
  <c r="E718" i="3"/>
  <c r="U301" i="1"/>
  <c r="V301" i="1"/>
  <c r="W301" i="1"/>
  <c r="X301" i="1"/>
  <c r="K728" i="8" l="1"/>
  <c r="K733" i="8"/>
  <c r="J728" i="8"/>
  <c r="J732" i="8"/>
  <c r="L721" i="8"/>
  <c r="L725" i="8"/>
  <c r="U631" i="1"/>
  <c r="V631" i="1"/>
  <c r="W631" i="1"/>
  <c r="X631" i="1"/>
  <c r="I721" i="8"/>
  <c r="M721" i="8" s="1"/>
  <c r="N721" i="8" s="1"/>
  <c r="O721" i="8" s="1"/>
  <c r="P721" i="8" s="1"/>
  <c r="T632" i="1" s="1"/>
  <c r="I725" i="8"/>
  <c r="M721" i="4"/>
  <c r="M725" i="4"/>
  <c r="J721" i="4"/>
  <c r="J725" i="4"/>
  <c r="G721" i="4"/>
  <c r="G725" i="4"/>
  <c r="F721" i="4"/>
  <c r="F725" i="4"/>
  <c r="E721" i="4"/>
  <c r="O721" i="4" s="1"/>
  <c r="P721" i="4" s="1"/>
  <c r="Q721" i="4" s="1"/>
  <c r="R721" i="4" s="1"/>
  <c r="T304" i="1" s="1"/>
  <c r="E725" i="4"/>
  <c r="M721" i="3"/>
  <c r="M725" i="3"/>
  <c r="J721" i="3"/>
  <c r="J725" i="3"/>
  <c r="G721" i="3"/>
  <c r="G725" i="3"/>
  <c r="F721" i="3"/>
  <c r="F725" i="3"/>
  <c r="W105" i="1"/>
  <c r="V105" i="1"/>
  <c r="X105" i="1"/>
  <c r="U105" i="1"/>
  <c r="E721" i="3"/>
  <c r="O721" i="3" s="1"/>
  <c r="P721" i="3" s="1"/>
  <c r="Q721" i="3" s="1"/>
  <c r="R721" i="3" s="1"/>
  <c r="T106" i="1" s="1"/>
  <c r="E725" i="3"/>
  <c r="O714" i="4"/>
  <c r="P714" i="4" s="1"/>
  <c r="Q714" i="4" s="1"/>
  <c r="R714" i="4" s="1"/>
  <c r="T303" i="1" s="1"/>
  <c r="K735" i="8" l="1"/>
  <c r="K740" i="8"/>
  <c r="J735" i="8"/>
  <c r="J739" i="8"/>
  <c r="L728" i="8"/>
  <c r="L732" i="8"/>
  <c r="U632" i="1"/>
  <c r="W632" i="1"/>
  <c r="X632" i="1"/>
  <c r="V632" i="1"/>
  <c r="I728" i="8"/>
  <c r="M728" i="8" s="1"/>
  <c r="N728" i="8" s="1"/>
  <c r="O728" i="8" s="1"/>
  <c r="P728" i="8" s="1"/>
  <c r="T633" i="1" s="1"/>
  <c r="I732" i="8"/>
  <c r="M728" i="4"/>
  <c r="M732" i="4"/>
  <c r="J728" i="4"/>
  <c r="J732" i="4"/>
  <c r="G728" i="4"/>
  <c r="G732" i="4"/>
  <c r="F728" i="4"/>
  <c r="F732" i="4"/>
  <c r="U304" i="1"/>
  <c r="V304" i="1"/>
  <c r="W304" i="1"/>
  <c r="X304" i="1"/>
  <c r="E728" i="4"/>
  <c r="O728" i="4" s="1"/>
  <c r="P728" i="4" s="1"/>
  <c r="Q728" i="4" s="1"/>
  <c r="R728" i="4" s="1"/>
  <c r="T305" i="1" s="1"/>
  <c r="E732" i="4"/>
  <c r="M728" i="3"/>
  <c r="M732" i="3"/>
  <c r="J728" i="3"/>
  <c r="J732" i="3"/>
  <c r="G728" i="3"/>
  <c r="G732" i="3"/>
  <c r="F728" i="3"/>
  <c r="F732" i="3"/>
  <c r="X106" i="1"/>
  <c r="W106" i="1"/>
  <c r="V106" i="1"/>
  <c r="U106" i="1"/>
  <c r="E728" i="3"/>
  <c r="O728" i="3" s="1"/>
  <c r="P728" i="3" s="1"/>
  <c r="Q728" i="3" s="1"/>
  <c r="R728" i="3" s="1"/>
  <c r="T107" i="1" s="1"/>
  <c r="E732" i="3"/>
  <c r="U303" i="1"/>
  <c r="X303" i="1"/>
  <c r="W303" i="1"/>
  <c r="V303" i="1"/>
  <c r="K742" i="8" l="1"/>
  <c r="K747" i="8"/>
  <c r="J742" i="8"/>
  <c r="J746" i="8"/>
  <c r="L735" i="8"/>
  <c r="L739" i="8"/>
  <c r="X633" i="1"/>
  <c r="W633" i="1"/>
  <c r="V633" i="1"/>
  <c r="U633" i="1"/>
  <c r="I735" i="8"/>
  <c r="M735" i="8" s="1"/>
  <c r="N735" i="8" s="1"/>
  <c r="O735" i="8" s="1"/>
  <c r="P735" i="8" s="1"/>
  <c r="T634" i="1" s="1"/>
  <c r="I739" i="8"/>
  <c r="M735" i="4"/>
  <c r="M739" i="4"/>
  <c r="J735" i="4"/>
  <c r="J739" i="4"/>
  <c r="G735" i="4"/>
  <c r="G739" i="4"/>
  <c r="F735" i="4"/>
  <c r="F739" i="4"/>
  <c r="U305" i="1"/>
  <c r="V305" i="1"/>
  <c r="W305" i="1"/>
  <c r="X305" i="1"/>
  <c r="E735" i="4"/>
  <c r="O735" i="4" s="1"/>
  <c r="P735" i="4" s="1"/>
  <c r="Q735" i="4" s="1"/>
  <c r="R735" i="4" s="1"/>
  <c r="T306" i="1" s="1"/>
  <c r="E739" i="4"/>
  <c r="M735" i="3"/>
  <c r="M739" i="3"/>
  <c r="J735" i="3"/>
  <c r="J739" i="3"/>
  <c r="G735" i="3"/>
  <c r="G739" i="3"/>
  <c r="F735" i="3"/>
  <c r="F739" i="3"/>
  <c r="W107" i="1"/>
  <c r="U107" i="1"/>
  <c r="V107" i="1"/>
  <c r="X107" i="1"/>
  <c r="E735" i="3"/>
  <c r="O735" i="3" s="1"/>
  <c r="P735" i="3" s="1"/>
  <c r="Q735" i="3" s="1"/>
  <c r="R735" i="3" s="1"/>
  <c r="T108" i="1" s="1"/>
  <c r="E739" i="3"/>
  <c r="K749" i="8" l="1"/>
  <c r="K754" i="8"/>
  <c r="J749" i="8"/>
  <c r="J753" i="8"/>
  <c r="L742" i="8"/>
  <c r="L746" i="8"/>
  <c r="X634" i="1"/>
  <c r="W634" i="1"/>
  <c r="V634" i="1"/>
  <c r="U634" i="1"/>
  <c r="I742" i="8"/>
  <c r="M742" i="8" s="1"/>
  <c r="N742" i="8" s="1"/>
  <c r="O742" i="8" s="1"/>
  <c r="P742" i="8" s="1"/>
  <c r="T635" i="1" s="1"/>
  <c r="I746" i="8"/>
  <c r="M742" i="4"/>
  <c r="M746" i="4"/>
  <c r="J742" i="4"/>
  <c r="J746" i="4"/>
  <c r="G742" i="4"/>
  <c r="G746" i="4"/>
  <c r="F742" i="4"/>
  <c r="F746" i="4"/>
  <c r="U306" i="1"/>
  <c r="V306" i="1"/>
  <c r="W306" i="1"/>
  <c r="X306" i="1"/>
  <c r="E742" i="4"/>
  <c r="O742" i="4" s="1"/>
  <c r="P742" i="4" s="1"/>
  <c r="Q742" i="4" s="1"/>
  <c r="R742" i="4" s="1"/>
  <c r="T307" i="1" s="1"/>
  <c r="E746" i="4"/>
  <c r="M742" i="3"/>
  <c r="M746" i="3"/>
  <c r="J742" i="3"/>
  <c r="J746" i="3"/>
  <c r="G742" i="3"/>
  <c r="G746" i="3"/>
  <c r="F742" i="3"/>
  <c r="F746" i="3"/>
  <c r="V108" i="1"/>
  <c r="U108" i="1"/>
  <c r="W108" i="1"/>
  <c r="X108" i="1"/>
  <c r="E742" i="3"/>
  <c r="E746" i="3"/>
  <c r="K756" i="8" l="1"/>
  <c r="K761" i="8"/>
  <c r="J756" i="8"/>
  <c r="J760" i="8"/>
  <c r="L749" i="8"/>
  <c r="L753" i="8"/>
  <c r="U635" i="1"/>
  <c r="V635" i="1"/>
  <c r="W635" i="1"/>
  <c r="X635" i="1"/>
  <c r="I749" i="8"/>
  <c r="M749" i="8" s="1"/>
  <c r="N749" i="8" s="1"/>
  <c r="O749" i="8" s="1"/>
  <c r="P749" i="8" s="1"/>
  <c r="T636" i="1" s="1"/>
  <c r="I753" i="8"/>
  <c r="M749" i="4"/>
  <c r="M753" i="4"/>
  <c r="J749" i="4"/>
  <c r="J753" i="4"/>
  <c r="G749" i="4"/>
  <c r="G753" i="4"/>
  <c r="F749" i="4"/>
  <c r="F753" i="4"/>
  <c r="U307" i="1"/>
  <c r="V307" i="1"/>
  <c r="W307" i="1"/>
  <c r="X307" i="1"/>
  <c r="E749" i="4"/>
  <c r="O749" i="4" s="1"/>
  <c r="P749" i="4" s="1"/>
  <c r="Q749" i="4" s="1"/>
  <c r="R749" i="4" s="1"/>
  <c r="T308" i="1" s="1"/>
  <c r="E753" i="4"/>
  <c r="M749" i="3"/>
  <c r="M753" i="3"/>
  <c r="J749" i="3"/>
  <c r="J753" i="3"/>
  <c r="G749" i="3"/>
  <c r="G753" i="3"/>
  <c r="F749" i="3"/>
  <c r="F753" i="3"/>
  <c r="E749" i="3"/>
  <c r="E753" i="3"/>
  <c r="O742" i="3"/>
  <c r="P742" i="3" s="1"/>
  <c r="Q742" i="3" s="1"/>
  <c r="R742" i="3" s="1"/>
  <c r="T109" i="1" s="1"/>
  <c r="K763" i="8" l="1"/>
  <c r="K768" i="8"/>
  <c r="J763" i="8"/>
  <c r="J767" i="8"/>
  <c r="L756" i="8"/>
  <c r="L760" i="8"/>
  <c r="X636" i="1"/>
  <c r="W636" i="1"/>
  <c r="V636" i="1"/>
  <c r="U636" i="1"/>
  <c r="I756" i="8"/>
  <c r="M756" i="8" s="1"/>
  <c r="N756" i="8" s="1"/>
  <c r="O756" i="8" s="1"/>
  <c r="P756" i="8" s="1"/>
  <c r="T637" i="1" s="1"/>
  <c r="I760" i="8"/>
  <c r="M756" i="4"/>
  <c r="M760" i="4"/>
  <c r="J756" i="4"/>
  <c r="J760" i="4"/>
  <c r="G756" i="4"/>
  <c r="G760" i="4"/>
  <c r="F756" i="4"/>
  <c r="F760" i="4"/>
  <c r="U308" i="1"/>
  <c r="V308" i="1"/>
  <c r="W308" i="1"/>
  <c r="X308" i="1"/>
  <c r="E756" i="4"/>
  <c r="O756" i="4" s="1"/>
  <c r="P756" i="4" s="1"/>
  <c r="Q756" i="4" s="1"/>
  <c r="R756" i="4" s="1"/>
  <c r="T309" i="1" s="1"/>
  <c r="E760" i="4"/>
  <c r="M756" i="3"/>
  <c r="M760" i="3"/>
  <c r="J756" i="3"/>
  <c r="J760" i="3"/>
  <c r="G756" i="3"/>
  <c r="G760" i="3"/>
  <c r="F756" i="3"/>
  <c r="F760" i="3"/>
  <c r="E756" i="3"/>
  <c r="O756" i="3" s="1"/>
  <c r="P756" i="3" s="1"/>
  <c r="Q756" i="3" s="1"/>
  <c r="R756" i="3" s="1"/>
  <c r="T111" i="1" s="1"/>
  <c r="E760" i="3"/>
  <c r="X109" i="1"/>
  <c r="U109" i="1"/>
  <c r="V109" i="1"/>
  <c r="W109" i="1"/>
  <c r="O749" i="3"/>
  <c r="P749" i="3" s="1"/>
  <c r="Q749" i="3" s="1"/>
  <c r="R749" i="3" s="1"/>
  <c r="T110" i="1" s="1"/>
  <c r="K770" i="8" l="1"/>
  <c r="K775" i="8"/>
  <c r="J770" i="8"/>
  <c r="J774" i="8"/>
  <c r="L763" i="8"/>
  <c r="L767" i="8"/>
  <c r="U637" i="1"/>
  <c r="X637" i="1"/>
  <c r="W637" i="1"/>
  <c r="V637" i="1"/>
  <c r="I763" i="8"/>
  <c r="M763" i="8" s="1"/>
  <c r="N763" i="8" s="1"/>
  <c r="O763" i="8" s="1"/>
  <c r="P763" i="8" s="1"/>
  <c r="T638" i="1" s="1"/>
  <c r="I767" i="8"/>
  <c r="M763" i="4"/>
  <c r="M767" i="4"/>
  <c r="J763" i="4"/>
  <c r="J767" i="4"/>
  <c r="G763" i="4"/>
  <c r="G767" i="4"/>
  <c r="F763" i="4"/>
  <c r="F767" i="4"/>
  <c r="U309" i="1"/>
  <c r="V309" i="1"/>
  <c r="W309" i="1"/>
  <c r="X309" i="1"/>
  <c r="E763" i="4"/>
  <c r="O763" i="4" s="1"/>
  <c r="P763" i="4" s="1"/>
  <c r="Q763" i="4" s="1"/>
  <c r="R763" i="4" s="1"/>
  <c r="T310" i="1" s="1"/>
  <c r="E767" i="4"/>
  <c r="M763" i="3"/>
  <c r="M767" i="3"/>
  <c r="J763" i="3"/>
  <c r="J767" i="3"/>
  <c r="G763" i="3"/>
  <c r="G767" i="3"/>
  <c r="F763" i="3"/>
  <c r="F767" i="3"/>
  <c r="U111" i="1"/>
  <c r="X111" i="1"/>
  <c r="V111" i="1"/>
  <c r="W111" i="1"/>
  <c r="E763" i="3"/>
  <c r="O763" i="3" s="1"/>
  <c r="P763" i="3" s="1"/>
  <c r="Q763" i="3" s="1"/>
  <c r="R763" i="3" s="1"/>
  <c r="T112" i="1" s="1"/>
  <c r="E767" i="3"/>
  <c r="V110" i="1"/>
  <c r="W110" i="1"/>
  <c r="U110" i="1"/>
  <c r="X110" i="1"/>
  <c r="K777" i="8" l="1"/>
  <c r="K782" i="8"/>
  <c r="J777" i="8"/>
  <c r="J781" i="8"/>
  <c r="L770" i="8"/>
  <c r="L774" i="8"/>
  <c r="U638" i="1"/>
  <c r="X638" i="1"/>
  <c r="W638" i="1"/>
  <c r="V638" i="1"/>
  <c r="I770" i="8"/>
  <c r="M770" i="8" s="1"/>
  <c r="N770" i="8" s="1"/>
  <c r="O770" i="8" s="1"/>
  <c r="P770" i="8" s="1"/>
  <c r="T639" i="1" s="1"/>
  <c r="I774" i="8"/>
  <c r="M770" i="4"/>
  <c r="M774" i="4"/>
  <c r="J770" i="4"/>
  <c r="J774" i="4"/>
  <c r="G770" i="4"/>
  <c r="G774" i="4"/>
  <c r="F770" i="4"/>
  <c r="F774" i="4"/>
  <c r="U310" i="1"/>
  <c r="V310" i="1"/>
  <c r="W310" i="1"/>
  <c r="X310" i="1"/>
  <c r="E770" i="4"/>
  <c r="O770" i="4" s="1"/>
  <c r="P770" i="4" s="1"/>
  <c r="Q770" i="4" s="1"/>
  <c r="R770" i="4" s="1"/>
  <c r="T311" i="1" s="1"/>
  <c r="E774" i="4"/>
  <c r="M770" i="3"/>
  <c r="M774" i="3"/>
  <c r="J770" i="3"/>
  <c r="J774" i="3"/>
  <c r="G770" i="3"/>
  <c r="G774" i="3"/>
  <c r="F770" i="3"/>
  <c r="F774" i="3"/>
  <c r="V112" i="1"/>
  <c r="W112" i="1"/>
  <c r="U112" i="1"/>
  <c r="X112" i="1"/>
  <c r="E770" i="3"/>
  <c r="O770" i="3" s="1"/>
  <c r="P770" i="3" s="1"/>
  <c r="Q770" i="3" s="1"/>
  <c r="R770" i="3" s="1"/>
  <c r="T113" i="1" s="1"/>
  <c r="E774" i="3"/>
  <c r="K784" i="8" l="1"/>
  <c r="K789" i="8"/>
  <c r="J784" i="8"/>
  <c r="J788" i="8"/>
  <c r="L777" i="8"/>
  <c r="L781" i="8"/>
  <c r="X639" i="1"/>
  <c r="W639" i="1"/>
  <c r="V639" i="1"/>
  <c r="U639" i="1"/>
  <c r="I777" i="8"/>
  <c r="M777" i="8" s="1"/>
  <c r="N777" i="8" s="1"/>
  <c r="O777" i="8" s="1"/>
  <c r="P777" i="8" s="1"/>
  <c r="T640" i="1" s="1"/>
  <c r="I781" i="8"/>
  <c r="M777" i="4"/>
  <c r="M781" i="4"/>
  <c r="J777" i="4"/>
  <c r="J781" i="4"/>
  <c r="G777" i="4"/>
  <c r="G781" i="4"/>
  <c r="F777" i="4"/>
  <c r="F781" i="4"/>
  <c r="U311" i="1"/>
  <c r="V311" i="1"/>
  <c r="W311" i="1"/>
  <c r="X311" i="1"/>
  <c r="E777" i="4"/>
  <c r="O777" i="4" s="1"/>
  <c r="P777" i="4" s="1"/>
  <c r="Q777" i="4" s="1"/>
  <c r="R777" i="4" s="1"/>
  <c r="T312" i="1" s="1"/>
  <c r="E781" i="4"/>
  <c r="M777" i="3"/>
  <c r="M781" i="3"/>
  <c r="J777" i="3"/>
  <c r="J781" i="3"/>
  <c r="G777" i="3"/>
  <c r="G781" i="3"/>
  <c r="F777" i="3"/>
  <c r="F781" i="3"/>
  <c r="W113" i="1"/>
  <c r="X113" i="1"/>
  <c r="U113" i="1"/>
  <c r="V113" i="1"/>
  <c r="E777" i="3"/>
  <c r="E781" i="3"/>
  <c r="K791" i="8" l="1"/>
  <c r="K796" i="8"/>
  <c r="J791" i="8"/>
  <c r="J795" i="8"/>
  <c r="L784" i="8"/>
  <c r="L788" i="8"/>
  <c r="X640" i="1"/>
  <c r="W640" i="1"/>
  <c r="V640" i="1"/>
  <c r="U640" i="1"/>
  <c r="I784" i="8"/>
  <c r="I788" i="8"/>
  <c r="M784" i="4"/>
  <c r="M788" i="4"/>
  <c r="J784" i="4"/>
  <c r="J788" i="4"/>
  <c r="G784" i="4"/>
  <c r="G788" i="4"/>
  <c r="F784" i="4"/>
  <c r="F788" i="4"/>
  <c r="U312" i="1"/>
  <c r="V312" i="1"/>
  <c r="W312" i="1"/>
  <c r="X312" i="1"/>
  <c r="E784" i="4"/>
  <c r="O784" i="4" s="1"/>
  <c r="P784" i="4" s="1"/>
  <c r="Q784" i="4" s="1"/>
  <c r="R784" i="4" s="1"/>
  <c r="T313" i="1" s="1"/>
  <c r="E788" i="4"/>
  <c r="M784" i="3"/>
  <c r="M788" i="3"/>
  <c r="J784" i="3"/>
  <c r="J788" i="3"/>
  <c r="G784" i="3"/>
  <c r="G788" i="3"/>
  <c r="F784" i="3"/>
  <c r="F788" i="3"/>
  <c r="E784" i="3"/>
  <c r="E788" i="3"/>
  <c r="O777" i="3"/>
  <c r="P777" i="3" s="1"/>
  <c r="Q777" i="3" s="1"/>
  <c r="R777" i="3" s="1"/>
  <c r="T114" i="1" s="1"/>
  <c r="K798" i="8" l="1"/>
  <c r="K803" i="8"/>
  <c r="J798" i="8"/>
  <c r="J802" i="8"/>
  <c r="L791" i="8"/>
  <c r="L795" i="8"/>
  <c r="I791" i="8"/>
  <c r="M791" i="8" s="1"/>
  <c r="N791" i="8" s="1"/>
  <c r="O791" i="8" s="1"/>
  <c r="P791" i="8" s="1"/>
  <c r="T642" i="1" s="1"/>
  <c r="I795" i="8"/>
  <c r="M791" i="4"/>
  <c r="M795" i="4"/>
  <c r="J791" i="4"/>
  <c r="J795" i="4"/>
  <c r="G791" i="4"/>
  <c r="G795" i="4"/>
  <c r="F791" i="4"/>
  <c r="F795" i="4"/>
  <c r="X313" i="1"/>
  <c r="W313" i="1"/>
  <c r="V313" i="1"/>
  <c r="U313" i="1"/>
  <c r="E791" i="4"/>
  <c r="O791" i="4" s="1"/>
  <c r="P791" i="4" s="1"/>
  <c r="Q791" i="4" s="1"/>
  <c r="R791" i="4" s="1"/>
  <c r="T314" i="1" s="1"/>
  <c r="E795" i="4"/>
  <c r="M791" i="3"/>
  <c r="M795" i="3"/>
  <c r="J791" i="3"/>
  <c r="J795" i="3"/>
  <c r="G791" i="3"/>
  <c r="G795" i="3"/>
  <c r="F791" i="3"/>
  <c r="F795" i="3"/>
  <c r="E791" i="3"/>
  <c r="O791" i="3" s="1"/>
  <c r="P791" i="3" s="1"/>
  <c r="Q791" i="3" s="1"/>
  <c r="R791" i="3" s="1"/>
  <c r="T116" i="1" s="1"/>
  <c r="E795" i="3"/>
  <c r="W114" i="1"/>
  <c r="U114" i="1"/>
  <c r="X114" i="1"/>
  <c r="V114" i="1"/>
  <c r="M784" i="8"/>
  <c r="N784" i="8" s="1"/>
  <c r="O784" i="8" s="1"/>
  <c r="P784" i="8" s="1"/>
  <c r="T641" i="1" s="1"/>
  <c r="O784" i="3"/>
  <c r="P784" i="3" s="1"/>
  <c r="Q784" i="3" s="1"/>
  <c r="R784" i="3" s="1"/>
  <c r="T115" i="1" s="1"/>
  <c r="K805" i="8" l="1"/>
  <c r="K810" i="8"/>
  <c r="J805" i="8"/>
  <c r="J809" i="8"/>
  <c r="L798" i="8"/>
  <c r="L802" i="8"/>
  <c r="V642" i="1"/>
  <c r="X642" i="1"/>
  <c r="W642" i="1"/>
  <c r="U642" i="1"/>
  <c r="I798" i="8"/>
  <c r="I802" i="8"/>
  <c r="M798" i="4"/>
  <c r="M802" i="4"/>
  <c r="J798" i="4"/>
  <c r="J802" i="4"/>
  <c r="G798" i="4"/>
  <c r="G802" i="4"/>
  <c r="F798" i="4"/>
  <c r="F802" i="4"/>
  <c r="U314" i="1"/>
  <c r="V314" i="1"/>
  <c r="W314" i="1"/>
  <c r="X314" i="1"/>
  <c r="E798" i="4"/>
  <c r="O798" i="4" s="1"/>
  <c r="P798" i="4" s="1"/>
  <c r="Q798" i="4" s="1"/>
  <c r="R798" i="4" s="1"/>
  <c r="T315" i="1" s="1"/>
  <c r="E802" i="4"/>
  <c r="M798" i="3"/>
  <c r="M802" i="3"/>
  <c r="J798" i="3"/>
  <c r="J802" i="3"/>
  <c r="G798" i="3"/>
  <c r="G802" i="3"/>
  <c r="F798" i="3"/>
  <c r="F802" i="3"/>
  <c r="X116" i="1"/>
  <c r="V116" i="1"/>
  <c r="U116" i="1"/>
  <c r="W116" i="1"/>
  <c r="E798" i="3"/>
  <c r="O798" i="3" s="1"/>
  <c r="P798" i="3" s="1"/>
  <c r="Q798" i="3" s="1"/>
  <c r="R798" i="3" s="1"/>
  <c r="T117" i="1" s="1"/>
  <c r="E802" i="3"/>
  <c r="X641" i="1"/>
  <c r="W641" i="1"/>
  <c r="V641" i="1"/>
  <c r="U641" i="1"/>
  <c r="W115" i="1"/>
  <c r="U115" i="1"/>
  <c r="V115" i="1"/>
  <c r="X115" i="1"/>
  <c r="K812" i="8" l="1"/>
  <c r="K817" i="8"/>
  <c r="J812" i="8"/>
  <c r="J816" i="8"/>
  <c r="L805" i="8"/>
  <c r="L809" i="8"/>
  <c r="I805" i="8"/>
  <c r="M805" i="8" s="1"/>
  <c r="N805" i="8" s="1"/>
  <c r="O805" i="8" s="1"/>
  <c r="P805" i="8" s="1"/>
  <c r="T644" i="1" s="1"/>
  <c r="I809" i="8"/>
  <c r="M805" i="4"/>
  <c r="M809" i="4"/>
  <c r="J805" i="4"/>
  <c r="J809" i="4"/>
  <c r="G805" i="4"/>
  <c r="G809" i="4"/>
  <c r="F805" i="4"/>
  <c r="F809" i="4"/>
  <c r="U315" i="1"/>
  <c r="V315" i="1"/>
  <c r="W315" i="1"/>
  <c r="X315" i="1"/>
  <c r="E805" i="4"/>
  <c r="E809" i="4"/>
  <c r="M805" i="3"/>
  <c r="M809" i="3"/>
  <c r="J805" i="3"/>
  <c r="J809" i="3"/>
  <c r="G805" i="3"/>
  <c r="G809" i="3"/>
  <c r="F805" i="3"/>
  <c r="F809" i="3"/>
  <c r="U117" i="1"/>
  <c r="V117" i="1"/>
  <c r="X117" i="1"/>
  <c r="W117" i="1"/>
  <c r="E805" i="3"/>
  <c r="O805" i="3" s="1"/>
  <c r="P805" i="3" s="1"/>
  <c r="Q805" i="3" s="1"/>
  <c r="R805" i="3" s="1"/>
  <c r="T118" i="1" s="1"/>
  <c r="E809" i="3"/>
  <c r="M798" i="8"/>
  <c r="N798" i="8" s="1"/>
  <c r="O798" i="8" s="1"/>
  <c r="P798" i="8" s="1"/>
  <c r="T643" i="1" s="1"/>
  <c r="K819" i="8" l="1"/>
  <c r="K824" i="8"/>
  <c r="J819" i="8"/>
  <c r="J823" i="8"/>
  <c r="L812" i="8"/>
  <c r="L816" i="8"/>
  <c r="U644" i="1"/>
  <c r="V644" i="1"/>
  <c r="W644" i="1"/>
  <c r="X644" i="1"/>
  <c r="I812" i="8"/>
  <c r="M812" i="8" s="1"/>
  <c r="N812" i="8" s="1"/>
  <c r="O812" i="8" s="1"/>
  <c r="P812" i="8" s="1"/>
  <c r="T645" i="1" s="1"/>
  <c r="I816" i="8"/>
  <c r="M812" i="4"/>
  <c r="M816" i="4"/>
  <c r="J812" i="4"/>
  <c r="J816" i="4"/>
  <c r="G812" i="4"/>
  <c r="G816" i="4"/>
  <c r="F812" i="4"/>
  <c r="F816" i="4"/>
  <c r="E812" i="4"/>
  <c r="O812" i="4" s="1"/>
  <c r="P812" i="4" s="1"/>
  <c r="Q812" i="4" s="1"/>
  <c r="R812" i="4" s="1"/>
  <c r="T317" i="1" s="1"/>
  <c r="E816" i="4"/>
  <c r="M812" i="3"/>
  <c r="M816" i="3"/>
  <c r="J812" i="3"/>
  <c r="J816" i="3"/>
  <c r="G812" i="3"/>
  <c r="G816" i="3"/>
  <c r="F812" i="3"/>
  <c r="F816" i="3"/>
  <c r="W118" i="1"/>
  <c r="V118" i="1"/>
  <c r="U118" i="1"/>
  <c r="X118" i="1"/>
  <c r="E812" i="3"/>
  <c r="O812" i="3" s="1"/>
  <c r="P812" i="3" s="1"/>
  <c r="Q812" i="3" s="1"/>
  <c r="R812" i="3" s="1"/>
  <c r="T119" i="1" s="1"/>
  <c r="E816" i="3"/>
  <c r="U643" i="1"/>
  <c r="X643" i="1"/>
  <c r="W643" i="1"/>
  <c r="V643" i="1"/>
  <c r="O805" i="4"/>
  <c r="P805" i="4" s="1"/>
  <c r="Q805" i="4" s="1"/>
  <c r="R805" i="4" s="1"/>
  <c r="T316" i="1" s="1"/>
  <c r="K826" i="8" l="1"/>
  <c r="K831" i="8"/>
  <c r="J826" i="8"/>
  <c r="J830" i="8"/>
  <c r="L819" i="8"/>
  <c r="L823" i="8"/>
  <c r="U645" i="1"/>
  <c r="V645" i="1"/>
  <c r="W645" i="1"/>
  <c r="X645" i="1"/>
  <c r="I819" i="8"/>
  <c r="M819" i="8" s="1"/>
  <c r="N819" i="8" s="1"/>
  <c r="O819" i="8" s="1"/>
  <c r="P819" i="8" s="1"/>
  <c r="T646" i="1" s="1"/>
  <c r="I823" i="8"/>
  <c r="M819" i="4"/>
  <c r="M823" i="4"/>
  <c r="J819" i="4"/>
  <c r="J823" i="4"/>
  <c r="G819" i="4"/>
  <c r="G823" i="4"/>
  <c r="F819" i="4"/>
  <c r="F823" i="4"/>
  <c r="U317" i="1"/>
  <c r="V317" i="1"/>
  <c r="W317" i="1"/>
  <c r="X317" i="1"/>
  <c r="E819" i="4"/>
  <c r="O819" i="4" s="1"/>
  <c r="P819" i="4" s="1"/>
  <c r="Q819" i="4" s="1"/>
  <c r="R819" i="4" s="1"/>
  <c r="T318" i="1" s="1"/>
  <c r="E823" i="4"/>
  <c r="M819" i="3"/>
  <c r="M823" i="3"/>
  <c r="J819" i="3"/>
  <c r="J823" i="3"/>
  <c r="G819" i="3"/>
  <c r="G823" i="3"/>
  <c r="F819" i="3"/>
  <c r="F823" i="3"/>
  <c r="U119" i="1"/>
  <c r="W119" i="1"/>
  <c r="V119" i="1"/>
  <c r="X119" i="1"/>
  <c r="E819" i="3"/>
  <c r="O819" i="3" s="1"/>
  <c r="P819" i="3" s="1"/>
  <c r="Q819" i="3" s="1"/>
  <c r="R819" i="3" s="1"/>
  <c r="T120" i="1" s="1"/>
  <c r="E823" i="3"/>
  <c r="U316" i="1"/>
  <c r="V316" i="1"/>
  <c r="W316" i="1"/>
  <c r="X316" i="1"/>
  <c r="K833" i="8" l="1"/>
  <c r="K838" i="8"/>
  <c r="J833" i="8"/>
  <c r="J837" i="8"/>
  <c r="L826" i="8"/>
  <c r="L830" i="8"/>
  <c r="U646" i="1"/>
  <c r="V646" i="1"/>
  <c r="W646" i="1"/>
  <c r="X646" i="1"/>
  <c r="I826" i="8"/>
  <c r="M826" i="8" s="1"/>
  <c r="N826" i="8" s="1"/>
  <c r="O826" i="8" s="1"/>
  <c r="P826" i="8" s="1"/>
  <c r="T647" i="1" s="1"/>
  <c r="I830" i="8"/>
  <c r="M826" i="4"/>
  <c r="M830" i="4"/>
  <c r="J826" i="4"/>
  <c r="J830" i="4"/>
  <c r="G826" i="4"/>
  <c r="G830" i="4"/>
  <c r="F826" i="4"/>
  <c r="F830" i="4"/>
  <c r="U318" i="1"/>
  <c r="V318" i="1"/>
  <c r="W318" i="1"/>
  <c r="X318" i="1"/>
  <c r="E826" i="4"/>
  <c r="O826" i="4" s="1"/>
  <c r="P826" i="4" s="1"/>
  <c r="Q826" i="4" s="1"/>
  <c r="R826" i="4" s="1"/>
  <c r="T319" i="1" s="1"/>
  <c r="E830" i="4"/>
  <c r="M826" i="3"/>
  <c r="M830" i="3"/>
  <c r="J826" i="3"/>
  <c r="J830" i="3"/>
  <c r="G826" i="3"/>
  <c r="G830" i="3"/>
  <c r="F826" i="3"/>
  <c r="F830" i="3"/>
  <c r="W120" i="1"/>
  <c r="U120" i="1"/>
  <c r="V120" i="1"/>
  <c r="X120" i="1"/>
  <c r="E826" i="3"/>
  <c r="O826" i="3" s="1"/>
  <c r="P826" i="3" s="1"/>
  <c r="Q826" i="3" s="1"/>
  <c r="R826" i="3" s="1"/>
  <c r="T121" i="1" s="1"/>
  <c r="E830" i="3"/>
  <c r="K840" i="8" l="1"/>
  <c r="K845" i="8"/>
  <c r="J840" i="8"/>
  <c r="J844" i="8"/>
  <c r="L833" i="8"/>
  <c r="L837" i="8"/>
  <c r="U647" i="1"/>
  <c r="V647" i="1"/>
  <c r="W647" i="1"/>
  <c r="X647" i="1"/>
  <c r="I833" i="8"/>
  <c r="M833" i="8" s="1"/>
  <c r="N833" i="8" s="1"/>
  <c r="O833" i="8" s="1"/>
  <c r="P833" i="8" s="1"/>
  <c r="T648" i="1" s="1"/>
  <c r="I837" i="8"/>
  <c r="M833" i="4"/>
  <c r="M837" i="4"/>
  <c r="J833" i="4"/>
  <c r="J837" i="4"/>
  <c r="G833" i="4"/>
  <c r="G837" i="4"/>
  <c r="F833" i="4"/>
  <c r="F837" i="4"/>
  <c r="U319" i="1"/>
  <c r="V319" i="1"/>
  <c r="W319" i="1"/>
  <c r="X319" i="1"/>
  <c r="E833" i="4"/>
  <c r="O833" i="4" s="1"/>
  <c r="P833" i="4" s="1"/>
  <c r="Q833" i="4" s="1"/>
  <c r="R833" i="4" s="1"/>
  <c r="T320" i="1" s="1"/>
  <c r="E837" i="4"/>
  <c r="M833" i="3"/>
  <c r="M837" i="3"/>
  <c r="J833" i="3"/>
  <c r="J837" i="3"/>
  <c r="G833" i="3"/>
  <c r="G837" i="3"/>
  <c r="F833" i="3"/>
  <c r="F837" i="3"/>
  <c r="W121" i="1"/>
  <c r="V121" i="1"/>
  <c r="U121" i="1"/>
  <c r="X121" i="1"/>
  <c r="E833" i="3"/>
  <c r="E837" i="3"/>
  <c r="K847" i="8" l="1"/>
  <c r="K852" i="8"/>
  <c r="J847" i="8"/>
  <c r="J851" i="8"/>
  <c r="L840" i="8"/>
  <c r="L844" i="8"/>
  <c r="V648" i="1"/>
  <c r="U648" i="1"/>
  <c r="W648" i="1"/>
  <c r="X648" i="1"/>
  <c r="I840" i="8"/>
  <c r="M840" i="8" s="1"/>
  <c r="N840" i="8" s="1"/>
  <c r="O840" i="8" s="1"/>
  <c r="P840" i="8" s="1"/>
  <c r="T649" i="1" s="1"/>
  <c r="I844" i="8"/>
  <c r="M840" i="4"/>
  <c r="M844" i="4"/>
  <c r="J840" i="4"/>
  <c r="J844" i="4"/>
  <c r="G840" i="4"/>
  <c r="G844" i="4"/>
  <c r="F840" i="4"/>
  <c r="F844" i="4"/>
  <c r="U320" i="1"/>
  <c r="V320" i="1"/>
  <c r="W320" i="1"/>
  <c r="X320" i="1"/>
  <c r="E840" i="4"/>
  <c r="O840" i="4" s="1"/>
  <c r="P840" i="4" s="1"/>
  <c r="Q840" i="4" s="1"/>
  <c r="R840" i="4" s="1"/>
  <c r="T321" i="1" s="1"/>
  <c r="E844" i="4"/>
  <c r="M840" i="3"/>
  <c r="M844" i="3"/>
  <c r="J840" i="3"/>
  <c r="J844" i="3"/>
  <c r="G840" i="3"/>
  <c r="G844" i="3"/>
  <c r="F840" i="3"/>
  <c r="F844" i="3"/>
  <c r="E840" i="3"/>
  <c r="O840" i="3" s="1"/>
  <c r="P840" i="3" s="1"/>
  <c r="Q840" i="3" s="1"/>
  <c r="R840" i="3" s="1"/>
  <c r="T123" i="1" s="1"/>
  <c r="E844" i="3"/>
  <c r="O833" i="3"/>
  <c r="P833" i="3" s="1"/>
  <c r="Q833" i="3" s="1"/>
  <c r="R833" i="3" s="1"/>
  <c r="T122" i="1" s="1"/>
  <c r="K854" i="8" l="1"/>
  <c r="K859" i="8"/>
  <c r="J854" i="8"/>
  <c r="J858" i="8"/>
  <c r="L847" i="8"/>
  <c r="L851" i="8"/>
  <c r="X649" i="1"/>
  <c r="W649" i="1"/>
  <c r="V649" i="1"/>
  <c r="U649" i="1"/>
  <c r="I847" i="8"/>
  <c r="M847" i="8" s="1"/>
  <c r="N847" i="8" s="1"/>
  <c r="O847" i="8" s="1"/>
  <c r="P847" i="8" s="1"/>
  <c r="T650" i="1" s="1"/>
  <c r="I851" i="8"/>
  <c r="M847" i="4"/>
  <c r="M851" i="4"/>
  <c r="J847" i="4"/>
  <c r="J851" i="4"/>
  <c r="G847" i="4"/>
  <c r="G851" i="4"/>
  <c r="F847" i="4"/>
  <c r="F851" i="4"/>
  <c r="U321" i="1"/>
  <c r="V321" i="1"/>
  <c r="W321" i="1"/>
  <c r="X321" i="1"/>
  <c r="E847" i="4"/>
  <c r="O847" i="4" s="1"/>
  <c r="P847" i="4" s="1"/>
  <c r="Q847" i="4" s="1"/>
  <c r="R847" i="4" s="1"/>
  <c r="T322" i="1" s="1"/>
  <c r="E851" i="4"/>
  <c r="M847" i="3"/>
  <c r="M851" i="3"/>
  <c r="J847" i="3"/>
  <c r="J851" i="3"/>
  <c r="G847" i="3"/>
  <c r="G851" i="3"/>
  <c r="F847" i="3"/>
  <c r="F851" i="3"/>
  <c r="W123" i="1"/>
  <c r="X123" i="1"/>
  <c r="U123" i="1"/>
  <c r="V123" i="1"/>
  <c r="E847" i="3"/>
  <c r="O847" i="3" s="1"/>
  <c r="P847" i="3" s="1"/>
  <c r="Q847" i="3" s="1"/>
  <c r="R847" i="3" s="1"/>
  <c r="T124" i="1" s="1"/>
  <c r="E851" i="3"/>
  <c r="W122" i="1"/>
  <c r="U122" i="1"/>
  <c r="X122" i="1"/>
  <c r="V122" i="1"/>
  <c r="K861" i="8" l="1"/>
  <c r="K866" i="8"/>
  <c r="J861" i="8"/>
  <c r="J865" i="8"/>
  <c r="L854" i="8"/>
  <c r="L858" i="8"/>
  <c r="U650" i="1"/>
  <c r="V650" i="1"/>
  <c r="W650" i="1"/>
  <c r="X650" i="1"/>
  <c r="I854" i="8"/>
  <c r="M854" i="8" s="1"/>
  <c r="N854" i="8" s="1"/>
  <c r="O854" i="8" s="1"/>
  <c r="P854" i="8" s="1"/>
  <c r="T651" i="1" s="1"/>
  <c r="I858" i="8"/>
  <c r="M854" i="4"/>
  <c r="M858" i="4"/>
  <c r="J854" i="4"/>
  <c r="J858" i="4"/>
  <c r="G854" i="4"/>
  <c r="G858" i="4"/>
  <c r="F854" i="4"/>
  <c r="F858" i="4"/>
  <c r="U322" i="1"/>
  <c r="V322" i="1"/>
  <c r="W322" i="1"/>
  <c r="X322" i="1"/>
  <c r="E854" i="4"/>
  <c r="O854" i="4" s="1"/>
  <c r="P854" i="4" s="1"/>
  <c r="Q854" i="4" s="1"/>
  <c r="R854" i="4" s="1"/>
  <c r="T323" i="1" s="1"/>
  <c r="E858" i="4"/>
  <c r="M854" i="3"/>
  <c r="M858" i="3"/>
  <c r="J854" i="3"/>
  <c r="J858" i="3"/>
  <c r="G854" i="3"/>
  <c r="G858" i="3"/>
  <c r="F854" i="3"/>
  <c r="F858" i="3"/>
  <c r="U124" i="1"/>
  <c r="X124" i="1"/>
  <c r="W124" i="1"/>
  <c r="V124" i="1"/>
  <c r="E854" i="3"/>
  <c r="O854" i="3" s="1"/>
  <c r="P854" i="3" s="1"/>
  <c r="Q854" i="3" s="1"/>
  <c r="R854" i="3" s="1"/>
  <c r="T125" i="1" s="1"/>
  <c r="E858" i="3"/>
  <c r="K868" i="8" l="1"/>
  <c r="K873" i="8"/>
  <c r="J868" i="8"/>
  <c r="J872" i="8"/>
  <c r="L861" i="8"/>
  <c r="L865" i="8"/>
  <c r="U651" i="1"/>
  <c r="W651" i="1"/>
  <c r="V651" i="1"/>
  <c r="X651" i="1"/>
  <c r="I861" i="8"/>
  <c r="M861" i="8" s="1"/>
  <c r="N861" i="8" s="1"/>
  <c r="O861" i="8" s="1"/>
  <c r="P861" i="8" s="1"/>
  <c r="T652" i="1" s="1"/>
  <c r="I865" i="8"/>
  <c r="M861" i="4"/>
  <c r="M865" i="4"/>
  <c r="J861" i="4"/>
  <c r="J865" i="4"/>
  <c r="G861" i="4"/>
  <c r="G865" i="4"/>
  <c r="F861" i="4"/>
  <c r="F865" i="4"/>
  <c r="U323" i="1"/>
  <c r="V323" i="1"/>
  <c r="W323" i="1"/>
  <c r="X323" i="1"/>
  <c r="E861" i="4"/>
  <c r="O861" i="4" s="1"/>
  <c r="P861" i="4" s="1"/>
  <c r="Q861" i="4" s="1"/>
  <c r="R861" i="4" s="1"/>
  <c r="T324" i="1" s="1"/>
  <c r="E865" i="4"/>
  <c r="M861" i="3"/>
  <c r="M865" i="3"/>
  <c r="J861" i="3"/>
  <c r="J865" i="3"/>
  <c r="G861" i="3"/>
  <c r="G865" i="3"/>
  <c r="F861" i="3"/>
  <c r="F865" i="3"/>
  <c r="U125" i="1"/>
  <c r="X125" i="1"/>
  <c r="V125" i="1"/>
  <c r="W125" i="1"/>
  <c r="E861" i="3"/>
  <c r="O861" i="3" s="1"/>
  <c r="P861" i="3" s="1"/>
  <c r="Q861" i="3" s="1"/>
  <c r="R861" i="3" s="1"/>
  <c r="T126" i="1" s="1"/>
  <c r="E865" i="3"/>
  <c r="K875" i="8" l="1"/>
  <c r="K880" i="8"/>
  <c r="J875" i="8"/>
  <c r="J879" i="8"/>
  <c r="L868" i="8"/>
  <c r="L872" i="8"/>
  <c r="U652" i="1"/>
  <c r="V652" i="1"/>
  <c r="W652" i="1"/>
  <c r="X652" i="1"/>
  <c r="I868" i="8"/>
  <c r="M868" i="8" s="1"/>
  <c r="N868" i="8" s="1"/>
  <c r="O868" i="8" s="1"/>
  <c r="P868" i="8" s="1"/>
  <c r="T653" i="1" s="1"/>
  <c r="I872" i="8"/>
  <c r="M868" i="4"/>
  <c r="M872" i="4"/>
  <c r="J868" i="4"/>
  <c r="J872" i="4"/>
  <c r="G868" i="4"/>
  <c r="G872" i="4"/>
  <c r="F868" i="4"/>
  <c r="F872" i="4"/>
  <c r="U324" i="1"/>
  <c r="V324" i="1"/>
  <c r="W324" i="1"/>
  <c r="X324" i="1"/>
  <c r="E868" i="4"/>
  <c r="O868" i="4" s="1"/>
  <c r="P868" i="4" s="1"/>
  <c r="Q868" i="4" s="1"/>
  <c r="R868" i="4" s="1"/>
  <c r="T325" i="1" s="1"/>
  <c r="E872" i="4"/>
  <c r="M868" i="3"/>
  <c r="M872" i="3"/>
  <c r="J868" i="3"/>
  <c r="J872" i="3"/>
  <c r="G868" i="3"/>
  <c r="G872" i="3"/>
  <c r="F868" i="3"/>
  <c r="F872" i="3"/>
  <c r="U126" i="1"/>
  <c r="W126" i="1"/>
  <c r="X126" i="1"/>
  <c r="V126" i="1"/>
  <c r="E868" i="3"/>
  <c r="E872" i="3"/>
  <c r="K882" i="8" l="1"/>
  <c r="K887" i="8"/>
  <c r="J882" i="8"/>
  <c r="J886" i="8"/>
  <c r="L875" i="8"/>
  <c r="L879" i="8"/>
  <c r="U653" i="1"/>
  <c r="V653" i="1"/>
  <c r="W653" i="1"/>
  <c r="X653" i="1"/>
  <c r="I875" i="8"/>
  <c r="M875" i="8" s="1"/>
  <c r="N875" i="8" s="1"/>
  <c r="O875" i="8" s="1"/>
  <c r="P875" i="8" s="1"/>
  <c r="T654" i="1" s="1"/>
  <c r="I879" i="8"/>
  <c r="M875" i="4"/>
  <c r="M879" i="4"/>
  <c r="J875" i="4"/>
  <c r="J879" i="4"/>
  <c r="G875" i="4"/>
  <c r="G879" i="4"/>
  <c r="F875" i="4"/>
  <c r="F879" i="4"/>
  <c r="U325" i="1"/>
  <c r="V325" i="1"/>
  <c r="W325" i="1"/>
  <c r="X325" i="1"/>
  <c r="E875" i="4"/>
  <c r="O875" i="4" s="1"/>
  <c r="P875" i="4" s="1"/>
  <c r="Q875" i="4" s="1"/>
  <c r="R875" i="4" s="1"/>
  <c r="T326" i="1" s="1"/>
  <c r="E879" i="4"/>
  <c r="M875" i="3"/>
  <c r="M879" i="3"/>
  <c r="J875" i="3"/>
  <c r="J879" i="3"/>
  <c r="G875" i="3"/>
  <c r="G879" i="3"/>
  <c r="F875" i="3"/>
  <c r="F879" i="3"/>
  <c r="E875" i="3"/>
  <c r="O875" i="3" s="1"/>
  <c r="P875" i="3" s="1"/>
  <c r="Q875" i="3" s="1"/>
  <c r="R875" i="3" s="1"/>
  <c r="T128" i="1" s="1"/>
  <c r="E879" i="3"/>
  <c r="O868" i="3"/>
  <c r="P868" i="3" s="1"/>
  <c r="Q868" i="3" s="1"/>
  <c r="R868" i="3" s="1"/>
  <c r="T127" i="1" s="1"/>
  <c r="K889" i="8" l="1"/>
  <c r="K894" i="8"/>
  <c r="J889" i="8"/>
  <c r="J893" i="8"/>
  <c r="L882" i="8"/>
  <c r="L886" i="8"/>
  <c r="U654" i="1"/>
  <c r="V654" i="1"/>
  <c r="W654" i="1"/>
  <c r="X654" i="1"/>
  <c r="I882" i="8"/>
  <c r="M882" i="8" s="1"/>
  <c r="N882" i="8" s="1"/>
  <c r="O882" i="8" s="1"/>
  <c r="P882" i="8" s="1"/>
  <c r="T655" i="1" s="1"/>
  <c r="I886" i="8"/>
  <c r="M882" i="4"/>
  <c r="M886" i="4"/>
  <c r="J882" i="4"/>
  <c r="J886" i="4"/>
  <c r="G882" i="4"/>
  <c r="G886" i="4"/>
  <c r="F882" i="4"/>
  <c r="F886" i="4"/>
  <c r="U326" i="1"/>
  <c r="V326" i="1"/>
  <c r="W326" i="1"/>
  <c r="X326" i="1"/>
  <c r="E882" i="4"/>
  <c r="O882" i="4" s="1"/>
  <c r="P882" i="4" s="1"/>
  <c r="Q882" i="4" s="1"/>
  <c r="R882" i="4" s="1"/>
  <c r="T327" i="1" s="1"/>
  <c r="E886" i="4"/>
  <c r="M882" i="3"/>
  <c r="M886" i="3"/>
  <c r="J882" i="3"/>
  <c r="J886" i="3"/>
  <c r="G882" i="3"/>
  <c r="G886" i="3"/>
  <c r="F882" i="3"/>
  <c r="F886" i="3"/>
  <c r="V128" i="1"/>
  <c r="X128" i="1"/>
  <c r="W128" i="1"/>
  <c r="U128" i="1"/>
  <c r="E882" i="3"/>
  <c r="O882" i="3" s="1"/>
  <c r="P882" i="3" s="1"/>
  <c r="Q882" i="3" s="1"/>
  <c r="R882" i="3" s="1"/>
  <c r="T129" i="1" s="1"/>
  <c r="E886" i="3"/>
  <c r="U127" i="1"/>
  <c r="V127" i="1"/>
  <c r="W127" i="1"/>
  <c r="X127" i="1"/>
  <c r="K896" i="8" l="1"/>
  <c r="K901" i="8"/>
  <c r="J896" i="8"/>
  <c r="J900" i="8"/>
  <c r="L889" i="8"/>
  <c r="L893" i="8"/>
  <c r="V655" i="1"/>
  <c r="W655" i="1"/>
  <c r="X655" i="1"/>
  <c r="U655" i="1"/>
  <c r="I889" i="8"/>
  <c r="I893" i="8"/>
  <c r="M889" i="4"/>
  <c r="M893" i="4"/>
  <c r="J889" i="4"/>
  <c r="J893" i="4"/>
  <c r="G889" i="4"/>
  <c r="G893" i="4"/>
  <c r="F889" i="4"/>
  <c r="F893" i="4"/>
  <c r="U327" i="1"/>
  <c r="V327" i="1"/>
  <c r="W327" i="1"/>
  <c r="X327" i="1"/>
  <c r="E889" i="4"/>
  <c r="O889" i="4" s="1"/>
  <c r="P889" i="4" s="1"/>
  <c r="Q889" i="4" s="1"/>
  <c r="R889" i="4" s="1"/>
  <c r="T328" i="1" s="1"/>
  <c r="E893" i="4"/>
  <c r="M889" i="3"/>
  <c r="M893" i="3"/>
  <c r="J889" i="3"/>
  <c r="J893" i="3"/>
  <c r="G889" i="3"/>
  <c r="G893" i="3"/>
  <c r="F889" i="3"/>
  <c r="F893" i="3"/>
  <c r="U129" i="1"/>
  <c r="X129" i="1"/>
  <c r="V129" i="1"/>
  <c r="W129" i="1"/>
  <c r="E889" i="3"/>
  <c r="O889" i="3" s="1"/>
  <c r="P889" i="3" s="1"/>
  <c r="Q889" i="3" s="1"/>
  <c r="R889" i="3" s="1"/>
  <c r="T130" i="1" s="1"/>
  <c r="E893" i="3"/>
  <c r="K903" i="8" l="1"/>
  <c r="K908" i="8"/>
  <c r="J903" i="8"/>
  <c r="J907" i="8"/>
  <c r="L896" i="8"/>
  <c r="L900" i="8"/>
  <c r="I896" i="8"/>
  <c r="M896" i="8" s="1"/>
  <c r="N896" i="8" s="1"/>
  <c r="O896" i="8" s="1"/>
  <c r="P896" i="8" s="1"/>
  <c r="T657" i="1" s="1"/>
  <c r="I900" i="8"/>
  <c r="M896" i="4"/>
  <c r="M900" i="4"/>
  <c r="J896" i="4"/>
  <c r="J900" i="4"/>
  <c r="G896" i="4"/>
  <c r="G900" i="4"/>
  <c r="F896" i="4"/>
  <c r="F900" i="4"/>
  <c r="U328" i="1"/>
  <c r="V328" i="1"/>
  <c r="W328" i="1"/>
  <c r="X328" i="1"/>
  <c r="E896" i="4"/>
  <c r="O896" i="4" s="1"/>
  <c r="P896" i="4" s="1"/>
  <c r="Q896" i="4" s="1"/>
  <c r="R896" i="4" s="1"/>
  <c r="T329" i="1" s="1"/>
  <c r="E900" i="4"/>
  <c r="M896" i="3"/>
  <c r="M900" i="3"/>
  <c r="J896" i="3"/>
  <c r="J900" i="3"/>
  <c r="G896" i="3"/>
  <c r="G900" i="3"/>
  <c r="F896" i="3"/>
  <c r="F900" i="3"/>
  <c r="W130" i="1"/>
  <c r="U130" i="1"/>
  <c r="X130" i="1"/>
  <c r="V130" i="1"/>
  <c r="E896" i="3"/>
  <c r="E900" i="3"/>
  <c r="M889" i="8"/>
  <c r="N889" i="8" s="1"/>
  <c r="O889" i="8" s="1"/>
  <c r="P889" i="8" s="1"/>
  <c r="T656" i="1" s="1"/>
  <c r="K910" i="8" l="1"/>
  <c r="K915" i="8"/>
  <c r="J910" i="8"/>
  <c r="J914" i="8"/>
  <c r="L903" i="8"/>
  <c r="L907" i="8"/>
  <c r="V657" i="1"/>
  <c r="U657" i="1"/>
  <c r="X657" i="1"/>
  <c r="W657" i="1"/>
  <c r="I903" i="8"/>
  <c r="M903" i="8" s="1"/>
  <c r="N903" i="8" s="1"/>
  <c r="O903" i="8" s="1"/>
  <c r="P903" i="8" s="1"/>
  <c r="T658" i="1" s="1"/>
  <c r="I907" i="8"/>
  <c r="M903" i="4"/>
  <c r="M907" i="4"/>
  <c r="J903" i="4"/>
  <c r="J907" i="4"/>
  <c r="G903" i="4"/>
  <c r="G907" i="4"/>
  <c r="F903" i="4"/>
  <c r="F907" i="4"/>
  <c r="U329" i="1"/>
  <c r="V329" i="1"/>
  <c r="W329" i="1"/>
  <c r="X329" i="1"/>
  <c r="E903" i="4"/>
  <c r="O903" i="4" s="1"/>
  <c r="P903" i="4" s="1"/>
  <c r="Q903" i="4" s="1"/>
  <c r="R903" i="4" s="1"/>
  <c r="T330" i="1" s="1"/>
  <c r="E907" i="4"/>
  <c r="M903" i="3"/>
  <c r="M907" i="3"/>
  <c r="J903" i="3"/>
  <c r="J907" i="3"/>
  <c r="G903" i="3"/>
  <c r="G907" i="3"/>
  <c r="F903" i="3"/>
  <c r="F907" i="3"/>
  <c r="E903" i="3"/>
  <c r="O903" i="3" s="1"/>
  <c r="P903" i="3" s="1"/>
  <c r="Q903" i="3" s="1"/>
  <c r="R903" i="3" s="1"/>
  <c r="T132" i="1" s="1"/>
  <c r="E907" i="3"/>
  <c r="X656" i="1"/>
  <c r="V656" i="1"/>
  <c r="U656" i="1"/>
  <c r="W656" i="1"/>
  <c r="O896" i="3"/>
  <c r="P896" i="3" s="1"/>
  <c r="Q896" i="3" s="1"/>
  <c r="R896" i="3" s="1"/>
  <c r="T131" i="1" s="1"/>
  <c r="K917" i="8" l="1"/>
  <c r="K922" i="8"/>
  <c r="J917" i="8"/>
  <c r="J921" i="8"/>
  <c r="L910" i="8"/>
  <c r="L914" i="8"/>
  <c r="X658" i="1"/>
  <c r="W658" i="1"/>
  <c r="V658" i="1"/>
  <c r="U658" i="1"/>
  <c r="I910" i="8"/>
  <c r="M910" i="8" s="1"/>
  <c r="N910" i="8" s="1"/>
  <c r="O910" i="8" s="1"/>
  <c r="P910" i="8" s="1"/>
  <c r="T659" i="1" s="1"/>
  <c r="I914" i="8"/>
  <c r="M910" i="4"/>
  <c r="M914" i="4"/>
  <c r="J910" i="4"/>
  <c r="J914" i="4"/>
  <c r="G910" i="4"/>
  <c r="G914" i="4"/>
  <c r="F910" i="4"/>
  <c r="F914" i="4"/>
  <c r="U330" i="1"/>
  <c r="V330" i="1"/>
  <c r="W330" i="1"/>
  <c r="X330" i="1"/>
  <c r="E910" i="4"/>
  <c r="O910" i="4" s="1"/>
  <c r="P910" i="4" s="1"/>
  <c r="Q910" i="4" s="1"/>
  <c r="R910" i="4" s="1"/>
  <c r="T331" i="1" s="1"/>
  <c r="E914" i="4"/>
  <c r="M910" i="3"/>
  <c r="M914" i="3"/>
  <c r="J910" i="3"/>
  <c r="J914" i="3"/>
  <c r="G910" i="3"/>
  <c r="G914" i="3"/>
  <c r="F910" i="3"/>
  <c r="F914" i="3"/>
  <c r="U132" i="1"/>
  <c r="V132" i="1"/>
  <c r="X132" i="1"/>
  <c r="W132" i="1"/>
  <c r="E910" i="3"/>
  <c r="E914" i="3"/>
  <c r="V131" i="1"/>
  <c r="X131" i="1"/>
  <c r="W131" i="1"/>
  <c r="U131" i="1"/>
  <c r="K924" i="8" l="1"/>
  <c r="K929" i="8"/>
  <c r="J924" i="8"/>
  <c r="J928" i="8"/>
  <c r="L917" i="8"/>
  <c r="L921" i="8"/>
  <c r="X659" i="1"/>
  <c r="W659" i="1"/>
  <c r="V659" i="1"/>
  <c r="U659" i="1"/>
  <c r="I917" i="8"/>
  <c r="M917" i="8" s="1"/>
  <c r="N917" i="8" s="1"/>
  <c r="O917" i="8" s="1"/>
  <c r="P917" i="8" s="1"/>
  <c r="T660" i="1" s="1"/>
  <c r="I921" i="8"/>
  <c r="M917" i="4"/>
  <c r="M921" i="4"/>
  <c r="J917" i="4"/>
  <c r="J921" i="4"/>
  <c r="G917" i="4"/>
  <c r="G921" i="4"/>
  <c r="F917" i="4"/>
  <c r="F921" i="4"/>
  <c r="U331" i="1"/>
  <c r="V331" i="1"/>
  <c r="W331" i="1"/>
  <c r="X331" i="1"/>
  <c r="E917" i="4"/>
  <c r="E921" i="4"/>
  <c r="M917" i="3"/>
  <c r="M921" i="3"/>
  <c r="J917" i="3"/>
  <c r="J921" i="3"/>
  <c r="G917" i="3"/>
  <c r="G921" i="3"/>
  <c r="F917" i="3"/>
  <c r="F921" i="3"/>
  <c r="E917" i="3"/>
  <c r="O917" i="3" s="1"/>
  <c r="P917" i="3" s="1"/>
  <c r="Q917" i="3" s="1"/>
  <c r="R917" i="3" s="1"/>
  <c r="T134" i="1" s="1"/>
  <c r="E921" i="3"/>
  <c r="O910" i="3"/>
  <c r="P910" i="3" s="1"/>
  <c r="Q910" i="3" s="1"/>
  <c r="R910" i="3" s="1"/>
  <c r="T133" i="1" s="1"/>
  <c r="K931" i="8" l="1"/>
  <c r="K936" i="8"/>
  <c r="J931" i="8"/>
  <c r="J935" i="8"/>
  <c r="L924" i="8"/>
  <c r="L928" i="8"/>
  <c r="X660" i="1"/>
  <c r="W660" i="1"/>
  <c r="V660" i="1"/>
  <c r="U660" i="1"/>
  <c r="I924" i="8"/>
  <c r="M924" i="8" s="1"/>
  <c r="N924" i="8" s="1"/>
  <c r="O924" i="8" s="1"/>
  <c r="P924" i="8" s="1"/>
  <c r="T661" i="1" s="1"/>
  <c r="I928" i="8"/>
  <c r="M924" i="4"/>
  <c r="M928" i="4"/>
  <c r="J924" i="4"/>
  <c r="J928" i="4"/>
  <c r="G924" i="4"/>
  <c r="G928" i="4"/>
  <c r="F924" i="4"/>
  <c r="F928" i="4"/>
  <c r="E924" i="4"/>
  <c r="O924" i="4" s="1"/>
  <c r="P924" i="4" s="1"/>
  <c r="Q924" i="4" s="1"/>
  <c r="R924" i="4" s="1"/>
  <c r="T333" i="1" s="1"/>
  <c r="E928" i="4"/>
  <c r="M924" i="3"/>
  <c r="M928" i="3"/>
  <c r="J924" i="3"/>
  <c r="J928" i="3"/>
  <c r="G924" i="3"/>
  <c r="G928" i="3"/>
  <c r="F924" i="3"/>
  <c r="F928" i="3"/>
  <c r="V134" i="1"/>
  <c r="X134" i="1"/>
  <c r="W134" i="1"/>
  <c r="U134" i="1"/>
  <c r="E924" i="3"/>
  <c r="E928" i="3"/>
  <c r="X133" i="1"/>
  <c r="W133" i="1"/>
  <c r="V133" i="1"/>
  <c r="U133" i="1"/>
  <c r="O917" i="4"/>
  <c r="P917" i="4" s="1"/>
  <c r="Q917" i="4" s="1"/>
  <c r="R917" i="4" s="1"/>
  <c r="T332" i="1" s="1"/>
  <c r="K938" i="8" l="1"/>
  <c r="K943" i="8"/>
  <c r="J938" i="8"/>
  <c r="J942" i="8"/>
  <c r="L931" i="8"/>
  <c r="L935" i="8"/>
  <c r="X661" i="1"/>
  <c r="W661" i="1"/>
  <c r="V661" i="1"/>
  <c r="U661" i="1"/>
  <c r="I931" i="8"/>
  <c r="M931" i="8" s="1"/>
  <c r="N931" i="8" s="1"/>
  <c r="O931" i="8" s="1"/>
  <c r="P931" i="8" s="1"/>
  <c r="T662" i="1" s="1"/>
  <c r="I935" i="8"/>
  <c r="M931" i="4"/>
  <c r="M935" i="4"/>
  <c r="J931" i="4"/>
  <c r="J935" i="4"/>
  <c r="G931" i="4"/>
  <c r="G935" i="4"/>
  <c r="F931" i="4"/>
  <c r="F935" i="4"/>
  <c r="U333" i="1"/>
  <c r="V333" i="1"/>
  <c r="W333" i="1"/>
  <c r="X333" i="1"/>
  <c r="E931" i="4"/>
  <c r="O931" i="4" s="1"/>
  <c r="P931" i="4" s="1"/>
  <c r="Q931" i="4" s="1"/>
  <c r="R931" i="4" s="1"/>
  <c r="T334" i="1" s="1"/>
  <c r="E935" i="4"/>
  <c r="M931" i="3"/>
  <c r="M935" i="3"/>
  <c r="J931" i="3"/>
  <c r="J935" i="3"/>
  <c r="G931" i="3"/>
  <c r="G935" i="3"/>
  <c r="F931" i="3"/>
  <c r="F935" i="3"/>
  <c r="E931" i="3"/>
  <c r="O931" i="3" s="1"/>
  <c r="P931" i="3" s="1"/>
  <c r="Q931" i="3" s="1"/>
  <c r="R931" i="3" s="1"/>
  <c r="T136" i="1" s="1"/>
  <c r="E935" i="3"/>
  <c r="X332" i="1"/>
  <c r="W332" i="1"/>
  <c r="V332" i="1"/>
  <c r="U332" i="1"/>
  <c r="O924" i="3"/>
  <c r="P924" i="3" s="1"/>
  <c r="Q924" i="3" s="1"/>
  <c r="R924" i="3" s="1"/>
  <c r="T135" i="1" s="1"/>
  <c r="K945" i="8" l="1"/>
  <c r="K950" i="8"/>
  <c r="J945" i="8"/>
  <c r="J949" i="8"/>
  <c r="L938" i="8"/>
  <c r="L942" i="8"/>
  <c r="X662" i="1"/>
  <c r="U662" i="1"/>
  <c r="W662" i="1"/>
  <c r="V662" i="1"/>
  <c r="I938" i="8"/>
  <c r="M938" i="8" s="1"/>
  <c r="N938" i="8" s="1"/>
  <c r="O938" i="8" s="1"/>
  <c r="P938" i="8" s="1"/>
  <c r="T663" i="1" s="1"/>
  <c r="I942" i="8"/>
  <c r="M938" i="4"/>
  <c r="M942" i="4"/>
  <c r="J938" i="4"/>
  <c r="J942" i="4"/>
  <c r="G938" i="4"/>
  <c r="G942" i="4"/>
  <c r="F938" i="4"/>
  <c r="F942" i="4"/>
  <c r="U334" i="1"/>
  <c r="V334" i="1"/>
  <c r="W334" i="1"/>
  <c r="X334" i="1"/>
  <c r="E938" i="4"/>
  <c r="E942" i="4"/>
  <c r="M938" i="3"/>
  <c r="M942" i="3"/>
  <c r="J938" i="3"/>
  <c r="J942" i="3"/>
  <c r="G938" i="3"/>
  <c r="G942" i="3"/>
  <c r="F938" i="3"/>
  <c r="F942" i="3"/>
  <c r="V136" i="1"/>
  <c r="W136" i="1"/>
  <c r="X136" i="1"/>
  <c r="U136" i="1"/>
  <c r="E938" i="3"/>
  <c r="O938" i="3" s="1"/>
  <c r="P938" i="3" s="1"/>
  <c r="Q938" i="3" s="1"/>
  <c r="R938" i="3" s="1"/>
  <c r="T137" i="1" s="1"/>
  <c r="E942" i="3"/>
  <c r="V135" i="1"/>
  <c r="U135" i="1"/>
  <c r="X135" i="1"/>
  <c r="W135" i="1"/>
  <c r="K952" i="8" l="1"/>
  <c r="K957" i="8"/>
  <c r="J952" i="8"/>
  <c r="J956" i="8"/>
  <c r="L945" i="8"/>
  <c r="L949" i="8"/>
  <c r="U663" i="1"/>
  <c r="V663" i="1"/>
  <c r="W663" i="1"/>
  <c r="X663" i="1"/>
  <c r="I945" i="8"/>
  <c r="M945" i="8" s="1"/>
  <c r="N945" i="8" s="1"/>
  <c r="O945" i="8" s="1"/>
  <c r="P945" i="8" s="1"/>
  <c r="T664" i="1" s="1"/>
  <c r="I949" i="8"/>
  <c r="M945" i="4"/>
  <c r="M949" i="4"/>
  <c r="J945" i="4"/>
  <c r="J949" i="4"/>
  <c r="G945" i="4"/>
  <c r="G949" i="4"/>
  <c r="F945" i="4"/>
  <c r="F949" i="4"/>
  <c r="E945" i="4"/>
  <c r="O945" i="4" s="1"/>
  <c r="P945" i="4" s="1"/>
  <c r="Q945" i="4" s="1"/>
  <c r="R945" i="4" s="1"/>
  <c r="T336" i="1" s="1"/>
  <c r="E949" i="4"/>
  <c r="M945" i="3"/>
  <c r="M949" i="3"/>
  <c r="J945" i="3"/>
  <c r="J949" i="3"/>
  <c r="G945" i="3"/>
  <c r="G949" i="3"/>
  <c r="F945" i="3"/>
  <c r="F949" i="3"/>
  <c r="U137" i="1"/>
  <c r="X137" i="1"/>
  <c r="W137" i="1"/>
  <c r="V137" i="1"/>
  <c r="E945" i="3"/>
  <c r="O945" i="3" s="1"/>
  <c r="P945" i="3" s="1"/>
  <c r="Q945" i="3" s="1"/>
  <c r="R945" i="3" s="1"/>
  <c r="T138" i="1" s="1"/>
  <c r="E949" i="3"/>
  <c r="O938" i="4"/>
  <c r="P938" i="4" s="1"/>
  <c r="Q938" i="4" s="1"/>
  <c r="R938" i="4" s="1"/>
  <c r="T335" i="1" s="1"/>
  <c r="K959" i="8" l="1"/>
  <c r="K964" i="8"/>
  <c r="J959" i="8"/>
  <c r="J963" i="8"/>
  <c r="L952" i="8"/>
  <c r="L956" i="8"/>
  <c r="X664" i="1"/>
  <c r="W664" i="1"/>
  <c r="V664" i="1"/>
  <c r="U664" i="1"/>
  <c r="I952" i="8"/>
  <c r="M952" i="8" s="1"/>
  <c r="N952" i="8" s="1"/>
  <c r="O952" i="8" s="1"/>
  <c r="P952" i="8" s="1"/>
  <c r="T665" i="1" s="1"/>
  <c r="I956" i="8"/>
  <c r="M952" i="4"/>
  <c r="M956" i="4"/>
  <c r="J952" i="4"/>
  <c r="J956" i="4"/>
  <c r="G952" i="4"/>
  <c r="G956" i="4"/>
  <c r="F952" i="4"/>
  <c r="F956" i="4"/>
  <c r="U336" i="1"/>
  <c r="V336" i="1"/>
  <c r="W336" i="1"/>
  <c r="X336" i="1"/>
  <c r="E952" i="4"/>
  <c r="O952" i="4" s="1"/>
  <c r="P952" i="4" s="1"/>
  <c r="Q952" i="4" s="1"/>
  <c r="R952" i="4" s="1"/>
  <c r="T337" i="1" s="1"/>
  <c r="E956" i="4"/>
  <c r="M952" i="3"/>
  <c r="M956" i="3"/>
  <c r="J952" i="3"/>
  <c r="J956" i="3"/>
  <c r="G952" i="3"/>
  <c r="G956" i="3"/>
  <c r="F952" i="3"/>
  <c r="F956" i="3"/>
  <c r="X138" i="1"/>
  <c r="U138" i="1"/>
  <c r="V138" i="1"/>
  <c r="W138" i="1"/>
  <c r="E952" i="3"/>
  <c r="O952" i="3" s="1"/>
  <c r="P952" i="3" s="1"/>
  <c r="Q952" i="3" s="1"/>
  <c r="R952" i="3" s="1"/>
  <c r="T139" i="1" s="1"/>
  <c r="E956" i="3"/>
  <c r="X335" i="1"/>
  <c r="W335" i="1"/>
  <c r="V335" i="1"/>
  <c r="U335" i="1"/>
  <c r="K966" i="8" l="1"/>
  <c r="K971" i="8"/>
  <c r="J966" i="8"/>
  <c r="J970" i="8"/>
  <c r="L959" i="8"/>
  <c r="L963" i="8"/>
  <c r="X665" i="1"/>
  <c r="V665" i="1"/>
  <c r="W665" i="1"/>
  <c r="U665" i="1"/>
  <c r="I959" i="8"/>
  <c r="M959" i="8" s="1"/>
  <c r="N959" i="8" s="1"/>
  <c r="O959" i="8" s="1"/>
  <c r="P959" i="8" s="1"/>
  <c r="T666" i="1" s="1"/>
  <c r="I963" i="8"/>
  <c r="M959" i="4"/>
  <c r="M963" i="4"/>
  <c r="J959" i="4"/>
  <c r="J963" i="4"/>
  <c r="G959" i="4"/>
  <c r="G963" i="4"/>
  <c r="F959" i="4"/>
  <c r="F963" i="4"/>
  <c r="U337" i="1"/>
  <c r="V337" i="1"/>
  <c r="W337" i="1"/>
  <c r="X337" i="1"/>
  <c r="E959" i="4"/>
  <c r="O959" i="4" s="1"/>
  <c r="P959" i="4" s="1"/>
  <c r="Q959" i="4" s="1"/>
  <c r="R959" i="4" s="1"/>
  <c r="T338" i="1" s="1"/>
  <c r="E963" i="4"/>
  <c r="M959" i="3"/>
  <c r="M963" i="3"/>
  <c r="J959" i="3"/>
  <c r="J963" i="3"/>
  <c r="G959" i="3"/>
  <c r="G963" i="3"/>
  <c r="F959" i="3"/>
  <c r="F963" i="3"/>
  <c r="W139" i="1"/>
  <c r="V139" i="1"/>
  <c r="X139" i="1"/>
  <c r="U139" i="1"/>
  <c r="E959" i="3"/>
  <c r="O959" i="3" s="1"/>
  <c r="P959" i="3" s="1"/>
  <c r="Q959" i="3" s="1"/>
  <c r="R959" i="3" s="1"/>
  <c r="T140" i="1" s="1"/>
  <c r="E963" i="3"/>
  <c r="K973" i="8" l="1"/>
  <c r="K978" i="8"/>
  <c r="J973" i="8"/>
  <c r="J977" i="8"/>
  <c r="L966" i="8"/>
  <c r="L970" i="8"/>
  <c r="X666" i="1"/>
  <c r="W666" i="1"/>
  <c r="V666" i="1"/>
  <c r="U666" i="1"/>
  <c r="I966" i="8"/>
  <c r="I970" i="8"/>
  <c r="M966" i="4"/>
  <c r="M970" i="4"/>
  <c r="J966" i="4"/>
  <c r="J970" i="4"/>
  <c r="G966" i="4"/>
  <c r="G970" i="4"/>
  <c r="F966" i="4"/>
  <c r="F970" i="4"/>
  <c r="U338" i="1"/>
  <c r="V338" i="1"/>
  <c r="W338" i="1"/>
  <c r="X338" i="1"/>
  <c r="E966" i="4"/>
  <c r="O966" i="4" s="1"/>
  <c r="P966" i="4" s="1"/>
  <c r="Q966" i="4" s="1"/>
  <c r="R966" i="4" s="1"/>
  <c r="T339" i="1" s="1"/>
  <c r="E970" i="4"/>
  <c r="M966" i="3"/>
  <c r="M970" i="3"/>
  <c r="J966" i="3"/>
  <c r="J970" i="3"/>
  <c r="G966" i="3"/>
  <c r="G970" i="3"/>
  <c r="F966" i="3"/>
  <c r="F970" i="3"/>
  <c r="V140" i="1"/>
  <c r="W140" i="1"/>
  <c r="U140" i="1"/>
  <c r="X140" i="1"/>
  <c r="E966" i="3"/>
  <c r="E970" i="3"/>
  <c r="K980" i="8" l="1"/>
  <c r="K985" i="8"/>
  <c r="J980" i="8"/>
  <c r="J984" i="8"/>
  <c r="L973" i="8"/>
  <c r="L977" i="8"/>
  <c r="I973" i="8"/>
  <c r="I977" i="8"/>
  <c r="M973" i="4"/>
  <c r="M977" i="4"/>
  <c r="J973" i="4"/>
  <c r="J977" i="4"/>
  <c r="G973" i="4"/>
  <c r="G977" i="4"/>
  <c r="F973" i="4"/>
  <c r="F977" i="4"/>
  <c r="U339" i="1"/>
  <c r="V339" i="1"/>
  <c r="W339" i="1"/>
  <c r="X339" i="1"/>
  <c r="E973" i="4"/>
  <c r="O973" i="4" s="1"/>
  <c r="P973" i="4" s="1"/>
  <c r="Q973" i="4" s="1"/>
  <c r="R973" i="4" s="1"/>
  <c r="T340" i="1" s="1"/>
  <c r="E977" i="4"/>
  <c r="M973" i="3"/>
  <c r="M977" i="3"/>
  <c r="J973" i="3"/>
  <c r="J977" i="3"/>
  <c r="G973" i="3"/>
  <c r="G977" i="3"/>
  <c r="F973" i="3"/>
  <c r="F977" i="3"/>
  <c r="E973" i="3"/>
  <c r="O973" i="3" s="1"/>
  <c r="P973" i="3" s="1"/>
  <c r="Q973" i="3" s="1"/>
  <c r="R973" i="3" s="1"/>
  <c r="T142" i="1" s="1"/>
  <c r="E977" i="3"/>
  <c r="M966" i="8"/>
  <c r="N966" i="8" s="1"/>
  <c r="O966" i="8" s="1"/>
  <c r="P966" i="8" s="1"/>
  <c r="T667" i="1" s="1"/>
  <c r="O966" i="3"/>
  <c r="P966" i="3" s="1"/>
  <c r="Q966" i="3" s="1"/>
  <c r="R966" i="3" s="1"/>
  <c r="T141" i="1" s="1"/>
  <c r="K987" i="8" l="1"/>
  <c r="K992" i="8"/>
  <c r="J987" i="8"/>
  <c r="J991" i="8"/>
  <c r="L980" i="8"/>
  <c r="L984" i="8"/>
  <c r="I980" i="8"/>
  <c r="M980" i="8" s="1"/>
  <c r="N980" i="8" s="1"/>
  <c r="O980" i="8" s="1"/>
  <c r="P980" i="8" s="1"/>
  <c r="T669" i="1" s="1"/>
  <c r="I984" i="8"/>
  <c r="M980" i="4"/>
  <c r="M984" i="4"/>
  <c r="J980" i="4"/>
  <c r="J984" i="4"/>
  <c r="G980" i="4"/>
  <c r="G984" i="4"/>
  <c r="F980" i="4"/>
  <c r="F984" i="4"/>
  <c r="U340" i="1"/>
  <c r="V340" i="1"/>
  <c r="W340" i="1"/>
  <c r="X340" i="1"/>
  <c r="E980" i="4"/>
  <c r="O980" i="4" s="1"/>
  <c r="P980" i="4" s="1"/>
  <c r="Q980" i="4" s="1"/>
  <c r="R980" i="4" s="1"/>
  <c r="T341" i="1" s="1"/>
  <c r="E984" i="4"/>
  <c r="M980" i="3"/>
  <c r="M984" i="3"/>
  <c r="J980" i="3"/>
  <c r="J984" i="3"/>
  <c r="G980" i="3"/>
  <c r="G984" i="3"/>
  <c r="F980" i="3"/>
  <c r="F984" i="3"/>
  <c r="U142" i="1"/>
  <c r="V142" i="1"/>
  <c r="W142" i="1"/>
  <c r="X142" i="1"/>
  <c r="E980" i="3"/>
  <c r="O980" i="3" s="1"/>
  <c r="P980" i="3" s="1"/>
  <c r="Q980" i="3" s="1"/>
  <c r="R980" i="3" s="1"/>
  <c r="T143" i="1" s="1"/>
  <c r="E984" i="3"/>
  <c r="U667" i="1"/>
  <c r="V667" i="1"/>
  <c r="W667" i="1"/>
  <c r="X667" i="1"/>
  <c r="W141" i="1"/>
  <c r="V141" i="1"/>
  <c r="X141" i="1"/>
  <c r="U141" i="1"/>
  <c r="M973" i="8"/>
  <c r="N973" i="8" s="1"/>
  <c r="O973" i="8" s="1"/>
  <c r="P973" i="8" s="1"/>
  <c r="T668" i="1" s="1"/>
  <c r="K994" i="8" l="1"/>
  <c r="K999" i="8"/>
  <c r="J994" i="8"/>
  <c r="J998" i="8"/>
  <c r="L987" i="8"/>
  <c r="L991" i="8"/>
  <c r="W669" i="1"/>
  <c r="V669" i="1"/>
  <c r="X669" i="1"/>
  <c r="U669" i="1"/>
  <c r="I987" i="8"/>
  <c r="M987" i="8" s="1"/>
  <c r="N987" i="8" s="1"/>
  <c r="O987" i="8" s="1"/>
  <c r="P987" i="8" s="1"/>
  <c r="T670" i="1" s="1"/>
  <c r="I991" i="8"/>
  <c r="M987" i="4"/>
  <c r="M991" i="4"/>
  <c r="J987" i="4"/>
  <c r="J991" i="4"/>
  <c r="G987" i="4"/>
  <c r="G991" i="4"/>
  <c r="F987" i="4"/>
  <c r="F991" i="4"/>
  <c r="U341" i="1"/>
  <c r="V341" i="1"/>
  <c r="W341" i="1"/>
  <c r="X341" i="1"/>
  <c r="E987" i="4"/>
  <c r="O987" i="4" s="1"/>
  <c r="P987" i="4" s="1"/>
  <c r="Q987" i="4" s="1"/>
  <c r="R987" i="4" s="1"/>
  <c r="T342" i="1" s="1"/>
  <c r="E991" i="4"/>
  <c r="M987" i="3"/>
  <c r="M991" i="3"/>
  <c r="J987" i="3"/>
  <c r="J991" i="3"/>
  <c r="G987" i="3"/>
  <c r="G991" i="3"/>
  <c r="F987" i="3"/>
  <c r="F991" i="3"/>
  <c r="W143" i="1"/>
  <c r="U143" i="1"/>
  <c r="V143" i="1"/>
  <c r="X143" i="1"/>
  <c r="E987" i="3"/>
  <c r="O987" i="3" s="1"/>
  <c r="P987" i="3" s="1"/>
  <c r="Q987" i="3" s="1"/>
  <c r="R987" i="3" s="1"/>
  <c r="T144" i="1" s="1"/>
  <c r="E991" i="3"/>
  <c r="U668" i="1"/>
  <c r="V668" i="1"/>
  <c r="W668" i="1"/>
  <c r="X668" i="1"/>
  <c r="K1001" i="8" l="1"/>
  <c r="K1006" i="8"/>
  <c r="J1001" i="8"/>
  <c r="J1005" i="8"/>
  <c r="L994" i="8"/>
  <c r="L998" i="8"/>
  <c r="W670" i="1"/>
  <c r="V670" i="1"/>
  <c r="U670" i="1"/>
  <c r="X670" i="1"/>
  <c r="I994" i="8"/>
  <c r="M994" i="8" s="1"/>
  <c r="N994" i="8" s="1"/>
  <c r="O994" i="8" s="1"/>
  <c r="P994" i="8" s="1"/>
  <c r="T671" i="1" s="1"/>
  <c r="I998" i="8"/>
  <c r="M994" i="4"/>
  <c r="M998" i="4"/>
  <c r="J994" i="4"/>
  <c r="J998" i="4"/>
  <c r="G994" i="4"/>
  <c r="G998" i="4"/>
  <c r="F994" i="4"/>
  <c r="F998" i="4"/>
  <c r="U342" i="1"/>
  <c r="V342" i="1"/>
  <c r="W342" i="1"/>
  <c r="X342" i="1"/>
  <c r="E994" i="4"/>
  <c r="O994" i="4" s="1"/>
  <c r="P994" i="4" s="1"/>
  <c r="Q994" i="4" s="1"/>
  <c r="R994" i="4" s="1"/>
  <c r="T343" i="1" s="1"/>
  <c r="E998" i="4"/>
  <c r="M994" i="3"/>
  <c r="M998" i="3"/>
  <c r="J994" i="3"/>
  <c r="J998" i="3"/>
  <c r="G994" i="3"/>
  <c r="G998" i="3"/>
  <c r="F994" i="3"/>
  <c r="F998" i="3"/>
  <c r="V144" i="1"/>
  <c r="W144" i="1"/>
  <c r="U144" i="1"/>
  <c r="X144" i="1"/>
  <c r="E994" i="3"/>
  <c r="E998" i="3"/>
  <c r="K1008" i="8" l="1"/>
  <c r="K1013" i="8"/>
  <c r="J1008" i="8"/>
  <c r="J1012" i="8"/>
  <c r="L1001" i="8"/>
  <c r="L1005" i="8"/>
  <c r="X671" i="1"/>
  <c r="W671" i="1"/>
  <c r="V671" i="1"/>
  <c r="U671" i="1"/>
  <c r="I1001" i="8"/>
  <c r="M1001" i="8" s="1"/>
  <c r="N1001" i="8" s="1"/>
  <c r="O1001" i="8" s="1"/>
  <c r="P1001" i="8" s="1"/>
  <c r="T672" i="1" s="1"/>
  <c r="I1005" i="8"/>
  <c r="M1001" i="4"/>
  <c r="M1005" i="4"/>
  <c r="J1001" i="4"/>
  <c r="J1005" i="4"/>
  <c r="G1001" i="4"/>
  <c r="G1005" i="4"/>
  <c r="F1001" i="4"/>
  <c r="F1005" i="4"/>
  <c r="U343" i="1"/>
  <c r="V343" i="1"/>
  <c r="W343" i="1"/>
  <c r="X343" i="1"/>
  <c r="E1001" i="4"/>
  <c r="O1001" i="4" s="1"/>
  <c r="P1001" i="4" s="1"/>
  <c r="Q1001" i="4" s="1"/>
  <c r="R1001" i="4" s="1"/>
  <c r="T344" i="1" s="1"/>
  <c r="E1005" i="4"/>
  <c r="M1001" i="3"/>
  <c r="M1005" i="3"/>
  <c r="J1001" i="3"/>
  <c r="J1005" i="3"/>
  <c r="G1001" i="3"/>
  <c r="G1005" i="3"/>
  <c r="F1001" i="3"/>
  <c r="F1005" i="3"/>
  <c r="E1001" i="3"/>
  <c r="E1005" i="3"/>
  <c r="O994" i="3"/>
  <c r="P994" i="3" s="1"/>
  <c r="Q994" i="3" s="1"/>
  <c r="R994" i="3" s="1"/>
  <c r="T145" i="1" s="1"/>
  <c r="K1015" i="8" l="1"/>
  <c r="K1020" i="8"/>
  <c r="J1015" i="8"/>
  <c r="J1019" i="8"/>
  <c r="L1008" i="8"/>
  <c r="L1012" i="8"/>
  <c r="X672" i="1"/>
  <c r="W672" i="1"/>
  <c r="V672" i="1"/>
  <c r="U672" i="1"/>
  <c r="I1008" i="8"/>
  <c r="M1008" i="8" s="1"/>
  <c r="N1008" i="8" s="1"/>
  <c r="O1008" i="8" s="1"/>
  <c r="P1008" i="8" s="1"/>
  <c r="T673" i="1" s="1"/>
  <c r="I1012" i="8"/>
  <c r="M1008" i="4"/>
  <c r="M1012" i="4"/>
  <c r="J1008" i="4"/>
  <c r="J1012" i="4"/>
  <c r="G1008" i="4"/>
  <c r="G1012" i="4"/>
  <c r="F1008" i="4"/>
  <c r="F1012" i="4"/>
  <c r="U344" i="1"/>
  <c r="V344" i="1"/>
  <c r="W344" i="1"/>
  <c r="X344" i="1"/>
  <c r="E1008" i="4"/>
  <c r="O1008" i="4" s="1"/>
  <c r="P1008" i="4" s="1"/>
  <c r="Q1008" i="4" s="1"/>
  <c r="R1008" i="4" s="1"/>
  <c r="T345" i="1" s="1"/>
  <c r="E1012" i="4"/>
  <c r="M1008" i="3"/>
  <c r="M1012" i="3"/>
  <c r="J1008" i="3"/>
  <c r="J1012" i="3"/>
  <c r="G1008" i="3"/>
  <c r="G1012" i="3"/>
  <c r="F1008" i="3"/>
  <c r="F1012" i="3"/>
  <c r="E1008" i="3"/>
  <c r="O1008" i="3" s="1"/>
  <c r="P1008" i="3" s="1"/>
  <c r="Q1008" i="3" s="1"/>
  <c r="R1008" i="3" s="1"/>
  <c r="T147" i="1" s="1"/>
  <c r="E1012" i="3"/>
  <c r="U145" i="1"/>
  <c r="W145" i="1"/>
  <c r="X145" i="1"/>
  <c r="V145" i="1"/>
  <c r="O1001" i="3"/>
  <c r="P1001" i="3" s="1"/>
  <c r="Q1001" i="3" s="1"/>
  <c r="R1001" i="3" s="1"/>
  <c r="T146" i="1" s="1"/>
  <c r="K1022" i="8" l="1"/>
  <c r="K1027" i="8"/>
  <c r="J1022" i="8"/>
  <c r="J1026" i="8"/>
  <c r="L1015" i="8"/>
  <c r="L1019" i="8"/>
  <c r="X673" i="1"/>
  <c r="W673" i="1"/>
  <c r="V673" i="1"/>
  <c r="U673" i="1"/>
  <c r="I1015" i="8"/>
  <c r="I1019" i="8"/>
  <c r="M1015" i="4"/>
  <c r="M1019" i="4"/>
  <c r="J1015" i="4"/>
  <c r="J1019" i="4"/>
  <c r="G1015" i="4"/>
  <c r="G1019" i="4"/>
  <c r="F1015" i="4"/>
  <c r="F1019" i="4"/>
  <c r="U345" i="1"/>
  <c r="V345" i="1"/>
  <c r="W345" i="1"/>
  <c r="X345" i="1"/>
  <c r="E1015" i="4"/>
  <c r="O1015" i="4" s="1"/>
  <c r="P1015" i="4" s="1"/>
  <c r="Q1015" i="4" s="1"/>
  <c r="R1015" i="4" s="1"/>
  <c r="T346" i="1" s="1"/>
  <c r="E1019" i="4"/>
  <c r="M1015" i="3"/>
  <c r="M1019" i="3"/>
  <c r="J1015" i="3"/>
  <c r="J1019" i="3"/>
  <c r="G1015" i="3"/>
  <c r="G1019" i="3"/>
  <c r="F1015" i="3"/>
  <c r="F1019" i="3"/>
  <c r="V147" i="1"/>
  <c r="U147" i="1"/>
  <c r="W147" i="1"/>
  <c r="X147" i="1"/>
  <c r="E1015" i="3"/>
  <c r="O1015" i="3" s="1"/>
  <c r="P1015" i="3" s="1"/>
  <c r="Q1015" i="3" s="1"/>
  <c r="R1015" i="3" s="1"/>
  <c r="T148" i="1" s="1"/>
  <c r="E1019" i="3"/>
  <c r="X146" i="1"/>
  <c r="W146" i="1"/>
  <c r="U146" i="1"/>
  <c r="V146" i="1"/>
  <c r="K1029" i="8" l="1"/>
  <c r="K1034" i="8"/>
  <c r="J1029" i="8"/>
  <c r="J1033" i="8"/>
  <c r="L1022" i="8"/>
  <c r="L1026" i="8"/>
  <c r="I1022" i="8"/>
  <c r="M1022" i="8" s="1"/>
  <c r="N1022" i="8" s="1"/>
  <c r="O1022" i="8" s="1"/>
  <c r="P1022" i="8" s="1"/>
  <c r="T675" i="1" s="1"/>
  <c r="I1026" i="8"/>
  <c r="M1022" i="4"/>
  <c r="M1026" i="4"/>
  <c r="J1022" i="4"/>
  <c r="J1026" i="4"/>
  <c r="G1022" i="4"/>
  <c r="G1026" i="4"/>
  <c r="F1022" i="4"/>
  <c r="F1026" i="4"/>
  <c r="U346" i="1"/>
  <c r="V346" i="1"/>
  <c r="W346" i="1"/>
  <c r="X346" i="1"/>
  <c r="E1022" i="4"/>
  <c r="O1022" i="4" s="1"/>
  <c r="P1022" i="4" s="1"/>
  <c r="Q1022" i="4" s="1"/>
  <c r="R1022" i="4" s="1"/>
  <c r="T347" i="1" s="1"/>
  <c r="E1026" i="4"/>
  <c r="M1022" i="3"/>
  <c r="M1026" i="3"/>
  <c r="J1022" i="3"/>
  <c r="J1026" i="3"/>
  <c r="G1022" i="3"/>
  <c r="G1026" i="3"/>
  <c r="F1022" i="3"/>
  <c r="F1026" i="3"/>
  <c r="U148" i="1"/>
  <c r="V148" i="1"/>
  <c r="X148" i="1"/>
  <c r="W148" i="1"/>
  <c r="E1022" i="3"/>
  <c r="E1026" i="3"/>
  <c r="M1015" i="8"/>
  <c r="N1015" i="8" s="1"/>
  <c r="O1015" i="8" s="1"/>
  <c r="P1015" i="8" s="1"/>
  <c r="T674" i="1" s="1"/>
  <c r="K1036" i="8" l="1"/>
  <c r="K1041" i="8"/>
  <c r="J1036" i="8"/>
  <c r="J1040" i="8"/>
  <c r="L1029" i="8"/>
  <c r="L1033" i="8"/>
  <c r="W675" i="1"/>
  <c r="V675" i="1"/>
  <c r="U675" i="1"/>
  <c r="X675" i="1"/>
  <c r="I1029" i="8"/>
  <c r="M1029" i="8" s="1"/>
  <c r="N1029" i="8" s="1"/>
  <c r="O1029" i="8" s="1"/>
  <c r="P1029" i="8" s="1"/>
  <c r="T676" i="1" s="1"/>
  <c r="I1033" i="8"/>
  <c r="M1029" i="4"/>
  <c r="M1033" i="4"/>
  <c r="J1029" i="4"/>
  <c r="J1033" i="4"/>
  <c r="G1029" i="4"/>
  <c r="G1033" i="4"/>
  <c r="F1029" i="4"/>
  <c r="F1033" i="4"/>
  <c r="U347" i="1"/>
  <c r="V347" i="1"/>
  <c r="W347" i="1"/>
  <c r="X347" i="1"/>
  <c r="E1029" i="4"/>
  <c r="O1029" i="4" s="1"/>
  <c r="P1029" i="4" s="1"/>
  <c r="Q1029" i="4" s="1"/>
  <c r="R1029" i="4" s="1"/>
  <c r="T348" i="1" s="1"/>
  <c r="E1033" i="4"/>
  <c r="M1029" i="3"/>
  <c r="M1033" i="3"/>
  <c r="J1029" i="3"/>
  <c r="J1033" i="3"/>
  <c r="G1029" i="3"/>
  <c r="G1033" i="3"/>
  <c r="F1029" i="3"/>
  <c r="F1033" i="3"/>
  <c r="E1029" i="3"/>
  <c r="O1029" i="3" s="1"/>
  <c r="P1029" i="3" s="1"/>
  <c r="Q1029" i="3" s="1"/>
  <c r="R1029" i="3" s="1"/>
  <c r="T150" i="1" s="1"/>
  <c r="E1033" i="3"/>
  <c r="V674" i="1"/>
  <c r="W674" i="1"/>
  <c r="X674" i="1"/>
  <c r="U674" i="1"/>
  <c r="O1022" i="3"/>
  <c r="P1022" i="3" s="1"/>
  <c r="Q1022" i="3" s="1"/>
  <c r="R1022" i="3" s="1"/>
  <c r="T149" i="1" s="1"/>
  <c r="K1043" i="8" l="1"/>
  <c r="K1048" i="8"/>
  <c r="J1043" i="8"/>
  <c r="J1047" i="8"/>
  <c r="L1036" i="8"/>
  <c r="L1040" i="8"/>
  <c r="X676" i="1"/>
  <c r="W676" i="1"/>
  <c r="V676" i="1"/>
  <c r="U676" i="1"/>
  <c r="I1036" i="8"/>
  <c r="M1036" i="8" s="1"/>
  <c r="N1036" i="8" s="1"/>
  <c r="O1036" i="8" s="1"/>
  <c r="P1036" i="8" s="1"/>
  <c r="T677" i="1" s="1"/>
  <c r="I1040" i="8"/>
  <c r="M1036" i="4"/>
  <c r="M1040" i="4"/>
  <c r="J1036" i="4"/>
  <c r="J1040" i="4"/>
  <c r="G1036" i="4"/>
  <c r="G1040" i="4"/>
  <c r="F1036" i="4"/>
  <c r="F1040" i="4"/>
  <c r="U348" i="1"/>
  <c r="V348" i="1"/>
  <c r="W348" i="1"/>
  <c r="X348" i="1"/>
  <c r="E1036" i="4"/>
  <c r="O1036" i="4" s="1"/>
  <c r="P1036" i="4" s="1"/>
  <c r="Q1036" i="4" s="1"/>
  <c r="R1036" i="4" s="1"/>
  <c r="T349" i="1" s="1"/>
  <c r="E1040" i="4"/>
  <c r="M1036" i="3"/>
  <c r="M1040" i="3"/>
  <c r="J1036" i="3"/>
  <c r="J1040" i="3"/>
  <c r="G1036" i="3"/>
  <c r="G1040" i="3"/>
  <c r="F1036" i="3"/>
  <c r="F1040" i="3"/>
  <c r="V150" i="1"/>
  <c r="U150" i="1"/>
  <c r="W150" i="1"/>
  <c r="X150" i="1"/>
  <c r="E1036" i="3"/>
  <c r="E1040" i="3"/>
  <c r="W149" i="1"/>
  <c r="X149" i="1"/>
  <c r="V149" i="1"/>
  <c r="U149" i="1"/>
  <c r="K1050" i="8" l="1"/>
  <c r="K1055" i="8"/>
  <c r="J1050" i="8"/>
  <c r="J1054" i="8"/>
  <c r="L1043" i="8"/>
  <c r="L1047" i="8"/>
  <c r="U677" i="1"/>
  <c r="V677" i="1"/>
  <c r="W677" i="1"/>
  <c r="X677" i="1"/>
  <c r="I1043" i="8"/>
  <c r="M1043" i="8" s="1"/>
  <c r="N1043" i="8" s="1"/>
  <c r="O1043" i="8" s="1"/>
  <c r="P1043" i="8" s="1"/>
  <c r="T678" i="1" s="1"/>
  <c r="I1047" i="8"/>
  <c r="M1043" i="4"/>
  <c r="M1047" i="4"/>
  <c r="J1043" i="4"/>
  <c r="J1047" i="4"/>
  <c r="G1043" i="4"/>
  <c r="G1047" i="4"/>
  <c r="F1043" i="4"/>
  <c r="F1047" i="4"/>
  <c r="U349" i="1"/>
  <c r="V349" i="1"/>
  <c r="W349" i="1"/>
  <c r="X349" i="1"/>
  <c r="E1043" i="4"/>
  <c r="O1043" i="4" s="1"/>
  <c r="P1043" i="4" s="1"/>
  <c r="Q1043" i="4" s="1"/>
  <c r="R1043" i="4" s="1"/>
  <c r="T350" i="1" s="1"/>
  <c r="E1047" i="4"/>
  <c r="M1043" i="3"/>
  <c r="M1047" i="3"/>
  <c r="J1043" i="3"/>
  <c r="J1047" i="3"/>
  <c r="G1043" i="3"/>
  <c r="G1047" i="3"/>
  <c r="F1043" i="3"/>
  <c r="F1047" i="3"/>
  <c r="E1043" i="3"/>
  <c r="O1043" i="3" s="1"/>
  <c r="P1043" i="3" s="1"/>
  <c r="Q1043" i="3" s="1"/>
  <c r="R1043" i="3" s="1"/>
  <c r="T152" i="1" s="1"/>
  <c r="E1047" i="3"/>
  <c r="O1036" i="3"/>
  <c r="P1036" i="3" s="1"/>
  <c r="Q1036" i="3" s="1"/>
  <c r="R1036" i="3" s="1"/>
  <c r="T151" i="1" s="1"/>
  <c r="K1057" i="8" l="1"/>
  <c r="K1062" i="8"/>
  <c r="J1057" i="8"/>
  <c r="J1061" i="8"/>
  <c r="L1050" i="8"/>
  <c r="L1054" i="8"/>
  <c r="U678" i="1"/>
  <c r="V678" i="1"/>
  <c r="W678" i="1"/>
  <c r="X678" i="1"/>
  <c r="I1050" i="8"/>
  <c r="M1050" i="8" s="1"/>
  <c r="N1050" i="8" s="1"/>
  <c r="O1050" i="8" s="1"/>
  <c r="P1050" i="8" s="1"/>
  <c r="T679" i="1" s="1"/>
  <c r="I1054" i="8"/>
  <c r="M1050" i="4"/>
  <c r="M1054" i="4"/>
  <c r="J1050" i="4"/>
  <c r="J1054" i="4"/>
  <c r="G1050" i="4"/>
  <c r="G1054" i="4"/>
  <c r="F1050" i="4"/>
  <c r="F1054" i="4"/>
  <c r="U350" i="1"/>
  <c r="V350" i="1"/>
  <c r="W350" i="1"/>
  <c r="X350" i="1"/>
  <c r="E1050" i="4"/>
  <c r="O1050" i="4" s="1"/>
  <c r="P1050" i="4" s="1"/>
  <c r="Q1050" i="4" s="1"/>
  <c r="R1050" i="4" s="1"/>
  <c r="T351" i="1" s="1"/>
  <c r="E1054" i="4"/>
  <c r="M1050" i="3"/>
  <c r="M1054" i="3"/>
  <c r="J1050" i="3"/>
  <c r="J1054" i="3"/>
  <c r="G1050" i="3"/>
  <c r="G1054" i="3"/>
  <c r="F1050" i="3"/>
  <c r="F1054" i="3"/>
  <c r="X152" i="1"/>
  <c r="W152" i="1"/>
  <c r="U152" i="1"/>
  <c r="V152" i="1"/>
  <c r="E1050" i="3"/>
  <c r="O1050" i="3" s="1"/>
  <c r="P1050" i="3" s="1"/>
  <c r="Q1050" i="3" s="1"/>
  <c r="R1050" i="3" s="1"/>
  <c r="T153" i="1" s="1"/>
  <c r="E1054" i="3"/>
  <c r="W151" i="1"/>
  <c r="U151" i="1"/>
  <c r="X151" i="1"/>
  <c r="V151" i="1"/>
  <c r="K1064" i="8" l="1"/>
  <c r="K1069" i="8"/>
  <c r="J1064" i="8"/>
  <c r="J1068" i="8"/>
  <c r="L1057" i="8"/>
  <c r="L1061" i="8"/>
  <c r="U679" i="1"/>
  <c r="V679" i="1"/>
  <c r="W679" i="1"/>
  <c r="X679" i="1"/>
  <c r="I1057" i="8"/>
  <c r="M1057" i="8" s="1"/>
  <c r="N1057" i="8" s="1"/>
  <c r="O1057" i="8" s="1"/>
  <c r="P1057" i="8" s="1"/>
  <c r="T680" i="1" s="1"/>
  <c r="I1061" i="8"/>
  <c r="M1057" i="4"/>
  <c r="M1061" i="4"/>
  <c r="J1057" i="4"/>
  <c r="J1061" i="4"/>
  <c r="G1057" i="4"/>
  <c r="G1061" i="4"/>
  <c r="F1057" i="4"/>
  <c r="F1061" i="4"/>
  <c r="U351" i="1"/>
  <c r="V351" i="1"/>
  <c r="W351" i="1"/>
  <c r="X351" i="1"/>
  <c r="E1057" i="4"/>
  <c r="O1057" i="4" s="1"/>
  <c r="P1057" i="4" s="1"/>
  <c r="Q1057" i="4" s="1"/>
  <c r="R1057" i="4" s="1"/>
  <c r="T352" i="1" s="1"/>
  <c r="E1061" i="4"/>
  <c r="M1057" i="3"/>
  <c r="M1061" i="3"/>
  <c r="J1057" i="3"/>
  <c r="J1061" i="3"/>
  <c r="G1057" i="3"/>
  <c r="G1061" i="3"/>
  <c r="F1057" i="3"/>
  <c r="F1061" i="3"/>
  <c r="U153" i="1"/>
  <c r="V153" i="1"/>
  <c r="X153" i="1"/>
  <c r="W153" i="1"/>
  <c r="E1057" i="3"/>
  <c r="O1057" i="3" s="1"/>
  <c r="P1057" i="3" s="1"/>
  <c r="Q1057" i="3" s="1"/>
  <c r="R1057" i="3" s="1"/>
  <c r="T154" i="1" s="1"/>
  <c r="E1061" i="3"/>
  <c r="K1071" i="8" l="1"/>
  <c r="K1076" i="8"/>
  <c r="J1071" i="8"/>
  <c r="J1075" i="8"/>
  <c r="L1064" i="8"/>
  <c r="L1068" i="8"/>
  <c r="U680" i="1"/>
  <c r="V680" i="1"/>
  <c r="W680" i="1"/>
  <c r="X680" i="1"/>
  <c r="I1064" i="8"/>
  <c r="M1064" i="8" s="1"/>
  <c r="N1064" i="8" s="1"/>
  <c r="O1064" i="8" s="1"/>
  <c r="P1064" i="8" s="1"/>
  <c r="T681" i="1" s="1"/>
  <c r="I1068" i="8"/>
  <c r="M1064" i="4"/>
  <c r="M1068" i="4"/>
  <c r="J1064" i="4"/>
  <c r="J1068" i="4"/>
  <c r="G1064" i="4"/>
  <c r="G1068" i="4"/>
  <c r="F1064" i="4"/>
  <c r="F1068" i="4"/>
  <c r="U352" i="1"/>
  <c r="V352" i="1"/>
  <c r="W352" i="1"/>
  <c r="X352" i="1"/>
  <c r="E1064" i="4"/>
  <c r="E1068" i="4"/>
  <c r="M1064" i="3"/>
  <c r="M1068" i="3"/>
  <c r="J1064" i="3"/>
  <c r="J1068" i="3"/>
  <c r="G1064" i="3"/>
  <c r="G1068" i="3"/>
  <c r="F1064" i="3"/>
  <c r="F1068" i="3"/>
  <c r="V154" i="1"/>
  <c r="U154" i="1"/>
  <c r="X154" i="1"/>
  <c r="W154" i="1"/>
  <c r="E1064" i="3"/>
  <c r="E1068" i="3"/>
  <c r="K1078" i="8" l="1"/>
  <c r="K1083" i="8"/>
  <c r="J1078" i="8"/>
  <c r="J1082" i="8"/>
  <c r="L1071" i="8"/>
  <c r="L1075" i="8"/>
  <c r="U681" i="1"/>
  <c r="V681" i="1"/>
  <c r="W681" i="1"/>
  <c r="X681" i="1"/>
  <c r="I1071" i="8"/>
  <c r="M1071" i="8" s="1"/>
  <c r="N1071" i="8" s="1"/>
  <c r="O1071" i="8" s="1"/>
  <c r="P1071" i="8" s="1"/>
  <c r="T682" i="1" s="1"/>
  <c r="I1075" i="8"/>
  <c r="M1071" i="4"/>
  <c r="M1075" i="4"/>
  <c r="J1071" i="4"/>
  <c r="J1075" i="4"/>
  <c r="G1071" i="4"/>
  <c r="G1075" i="4"/>
  <c r="F1071" i="4"/>
  <c r="F1075" i="4"/>
  <c r="E1071" i="4"/>
  <c r="E1075" i="4"/>
  <c r="M1071" i="3"/>
  <c r="M1075" i="3"/>
  <c r="J1071" i="3"/>
  <c r="J1075" i="3"/>
  <c r="G1071" i="3"/>
  <c r="G1075" i="3"/>
  <c r="F1071" i="3"/>
  <c r="F1075" i="3"/>
  <c r="E1071" i="3"/>
  <c r="E1075" i="3"/>
  <c r="O1064" i="4"/>
  <c r="P1064" i="4" s="1"/>
  <c r="Q1064" i="4" s="1"/>
  <c r="R1064" i="4" s="1"/>
  <c r="T353" i="1" s="1"/>
  <c r="O1064" i="3"/>
  <c r="P1064" i="3" s="1"/>
  <c r="Q1064" i="3" s="1"/>
  <c r="R1064" i="3" s="1"/>
  <c r="T155" i="1" s="1"/>
  <c r="K1085" i="8" l="1"/>
  <c r="K1090" i="8"/>
  <c r="J1085" i="8"/>
  <c r="J1089" i="8"/>
  <c r="L1078" i="8"/>
  <c r="L1082" i="8"/>
  <c r="U682" i="1"/>
  <c r="V682" i="1"/>
  <c r="W682" i="1"/>
  <c r="X682" i="1"/>
  <c r="I1078" i="8"/>
  <c r="M1078" i="8" s="1"/>
  <c r="N1078" i="8" s="1"/>
  <c r="O1078" i="8" s="1"/>
  <c r="P1078" i="8" s="1"/>
  <c r="T683" i="1" s="1"/>
  <c r="I1082" i="8"/>
  <c r="M1078" i="4"/>
  <c r="M1082" i="4"/>
  <c r="J1078" i="4"/>
  <c r="J1082" i="4"/>
  <c r="G1078" i="4"/>
  <c r="G1082" i="4"/>
  <c r="F1078" i="4"/>
  <c r="F1082" i="4"/>
  <c r="E1078" i="4"/>
  <c r="O1078" i="4" s="1"/>
  <c r="P1078" i="4" s="1"/>
  <c r="Q1078" i="4" s="1"/>
  <c r="R1078" i="4" s="1"/>
  <c r="T355" i="1" s="1"/>
  <c r="E1082" i="4"/>
  <c r="M1078" i="3"/>
  <c r="M1082" i="3"/>
  <c r="J1078" i="3"/>
  <c r="J1082" i="3"/>
  <c r="G1078" i="3"/>
  <c r="G1082" i="3"/>
  <c r="F1078" i="3"/>
  <c r="F1082" i="3"/>
  <c r="E1078" i="3"/>
  <c r="O1078" i="3" s="1"/>
  <c r="P1078" i="3" s="1"/>
  <c r="Q1078" i="3" s="1"/>
  <c r="R1078" i="3" s="1"/>
  <c r="T157" i="1" s="1"/>
  <c r="E1082" i="3"/>
  <c r="X353" i="1"/>
  <c r="W353" i="1"/>
  <c r="V353" i="1"/>
  <c r="U353" i="1"/>
  <c r="X155" i="1"/>
  <c r="V155" i="1"/>
  <c r="U155" i="1"/>
  <c r="W155" i="1"/>
  <c r="O1071" i="3"/>
  <c r="P1071" i="3" s="1"/>
  <c r="Q1071" i="3" s="1"/>
  <c r="R1071" i="3" s="1"/>
  <c r="T156" i="1" s="1"/>
  <c r="O1071" i="4"/>
  <c r="P1071" i="4" s="1"/>
  <c r="Q1071" i="4" s="1"/>
  <c r="R1071" i="4" s="1"/>
  <c r="T354" i="1" s="1"/>
  <c r="K1092" i="8" l="1"/>
  <c r="K1097" i="8"/>
  <c r="J1092" i="8"/>
  <c r="J1096" i="8"/>
  <c r="L1085" i="8"/>
  <c r="L1089" i="8"/>
  <c r="U683" i="1"/>
  <c r="V683" i="1"/>
  <c r="W683" i="1"/>
  <c r="X683" i="1"/>
  <c r="I1085" i="8"/>
  <c r="M1085" i="8" s="1"/>
  <c r="N1085" i="8" s="1"/>
  <c r="O1085" i="8" s="1"/>
  <c r="P1085" i="8" s="1"/>
  <c r="T684" i="1" s="1"/>
  <c r="I1089" i="8"/>
  <c r="M1085" i="4"/>
  <c r="M1089" i="4"/>
  <c r="J1085" i="4"/>
  <c r="J1089" i="4"/>
  <c r="G1085" i="4"/>
  <c r="G1089" i="4"/>
  <c r="F1085" i="4"/>
  <c r="F1089" i="4"/>
  <c r="U355" i="1"/>
  <c r="V355" i="1"/>
  <c r="W355" i="1"/>
  <c r="X355" i="1"/>
  <c r="E1085" i="4"/>
  <c r="O1085" i="4" s="1"/>
  <c r="P1085" i="4" s="1"/>
  <c r="Q1085" i="4" s="1"/>
  <c r="R1085" i="4" s="1"/>
  <c r="T356" i="1" s="1"/>
  <c r="E1089" i="4"/>
  <c r="M1085" i="3"/>
  <c r="M1089" i="3"/>
  <c r="J1085" i="3"/>
  <c r="J1089" i="3"/>
  <c r="G1085" i="3"/>
  <c r="G1089" i="3"/>
  <c r="F1085" i="3"/>
  <c r="F1089" i="3"/>
  <c r="W157" i="1"/>
  <c r="U157" i="1"/>
  <c r="V157" i="1"/>
  <c r="X157" i="1"/>
  <c r="E1085" i="3"/>
  <c r="O1085" i="3" s="1"/>
  <c r="P1085" i="3" s="1"/>
  <c r="Q1085" i="3" s="1"/>
  <c r="R1085" i="3" s="1"/>
  <c r="T158" i="1" s="1"/>
  <c r="E1089" i="3"/>
  <c r="X156" i="1"/>
  <c r="U156" i="1"/>
  <c r="W156" i="1"/>
  <c r="V156" i="1"/>
  <c r="X354" i="1"/>
  <c r="W354" i="1"/>
  <c r="V354" i="1"/>
  <c r="U354" i="1"/>
  <c r="K1099" i="8" l="1"/>
  <c r="K1104" i="8"/>
  <c r="J1099" i="8"/>
  <c r="J1103" i="8"/>
  <c r="L1092" i="8"/>
  <c r="L1096" i="8"/>
  <c r="U684" i="1"/>
  <c r="V684" i="1"/>
  <c r="W684" i="1"/>
  <c r="X684" i="1"/>
  <c r="I1092" i="8"/>
  <c r="M1092" i="8" s="1"/>
  <c r="N1092" i="8" s="1"/>
  <c r="O1092" i="8" s="1"/>
  <c r="P1092" i="8" s="1"/>
  <c r="T685" i="1" s="1"/>
  <c r="I1096" i="8"/>
  <c r="M1092" i="4"/>
  <c r="M1096" i="4"/>
  <c r="J1092" i="4"/>
  <c r="J1096" i="4"/>
  <c r="G1092" i="4"/>
  <c r="G1096" i="4"/>
  <c r="F1092" i="4"/>
  <c r="F1096" i="4"/>
  <c r="U356" i="1"/>
  <c r="V356" i="1"/>
  <c r="W356" i="1"/>
  <c r="X356" i="1"/>
  <c r="E1092" i="4"/>
  <c r="O1092" i="4" s="1"/>
  <c r="P1092" i="4" s="1"/>
  <c r="Q1092" i="4" s="1"/>
  <c r="R1092" i="4" s="1"/>
  <c r="T357" i="1" s="1"/>
  <c r="E1096" i="4"/>
  <c r="M1092" i="3"/>
  <c r="M1096" i="3"/>
  <c r="J1092" i="3"/>
  <c r="J1096" i="3"/>
  <c r="G1092" i="3"/>
  <c r="G1096" i="3"/>
  <c r="F1092" i="3"/>
  <c r="F1096" i="3"/>
  <c r="W158" i="1"/>
  <c r="V158" i="1"/>
  <c r="U158" i="1"/>
  <c r="X158" i="1"/>
  <c r="E1092" i="3"/>
  <c r="O1092" i="3" s="1"/>
  <c r="P1092" i="3" s="1"/>
  <c r="Q1092" i="3" s="1"/>
  <c r="R1092" i="3" s="1"/>
  <c r="T159" i="1" s="1"/>
  <c r="E1096" i="3"/>
  <c r="K1106" i="8" l="1"/>
  <c r="K1111" i="8"/>
  <c r="J1106" i="8"/>
  <c r="J1110" i="8"/>
  <c r="L1099" i="8"/>
  <c r="L1103" i="8"/>
  <c r="U685" i="1"/>
  <c r="V685" i="1"/>
  <c r="W685" i="1"/>
  <c r="X685" i="1"/>
  <c r="I1099" i="8"/>
  <c r="I1103" i="8"/>
  <c r="M1099" i="4"/>
  <c r="M1103" i="4"/>
  <c r="J1099" i="4"/>
  <c r="J1103" i="4"/>
  <c r="G1099" i="4"/>
  <c r="G1103" i="4"/>
  <c r="F1099" i="4"/>
  <c r="F1103" i="4"/>
  <c r="U357" i="1"/>
  <c r="V357" i="1"/>
  <c r="W357" i="1"/>
  <c r="X357" i="1"/>
  <c r="E1099" i="4"/>
  <c r="O1099" i="4" s="1"/>
  <c r="P1099" i="4" s="1"/>
  <c r="Q1099" i="4" s="1"/>
  <c r="R1099" i="4" s="1"/>
  <c r="T358" i="1" s="1"/>
  <c r="E1103" i="4"/>
  <c r="M1099" i="3"/>
  <c r="M1103" i="3"/>
  <c r="J1099" i="3"/>
  <c r="J1103" i="3"/>
  <c r="G1099" i="3"/>
  <c r="G1103" i="3"/>
  <c r="F1099" i="3"/>
  <c r="F1103" i="3"/>
  <c r="U159" i="1"/>
  <c r="V159" i="1"/>
  <c r="X159" i="1"/>
  <c r="W159" i="1"/>
  <c r="E1099" i="3"/>
  <c r="E1103" i="3"/>
  <c r="K1113" i="8" l="1"/>
  <c r="K1118" i="8"/>
  <c r="J1113" i="8"/>
  <c r="J1117" i="8"/>
  <c r="L1106" i="8"/>
  <c r="L1110" i="8"/>
  <c r="I1106" i="8"/>
  <c r="M1106" i="8" s="1"/>
  <c r="N1106" i="8" s="1"/>
  <c r="O1106" i="8" s="1"/>
  <c r="P1106" i="8" s="1"/>
  <c r="T687" i="1" s="1"/>
  <c r="I1110" i="8"/>
  <c r="M1106" i="4"/>
  <c r="M1110" i="4"/>
  <c r="J1106" i="4"/>
  <c r="J1110" i="4"/>
  <c r="G1106" i="4"/>
  <c r="G1110" i="4"/>
  <c r="F1106" i="4"/>
  <c r="F1110" i="4"/>
  <c r="U358" i="1"/>
  <c r="V358" i="1"/>
  <c r="W358" i="1"/>
  <c r="X358" i="1"/>
  <c r="E1106" i="4"/>
  <c r="O1106" i="4" s="1"/>
  <c r="P1106" i="4" s="1"/>
  <c r="Q1106" i="4" s="1"/>
  <c r="R1106" i="4" s="1"/>
  <c r="T359" i="1" s="1"/>
  <c r="E1110" i="4"/>
  <c r="M1106" i="3"/>
  <c r="M1110" i="3"/>
  <c r="J1106" i="3"/>
  <c r="J1110" i="3"/>
  <c r="G1106" i="3"/>
  <c r="G1110" i="3"/>
  <c r="F1106" i="3"/>
  <c r="F1110" i="3"/>
  <c r="E1106" i="3"/>
  <c r="O1106" i="3" s="1"/>
  <c r="P1106" i="3" s="1"/>
  <c r="Q1106" i="3" s="1"/>
  <c r="R1106" i="3" s="1"/>
  <c r="T161" i="1" s="1"/>
  <c r="E1110" i="3"/>
  <c r="M1099" i="8"/>
  <c r="N1099" i="8" s="1"/>
  <c r="O1099" i="8" s="1"/>
  <c r="P1099" i="8" s="1"/>
  <c r="T686" i="1" s="1"/>
  <c r="O1099" i="3"/>
  <c r="P1099" i="3" s="1"/>
  <c r="Q1099" i="3" s="1"/>
  <c r="R1099" i="3" s="1"/>
  <c r="T160" i="1" s="1"/>
  <c r="K1120" i="8" l="1"/>
  <c r="K1125" i="8"/>
  <c r="J1120" i="8"/>
  <c r="J1124" i="8"/>
  <c r="L1113" i="8"/>
  <c r="L1117" i="8"/>
  <c r="U687" i="1"/>
  <c r="V687" i="1"/>
  <c r="W687" i="1"/>
  <c r="X687" i="1"/>
  <c r="I1113" i="8"/>
  <c r="M1113" i="8" s="1"/>
  <c r="N1113" i="8" s="1"/>
  <c r="O1113" i="8" s="1"/>
  <c r="P1113" i="8" s="1"/>
  <c r="T688" i="1" s="1"/>
  <c r="I1117" i="8"/>
  <c r="M1113" i="4"/>
  <c r="M1117" i="4"/>
  <c r="J1113" i="4"/>
  <c r="J1117" i="4"/>
  <c r="G1113" i="4"/>
  <c r="G1117" i="4"/>
  <c r="F1113" i="4"/>
  <c r="F1117" i="4"/>
  <c r="U359" i="1"/>
  <c r="V359" i="1"/>
  <c r="W359" i="1"/>
  <c r="X359" i="1"/>
  <c r="E1113" i="4"/>
  <c r="O1113" i="4" s="1"/>
  <c r="P1113" i="4" s="1"/>
  <c r="Q1113" i="4" s="1"/>
  <c r="R1113" i="4" s="1"/>
  <c r="T360" i="1" s="1"/>
  <c r="E1117" i="4"/>
  <c r="M1113" i="3"/>
  <c r="M1117" i="3"/>
  <c r="J1113" i="3"/>
  <c r="J1117" i="3"/>
  <c r="G1113" i="3"/>
  <c r="G1117" i="3"/>
  <c r="F1113" i="3"/>
  <c r="F1117" i="3"/>
  <c r="W161" i="1"/>
  <c r="V161" i="1"/>
  <c r="U161" i="1"/>
  <c r="X161" i="1"/>
  <c r="E1113" i="3"/>
  <c r="O1113" i="3" s="1"/>
  <c r="P1113" i="3" s="1"/>
  <c r="Q1113" i="3" s="1"/>
  <c r="R1113" i="3" s="1"/>
  <c r="T162" i="1" s="1"/>
  <c r="E1117" i="3"/>
  <c r="X686" i="1"/>
  <c r="W686" i="1"/>
  <c r="V686" i="1"/>
  <c r="U686" i="1"/>
  <c r="U160" i="1"/>
  <c r="X160" i="1"/>
  <c r="V160" i="1"/>
  <c r="W160" i="1"/>
  <c r="K1127" i="8" l="1"/>
  <c r="K1132" i="8"/>
  <c r="J1127" i="8"/>
  <c r="J1131" i="8"/>
  <c r="L1120" i="8"/>
  <c r="L1124" i="8"/>
  <c r="U688" i="1"/>
  <c r="V688" i="1"/>
  <c r="W688" i="1"/>
  <c r="X688" i="1"/>
  <c r="I1120" i="8"/>
  <c r="M1120" i="8" s="1"/>
  <c r="N1120" i="8" s="1"/>
  <c r="O1120" i="8" s="1"/>
  <c r="P1120" i="8" s="1"/>
  <c r="T689" i="1" s="1"/>
  <c r="I1124" i="8"/>
  <c r="M1120" i="4"/>
  <c r="M1124" i="4"/>
  <c r="J1120" i="4"/>
  <c r="J1124" i="4"/>
  <c r="G1120" i="4"/>
  <c r="G1124" i="4"/>
  <c r="F1120" i="4"/>
  <c r="F1124" i="4"/>
  <c r="U360" i="1"/>
  <c r="V360" i="1"/>
  <c r="W360" i="1"/>
  <c r="X360" i="1"/>
  <c r="E1120" i="4"/>
  <c r="O1120" i="4" s="1"/>
  <c r="P1120" i="4" s="1"/>
  <c r="Q1120" i="4" s="1"/>
  <c r="R1120" i="4" s="1"/>
  <c r="T361" i="1" s="1"/>
  <c r="E1124" i="4"/>
  <c r="M1120" i="3"/>
  <c r="M1124" i="3"/>
  <c r="J1120" i="3"/>
  <c r="J1124" i="3"/>
  <c r="G1120" i="3"/>
  <c r="G1124" i="3"/>
  <c r="F1120" i="3"/>
  <c r="F1124" i="3"/>
  <c r="W162" i="1"/>
  <c r="U162" i="1"/>
  <c r="V162" i="1"/>
  <c r="X162" i="1"/>
  <c r="E1120" i="3"/>
  <c r="O1120" i="3" s="1"/>
  <c r="P1120" i="3" s="1"/>
  <c r="Q1120" i="3" s="1"/>
  <c r="R1120" i="3" s="1"/>
  <c r="T163" i="1" s="1"/>
  <c r="E1124" i="3"/>
  <c r="K1134" i="8" l="1"/>
  <c r="K1139" i="8"/>
  <c r="J1134" i="8"/>
  <c r="J1138" i="8"/>
  <c r="L1127" i="8"/>
  <c r="L1131" i="8"/>
  <c r="U689" i="1"/>
  <c r="V689" i="1"/>
  <c r="W689" i="1"/>
  <c r="X689" i="1"/>
  <c r="I1127" i="8"/>
  <c r="M1127" i="8" s="1"/>
  <c r="N1127" i="8" s="1"/>
  <c r="O1127" i="8" s="1"/>
  <c r="P1127" i="8" s="1"/>
  <c r="T690" i="1" s="1"/>
  <c r="I1131" i="8"/>
  <c r="M1127" i="4"/>
  <c r="M1131" i="4"/>
  <c r="J1127" i="4"/>
  <c r="J1131" i="4"/>
  <c r="G1127" i="4"/>
  <c r="G1131" i="4"/>
  <c r="F1127" i="4"/>
  <c r="F1131" i="4"/>
  <c r="F1134" i="4" s="1"/>
  <c r="U361" i="1"/>
  <c r="V361" i="1"/>
  <c r="W361" i="1"/>
  <c r="X361" i="1"/>
  <c r="E1127" i="4"/>
  <c r="O1127" i="4" s="1"/>
  <c r="P1127" i="4" s="1"/>
  <c r="Q1127" i="4" s="1"/>
  <c r="R1127" i="4" s="1"/>
  <c r="T362" i="1" s="1"/>
  <c r="E1131" i="4"/>
  <c r="M1127" i="3"/>
  <c r="M1131" i="3"/>
  <c r="J1127" i="3"/>
  <c r="J1131" i="3"/>
  <c r="G1127" i="3"/>
  <c r="G1131" i="3"/>
  <c r="F1127" i="3"/>
  <c r="F1131" i="3"/>
  <c r="F1134" i="3" s="1"/>
  <c r="V163" i="1"/>
  <c r="X163" i="1"/>
  <c r="U163" i="1"/>
  <c r="W163" i="1"/>
  <c r="E1127" i="3"/>
  <c r="O1127" i="3" s="1"/>
  <c r="P1127" i="3" s="1"/>
  <c r="Q1127" i="3" s="1"/>
  <c r="R1127" i="3" s="1"/>
  <c r="T164" i="1" s="1"/>
  <c r="E1131" i="3"/>
  <c r="K1141" i="8" l="1"/>
  <c r="K1146" i="8"/>
  <c r="J1141" i="8"/>
  <c r="J1145" i="8"/>
  <c r="L1134" i="8"/>
  <c r="L1138" i="8"/>
  <c r="U690" i="1"/>
  <c r="V690" i="1"/>
  <c r="W690" i="1"/>
  <c r="X690" i="1"/>
  <c r="I1134" i="8"/>
  <c r="M1134" i="8" s="1"/>
  <c r="N1134" i="8" s="1"/>
  <c r="O1134" i="8" s="1"/>
  <c r="P1134" i="8" s="1"/>
  <c r="T691" i="1" s="1"/>
  <c r="I1138" i="8"/>
  <c r="M1134" i="4"/>
  <c r="M1138" i="4"/>
  <c r="J1134" i="4"/>
  <c r="J1138" i="4"/>
  <c r="G1134" i="4"/>
  <c r="G1138" i="4"/>
  <c r="U362" i="1"/>
  <c r="V362" i="1"/>
  <c r="W362" i="1"/>
  <c r="X362" i="1"/>
  <c r="E1134" i="4"/>
  <c r="O1134" i="4" s="1"/>
  <c r="P1134" i="4" s="1"/>
  <c r="Q1134" i="4" s="1"/>
  <c r="R1134" i="4" s="1"/>
  <c r="T363" i="1" s="1"/>
  <c r="E1138" i="4"/>
  <c r="M1134" i="3"/>
  <c r="M1138" i="3"/>
  <c r="J1134" i="3"/>
  <c r="J1138" i="3"/>
  <c r="G1134" i="3"/>
  <c r="G1138" i="3"/>
  <c r="W164" i="1"/>
  <c r="U164" i="1"/>
  <c r="X164" i="1"/>
  <c r="V164" i="1"/>
  <c r="E1134" i="3"/>
  <c r="O1134" i="3" s="1"/>
  <c r="P1134" i="3" s="1"/>
  <c r="Q1134" i="3" s="1"/>
  <c r="R1134" i="3" s="1"/>
  <c r="T165" i="1" s="1"/>
  <c r="E1138" i="3"/>
  <c r="K1148" i="8" l="1"/>
  <c r="K1153" i="8"/>
  <c r="J1148" i="8"/>
  <c r="J1152" i="8"/>
  <c r="L1141" i="8"/>
  <c r="L1145" i="8"/>
  <c r="U691" i="1"/>
  <c r="V691" i="1"/>
  <c r="W691" i="1"/>
  <c r="X691" i="1"/>
  <c r="I1141" i="8"/>
  <c r="M1141" i="8" s="1"/>
  <c r="N1141" i="8" s="1"/>
  <c r="O1141" i="8" s="1"/>
  <c r="P1141" i="8" s="1"/>
  <c r="T692" i="1" s="1"/>
  <c r="I1145" i="8"/>
  <c r="M1141" i="4"/>
  <c r="M1145" i="4"/>
  <c r="J1141" i="4"/>
  <c r="J1145" i="4"/>
  <c r="G1141" i="4"/>
  <c r="G1145" i="4"/>
  <c r="U363" i="1"/>
  <c r="V363" i="1"/>
  <c r="W363" i="1"/>
  <c r="X363" i="1"/>
  <c r="E1141" i="4"/>
  <c r="O1141" i="4" s="1"/>
  <c r="P1141" i="4" s="1"/>
  <c r="Q1141" i="4" s="1"/>
  <c r="R1141" i="4" s="1"/>
  <c r="T364" i="1" s="1"/>
  <c r="E1145" i="4"/>
  <c r="M1141" i="3"/>
  <c r="M1145" i="3"/>
  <c r="J1141" i="3"/>
  <c r="J1145" i="3"/>
  <c r="G1141" i="3"/>
  <c r="G1145" i="3"/>
  <c r="V165" i="1"/>
  <c r="W165" i="1"/>
  <c r="U165" i="1"/>
  <c r="X165" i="1"/>
  <c r="E1141" i="3"/>
  <c r="O1141" i="3" s="1"/>
  <c r="P1141" i="3" s="1"/>
  <c r="Q1141" i="3" s="1"/>
  <c r="R1141" i="3" s="1"/>
  <c r="T166" i="1" s="1"/>
  <c r="E1145" i="3"/>
  <c r="K1155" i="8" l="1"/>
  <c r="K1160" i="8"/>
  <c r="J1155" i="8"/>
  <c r="J1159" i="8"/>
  <c r="L1148" i="8"/>
  <c r="L1152" i="8"/>
  <c r="U692" i="1"/>
  <c r="V692" i="1"/>
  <c r="W692" i="1"/>
  <c r="X692" i="1"/>
  <c r="I1148" i="8"/>
  <c r="M1148" i="8" s="1"/>
  <c r="N1148" i="8" s="1"/>
  <c r="O1148" i="8" s="1"/>
  <c r="P1148" i="8" s="1"/>
  <c r="T693" i="1" s="1"/>
  <c r="I1152" i="8"/>
  <c r="M1148" i="4"/>
  <c r="M1152" i="4"/>
  <c r="J1148" i="4"/>
  <c r="J1152" i="4"/>
  <c r="G1148" i="4"/>
  <c r="G1152" i="4"/>
  <c r="U364" i="1"/>
  <c r="V364" i="1"/>
  <c r="W364" i="1"/>
  <c r="X364" i="1"/>
  <c r="E1148" i="4"/>
  <c r="O1148" i="4" s="1"/>
  <c r="P1148" i="4" s="1"/>
  <c r="Q1148" i="4" s="1"/>
  <c r="R1148" i="4" s="1"/>
  <c r="T365" i="1" s="1"/>
  <c r="E1152" i="4"/>
  <c r="M1148" i="3"/>
  <c r="M1152" i="3"/>
  <c r="J1148" i="3"/>
  <c r="J1152" i="3"/>
  <c r="G1148" i="3"/>
  <c r="G1152" i="3"/>
  <c r="X166" i="1"/>
  <c r="U166" i="1"/>
  <c r="V166" i="1"/>
  <c r="W166" i="1"/>
  <c r="E1148" i="3"/>
  <c r="O1148" i="3" s="1"/>
  <c r="P1148" i="3" s="1"/>
  <c r="Q1148" i="3" s="1"/>
  <c r="R1148" i="3" s="1"/>
  <c r="E1152" i="3"/>
  <c r="K1162" i="8" l="1"/>
  <c r="K1167" i="8"/>
  <c r="J1162" i="8"/>
  <c r="J1166" i="8"/>
  <c r="L1155" i="8"/>
  <c r="L1159" i="8"/>
  <c r="U693" i="1"/>
  <c r="V693" i="1"/>
  <c r="W693" i="1"/>
  <c r="X693" i="1"/>
  <c r="I1155" i="8"/>
  <c r="M1155" i="8" s="1"/>
  <c r="N1155" i="8" s="1"/>
  <c r="O1155" i="8" s="1"/>
  <c r="P1155" i="8" s="1"/>
  <c r="T694" i="1" s="1"/>
  <c r="I1159" i="8"/>
  <c r="M1155" i="4"/>
  <c r="M1159" i="4"/>
  <c r="J1155" i="4"/>
  <c r="J1159" i="4"/>
  <c r="G1155" i="4"/>
  <c r="G1159" i="4"/>
  <c r="U365" i="1"/>
  <c r="V365" i="1"/>
  <c r="W365" i="1"/>
  <c r="X365" i="1"/>
  <c r="E1155" i="4"/>
  <c r="O1155" i="4" s="1"/>
  <c r="P1155" i="4" s="1"/>
  <c r="Q1155" i="4" s="1"/>
  <c r="R1155" i="4" s="1"/>
  <c r="T366" i="1" s="1"/>
  <c r="E1159" i="4"/>
  <c r="M1155" i="3"/>
  <c r="M1159" i="3"/>
  <c r="J1155" i="3"/>
  <c r="J1159" i="3"/>
  <c r="G1155" i="3"/>
  <c r="G1159" i="3"/>
  <c r="E1155" i="3"/>
  <c r="O1155" i="3" s="1"/>
  <c r="P1155" i="3" s="1"/>
  <c r="Q1155" i="3" s="1"/>
  <c r="R1155" i="3" s="1"/>
  <c r="E1159" i="3"/>
  <c r="K1169" i="8" l="1"/>
  <c r="K1174" i="8"/>
  <c r="J1169" i="8"/>
  <c r="J1173" i="8"/>
  <c r="L1162" i="8"/>
  <c r="L1166" i="8"/>
  <c r="U694" i="1"/>
  <c r="V694" i="1"/>
  <c r="W694" i="1"/>
  <c r="X694" i="1"/>
  <c r="I1162" i="8"/>
  <c r="M1162" i="8" s="1"/>
  <c r="N1162" i="8" s="1"/>
  <c r="O1162" i="8" s="1"/>
  <c r="P1162" i="8" s="1"/>
  <c r="T695" i="1" s="1"/>
  <c r="I1166" i="8"/>
  <c r="M1162" i="4"/>
  <c r="M1166" i="4"/>
  <c r="J1162" i="4"/>
  <c r="J1166" i="4"/>
  <c r="G1162" i="4"/>
  <c r="G1166" i="4"/>
  <c r="U366" i="1"/>
  <c r="V366" i="1"/>
  <c r="W366" i="1"/>
  <c r="X366" i="1"/>
  <c r="E1162" i="4"/>
  <c r="O1162" i="4" s="1"/>
  <c r="P1162" i="4" s="1"/>
  <c r="Q1162" i="4" s="1"/>
  <c r="R1162" i="4" s="1"/>
  <c r="T367" i="1" s="1"/>
  <c r="E1166" i="4"/>
  <c r="M1162" i="3"/>
  <c r="M1166" i="3"/>
  <c r="J1162" i="3"/>
  <c r="J1166" i="3"/>
  <c r="G1162" i="3"/>
  <c r="G1166" i="3"/>
  <c r="E1162" i="3"/>
  <c r="E1166" i="3"/>
  <c r="K1176" i="8" l="1"/>
  <c r="K1181" i="8"/>
  <c r="J1176" i="8"/>
  <c r="J1180" i="8"/>
  <c r="L1169" i="8"/>
  <c r="L1173" i="8"/>
  <c r="U695" i="1"/>
  <c r="V695" i="1"/>
  <c r="W695" i="1"/>
  <c r="X695" i="1"/>
  <c r="I1169" i="8"/>
  <c r="M1169" i="8" s="1"/>
  <c r="N1169" i="8" s="1"/>
  <c r="O1169" i="8" s="1"/>
  <c r="P1169" i="8" s="1"/>
  <c r="T696" i="1" s="1"/>
  <c r="I1173" i="8"/>
  <c r="M1169" i="4"/>
  <c r="M1173" i="4"/>
  <c r="J1169" i="4"/>
  <c r="J1173" i="4"/>
  <c r="G1169" i="4"/>
  <c r="G1173" i="4"/>
  <c r="U367" i="1"/>
  <c r="V367" i="1"/>
  <c r="W367" i="1"/>
  <c r="X367" i="1"/>
  <c r="E1169" i="4"/>
  <c r="O1169" i="4" s="1"/>
  <c r="P1169" i="4" s="1"/>
  <c r="Q1169" i="4" s="1"/>
  <c r="R1169" i="4" s="1"/>
  <c r="T368" i="1" s="1"/>
  <c r="E1173" i="4"/>
  <c r="M1169" i="3"/>
  <c r="M1173" i="3"/>
  <c r="J1169" i="3"/>
  <c r="J1173" i="3"/>
  <c r="G1169" i="3"/>
  <c r="G1173" i="3"/>
  <c r="E1169" i="3"/>
  <c r="O1169" i="3" s="1"/>
  <c r="P1169" i="3" s="1"/>
  <c r="Q1169" i="3" s="1"/>
  <c r="R1169" i="3" s="1"/>
  <c r="E1173" i="3"/>
  <c r="O1162" i="3"/>
  <c r="P1162" i="3" s="1"/>
  <c r="Q1162" i="3" s="1"/>
  <c r="R1162" i="3" s="1"/>
  <c r="K1183" i="8" l="1"/>
  <c r="K1188" i="8"/>
  <c r="J1183" i="8"/>
  <c r="J1187" i="8"/>
  <c r="L1176" i="8"/>
  <c r="L1180" i="8"/>
  <c r="U696" i="1"/>
  <c r="V696" i="1"/>
  <c r="W696" i="1"/>
  <c r="X696" i="1"/>
  <c r="I1176" i="8"/>
  <c r="I1180" i="8"/>
  <c r="M1176" i="4"/>
  <c r="M1180" i="4"/>
  <c r="J1176" i="4"/>
  <c r="J1180" i="4"/>
  <c r="G1176" i="4"/>
  <c r="G1180" i="4"/>
  <c r="U368" i="1"/>
  <c r="V368" i="1"/>
  <c r="W368" i="1"/>
  <c r="X368" i="1"/>
  <c r="E1176" i="4"/>
  <c r="O1176" i="4" s="1"/>
  <c r="P1176" i="4" s="1"/>
  <c r="Q1176" i="4" s="1"/>
  <c r="R1176" i="4" s="1"/>
  <c r="T369" i="1" s="1"/>
  <c r="E1180" i="4"/>
  <c r="M1176" i="3"/>
  <c r="M1180" i="3"/>
  <c r="J1176" i="3"/>
  <c r="J1180" i="3"/>
  <c r="G1176" i="3"/>
  <c r="G1180" i="3"/>
  <c r="E1176" i="3"/>
  <c r="O1176" i="3" s="1"/>
  <c r="P1176" i="3" s="1"/>
  <c r="Q1176" i="3" s="1"/>
  <c r="R1176" i="3" s="1"/>
  <c r="E1180" i="3"/>
  <c r="K1190" i="8" l="1"/>
  <c r="K1195" i="8"/>
  <c r="J1190" i="8"/>
  <c r="J1194" i="8"/>
  <c r="L1183" i="8"/>
  <c r="L1187" i="8"/>
  <c r="I1183" i="8"/>
  <c r="M1183" i="8" s="1"/>
  <c r="N1183" i="8" s="1"/>
  <c r="O1183" i="8" s="1"/>
  <c r="P1183" i="8" s="1"/>
  <c r="T698" i="1" s="1"/>
  <c r="I1187" i="8"/>
  <c r="M1183" i="4"/>
  <c r="M1187" i="4"/>
  <c r="J1183" i="4"/>
  <c r="J1187" i="4"/>
  <c r="G1183" i="4"/>
  <c r="G1187" i="4"/>
  <c r="U369" i="1"/>
  <c r="V369" i="1"/>
  <c r="W369" i="1"/>
  <c r="X369" i="1"/>
  <c r="E1183" i="4"/>
  <c r="E1187" i="4"/>
  <c r="M1183" i="3"/>
  <c r="M1187" i="3"/>
  <c r="J1183" i="3"/>
  <c r="J1187" i="3"/>
  <c r="G1183" i="3"/>
  <c r="G1187" i="3"/>
  <c r="E1183" i="3"/>
  <c r="O1183" i="3" s="1"/>
  <c r="P1183" i="3" s="1"/>
  <c r="Q1183" i="3" s="1"/>
  <c r="R1183" i="3" s="1"/>
  <c r="E1187" i="3"/>
  <c r="M1176" i="8"/>
  <c r="N1176" i="8" s="1"/>
  <c r="O1176" i="8" s="1"/>
  <c r="P1176" i="8" s="1"/>
  <c r="T697" i="1" s="1"/>
  <c r="K1197" i="8" l="1"/>
  <c r="K1202" i="8"/>
  <c r="J1197" i="8"/>
  <c r="J1201" i="8"/>
  <c r="L1190" i="8"/>
  <c r="L1194" i="8"/>
  <c r="X698" i="1"/>
  <c r="W698" i="1"/>
  <c r="V698" i="1"/>
  <c r="U698" i="1"/>
  <c r="I1190" i="8"/>
  <c r="I1194" i="8"/>
  <c r="M1190" i="4"/>
  <c r="M1194" i="4"/>
  <c r="J1190" i="4"/>
  <c r="J1194" i="4"/>
  <c r="G1190" i="4"/>
  <c r="G1194" i="4"/>
  <c r="E1190" i="4"/>
  <c r="O1190" i="4" s="1"/>
  <c r="P1190" i="4" s="1"/>
  <c r="Q1190" i="4" s="1"/>
  <c r="R1190" i="4" s="1"/>
  <c r="T371" i="1" s="1"/>
  <c r="E1194" i="4"/>
  <c r="M1190" i="3"/>
  <c r="M1194" i="3"/>
  <c r="J1190" i="3"/>
  <c r="J1194" i="3"/>
  <c r="G1190" i="3"/>
  <c r="G1194" i="3"/>
  <c r="E1190" i="3"/>
  <c r="O1190" i="3" s="1"/>
  <c r="P1190" i="3" s="1"/>
  <c r="Q1190" i="3" s="1"/>
  <c r="R1190" i="3" s="1"/>
  <c r="E1194" i="3"/>
  <c r="X697" i="1"/>
  <c r="W697" i="1"/>
  <c r="V697" i="1"/>
  <c r="U697" i="1"/>
  <c r="O1183" i="4"/>
  <c r="P1183" i="4" s="1"/>
  <c r="Q1183" i="4" s="1"/>
  <c r="R1183" i="4" s="1"/>
  <c r="T370" i="1" s="1"/>
  <c r="K1204" i="8" l="1"/>
  <c r="K1209" i="8"/>
  <c r="J1204" i="8"/>
  <c r="J1208" i="8"/>
  <c r="L1197" i="8"/>
  <c r="L1201" i="8"/>
  <c r="I1197" i="8"/>
  <c r="M1197" i="8" s="1"/>
  <c r="N1197" i="8" s="1"/>
  <c r="O1197" i="8" s="1"/>
  <c r="P1197" i="8" s="1"/>
  <c r="T700" i="1" s="1"/>
  <c r="I1201" i="8"/>
  <c r="M1197" i="4"/>
  <c r="M1201" i="4"/>
  <c r="J1197" i="4"/>
  <c r="J1201" i="4"/>
  <c r="G1197" i="4"/>
  <c r="G1201" i="4"/>
  <c r="U371" i="1"/>
  <c r="V371" i="1"/>
  <c r="W371" i="1"/>
  <c r="X371" i="1"/>
  <c r="E1197" i="4"/>
  <c r="O1197" i="4" s="1"/>
  <c r="P1197" i="4" s="1"/>
  <c r="Q1197" i="4" s="1"/>
  <c r="R1197" i="4" s="1"/>
  <c r="T372" i="1" s="1"/>
  <c r="E1201" i="4"/>
  <c r="M1197" i="3"/>
  <c r="M1201" i="3"/>
  <c r="J1197" i="3"/>
  <c r="J1201" i="3"/>
  <c r="G1197" i="3"/>
  <c r="G1201" i="3"/>
  <c r="E1197" i="3"/>
  <c r="O1197" i="3" s="1"/>
  <c r="P1197" i="3" s="1"/>
  <c r="Q1197" i="3" s="1"/>
  <c r="R1197" i="3" s="1"/>
  <c r="E1201" i="3"/>
  <c r="U370" i="1"/>
  <c r="V370" i="1"/>
  <c r="W370" i="1"/>
  <c r="X370" i="1"/>
  <c r="M1190" i="8"/>
  <c r="N1190" i="8" s="1"/>
  <c r="O1190" i="8" s="1"/>
  <c r="P1190" i="8" s="1"/>
  <c r="T699" i="1" s="1"/>
  <c r="K1211" i="8" l="1"/>
  <c r="K1216" i="8"/>
  <c r="J1211" i="8"/>
  <c r="J1215" i="8"/>
  <c r="L1204" i="8"/>
  <c r="L1208" i="8"/>
  <c r="X700" i="1"/>
  <c r="W700" i="1"/>
  <c r="V700" i="1"/>
  <c r="U700" i="1"/>
  <c r="I1204" i="8"/>
  <c r="M1204" i="8" s="1"/>
  <c r="N1204" i="8" s="1"/>
  <c r="O1204" i="8" s="1"/>
  <c r="P1204" i="8" s="1"/>
  <c r="T701" i="1" s="1"/>
  <c r="I1208" i="8"/>
  <c r="M1204" i="4"/>
  <c r="M1208" i="4"/>
  <c r="J1204" i="4"/>
  <c r="J1208" i="4"/>
  <c r="G1204" i="4"/>
  <c r="G1208" i="4"/>
  <c r="U372" i="1"/>
  <c r="V372" i="1"/>
  <c r="W372" i="1"/>
  <c r="X372" i="1"/>
  <c r="E1204" i="4"/>
  <c r="E1208" i="4"/>
  <c r="M1204" i="3"/>
  <c r="M1208" i="3"/>
  <c r="J1204" i="3"/>
  <c r="J1208" i="3"/>
  <c r="G1204" i="3"/>
  <c r="G1208" i="3"/>
  <c r="E1204" i="3"/>
  <c r="O1204" i="3" s="1"/>
  <c r="P1204" i="3" s="1"/>
  <c r="Q1204" i="3" s="1"/>
  <c r="R1204" i="3" s="1"/>
  <c r="E1208" i="3"/>
  <c r="U699" i="1"/>
  <c r="V699" i="1"/>
  <c r="W699" i="1"/>
  <c r="X699" i="1"/>
  <c r="K1218" i="8" l="1"/>
  <c r="K1223" i="8"/>
  <c r="J1218" i="8"/>
  <c r="J1222" i="8"/>
  <c r="L1211" i="8"/>
  <c r="L1215" i="8"/>
  <c r="X701" i="1"/>
  <c r="W701" i="1"/>
  <c r="V701" i="1"/>
  <c r="U701" i="1"/>
  <c r="I1211" i="8"/>
  <c r="M1211" i="8" s="1"/>
  <c r="N1211" i="8" s="1"/>
  <c r="O1211" i="8" s="1"/>
  <c r="P1211" i="8" s="1"/>
  <c r="T702" i="1" s="1"/>
  <c r="I1215" i="8"/>
  <c r="M1211" i="4"/>
  <c r="M1215" i="4"/>
  <c r="J1211" i="4"/>
  <c r="J1215" i="4"/>
  <c r="G1211" i="4"/>
  <c r="G1215" i="4"/>
  <c r="E1211" i="4"/>
  <c r="O1211" i="4" s="1"/>
  <c r="P1211" i="4" s="1"/>
  <c r="Q1211" i="4" s="1"/>
  <c r="R1211" i="4" s="1"/>
  <c r="T374" i="1" s="1"/>
  <c r="E1215" i="4"/>
  <c r="M1211" i="3"/>
  <c r="M1215" i="3"/>
  <c r="J1211" i="3"/>
  <c r="J1215" i="3"/>
  <c r="G1211" i="3"/>
  <c r="G1215" i="3"/>
  <c r="E1211" i="3"/>
  <c r="O1211" i="3" s="1"/>
  <c r="P1211" i="3" s="1"/>
  <c r="Q1211" i="3" s="1"/>
  <c r="R1211" i="3" s="1"/>
  <c r="E1215" i="3"/>
  <c r="O1204" i="4"/>
  <c r="P1204" i="4" s="1"/>
  <c r="Q1204" i="4" s="1"/>
  <c r="R1204" i="4" s="1"/>
  <c r="T373" i="1" s="1"/>
  <c r="K1225" i="8" l="1"/>
  <c r="K1230" i="8"/>
  <c r="J1225" i="8"/>
  <c r="J1229" i="8"/>
  <c r="L1218" i="8"/>
  <c r="L1222" i="8"/>
  <c r="X702" i="1"/>
  <c r="W702" i="1"/>
  <c r="V702" i="1"/>
  <c r="U702" i="1"/>
  <c r="I1218" i="8"/>
  <c r="M1218" i="8" s="1"/>
  <c r="N1218" i="8" s="1"/>
  <c r="O1218" i="8" s="1"/>
  <c r="P1218" i="8" s="1"/>
  <c r="T703" i="1" s="1"/>
  <c r="I1222" i="8"/>
  <c r="M1218" i="4"/>
  <c r="M1222" i="4"/>
  <c r="J1218" i="4"/>
  <c r="J1222" i="4"/>
  <c r="G1218" i="4"/>
  <c r="G1222" i="4"/>
  <c r="U374" i="1"/>
  <c r="V374" i="1"/>
  <c r="W374" i="1"/>
  <c r="X374" i="1"/>
  <c r="E1218" i="4"/>
  <c r="O1218" i="4" s="1"/>
  <c r="P1218" i="4" s="1"/>
  <c r="Q1218" i="4" s="1"/>
  <c r="R1218" i="4" s="1"/>
  <c r="T375" i="1" s="1"/>
  <c r="E1222" i="4"/>
  <c r="M1218" i="3"/>
  <c r="M1222" i="3"/>
  <c r="J1218" i="3"/>
  <c r="J1222" i="3"/>
  <c r="G1218" i="3"/>
  <c r="G1222" i="3"/>
  <c r="E1218" i="3"/>
  <c r="E1222" i="3"/>
  <c r="X373" i="1"/>
  <c r="W373" i="1"/>
  <c r="V373" i="1"/>
  <c r="U373" i="1"/>
  <c r="K1232" i="8" l="1"/>
  <c r="K1237" i="8"/>
  <c r="J1232" i="8"/>
  <c r="J1236" i="8"/>
  <c r="L1225" i="8"/>
  <c r="L1229" i="8"/>
  <c r="X703" i="1"/>
  <c r="W703" i="1"/>
  <c r="V703" i="1"/>
  <c r="U703" i="1"/>
  <c r="I1225" i="8"/>
  <c r="M1225" i="8" s="1"/>
  <c r="N1225" i="8" s="1"/>
  <c r="O1225" i="8" s="1"/>
  <c r="P1225" i="8" s="1"/>
  <c r="T704" i="1" s="1"/>
  <c r="I1229" i="8"/>
  <c r="M1225" i="4"/>
  <c r="M1229" i="4"/>
  <c r="J1225" i="4"/>
  <c r="J1229" i="4"/>
  <c r="G1225" i="4"/>
  <c r="G1229" i="4"/>
  <c r="U375" i="1"/>
  <c r="V375" i="1"/>
  <c r="W375" i="1"/>
  <c r="X375" i="1"/>
  <c r="E1225" i="4"/>
  <c r="O1225" i="4" s="1"/>
  <c r="P1225" i="4" s="1"/>
  <c r="Q1225" i="4" s="1"/>
  <c r="R1225" i="4" s="1"/>
  <c r="T376" i="1" s="1"/>
  <c r="E1229" i="4"/>
  <c r="M1225" i="3"/>
  <c r="M1229" i="3"/>
  <c r="J1225" i="3"/>
  <c r="J1229" i="3"/>
  <c r="G1225" i="3"/>
  <c r="G1229" i="3"/>
  <c r="E1225" i="3"/>
  <c r="O1225" i="3" s="1"/>
  <c r="P1225" i="3" s="1"/>
  <c r="Q1225" i="3" s="1"/>
  <c r="R1225" i="3" s="1"/>
  <c r="E1229" i="3"/>
  <c r="O1218" i="3"/>
  <c r="P1218" i="3" s="1"/>
  <c r="Q1218" i="3" s="1"/>
  <c r="R1218" i="3" s="1"/>
  <c r="K1239" i="8" l="1"/>
  <c r="K1244" i="8"/>
  <c r="J1239" i="8"/>
  <c r="J1243" i="8"/>
  <c r="L1232" i="8"/>
  <c r="L1236" i="8"/>
  <c r="X704" i="1"/>
  <c r="W704" i="1"/>
  <c r="V704" i="1"/>
  <c r="U704" i="1"/>
  <c r="I1232" i="8"/>
  <c r="M1232" i="8" s="1"/>
  <c r="N1232" i="8" s="1"/>
  <c r="O1232" i="8" s="1"/>
  <c r="P1232" i="8" s="1"/>
  <c r="T705" i="1" s="1"/>
  <c r="I1236" i="8"/>
  <c r="M1232" i="4"/>
  <c r="M1236" i="4"/>
  <c r="J1232" i="4"/>
  <c r="J1236" i="4"/>
  <c r="G1232" i="4"/>
  <c r="G1236" i="4"/>
  <c r="U376" i="1"/>
  <c r="V376" i="1"/>
  <c r="W376" i="1"/>
  <c r="X376" i="1"/>
  <c r="E1232" i="4"/>
  <c r="O1232" i="4" s="1"/>
  <c r="P1232" i="4" s="1"/>
  <c r="Q1232" i="4" s="1"/>
  <c r="R1232" i="4" s="1"/>
  <c r="T377" i="1" s="1"/>
  <c r="E1236" i="4"/>
  <c r="M1232" i="3"/>
  <c r="M1236" i="3"/>
  <c r="J1232" i="3"/>
  <c r="J1236" i="3"/>
  <c r="G1232" i="3"/>
  <c r="G1236" i="3"/>
  <c r="E1232" i="3"/>
  <c r="O1232" i="3" s="1"/>
  <c r="P1232" i="3" s="1"/>
  <c r="Q1232" i="3" s="1"/>
  <c r="R1232" i="3" s="1"/>
  <c r="E1236" i="3"/>
  <c r="K1246" i="8" l="1"/>
  <c r="K1251" i="8"/>
  <c r="J1246" i="8"/>
  <c r="J1250" i="8"/>
  <c r="L1239" i="8"/>
  <c r="L1243" i="8"/>
  <c r="X705" i="1"/>
  <c r="W705" i="1"/>
  <c r="V705" i="1"/>
  <c r="U705" i="1"/>
  <c r="I1239" i="8"/>
  <c r="M1239" i="8" s="1"/>
  <c r="N1239" i="8" s="1"/>
  <c r="O1239" i="8" s="1"/>
  <c r="P1239" i="8" s="1"/>
  <c r="T706" i="1" s="1"/>
  <c r="I1243" i="8"/>
  <c r="M1239" i="4"/>
  <c r="M1243" i="4"/>
  <c r="J1239" i="4"/>
  <c r="J1243" i="4"/>
  <c r="G1239" i="4"/>
  <c r="G1243" i="4"/>
  <c r="U377" i="1"/>
  <c r="V377" i="1"/>
  <c r="W377" i="1"/>
  <c r="X377" i="1"/>
  <c r="E1239" i="4"/>
  <c r="O1239" i="4" s="1"/>
  <c r="P1239" i="4" s="1"/>
  <c r="Q1239" i="4" s="1"/>
  <c r="R1239" i="4" s="1"/>
  <c r="T378" i="1" s="1"/>
  <c r="E1243" i="4"/>
  <c r="M1239" i="3"/>
  <c r="M1243" i="3"/>
  <c r="J1239" i="3"/>
  <c r="J1243" i="3"/>
  <c r="G1239" i="3"/>
  <c r="G1243" i="3"/>
  <c r="E1239" i="3"/>
  <c r="E1243" i="3"/>
  <c r="K1253" i="8" l="1"/>
  <c r="K1258" i="8"/>
  <c r="J1253" i="8"/>
  <c r="J1257" i="8"/>
  <c r="L1246" i="8"/>
  <c r="L1250" i="8"/>
  <c r="X706" i="1"/>
  <c r="W706" i="1"/>
  <c r="V706" i="1"/>
  <c r="U706" i="1"/>
  <c r="I1246" i="8"/>
  <c r="M1246" i="8" s="1"/>
  <c r="N1246" i="8" s="1"/>
  <c r="O1246" i="8" s="1"/>
  <c r="P1246" i="8" s="1"/>
  <c r="T707" i="1" s="1"/>
  <c r="I1250" i="8"/>
  <c r="M1246" i="4"/>
  <c r="M1250" i="4"/>
  <c r="J1246" i="4"/>
  <c r="J1250" i="4"/>
  <c r="G1246" i="4"/>
  <c r="G1250" i="4"/>
  <c r="U378" i="1"/>
  <c r="V378" i="1"/>
  <c r="W378" i="1"/>
  <c r="X378" i="1"/>
  <c r="E1246" i="4"/>
  <c r="O1246" i="4" s="1"/>
  <c r="P1246" i="4" s="1"/>
  <c r="Q1246" i="4" s="1"/>
  <c r="R1246" i="4" s="1"/>
  <c r="T379" i="1" s="1"/>
  <c r="E1250" i="4"/>
  <c r="M1246" i="3"/>
  <c r="M1250" i="3"/>
  <c r="J1246" i="3"/>
  <c r="J1250" i="3"/>
  <c r="G1246" i="3"/>
  <c r="G1250" i="3"/>
  <c r="E1246" i="3"/>
  <c r="O1246" i="3" s="1"/>
  <c r="P1246" i="3" s="1"/>
  <c r="Q1246" i="3" s="1"/>
  <c r="R1246" i="3" s="1"/>
  <c r="T181" i="1" s="1"/>
  <c r="E1250" i="3"/>
  <c r="O1239" i="3"/>
  <c r="P1239" i="3" s="1"/>
  <c r="Q1239" i="3" s="1"/>
  <c r="R1239" i="3" s="1"/>
  <c r="K1260" i="8" l="1"/>
  <c r="K1265" i="8"/>
  <c r="J1260" i="8"/>
  <c r="J1264" i="8"/>
  <c r="L1253" i="8"/>
  <c r="L1257" i="8"/>
  <c r="X707" i="1"/>
  <c r="W707" i="1"/>
  <c r="V707" i="1"/>
  <c r="U707" i="1"/>
  <c r="I1253" i="8"/>
  <c r="I1257" i="8"/>
  <c r="M1253" i="4"/>
  <c r="M1257" i="4"/>
  <c r="J1253" i="4"/>
  <c r="J1257" i="4"/>
  <c r="G1253" i="4"/>
  <c r="G1257" i="4"/>
  <c r="U379" i="1"/>
  <c r="V379" i="1"/>
  <c r="W379" i="1"/>
  <c r="X379" i="1"/>
  <c r="E1253" i="4"/>
  <c r="O1253" i="4" s="1"/>
  <c r="P1253" i="4" s="1"/>
  <c r="Q1253" i="4" s="1"/>
  <c r="R1253" i="4" s="1"/>
  <c r="T380" i="1" s="1"/>
  <c r="E1257" i="4"/>
  <c r="M1253" i="3"/>
  <c r="M1257" i="3"/>
  <c r="J1253" i="3"/>
  <c r="J1257" i="3"/>
  <c r="G1253" i="3"/>
  <c r="G1257" i="3"/>
  <c r="V181" i="1"/>
  <c r="X181" i="1"/>
  <c r="U181" i="1"/>
  <c r="W181" i="1"/>
  <c r="E1253" i="3"/>
  <c r="O1253" i="3" s="1"/>
  <c r="P1253" i="3" s="1"/>
  <c r="Q1253" i="3" s="1"/>
  <c r="R1253" i="3" s="1"/>
  <c r="T182" i="1" s="1"/>
  <c r="E1257" i="3"/>
  <c r="K1267" i="8" l="1"/>
  <c r="K1272" i="8"/>
  <c r="J1267" i="8"/>
  <c r="J1271" i="8"/>
  <c r="L1260" i="8"/>
  <c r="L1264" i="8"/>
  <c r="I1260" i="8"/>
  <c r="I1264" i="8"/>
  <c r="M1260" i="4"/>
  <c r="M1264" i="4"/>
  <c r="J1260" i="4"/>
  <c r="J1264" i="4"/>
  <c r="G1260" i="4"/>
  <c r="G1264" i="4"/>
  <c r="U380" i="1"/>
  <c r="V380" i="1"/>
  <c r="W380" i="1"/>
  <c r="X380" i="1"/>
  <c r="E1260" i="4"/>
  <c r="E1264" i="4"/>
  <c r="M1260" i="3"/>
  <c r="M1264" i="3"/>
  <c r="J1260" i="3"/>
  <c r="J1264" i="3"/>
  <c r="G1260" i="3"/>
  <c r="G1264" i="3"/>
  <c r="U182" i="1"/>
  <c r="X182" i="1"/>
  <c r="W182" i="1"/>
  <c r="V182" i="1"/>
  <c r="E1260" i="3"/>
  <c r="O1260" i="3" s="1"/>
  <c r="P1260" i="3" s="1"/>
  <c r="Q1260" i="3" s="1"/>
  <c r="R1260" i="3" s="1"/>
  <c r="T183" i="1" s="1"/>
  <c r="E1264" i="3"/>
  <c r="M1253" i="8"/>
  <c r="N1253" i="8" s="1"/>
  <c r="O1253" i="8" s="1"/>
  <c r="P1253" i="8" s="1"/>
  <c r="T708" i="1" s="1"/>
  <c r="K1274" i="8" l="1"/>
  <c r="K1279" i="8"/>
  <c r="J1274" i="8"/>
  <c r="J1278" i="8"/>
  <c r="L1267" i="8"/>
  <c r="L1271" i="8"/>
  <c r="I1267" i="8"/>
  <c r="M1267" i="8" s="1"/>
  <c r="N1267" i="8" s="1"/>
  <c r="O1267" i="8" s="1"/>
  <c r="P1267" i="8" s="1"/>
  <c r="T710" i="1" s="1"/>
  <c r="I1271" i="8"/>
  <c r="M1267" i="4"/>
  <c r="M1271" i="4"/>
  <c r="J1267" i="4"/>
  <c r="J1271" i="4"/>
  <c r="G1267" i="4"/>
  <c r="G1271" i="4"/>
  <c r="E1267" i="4"/>
  <c r="O1267" i="4" s="1"/>
  <c r="P1267" i="4" s="1"/>
  <c r="Q1267" i="4" s="1"/>
  <c r="R1267" i="4" s="1"/>
  <c r="T382" i="1" s="1"/>
  <c r="E1271" i="4"/>
  <c r="M1267" i="3"/>
  <c r="M1271" i="3"/>
  <c r="J1267" i="3"/>
  <c r="J1271" i="3"/>
  <c r="G1267" i="3"/>
  <c r="G1271" i="3"/>
  <c r="U183" i="1"/>
  <c r="V183" i="1"/>
  <c r="W183" i="1"/>
  <c r="X183" i="1"/>
  <c r="E1267" i="3"/>
  <c r="O1267" i="3" s="1"/>
  <c r="P1267" i="3" s="1"/>
  <c r="Q1267" i="3" s="1"/>
  <c r="R1267" i="3" s="1"/>
  <c r="T184" i="1" s="1"/>
  <c r="E1271" i="3"/>
  <c r="U708" i="1"/>
  <c r="V708" i="1"/>
  <c r="W708" i="1"/>
  <c r="X708" i="1"/>
  <c r="M1260" i="8"/>
  <c r="N1260" i="8" s="1"/>
  <c r="O1260" i="8" s="1"/>
  <c r="P1260" i="8" s="1"/>
  <c r="T709" i="1" s="1"/>
  <c r="O1260" i="4"/>
  <c r="P1260" i="4" s="1"/>
  <c r="Q1260" i="4" s="1"/>
  <c r="R1260" i="4" s="1"/>
  <c r="T381" i="1" s="1"/>
  <c r="K1281" i="8" l="1"/>
  <c r="K1286" i="8"/>
  <c r="J1281" i="8"/>
  <c r="J1285" i="8"/>
  <c r="L1274" i="8"/>
  <c r="L1278" i="8"/>
  <c r="X710" i="1"/>
  <c r="W710" i="1"/>
  <c r="V710" i="1"/>
  <c r="U710" i="1"/>
  <c r="I1274" i="8"/>
  <c r="M1274" i="8" s="1"/>
  <c r="N1274" i="8" s="1"/>
  <c r="O1274" i="8" s="1"/>
  <c r="P1274" i="8" s="1"/>
  <c r="T711" i="1" s="1"/>
  <c r="I1278" i="8"/>
  <c r="M1274" i="4"/>
  <c r="M1278" i="4"/>
  <c r="J1274" i="4"/>
  <c r="J1278" i="4"/>
  <c r="G1274" i="4"/>
  <c r="G1278" i="4"/>
  <c r="U382" i="1"/>
  <c r="V382" i="1"/>
  <c r="W382" i="1"/>
  <c r="X382" i="1"/>
  <c r="E1274" i="4"/>
  <c r="E1278" i="4"/>
  <c r="M1274" i="3"/>
  <c r="M1278" i="3"/>
  <c r="J1274" i="3"/>
  <c r="J1278" i="3"/>
  <c r="G1274" i="3"/>
  <c r="G1278" i="3"/>
  <c r="W184" i="1"/>
  <c r="X184" i="1"/>
  <c r="U184" i="1"/>
  <c r="V184" i="1"/>
  <c r="E1274" i="3"/>
  <c r="O1274" i="3" s="1"/>
  <c r="P1274" i="3" s="1"/>
  <c r="Q1274" i="3" s="1"/>
  <c r="R1274" i="3" s="1"/>
  <c r="T185" i="1" s="1"/>
  <c r="E1278" i="3"/>
  <c r="U709" i="1"/>
  <c r="V709" i="1"/>
  <c r="W709" i="1"/>
  <c r="X709" i="1"/>
  <c r="X381" i="1"/>
  <c r="W381" i="1"/>
  <c r="V381" i="1"/>
  <c r="U381" i="1"/>
  <c r="K1288" i="8" l="1"/>
  <c r="K1293" i="8"/>
  <c r="J1288" i="8"/>
  <c r="J1292" i="8"/>
  <c r="L1281" i="8"/>
  <c r="L1285" i="8"/>
  <c r="X711" i="1"/>
  <c r="W711" i="1"/>
  <c r="V711" i="1"/>
  <c r="U711" i="1"/>
  <c r="I1281" i="8"/>
  <c r="M1281" i="8" s="1"/>
  <c r="N1281" i="8" s="1"/>
  <c r="O1281" i="8" s="1"/>
  <c r="P1281" i="8" s="1"/>
  <c r="T712" i="1" s="1"/>
  <c r="I1285" i="8"/>
  <c r="M1281" i="4"/>
  <c r="M1285" i="4"/>
  <c r="J1281" i="4"/>
  <c r="J1285" i="4"/>
  <c r="G1281" i="4"/>
  <c r="G1285" i="4"/>
  <c r="E1281" i="4"/>
  <c r="O1281" i="4" s="1"/>
  <c r="P1281" i="4" s="1"/>
  <c r="Q1281" i="4" s="1"/>
  <c r="R1281" i="4" s="1"/>
  <c r="T384" i="1" s="1"/>
  <c r="E1285" i="4"/>
  <c r="M1281" i="3"/>
  <c r="M1285" i="3"/>
  <c r="J1281" i="3"/>
  <c r="J1285" i="3"/>
  <c r="G1281" i="3"/>
  <c r="G1285" i="3"/>
  <c r="X185" i="1"/>
  <c r="U185" i="1"/>
  <c r="W185" i="1"/>
  <c r="V185" i="1"/>
  <c r="E1281" i="3"/>
  <c r="O1281" i="3" s="1"/>
  <c r="P1281" i="3" s="1"/>
  <c r="Q1281" i="3" s="1"/>
  <c r="R1281" i="3" s="1"/>
  <c r="T186" i="1" s="1"/>
  <c r="E1285" i="3"/>
  <c r="O1274" i="4"/>
  <c r="P1274" i="4" s="1"/>
  <c r="Q1274" i="4" s="1"/>
  <c r="R1274" i="4" s="1"/>
  <c r="T383" i="1" s="1"/>
  <c r="K1295" i="8" l="1"/>
  <c r="K1300" i="8"/>
  <c r="J1295" i="8"/>
  <c r="J1299" i="8"/>
  <c r="L1288" i="8"/>
  <c r="L1292" i="8"/>
  <c r="U712" i="1"/>
  <c r="V712" i="1"/>
  <c r="W712" i="1"/>
  <c r="X712" i="1"/>
  <c r="I1288" i="8"/>
  <c r="M1288" i="8" s="1"/>
  <c r="N1288" i="8" s="1"/>
  <c r="O1288" i="8" s="1"/>
  <c r="P1288" i="8" s="1"/>
  <c r="T713" i="1" s="1"/>
  <c r="I1292" i="8"/>
  <c r="M1288" i="4"/>
  <c r="M1292" i="4"/>
  <c r="J1288" i="4"/>
  <c r="J1292" i="4"/>
  <c r="G1288" i="4"/>
  <c r="G1292" i="4"/>
  <c r="U384" i="1"/>
  <c r="V384" i="1"/>
  <c r="W384" i="1"/>
  <c r="X384" i="1"/>
  <c r="E1288" i="4"/>
  <c r="O1288" i="4" s="1"/>
  <c r="P1288" i="4" s="1"/>
  <c r="Q1288" i="4" s="1"/>
  <c r="R1288" i="4" s="1"/>
  <c r="T385" i="1" s="1"/>
  <c r="E1292" i="4"/>
  <c r="M1288" i="3"/>
  <c r="M1292" i="3"/>
  <c r="J1288" i="3"/>
  <c r="J1292" i="3"/>
  <c r="G1288" i="3"/>
  <c r="G1292" i="3"/>
  <c r="X186" i="1"/>
  <c r="V186" i="1"/>
  <c r="U186" i="1"/>
  <c r="W186" i="1"/>
  <c r="E1288" i="3"/>
  <c r="O1288" i="3" s="1"/>
  <c r="P1288" i="3" s="1"/>
  <c r="Q1288" i="3" s="1"/>
  <c r="R1288" i="3" s="1"/>
  <c r="T187" i="1" s="1"/>
  <c r="E1292" i="3"/>
  <c r="X383" i="1"/>
  <c r="W383" i="1"/>
  <c r="V383" i="1"/>
  <c r="U383" i="1"/>
  <c r="K1302" i="8" l="1"/>
  <c r="K1307" i="8"/>
  <c r="J1302" i="8"/>
  <c r="J1306" i="8"/>
  <c r="L1295" i="8"/>
  <c r="L1299" i="8"/>
  <c r="X713" i="1"/>
  <c r="W713" i="1"/>
  <c r="V713" i="1"/>
  <c r="U713" i="1"/>
  <c r="I1295" i="8"/>
  <c r="M1295" i="8" s="1"/>
  <c r="N1295" i="8" s="1"/>
  <c r="O1295" i="8" s="1"/>
  <c r="P1295" i="8" s="1"/>
  <c r="T714" i="1" s="1"/>
  <c r="I1299" i="8"/>
  <c r="M1295" i="4"/>
  <c r="M1299" i="4"/>
  <c r="J1295" i="4"/>
  <c r="J1299" i="4"/>
  <c r="G1295" i="4"/>
  <c r="G1299" i="4"/>
  <c r="U385" i="1"/>
  <c r="V385" i="1"/>
  <c r="W385" i="1"/>
  <c r="X385" i="1"/>
  <c r="E1295" i="4"/>
  <c r="O1295" i="4" s="1"/>
  <c r="P1295" i="4" s="1"/>
  <c r="Q1295" i="4" s="1"/>
  <c r="R1295" i="4" s="1"/>
  <c r="T386" i="1" s="1"/>
  <c r="E1299" i="4"/>
  <c r="M1295" i="3"/>
  <c r="M1299" i="3"/>
  <c r="J1295" i="3"/>
  <c r="J1299" i="3"/>
  <c r="G1295" i="3"/>
  <c r="G1299" i="3"/>
  <c r="U187" i="1"/>
  <c r="W187" i="1"/>
  <c r="X187" i="1"/>
  <c r="V187" i="1"/>
  <c r="E1295" i="3"/>
  <c r="O1295" i="3" s="1"/>
  <c r="P1295" i="3" s="1"/>
  <c r="Q1295" i="3" s="1"/>
  <c r="R1295" i="3" s="1"/>
  <c r="T188" i="1" s="1"/>
  <c r="E1299" i="3"/>
  <c r="K1309" i="8" l="1"/>
  <c r="K1314" i="8"/>
  <c r="J1309" i="8"/>
  <c r="J1313" i="8"/>
  <c r="L1302" i="8"/>
  <c r="L1306" i="8"/>
  <c r="X714" i="1"/>
  <c r="W714" i="1"/>
  <c r="V714" i="1"/>
  <c r="U714" i="1"/>
  <c r="I1302" i="8"/>
  <c r="M1302" i="8" s="1"/>
  <c r="N1302" i="8" s="1"/>
  <c r="O1302" i="8" s="1"/>
  <c r="P1302" i="8" s="1"/>
  <c r="T715" i="1" s="1"/>
  <c r="I1306" i="8"/>
  <c r="M1302" i="4"/>
  <c r="M1306" i="4"/>
  <c r="J1302" i="4"/>
  <c r="J1306" i="4"/>
  <c r="G1302" i="4"/>
  <c r="G1306" i="4"/>
  <c r="U386" i="1"/>
  <c r="V386" i="1"/>
  <c r="W386" i="1"/>
  <c r="X386" i="1"/>
  <c r="E1302" i="4"/>
  <c r="O1302" i="4" s="1"/>
  <c r="P1302" i="4" s="1"/>
  <c r="Q1302" i="4" s="1"/>
  <c r="R1302" i="4" s="1"/>
  <c r="T387" i="1" s="1"/>
  <c r="E1306" i="4"/>
  <c r="M1302" i="3"/>
  <c r="M1306" i="3"/>
  <c r="J1302" i="3"/>
  <c r="J1306" i="3"/>
  <c r="G1302" i="3"/>
  <c r="G1306" i="3"/>
  <c r="X188" i="1"/>
  <c r="V188" i="1"/>
  <c r="W188" i="1"/>
  <c r="U188" i="1"/>
  <c r="E1302" i="3"/>
  <c r="O1302" i="3" s="1"/>
  <c r="P1302" i="3" s="1"/>
  <c r="Q1302" i="3" s="1"/>
  <c r="R1302" i="3" s="1"/>
  <c r="T189" i="1" s="1"/>
  <c r="E1306" i="3"/>
  <c r="K1316" i="8" l="1"/>
  <c r="K1321" i="8"/>
  <c r="K1323" i="8" s="1"/>
  <c r="J1316" i="8"/>
  <c r="J1320" i="8"/>
  <c r="J1323" i="8" s="1"/>
  <c r="L1309" i="8"/>
  <c r="L1313" i="8"/>
  <c r="X715" i="1"/>
  <c r="W715" i="1"/>
  <c r="V715" i="1"/>
  <c r="U715" i="1"/>
  <c r="I1309" i="8"/>
  <c r="M1309" i="8" s="1"/>
  <c r="N1309" i="8" s="1"/>
  <c r="O1309" i="8" s="1"/>
  <c r="P1309" i="8" s="1"/>
  <c r="T716" i="1" s="1"/>
  <c r="I1313" i="8"/>
  <c r="M1309" i="4"/>
  <c r="M1313" i="4"/>
  <c r="J1309" i="4"/>
  <c r="J1313" i="4"/>
  <c r="G1309" i="4"/>
  <c r="G1313" i="4"/>
  <c r="U387" i="1"/>
  <c r="V387" i="1"/>
  <c r="W387" i="1"/>
  <c r="X387" i="1"/>
  <c r="E1309" i="4"/>
  <c r="O1309" i="4" s="1"/>
  <c r="P1309" i="4" s="1"/>
  <c r="Q1309" i="4" s="1"/>
  <c r="R1309" i="4" s="1"/>
  <c r="T388" i="1" s="1"/>
  <c r="E1313" i="4"/>
  <c r="M1309" i="3"/>
  <c r="M1313" i="3"/>
  <c r="J1309" i="3"/>
  <c r="J1313" i="3"/>
  <c r="G1309" i="3"/>
  <c r="G1313" i="3"/>
  <c r="W189" i="1"/>
  <c r="U189" i="1"/>
  <c r="V189" i="1"/>
  <c r="X189" i="1"/>
  <c r="E1309" i="3"/>
  <c r="O1309" i="3" s="1"/>
  <c r="P1309" i="3" s="1"/>
  <c r="Q1309" i="3" s="1"/>
  <c r="R1309" i="3" s="1"/>
  <c r="T190" i="1" s="1"/>
  <c r="E1313" i="3"/>
  <c r="L1316" i="8" l="1"/>
  <c r="L1320" i="8"/>
  <c r="L1323" i="8" s="1"/>
  <c r="X716" i="1"/>
  <c r="W716" i="1"/>
  <c r="V716" i="1"/>
  <c r="U716" i="1"/>
  <c r="I1316" i="8"/>
  <c r="M1316" i="8" s="1"/>
  <c r="N1316" i="8" s="1"/>
  <c r="O1316" i="8" s="1"/>
  <c r="P1316" i="8" s="1"/>
  <c r="T717" i="1" s="1"/>
  <c r="I1320" i="8"/>
  <c r="I1323" i="8" s="1"/>
  <c r="M1323" i="8" s="1"/>
  <c r="N1323" i="8" s="1"/>
  <c r="O1323" i="8" s="1"/>
  <c r="P1323" i="8" s="1"/>
  <c r="T718" i="1" s="1"/>
  <c r="M1316" i="4"/>
  <c r="M1320" i="4"/>
  <c r="J1316" i="4"/>
  <c r="J1320" i="4"/>
  <c r="G1316" i="4"/>
  <c r="G1320" i="4"/>
  <c r="U388" i="1"/>
  <c r="V388" i="1"/>
  <c r="W388" i="1"/>
  <c r="X388" i="1"/>
  <c r="E1316" i="4"/>
  <c r="E1320" i="4"/>
  <c r="M1316" i="3"/>
  <c r="M1320" i="3"/>
  <c r="J1316" i="3"/>
  <c r="J1320" i="3"/>
  <c r="G1316" i="3"/>
  <c r="G1320" i="3"/>
  <c r="U190" i="1"/>
  <c r="V190" i="1"/>
  <c r="W190" i="1"/>
  <c r="X190" i="1"/>
  <c r="E1316" i="3"/>
  <c r="O1316" i="3" s="1"/>
  <c r="P1316" i="3" s="1"/>
  <c r="Q1316" i="3" s="1"/>
  <c r="R1316" i="3" s="1"/>
  <c r="T191" i="1" s="1"/>
  <c r="E1320" i="3"/>
  <c r="X717" i="1" l="1"/>
  <c r="W717" i="1"/>
  <c r="V717" i="1"/>
  <c r="U717" i="1"/>
  <c r="X718" i="1"/>
  <c r="W718" i="1"/>
  <c r="V718" i="1"/>
  <c r="U718" i="1"/>
  <c r="M1323" i="4"/>
  <c r="M1327" i="4"/>
  <c r="J1323" i="4"/>
  <c r="J1327" i="4"/>
  <c r="G1323" i="4"/>
  <c r="G1327" i="4"/>
  <c r="E1323" i="4"/>
  <c r="E1327" i="4"/>
  <c r="M1323" i="3"/>
  <c r="M1327" i="3"/>
  <c r="J1323" i="3"/>
  <c r="J1327" i="3"/>
  <c r="G1323" i="3"/>
  <c r="G1327" i="3"/>
  <c r="U191" i="1"/>
  <c r="W191" i="1"/>
  <c r="X191" i="1"/>
  <c r="V191" i="1"/>
  <c r="E1323" i="3"/>
  <c r="O1323" i="3" s="1"/>
  <c r="P1323" i="3" s="1"/>
  <c r="Q1323" i="3" s="1"/>
  <c r="R1323" i="3" s="1"/>
  <c r="T192" i="1" s="1"/>
  <c r="E1327" i="3"/>
  <c r="O1316" i="4"/>
  <c r="P1316" i="4" s="1"/>
  <c r="Q1316" i="4" s="1"/>
  <c r="R1316" i="4" s="1"/>
  <c r="T389" i="1" s="1"/>
  <c r="M1330" i="4" l="1"/>
  <c r="M1334" i="4"/>
  <c r="J1330" i="4"/>
  <c r="J1334" i="4"/>
  <c r="G1330" i="4"/>
  <c r="G1334" i="4"/>
  <c r="E1330" i="4"/>
  <c r="O1330" i="4" s="1"/>
  <c r="P1330" i="4" s="1"/>
  <c r="Q1330" i="4" s="1"/>
  <c r="R1330" i="4" s="1"/>
  <c r="T391" i="1" s="1"/>
  <c r="E1334" i="4"/>
  <c r="M1330" i="3"/>
  <c r="M1334" i="3"/>
  <c r="J1330" i="3"/>
  <c r="J1334" i="3"/>
  <c r="G1330" i="3"/>
  <c r="G1334" i="3"/>
  <c r="X192" i="1"/>
  <c r="W192" i="1"/>
  <c r="V192" i="1"/>
  <c r="U192" i="1"/>
  <c r="E1330" i="3"/>
  <c r="E1334" i="3"/>
  <c r="U389" i="1"/>
  <c r="V389" i="1"/>
  <c r="W389" i="1"/>
  <c r="X389" i="1"/>
  <c r="O1323" i="4"/>
  <c r="P1323" i="4" s="1"/>
  <c r="Q1323" i="4" s="1"/>
  <c r="R1323" i="4" s="1"/>
  <c r="T390" i="1" s="1"/>
  <c r="M1337" i="4" l="1"/>
  <c r="M1341" i="4"/>
  <c r="J1337" i="4"/>
  <c r="J1341" i="4"/>
  <c r="G1337" i="4"/>
  <c r="G1341" i="4"/>
  <c r="U391" i="1"/>
  <c r="V391" i="1"/>
  <c r="W391" i="1"/>
  <c r="X391" i="1"/>
  <c r="E1337" i="4"/>
  <c r="O1337" i="4" s="1"/>
  <c r="P1337" i="4" s="1"/>
  <c r="Q1337" i="4" s="1"/>
  <c r="R1337" i="4" s="1"/>
  <c r="T392" i="1" s="1"/>
  <c r="E1341" i="4"/>
  <c r="M1337" i="3"/>
  <c r="M1341" i="3"/>
  <c r="J1337" i="3"/>
  <c r="J1341" i="3"/>
  <c r="G1337" i="3"/>
  <c r="G1341" i="3"/>
  <c r="E1337" i="3"/>
  <c r="O1337" i="3" s="1"/>
  <c r="P1337" i="3" s="1"/>
  <c r="Q1337" i="3" s="1"/>
  <c r="R1337" i="3" s="1"/>
  <c r="T194" i="1" s="1"/>
  <c r="E1341" i="3"/>
  <c r="U390" i="1"/>
  <c r="V390" i="1"/>
  <c r="W390" i="1"/>
  <c r="X390" i="1"/>
  <c r="O1330" i="3"/>
  <c r="P1330" i="3" s="1"/>
  <c r="Q1330" i="3" s="1"/>
  <c r="R1330" i="3" s="1"/>
  <c r="T193" i="1" s="1"/>
  <c r="M1344" i="4" l="1"/>
  <c r="M1348" i="4"/>
  <c r="J1344" i="4"/>
  <c r="J1348" i="4"/>
  <c r="G1344" i="4"/>
  <c r="G1348" i="4"/>
  <c r="U392" i="1"/>
  <c r="V392" i="1"/>
  <c r="W392" i="1"/>
  <c r="X392" i="1"/>
  <c r="E1344" i="4"/>
  <c r="O1344" i="4" s="1"/>
  <c r="P1344" i="4" s="1"/>
  <c r="Q1344" i="4" s="1"/>
  <c r="R1344" i="4" s="1"/>
  <c r="T393" i="1" s="1"/>
  <c r="E1348" i="4"/>
  <c r="M1344" i="3"/>
  <c r="M1348" i="3"/>
  <c r="J1344" i="3"/>
  <c r="J1348" i="3"/>
  <c r="G1344" i="3"/>
  <c r="G1348" i="3"/>
  <c r="U194" i="1"/>
  <c r="W194" i="1"/>
  <c r="X194" i="1"/>
  <c r="V194" i="1"/>
  <c r="E1344" i="3"/>
  <c r="O1344" i="3" s="1"/>
  <c r="P1344" i="3" s="1"/>
  <c r="Q1344" i="3" s="1"/>
  <c r="R1344" i="3" s="1"/>
  <c r="T195" i="1" s="1"/>
  <c r="E1348" i="3"/>
  <c r="V193" i="1"/>
  <c r="W193" i="1"/>
  <c r="X193" i="1"/>
  <c r="U193" i="1"/>
  <c r="M1351" i="4" l="1"/>
  <c r="M1355" i="4"/>
  <c r="J1351" i="4"/>
  <c r="J1355" i="4"/>
  <c r="G1351" i="4"/>
  <c r="G1355" i="4"/>
  <c r="U393" i="1"/>
  <c r="V393" i="1"/>
  <c r="W393" i="1"/>
  <c r="X393" i="1"/>
  <c r="E1351" i="4"/>
  <c r="O1351" i="4" s="1"/>
  <c r="P1351" i="4" s="1"/>
  <c r="Q1351" i="4" s="1"/>
  <c r="R1351" i="4" s="1"/>
  <c r="T394" i="1" s="1"/>
  <c r="E1355" i="4"/>
  <c r="M1351" i="3"/>
  <c r="M1355" i="3"/>
  <c r="J1351" i="3"/>
  <c r="J1355" i="3"/>
  <c r="G1351" i="3"/>
  <c r="G1355" i="3"/>
  <c r="W195" i="1"/>
  <c r="U195" i="1"/>
  <c r="V195" i="1"/>
  <c r="X195" i="1"/>
  <c r="E1351" i="3"/>
  <c r="O1351" i="3" s="1"/>
  <c r="P1351" i="3" s="1"/>
  <c r="Q1351" i="3" s="1"/>
  <c r="R1351" i="3" s="1"/>
  <c r="T196" i="1" s="1"/>
  <c r="E1355" i="3"/>
  <c r="M1358" i="4" l="1"/>
  <c r="M1362" i="4"/>
  <c r="J1358" i="4"/>
  <c r="J1362" i="4"/>
  <c r="G1358" i="4"/>
  <c r="G1362" i="4"/>
  <c r="U394" i="1"/>
  <c r="V394" i="1"/>
  <c r="W394" i="1"/>
  <c r="X394" i="1"/>
  <c r="E1358" i="4"/>
  <c r="O1358" i="4" s="1"/>
  <c r="P1358" i="4" s="1"/>
  <c r="Q1358" i="4" s="1"/>
  <c r="R1358" i="4" s="1"/>
  <c r="T395" i="1" s="1"/>
  <c r="E1362" i="4"/>
  <c r="M1358" i="3"/>
  <c r="M1362" i="3"/>
  <c r="J1358" i="3"/>
  <c r="J1362" i="3"/>
  <c r="G1358" i="3"/>
  <c r="G1362" i="3"/>
  <c r="V196" i="1"/>
  <c r="W196" i="1"/>
  <c r="U196" i="1"/>
  <c r="X196" i="1"/>
  <c r="E1358" i="3"/>
  <c r="E1362" i="3"/>
  <c r="M1365" i="4" l="1"/>
  <c r="M1369" i="4"/>
  <c r="J1365" i="4"/>
  <c r="J1369" i="4"/>
  <c r="G1365" i="4"/>
  <c r="G1369" i="4"/>
  <c r="U395" i="1"/>
  <c r="V395" i="1"/>
  <c r="W395" i="1"/>
  <c r="X395" i="1"/>
  <c r="E1365" i="4"/>
  <c r="E1369" i="4"/>
  <c r="M1365" i="3"/>
  <c r="M1369" i="3"/>
  <c r="J1365" i="3"/>
  <c r="J1369" i="3"/>
  <c r="G1365" i="3"/>
  <c r="G1369" i="3"/>
  <c r="E1365" i="3"/>
  <c r="O1365" i="3" s="1"/>
  <c r="P1365" i="3" s="1"/>
  <c r="Q1365" i="3" s="1"/>
  <c r="R1365" i="3" s="1"/>
  <c r="T198" i="1" s="1"/>
  <c r="E1369" i="3"/>
  <c r="O1358" i="3"/>
  <c r="P1358" i="3" s="1"/>
  <c r="Q1358" i="3" s="1"/>
  <c r="R1358" i="3" s="1"/>
  <c r="T197" i="1" s="1"/>
  <c r="M1372" i="4" l="1"/>
  <c r="M1376" i="4"/>
  <c r="J1372" i="4"/>
  <c r="J1376" i="4"/>
  <c r="G1372" i="4"/>
  <c r="G1376" i="4"/>
  <c r="E1372" i="4"/>
  <c r="O1372" i="4" s="1"/>
  <c r="P1372" i="4" s="1"/>
  <c r="Q1372" i="4" s="1"/>
  <c r="R1372" i="4" s="1"/>
  <c r="T397" i="1" s="1"/>
  <c r="E1376" i="4"/>
  <c r="M1372" i="3"/>
  <c r="M1376" i="3"/>
  <c r="J1372" i="3"/>
  <c r="J1376" i="3"/>
  <c r="G1372" i="3"/>
  <c r="G1376" i="3"/>
  <c r="V198" i="1"/>
  <c r="U198" i="1"/>
  <c r="X198" i="1"/>
  <c r="W198" i="1"/>
  <c r="E1372" i="3"/>
  <c r="O1372" i="3" s="1"/>
  <c r="P1372" i="3" s="1"/>
  <c r="Q1372" i="3" s="1"/>
  <c r="R1372" i="3" s="1"/>
  <c r="T199" i="1" s="1"/>
  <c r="E1376" i="3"/>
  <c r="U197" i="1"/>
  <c r="W197" i="1"/>
  <c r="X197" i="1"/>
  <c r="V197" i="1"/>
  <c r="O1365" i="4"/>
  <c r="P1365" i="4" s="1"/>
  <c r="Q1365" i="4" s="1"/>
  <c r="R1365" i="4" s="1"/>
  <c r="T396" i="1" s="1"/>
  <c r="M1379" i="4" l="1"/>
  <c r="M1383" i="4"/>
  <c r="M1386" i="4" s="1"/>
  <c r="J1379" i="4"/>
  <c r="J1383" i="4"/>
  <c r="J1386" i="4" s="1"/>
  <c r="G1379" i="4"/>
  <c r="G1383" i="4"/>
  <c r="G1386" i="4" s="1"/>
  <c r="U397" i="1"/>
  <c r="V397" i="1"/>
  <c r="W397" i="1"/>
  <c r="X397" i="1"/>
  <c r="E1379" i="4"/>
  <c r="O1379" i="4" s="1"/>
  <c r="P1379" i="4" s="1"/>
  <c r="Q1379" i="4" s="1"/>
  <c r="R1379" i="4" s="1"/>
  <c r="T398" i="1" s="1"/>
  <c r="E1383" i="4"/>
  <c r="E1386" i="4" s="1"/>
  <c r="O1386" i="4" s="1"/>
  <c r="P1386" i="4" s="1"/>
  <c r="Q1386" i="4" s="1"/>
  <c r="R1386" i="4" s="1"/>
  <c r="T399" i="1" s="1"/>
  <c r="M1379" i="3"/>
  <c r="M1383" i="3"/>
  <c r="M1386" i="3" s="1"/>
  <c r="J1379" i="3"/>
  <c r="J1383" i="3"/>
  <c r="J1386" i="3" s="1"/>
  <c r="G1379" i="3"/>
  <c r="G1383" i="3"/>
  <c r="G1386" i="3" s="1"/>
  <c r="W199" i="1"/>
  <c r="U199" i="1"/>
  <c r="X199" i="1"/>
  <c r="V199" i="1"/>
  <c r="E1379" i="3"/>
  <c r="O1379" i="3" s="1"/>
  <c r="P1379" i="3" s="1"/>
  <c r="Q1379" i="3" s="1"/>
  <c r="R1379" i="3" s="1"/>
  <c r="T200" i="1" s="1"/>
  <c r="E1383" i="3"/>
  <c r="E1386" i="3" s="1"/>
  <c r="O1386" i="3" s="1"/>
  <c r="P1386" i="3" s="1"/>
  <c r="Q1386" i="3" s="1"/>
  <c r="R1386" i="3" s="1"/>
  <c r="T201" i="1" s="1"/>
  <c r="X396" i="1"/>
  <c r="W396" i="1"/>
  <c r="V396" i="1"/>
  <c r="U396" i="1"/>
  <c r="U398" i="1" l="1"/>
  <c r="V398" i="1"/>
  <c r="W398" i="1"/>
  <c r="X398" i="1"/>
  <c r="U399" i="1"/>
  <c r="V399" i="1"/>
  <c r="W399" i="1"/>
  <c r="X399" i="1"/>
  <c r="U200" i="1"/>
  <c r="W200" i="1"/>
  <c r="V200" i="1"/>
  <c r="X200" i="1"/>
  <c r="W201" i="1"/>
  <c r="V201" i="1"/>
  <c r="U201" i="1"/>
  <c r="X201" i="1"/>
</calcChain>
</file>

<file path=xl/sharedStrings.xml><?xml version="1.0" encoding="utf-8"?>
<sst xmlns="http://schemas.openxmlformats.org/spreadsheetml/2006/main" count="19026" uniqueCount="251">
  <si>
    <t>TOPS</t>
  </si>
  <si>
    <t>RATE/SQM</t>
  </si>
  <si>
    <t>LEGS</t>
  </si>
  <si>
    <t>RATE/LEG</t>
  </si>
  <si>
    <t>ELEC</t>
  </si>
  <si>
    <t>RATE/PCS</t>
  </si>
  <si>
    <t>RISER</t>
  </si>
  <si>
    <t>SKU CODING</t>
  </si>
  <si>
    <t xml:space="preserve">CALC </t>
  </si>
  <si>
    <t>SCREEN</t>
  </si>
  <si>
    <t>SIDE UNITS</t>
  </si>
  <si>
    <t>PLPB BSL</t>
  </si>
  <si>
    <t>2200</t>
  </si>
  <si>
    <t>SKU</t>
  </si>
  <si>
    <t>FLEXI 600</t>
  </si>
  <si>
    <t>1800</t>
  </si>
  <si>
    <t>NETBOX</t>
  </si>
  <si>
    <t>1500</t>
  </si>
  <si>
    <t>CATEGORY</t>
  </si>
  <si>
    <t>MINI RISER</t>
  </si>
  <si>
    <t>DESIGN</t>
  </si>
  <si>
    <t>1000</t>
  </si>
  <si>
    <t>ASSEMBLY</t>
  </si>
  <si>
    <t>FABRIC</t>
  </si>
  <si>
    <t>FORMATION</t>
  </si>
  <si>
    <t>4800</t>
  </si>
  <si>
    <t xml:space="preserve">SIZE - L </t>
  </si>
  <si>
    <t>ECO</t>
  </si>
  <si>
    <t>TOP</t>
  </si>
  <si>
    <t>DESCRIPTION</t>
  </si>
  <si>
    <t>POPULAR</t>
  </si>
  <si>
    <t>PLMDF BSL</t>
  </si>
  <si>
    <t>3000</t>
  </si>
  <si>
    <t>FLEXI 900</t>
  </si>
  <si>
    <t>3D</t>
  </si>
  <si>
    <t>1900</t>
  </si>
  <si>
    <t>FLAP+PLATE</t>
  </si>
  <si>
    <t>LIST PRICE</t>
  </si>
  <si>
    <t>BIG RISER</t>
  </si>
  <si>
    <t>NET : 10L = 
10% OFF</t>
  </si>
  <si>
    <t>4000</t>
  </si>
  <si>
    <t>NET : 10-20L = 
15% OFF</t>
  </si>
  <si>
    <t>GLASS</t>
  </si>
  <si>
    <t>NET : 20-40L = 
20% OFF</t>
  </si>
  <si>
    <t>5500</t>
  </si>
  <si>
    <t>NET : &gt;40L = 
30% OFF</t>
  </si>
  <si>
    <t>LUX</t>
  </si>
  <si>
    <t>PoLMDF</t>
  </si>
  <si>
    <t>7500</t>
  </si>
  <si>
    <t>FLEXI 1200</t>
  </si>
  <si>
    <t>2100</t>
  </si>
  <si>
    <t>Q CURVY POP</t>
  </si>
  <si>
    <t>12500</t>
  </si>
  <si>
    <t>VERTEBRAE</t>
  </si>
  <si>
    <t>WORKSTATIONS</t>
  </si>
  <si>
    <t>NONE</t>
  </si>
  <si>
    <t>0</t>
  </si>
  <si>
    <t>users</t>
  </si>
  <si>
    <t>W</t>
  </si>
  <si>
    <t>length</t>
  </si>
  <si>
    <t>FLX</t>
  </si>
  <si>
    <t>LNR</t>
  </si>
  <si>
    <t>w</t>
  </si>
  <si>
    <t>SH</t>
  </si>
  <si>
    <t>total top</t>
  </si>
  <si>
    <t>PB</t>
  </si>
  <si>
    <t>F</t>
  </si>
  <si>
    <t>beam/mts</t>
  </si>
  <si>
    <t>total screen</t>
  </si>
  <si>
    <t>ele modty</t>
  </si>
  <si>
    <t>LUVIHMDF</t>
  </si>
  <si>
    <t>labour</t>
  </si>
  <si>
    <t>raceway</t>
  </si>
  <si>
    <t xml:space="preserve">a flap </t>
  </si>
  <si>
    <t>9500</t>
  </si>
  <si>
    <t>Leg Apron</t>
  </si>
  <si>
    <t>total</t>
  </si>
  <si>
    <t>STARTEK 600</t>
  </si>
  <si>
    <t>per/psn</t>
  </si>
  <si>
    <t>profit</t>
  </si>
  <si>
    <t>3800</t>
  </si>
  <si>
    <t>rounding</t>
  </si>
  <si>
    <t>CHINA MODULE</t>
  </si>
  <si>
    <t>2000</t>
  </si>
  <si>
    <t>LIVIHPLY</t>
  </si>
  <si>
    <t>10500</t>
  </si>
  <si>
    <t>WORKSTATION</t>
  </si>
  <si>
    <t>STARTEK 900</t>
  </si>
  <si>
    <t>2 WAY</t>
  </si>
  <si>
    <t>3500</t>
  </si>
  <si>
    <t>VENEER</t>
  </si>
  <si>
    <t>30000</t>
  </si>
  <si>
    <t>STARTEK 1200</t>
  </si>
  <si>
    <t>4200</t>
  </si>
  <si>
    <t>LOOP</t>
  </si>
  <si>
    <t>LINEAR</t>
  </si>
  <si>
    <t>SHARING</t>
  </si>
  <si>
    <t>MEMBRANE</t>
  </si>
  <si>
    <t>16250</t>
  </si>
  <si>
    <t>ATHENA</t>
  </si>
  <si>
    <t>15000</t>
  </si>
  <si>
    <t>MARBLE</t>
  </si>
  <si>
    <t>FLUTED WOOD</t>
  </si>
  <si>
    <t>20000</t>
  </si>
  <si>
    <t>PANELS</t>
  </si>
  <si>
    <t>6000</t>
  </si>
  <si>
    <t>MARGIN MULTIPLIER</t>
  </si>
  <si>
    <t xml:space="preserve">RENDER 1 : FLEXI SHARING FABRIC </t>
  </si>
  <si>
    <t>ABBREVIATION</t>
  </si>
  <si>
    <t>SKU CODE</t>
  </si>
  <si>
    <t>FULL NAME</t>
  </si>
  <si>
    <t>18MM PRE-LAMINATED PARTICLE BOARD BOTH SIDES LAMINATE WITH EDGEBANDING</t>
  </si>
  <si>
    <t>PLM</t>
  </si>
  <si>
    <t>18MM PRE-LAMINATED MDF(MEDIUM DESNSITY FIBER) BOARD BOTH SIDES LAMINATE</t>
  </si>
  <si>
    <t>PoLM</t>
  </si>
  <si>
    <t>18MM POST-LAMINATED MDF(MEDIUM DESNSITY FIBER) BOARD BOTH SIDES LAMINATE</t>
  </si>
  <si>
    <t>G</t>
  </si>
  <si>
    <t>LVM</t>
  </si>
  <si>
    <t>18MM MERNIO LUVIH POST-LAMINATED MDF(MEDIUM DESNSITY FIBER) BOARD, BOTTOM SIDE BALANCING LAMINATE</t>
  </si>
  <si>
    <t>LVP</t>
  </si>
  <si>
    <t>25MM LUVIH POST-LAMINATED PLY (BIRCH/COMMERCIAL)</t>
  </si>
  <si>
    <t>VNR</t>
  </si>
  <si>
    <t>40MM WOOD VENEERS ON PLY</t>
  </si>
  <si>
    <t>GL</t>
  </si>
  <si>
    <t>10MM EXTRA TOUGHENED BACK PAINTED / CLEAR GLASS</t>
  </si>
  <si>
    <t>MB</t>
  </si>
  <si>
    <t>25MM GERMAN MEMBRANE ON POST-LAMINATED MDF(MEDIUM DESNSITY FIBER) BOARD</t>
  </si>
  <si>
    <t>MBL</t>
  </si>
  <si>
    <t xml:space="preserve">10MM MARBLE ON POST-LAMINATED MDF(MEDIUM DESNSITY FIBER) BOARD </t>
  </si>
  <si>
    <t>RENDER 2 : FLEXI SHARING GLASS</t>
  </si>
  <si>
    <t>FLEXI</t>
  </si>
  <si>
    <t>X</t>
  </si>
  <si>
    <t>MS+ALUMINUM LEG WITH POWDER COATING</t>
  </si>
  <si>
    <t>STARTEK</t>
  </si>
  <si>
    <t>STK</t>
  </si>
  <si>
    <t>ALUMINUM LEG WITH POWDER COATING</t>
  </si>
  <si>
    <t>LP</t>
  </si>
  <si>
    <t>ALUMINUM LEG WITH CHROME/TITANIUM/RAW/PC FINISH</t>
  </si>
  <si>
    <t>ATH</t>
  </si>
  <si>
    <t>SS LEG WITH PVD COATING</t>
  </si>
  <si>
    <t>FLW</t>
  </si>
  <si>
    <t>FLUTED VENEER ON MDF LEG</t>
  </si>
  <si>
    <t xml:space="preserve">ELECTRIFICATION </t>
  </si>
  <si>
    <t>8/10/12 MODULE NETBOX</t>
  </si>
  <si>
    <t>450MM XIO FLAP + SWITCH PLATE INSIDE, *switches not in Burosys scope</t>
  </si>
  <si>
    <t>Q CURVY POP BOX</t>
  </si>
  <si>
    <t>4+4 SWITCHES WITH SCREEN HOLDER</t>
  </si>
  <si>
    <t>2 WAY ACCESS FLAP WITH SWITCH PLATE INSIDE</t>
  </si>
  <si>
    <t>RENDER 3 : FLEXI SHARING NO SCREEN</t>
  </si>
  <si>
    <t>100MM VERTICAL BOX</t>
  </si>
  <si>
    <t>450MM VERTICAL BOX</t>
  </si>
  <si>
    <t>VERTEBRA SNAKE</t>
  </si>
  <si>
    <t>SCREENS</t>
  </si>
  <si>
    <t xml:space="preserve">L:6" LESS THAN TOP LENGTH, H400mm, D30mm 
FABRIC PINUP BOARD WITH ALUMINUM TRIMS </t>
  </si>
  <si>
    <t>4+4MM SANDWICHED BACK PAINTED MAGNETIC GLASS SCREEN</t>
  </si>
  <si>
    <t xml:space="preserve">PLPB/PLMDF SIDE UNIT WITH STANDARD LOCK </t>
  </si>
  <si>
    <t>LUVIH FACIA UNITS WITH DIGILOCK</t>
  </si>
  <si>
    <t>LUVIH-MDF</t>
  </si>
  <si>
    <t>LUVIH-PLY</t>
  </si>
  <si>
    <t>FLEXI MEETING</t>
  </si>
  <si>
    <t>STD1</t>
  </si>
  <si>
    <t>NSH</t>
  </si>
  <si>
    <t>NON SHARING</t>
  </si>
  <si>
    <t xml:space="preserve">RENDER 4 : FLEXI NON SHARING FABRIC </t>
  </si>
  <si>
    <t>RENDER 5 : FLEXI NON SHARING GLASS</t>
  </si>
  <si>
    <t>RENDER 6 : FLEXI NON SHARING NO SCREEN</t>
  </si>
  <si>
    <t>S</t>
  </si>
  <si>
    <t>SINGLE</t>
  </si>
  <si>
    <t xml:space="preserve">RENDER 7 : FLEXI SINGLE FABRIC </t>
  </si>
  <si>
    <t>RENDER 8 : FLEXI SINGLE GLASS</t>
  </si>
  <si>
    <t>RENDER 9 : FLEXI SINGLE NO SCREEN</t>
  </si>
  <si>
    <t>LSHP</t>
  </si>
  <si>
    <t>L SHAPED-W/SU</t>
  </si>
  <si>
    <t xml:space="preserve">SHARING + </t>
  </si>
  <si>
    <t>1500 X 1500</t>
  </si>
  <si>
    <t>RENDER 10</t>
  </si>
  <si>
    <t>SHARING T</t>
  </si>
  <si>
    <t>1501 X 1500</t>
  </si>
  <si>
    <t>RENDER 11</t>
  </si>
  <si>
    <t>SHARING U</t>
  </si>
  <si>
    <t>1502 X 1500</t>
  </si>
  <si>
    <t>RENDER 12</t>
  </si>
  <si>
    <t>SINGLE USER</t>
  </si>
  <si>
    <t>1503 X 1500</t>
  </si>
  <si>
    <t>RENDER 13</t>
  </si>
  <si>
    <t>RENDER 14</t>
  </si>
  <si>
    <t>RENDER 15</t>
  </si>
  <si>
    <t>STARTEK MEETING</t>
  </si>
  <si>
    <t>apr inc</t>
  </si>
  <si>
    <t>L SHAPED</t>
  </si>
  <si>
    <t>PNL</t>
  </si>
  <si>
    <t>PANEL BASED</t>
  </si>
  <si>
    <t>STANDARD</t>
  </si>
  <si>
    <t>SU</t>
  </si>
  <si>
    <t>MEETING</t>
  </si>
  <si>
    <t>MT</t>
  </si>
  <si>
    <t>SM</t>
  </si>
  <si>
    <t>SMALL</t>
  </si>
  <si>
    <t>1500x900</t>
  </si>
  <si>
    <t>N.A</t>
  </si>
  <si>
    <t>PRM1</t>
  </si>
  <si>
    <t>MD</t>
  </si>
  <si>
    <t>MEDIUM</t>
  </si>
  <si>
    <t>2400x1200</t>
  </si>
  <si>
    <t>LG</t>
  </si>
  <si>
    <t>LARGE</t>
  </si>
  <si>
    <t>3600x1200</t>
  </si>
  <si>
    <t>XL</t>
  </si>
  <si>
    <t>4800X1200</t>
  </si>
  <si>
    <t>PRELAM PARTICLE BOARD/PRELAM MDF SIDE UNITS</t>
  </si>
  <si>
    <t>LOOP LEG</t>
  </si>
  <si>
    <t>CABINS</t>
  </si>
  <si>
    <t>CB</t>
  </si>
  <si>
    <t>RST</t>
  </si>
  <si>
    <t>1500x600</t>
  </si>
  <si>
    <t>RESTING</t>
  </si>
  <si>
    <t>1500x600+1800</t>
  </si>
  <si>
    <t>1800x750</t>
  </si>
  <si>
    <t>1800x750+1800</t>
  </si>
  <si>
    <t>2100x900</t>
  </si>
  <si>
    <t>2100x900+1800</t>
  </si>
  <si>
    <t>FR</t>
  </si>
  <si>
    <t>FREESTANDING</t>
  </si>
  <si>
    <t>1500x600+900</t>
  </si>
  <si>
    <t>1800x750+1350</t>
  </si>
  <si>
    <t>TB</t>
  </si>
  <si>
    <t>TABLE ONLY</t>
  </si>
  <si>
    <t>ATHENA MEETING</t>
  </si>
  <si>
    <t>ATHENA LEG</t>
  </si>
  <si>
    <t>STORAGES</t>
  </si>
  <si>
    <t>DRAWER PEDESTAL</t>
  </si>
  <si>
    <t>685 x 450 x 450</t>
  </si>
  <si>
    <t>1200/sqft</t>
  </si>
  <si>
    <t>SIDE UNIT</t>
  </si>
  <si>
    <t>1300/sqft</t>
  </si>
  <si>
    <t>LHS</t>
  </si>
  <si>
    <t>1500/sqft</t>
  </si>
  <si>
    <t>OHS</t>
  </si>
  <si>
    <t>1800/sqft</t>
  </si>
  <si>
    <t>FHS</t>
  </si>
  <si>
    <t>2000/sqft</t>
  </si>
  <si>
    <t>REPRO</t>
  </si>
  <si>
    <t>4500/sqft</t>
  </si>
  <si>
    <t>FLEXI CABINS</t>
  </si>
  <si>
    <t>VERTEBRA</t>
  </si>
  <si>
    <t>APR INC</t>
  </si>
  <si>
    <t>FLUTED WOOD MEETING</t>
  </si>
  <si>
    <t>FLUTED LEG</t>
  </si>
  <si>
    <t>side unit</t>
  </si>
  <si>
    <t>STARTEK CABINS</t>
  </si>
  <si>
    <t>LOOP CABINS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</si>
</sst>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theme="8"/>
      <name val="Arial"/>
      <family val="2"/>
      <scheme val="minor"/>
    </font>
    <font>
      <b/>
      <sz val="10"/>
      <color rgb="FFFFFF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4"/>
      <color theme="0"/>
      <name val="Arial"/>
      <family val="2"/>
      <scheme val="minor"/>
    </font>
    <font>
      <sz val="10"/>
      <name val="Arial"/>
      <family val="2"/>
    </font>
    <font>
      <sz val="24"/>
      <color rgb="FFFFFFFF"/>
      <name val="Arial"/>
      <family val="2"/>
      <scheme val="minor"/>
    </font>
    <font>
      <sz val="24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30"/>
      <color rgb="FFFFFFFF"/>
      <name val="Arial"/>
      <family val="2"/>
      <scheme val="minor"/>
    </font>
    <font>
      <sz val="16"/>
      <color theme="1"/>
      <name val="Arial"/>
      <family val="2"/>
    </font>
    <font>
      <sz val="11"/>
      <color rgb="FF000000"/>
      <name val="Calibri"/>
      <family val="2"/>
    </font>
    <font>
      <sz val="16"/>
      <color theme="1"/>
      <name val="Calibri"/>
      <family val="2"/>
    </font>
    <font>
      <b/>
      <sz val="17"/>
      <color theme="1"/>
      <name val="Arial"/>
      <family val="2"/>
      <scheme val="minor"/>
    </font>
    <font>
      <b/>
      <sz val="27"/>
      <color theme="1"/>
      <name val="Arial"/>
      <family val="2"/>
      <scheme val="minor"/>
    </font>
    <font>
      <sz val="10"/>
      <color rgb="FFFFFF00"/>
      <name val="Arial"/>
      <family val="2"/>
      <scheme val="minor"/>
    </font>
    <font>
      <sz val="10"/>
      <color rgb="FF0C343D"/>
      <name val="Arial"/>
      <family val="2"/>
      <scheme val="minor"/>
    </font>
    <font>
      <b/>
      <sz val="10"/>
      <color rgb="FFFF6D01"/>
      <name val="Arial"/>
      <family val="2"/>
      <scheme val="minor"/>
    </font>
    <font>
      <b/>
      <sz val="24"/>
      <color rgb="FFFFFFFF"/>
      <name val="Arial"/>
      <family val="2"/>
      <scheme val="minor"/>
    </font>
    <font>
      <b/>
      <sz val="30"/>
      <color theme="0"/>
      <name val="Arial"/>
      <family val="2"/>
      <scheme val="minor"/>
    </font>
    <font>
      <sz val="10"/>
      <color theme="1"/>
      <name val="Arial"/>
      <family val="2"/>
    </font>
    <font>
      <b/>
      <sz val="30"/>
      <color theme="1"/>
      <name val="Arial"/>
      <family val="2"/>
      <scheme val="minor"/>
    </font>
    <font>
      <b/>
      <sz val="24"/>
      <color rgb="FFFFFFFF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134F5C"/>
        <bgColor rgb="FF134F5C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D0E0E3"/>
        <bgColor rgb="FFD0E0E3"/>
      </patternFill>
    </fill>
    <fill>
      <patternFill patternType="solid">
        <fgColor rgb="FF999999"/>
        <bgColor rgb="FF999999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  <fill>
      <patternFill patternType="solid">
        <fgColor rgb="FF12516B"/>
        <bgColor rgb="FF12516B"/>
      </patternFill>
    </fill>
    <fill>
      <patternFill patternType="solid">
        <fgColor rgb="FFE6B8AF"/>
        <bgColor rgb="FFE6B8AF"/>
      </patternFill>
    </fill>
    <fill>
      <patternFill patternType="solid">
        <fgColor rgb="FFB7B7B7"/>
        <bgColor rgb="FFB7B7B7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49" fontId="1" fillId="6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/>
    </xf>
    <xf numFmtId="3" fontId="5" fillId="4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9" fillId="0" borderId="0" xfId="0" applyFont="1"/>
    <xf numFmtId="0" fontId="1" fillId="2" borderId="0" xfId="0" applyFont="1" applyFill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49" fontId="14" fillId="8" borderId="3" xfId="0" applyNumberFormat="1" applyFont="1" applyFill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6" fillId="9" borderId="16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3" fontId="2" fillId="8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wrapText="1"/>
    </xf>
    <xf numFmtId="49" fontId="19" fillId="10" borderId="3" xfId="0" applyNumberFormat="1" applyFont="1" applyFill="1" applyBorder="1" applyAlignment="1">
      <alignment horizontal="center" vertical="center" wrapText="1"/>
    </xf>
    <xf numFmtId="3" fontId="1" fillId="8" borderId="3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19" fillId="10" borderId="3" xfId="0" applyNumberFormat="1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0" borderId="3" xfId="0" applyFont="1" applyBorder="1" applyAlignment="1">
      <alignment horizontal="center" wrapText="1"/>
    </xf>
    <xf numFmtId="0" fontId="12" fillId="12" borderId="0" xfId="0" applyFont="1" applyFill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49" fontId="1" fillId="13" borderId="3" xfId="0" applyNumberFormat="1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3" fontId="2" fillId="13" borderId="3" xfId="0" applyNumberFormat="1" applyFont="1" applyFill="1" applyBorder="1" applyAlignment="1">
      <alignment horizontal="center" vertical="center" wrapText="1"/>
    </xf>
    <xf numFmtId="3" fontId="1" fillId="13" borderId="3" xfId="0" applyNumberFormat="1" applyFont="1" applyFill="1" applyBorder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horizontal="center" vertical="center" wrapText="1"/>
    </xf>
    <xf numFmtId="0" fontId="23" fillId="16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3" fontId="2" fillId="16" borderId="3" xfId="0" applyNumberFormat="1" applyFont="1" applyFill="1" applyBorder="1" applyAlignment="1">
      <alignment horizontal="center" vertical="center" wrapText="1"/>
    </xf>
    <xf numFmtId="3" fontId="1" fillId="16" borderId="3" xfId="0" applyNumberFormat="1" applyFont="1" applyFill="1" applyBorder="1" applyAlignment="1">
      <alignment horizontal="center" vertical="center" wrapText="1"/>
    </xf>
    <xf numFmtId="0" fontId="23" fillId="16" borderId="3" xfId="0" applyFont="1" applyFill="1" applyBorder="1" applyAlignment="1">
      <alignment horizontal="center" wrapText="1"/>
    </xf>
    <xf numFmtId="0" fontId="24" fillId="10" borderId="0" xfId="0" applyFont="1" applyFill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3" fontId="2" fillId="10" borderId="3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3" fillId="0" borderId="12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23" fillId="0" borderId="18" xfId="0" applyFont="1" applyBorder="1"/>
    <xf numFmtId="0" fontId="23" fillId="0" borderId="14" xfId="0" applyFont="1" applyBorder="1"/>
    <xf numFmtId="0" fontId="13" fillId="0" borderId="18" xfId="0" applyFont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23" fillId="0" borderId="0" xfId="0" applyFont="1"/>
    <xf numFmtId="0" fontId="13" fillId="11" borderId="0" xfId="0" applyFont="1" applyFill="1" applyAlignment="1">
      <alignment horizontal="center" wrapText="1"/>
    </xf>
    <xf numFmtId="49" fontId="13" fillId="0" borderId="0" xfId="0" applyNumberFormat="1" applyFont="1" applyAlignment="1">
      <alignment horizontal="center" wrapText="1"/>
    </xf>
    <xf numFmtId="0" fontId="23" fillId="0" borderId="3" xfId="0" applyFont="1" applyBorder="1"/>
    <xf numFmtId="0" fontId="9" fillId="19" borderId="0" xfId="0" applyFont="1" applyFill="1" applyAlignment="1">
      <alignment horizontal="center" vertical="center" wrapText="1"/>
    </xf>
    <xf numFmtId="2" fontId="9" fillId="19" borderId="0" xfId="0" applyNumberFormat="1" applyFont="1" applyFill="1" applyAlignment="1">
      <alignment horizontal="center" vertical="center" wrapText="1"/>
    </xf>
    <xf numFmtId="0" fontId="9" fillId="19" borderId="0" xfId="0" applyFont="1" applyFill="1"/>
    <xf numFmtId="49" fontId="13" fillId="0" borderId="3" xfId="0" applyNumberFormat="1" applyFont="1" applyBorder="1" applyAlignment="1">
      <alignment horizont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4" xfId="0" applyFont="1" applyBorder="1"/>
    <xf numFmtId="0" fontId="12" fillId="7" borderId="0" xfId="0" applyFont="1" applyFill="1" applyAlignment="1">
      <alignment horizontal="center" vertical="center" wrapText="1"/>
    </xf>
    <xf numFmtId="0" fontId="0" fillId="0" borderId="0" xfId="0"/>
    <xf numFmtId="0" fontId="12" fillId="12" borderId="0" xfId="0" applyFont="1" applyFill="1" applyAlignment="1">
      <alignment horizontal="center" vertical="center" wrapText="1"/>
    </xf>
    <xf numFmtId="0" fontId="22" fillId="15" borderId="0" xfId="0" applyFont="1" applyFill="1" applyAlignment="1">
      <alignment horizontal="center" vertical="center" wrapText="1"/>
    </xf>
    <xf numFmtId="0" fontId="24" fillId="11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8" xfId="0" applyFont="1" applyBorder="1"/>
    <xf numFmtId="0" fontId="7" fillId="0" borderId="15" xfId="0" applyFont="1" applyBorder="1"/>
    <xf numFmtId="49" fontId="1" fillId="2" borderId="11" xfId="0" applyNumberFormat="1" applyFont="1" applyFill="1" applyBorder="1" applyAlignment="1">
      <alignment horizontal="center" vertical="center"/>
    </xf>
    <xf numFmtId="0" fontId="7" fillId="0" borderId="12" xfId="0" applyFont="1" applyBorder="1"/>
    <xf numFmtId="49" fontId="3" fillId="3" borderId="0" xfId="0" applyNumberFormat="1" applyFont="1" applyFill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19" fillId="10" borderId="11" xfId="0" applyNumberFormat="1" applyFont="1" applyFill="1" applyBorder="1" applyAlignment="1">
      <alignment horizontal="center" vertical="center" wrapText="1"/>
    </xf>
    <xf numFmtId="0" fontId="7" fillId="0" borderId="17" xfId="0" applyFont="1" applyBorder="1"/>
    <xf numFmtId="49" fontId="20" fillId="3" borderId="0" xfId="0" applyNumberFormat="1" applyFont="1" applyFill="1" applyAlignment="1">
      <alignment horizontal="center" vertical="center"/>
    </xf>
    <xf numFmtId="49" fontId="19" fillId="10" borderId="11" xfId="0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1" fillId="5" borderId="0" xfId="0" applyFont="1" applyFill="1" applyAlignment="1">
      <alignment horizontal="center" vertical="center" wrapText="1"/>
    </xf>
    <xf numFmtId="0" fontId="21" fillId="17" borderId="0" xfId="0" applyFont="1" applyFill="1" applyAlignment="1">
      <alignment horizontal="center" vertical="center" wrapText="1"/>
    </xf>
    <xf numFmtId="0" fontId="25" fillId="17" borderId="0" xfId="0" applyFont="1" applyFill="1" applyAlignment="1">
      <alignment horizontal="center" wrapText="1"/>
    </xf>
    <xf numFmtId="0" fontId="2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747"/>
  <sheetViews>
    <sheetView tabSelected="1" workbookViewId="0">
      <pane ySplit="2" topLeftCell="A108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3.6640625" customWidth="1"/>
    <col min="2" max="6" width="10.6640625" hidden="1" customWidth="1"/>
    <col min="7" max="7" width="13.1640625" hidden="1" customWidth="1"/>
    <col min="8" max="8" width="10.6640625" hidden="1" customWidth="1"/>
    <col min="9" max="9" width="32.1640625" customWidth="1"/>
    <col min="10" max="16" width="20.1640625" customWidth="1"/>
    <col min="17" max="17" width="109.83203125" customWidth="1"/>
    <col min="18" max="18" width="13" customWidth="1"/>
    <col min="19" max="19" width="25.6640625" customWidth="1"/>
    <col min="20" max="20" width="13" customWidth="1"/>
    <col min="21" max="21" width="17.6640625" hidden="1" customWidth="1"/>
    <col min="22" max="24" width="20.6640625" hidden="1" customWidth="1"/>
    <col min="25" max="25" width="3.6640625" customWidth="1"/>
  </cols>
  <sheetData>
    <row r="1" spans="1:25" ht="14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3"/>
      <c r="S1" s="3"/>
      <c r="T1" s="3"/>
      <c r="U1" s="5"/>
      <c r="V1" s="5"/>
      <c r="W1" s="5"/>
      <c r="X1" s="5"/>
      <c r="Y1" s="1"/>
    </row>
    <row r="2" spans="1:25" ht="36.75" customHeight="1" x14ac:dyDescent="0.15">
      <c r="A2" s="7"/>
      <c r="B2" s="83" t="s">
        <v>7</v>
      </c>
      <c r="C2" s="84"/>
      <c r="D2" s="84"/>
      <c r="E2" s="84"/>
      <c r="F2" s="84"/>
      <c r="G2" s="84"/>
      <c r="H2" s="85"/>
      <c r="I2" s="9" t="s">
        <v>13</v>
      </c>
      <c r="J2" s="9" t="s">
        <v>18</v>
      </c>
      <c r="K2" s="9" t="s">
        <v>20</v>
      </c>
      <c r="L2" s="9" t="s">
        <v>22</v>
      </c>
      <c r="M2" s="9" t="s">
        <v>24</v>
      </c>
      <c r="N2" s="9" t="s">
        <v>26</v>
      </c>
      <c r="O2" s="9" t="s">
        <v>28</v>
      </c>
      <c r="P2" s="9" t="s">
        <v>9</v>
      </c>
      <c r="Q2" s="9" t="s">
        <v>29</v>
      </c>
      <c r="R2" s="12" t="s">
        <v>30</v>
      </c>
      <c r="S2" s="12" t="s">
        <v>34</v>
      </c>
      <c r="T2" s="12" t="s">
        <v>37</v>
      </c>
      <c r="U2" s="12" t="s">
        <v>39</v>
      </c>
      <c r="V2" s="12" t="s">
        <v>41</v>
      </c>
      <c r="W2" s="12" t="s">
        <v>43</v>
      </c>
      <c r="X2" s="12" t="s">
        <v>45</v>
      </c>
      <c r="Y2" s="14"/>
    </row>
    <row r="3" spans="1:25" ht="43.5" customHeight="1" x14ac:dyDescent="0.15">
      <c r="A3" s="15"/>
      <c r="B3" s="16"/>
      <c r="C3" s="16"/>
      <c r="D3" s="16"/>
      <c r="E3" s="16"/>
      <c r="F3" s="16"/>
      <c r="G3" s="16"/>
      <c r="H3" s="16"/>
      <c r="I3" s="86" t="s">
        <v>54</v>
      </c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16"/>
      <c r="V3" s="16"/>
      <c r="W3" s="16"/>
      <c r="X3" s="16"/>
      <c r="Y3" s="18"/>
    </row>
    <row r="4" spans="1:25" ht="222" customHeight="1" x14ac:dyDescent="0.15">
      <c r="A4" s="15"/>
      <c r="B4" s="20" t="s">
        <v>58</v>
      </c>
      <c r="C4" s="20" t="s">
        <v>60</v>
      </c>
      <c r="D4" s="20" t="s">
        <v>61</v>
      </c>
      <c r="E4" s="20" t="s">
        <v>63</v>
      </c>
      <c r="F4" s="20" t="s">
        <v>65</v>
      </c>
      <c r="G4" s="20">
        <v>900</v>
      </c>
      <c r="H4" s="20" t="s">
        <v>66</v>
      </c>
      <c r="I4" s="20" t="str">
        <f t="shared" ref="I4:I166" si="0">CONCATENATE(B4,C4,"-",D4,"-",E4,"-",F4,"-",G4,"-",H4)</f>
        <v>WFLX-LNR-SH-PB-900-F</v>
      </c>
      <c r="J4" s="20" t="s">
        <v>86</v>
      </c>
      <c r="K4" s="25" t="str">
        <f>'MASTER DATA'!B33</f>
        <v>FLEXI</v>
      </c>
      <c r="L4" s="20" t="s">
        <v>95</v>
      </c>
      <c r="M4" s="20" t="s">
        <v>96</v>
      </c>
      <c r="N4" s="20">
        <v>900</v>
      </c>
      <c r="O4" s="25" t="str">
        <f>'MASTER DATA'!B21</f>
        <v>PLPB BSL</v>
      </c>
      <c r="P4" s="25" t="str">
        <f>'MASTER DATA'!B52</f>
        <v>FABRIC</v>
      </c>
      <c r="Q4" s="33" t="str">
        <f t="array" ref="Q4">"Actual size: "&amp;N4&amp;" x 600mm per user"&amp;CHAR(10)&amp;CHAR(10)&amp;"Formation - "&amp;K4&amp;" "&amp;M4&amp;CHAR(10)&amp;CHAR(10)&amp;"Top material: "&amp;INDEX('MASTER DATA'!$D$21:$D$29,MATCH(O4,'MASTER DATA'!$B$21:$B$29,0))&amp;CHAR(10)&amp;"Color specs: TBD"&amp;CHAR(10)&amp;CHAR(10)&amp;"Leg: "&amp;INDEX('MASTER DATA'!$D$33:$D$37,MATCH(K4,'MASTER DATA'!$B$33:$B$37,0))&amp;CHAR(10)&amp;"Color specs: TBD"&amp;CHAR(10)&amp;CHAR(10)&amp;"Electrification: "&amp;'MASTER DATA'!D42&amp;CHAR(10)&amp;"Color specs: TBD"&amp;CHAR(10)&amp;CHAR(10)&amp;"Screen: "&amp;INDEX('MASTER DATA'!$D$52:$D$54,MATCH(P4,'MASTER DATA'!$B$52:$B$54,0))&amp;CHAR(10)&amp;"Color specs: TBD"</f>
        <v>Actual size: 900 x 600mm per user
Formation - FLEXI SHARING
Top material: 18MM PRE-LAMINATED PARTICLE BOARD BOTH SIDES LAMINATE WITH EDGEBANDING
Color specs: TBD
Leg: MS+ALUMINUM LEG WITH POWDER COATING
Color specs: TBD
Electrification: 450MM XIO FLAP + SWITCH PLATE INSIDE, *switches not in Burosys scope
Color specs: TBD
Screen: L:6" LESS THAN TOP LENGTH, H400mm, D30mm 
FABRIC PINUP BOARD WITH ALUMINUM TRIMS 
Color specs: TBD</v>
      </c>
      <c r="R4" s="33"/>
      <c r="S4" s="33" t="s">
        <v>107</v>
      </c>
      <c r="T4" s="33">
        <f t="shared" ref="T4:T166" ca="1" si="1">INDIRECT("'CALC FLX WST'!R"&amp;(ROW()-3)*7)</f>
        <v>11200</v>
      </c>
      <c r="U4" s="38">
        <f t="shared" ref="U4:U166" ca="1" si="2">T4*0.9</f>
        <v>10080</v>
      </c>
      <c r="V4" s="38">
        <f t="shared" ref="V4:V166" ca="1" si="3">T4*0.85</f>
        <v>9520</v>
      </c>
      <c r="W4" s="38">
        <f t="shared" ref="W4:W166" ca="1" si="4">T4*0.8</f>
        <v>8960</v>
      </c>
      <c r="X4" s="38">
        <f t="shared" ref="X4:X166" ca="1" si="5">T4*0.7</f>
        <v>7839.9999999999991</v>
      </c>
      <c r="Y4" s="18"/>
    </row>
    <row r="5" spans="1:25" ht="222" customHeight="1" x14ac:dyDescent="0.15">
      <c r="A5" s="15"/>
      <c r="B5" s="20" t="s">
        <v>58</v>
      </c>
      <c r="C5" s="20" t="s">
        <v>60</v>
      </c>
      <c r="D5" s="20" t="s">
        <v>61</v>
      </c>
      <c r="E5" s="20" t="s">
        <v>63</v>
      </c>
      <c r="F5" s="20" t="s">
        <v>65</v>
      </c>
      <c r="G5" s="20">
        <v>900</v>
      </c>
      <c r="H5" s="20" t="s">
        <v>116</v>
      </c>
      <c r="I5" s="20" t="str">
        <f t="shared" si="0"/>
        <v>WFLX-LNR-SH-PB-900-G</v>
      </c>
      <c r="J5" s="20" t="s">
        <v>86</v>
      </c>
      <c r="K5" s="25" t="str">
        <f>K4</f>
        <v>FLEXI</v>
      </c>
      <c r="L5" s="20" t="s">
        <v>95</v>
      </c>
      <c r="M5" s="20" t="s">
        <v>96</v>
      </c>
      <c r="N5" s="20">
        <v>900</v>
      </c>
      <c r="O5" s="25" t="str">
        <f>O4</f>
        <v>PLPB BSL</v>
      </c>
      <c r="P5" s="25" t="str">
        <f>'MASTER DATA'!B53</f>
        <v>GLASS</v>
      </c>
      <c r="Q5" s="33" t="str">
        <f t="array" ref="Q5">"Actual size: "&amp;N5&amp;" x 600mm per user"&amp;CHAR(10)&amp;CHAR(10)&amp;"Formation - "&amp;K5&amp;" "&amp;M5&amp;CHAR(10)&amp;CHAR(10)&amp;"Top material: "&amp;INDEX('MASTER DATA'!$D$21:$D$29,MATCH(O5,'MASTER DATA'!$B$21:$B$29,0))&amp;CHAR(10)&amp;"Color specs: TBD"&amp;CHAR(10)&amp;CHAR(10)&amp;"Leg: "&amp;INDEX('MASTER DATA'!$D$33:$D$37,MATCH(K5,'MASTER DATA'!$B$33:$B$37,0))&amp;CHAR(10)&amp;"Color specs: TBD"&amp;CHAR(10)&amp;CHAR(10)&amp;"Electrification: "&amp;'MASTER DATA'!D43&amp;CHAR(10)&amp;"Color specs: TBD"&amp;CHAR(10)&amp;CHAR(10)&amp;"Screen: "&amp;INDEX('MASTER DATA'!$D$52:$D$54,MATCH(P5,'MASTER DATA'!$B$52:$B$54,0))&amp;CHAR(10)&amp;"Color specs: TBD"</f>
        <v>Actual size: 900 x 600mm per user
Formation - FLEXI SHARING
Top material: 18MM PRE-LAMINATED PARTICLE BOARD BOTH SIDES LAMINATE WITH EDGEBANDING
Color specs: TBD
Leg: MS+ALUMINUM LEG WITH POWDER COATING
Color specs: TBD
Electrification: Q CURVY POP BOX
Color specs: TBD
Screen: 4+4MM SANDWICHED BACK PAINTED MAGNETIC GLASS SCREEN
Color specs: TBD</v>
      </c>
      <c r="R5" s="33"/>
      <c r="S5" s="33" t="s">
        <v>129</v>
      </c>
      <c r="T5" s="33">
        <f t="shared" ca="1" si="1"/>
        <v>11400</v>
      </c>
      <c r="U5" s="38">
        <f t="shared" ca="1" si="2"/>
        <v>10260</v>
      </c>
      <c r="V5" s="38">
        <f t="shared" ca="1" si="3"/>
        <v>9690</v>
      </c>
      <c r="W5" s="38">
        <f t="shared" ca="1" si="4"/>
        <v>9120</v>
      </c>
      <c r="X5" s="38">
        <f t="shared" ca="1" si="5"/>
        <v>7979.9999999999991</v>
      </c>
      <c r="Y5" s="18"/>
    </row>
    <row r="6" spans="1:25" ht="222" customHeight="1" x14ac:dyDescent="0.15">
      <c r="A6" s="15"/>
      <c r="B6" s="20" t="s">
        <v>58</v>
      </c>
      <c r="C6" s="20" t="s">
        <v>60</v>
      </c>
      <c r="D6" s="20" t="s">
        <v>61</v>
      </c>
      <c r="E6" s="20" t="s">
        <v>63</v>
      </c>
      <c r="F6" s="20" t="s">
        <v>65</v>
      </c>
      <c r="G6" s="20">
        <v>900</v>
      </c>
      <c r="H6" s="20" t="s">
        <v>131</v>
      </c>
      <c r="I6" s="20" t="str">
        <f t="shared" si="0"/>
        <v>WFLX-LNR-SH-PB-900-X</v>
      </c>
      <c r="J6" s="20" t="s">
        <v>86</v>
      </c>
      <c r="K6" s="20" t="s">
        <v>130</v>
      </c>
      <c r="L6" s="20" t="s">
        <v>95</v>
      </c>
      <c r="M6" s="20" t="s">
        <v>96</v>
      </c>
      <c r="N6" s="20">
        <v>900</v>
      </c>
      <c r="O6" s="20" t="s">
        <v>11</v>
      </c>
      <c r="P6" s="25" t="str">
        <f>'MASTER DATA'!B54</f>
        <v>NONE</v>
      </c>
      <c r="Q6" s="33" t="str">
        <f t="array" ref="Q6">"Actual size: "&amp;N6&amp;" x 600mm per user"&amp;CHAR(10)&amp;CHAR(10)&amp;"Formation - "&amp;K6&amp;" "&amp;M6&amp;CHAR(10)&amp;CHAR(10)&amp;"Top material: "&amp;INDEX('MASTER DATA'!$D$21:$D$29,MATCH(O6,'MASTER DATA'!$B$21:$B$29,0))&amp;CHAR(10)&amp;"Color specs: TBD"&amp;CHAR(10)&amp;CHAR(10)&amp;"Leg: "&amp;INDEX('MASTER DATA'!$D$33:$D$37,MATCH(K6,'MASTER DATA'!$B$33:$B$37,0))&amp;CHAR(10)&amp;"Color specs: TBD"&amp;CHAR(10)&amp;CHAR(10)&amp;"Electrification: "&amp;'MASTER DATA'!D44&amp;CHAR(10)&amp;"Color specs: TBD"&amp;CHAR(10)&amp;CHAR(10)&amp;"Screen: "&amp;INDEX('MASTER DATA'!$D$52:$D$54,MATCH(P6,'MASTER DATA'!$B$52:$B$54,0))&amp;CHAR(10)&amp;"Color specs: TBD"</f>
        <v>Actual size: 900 x 600mm per user
Formation - FLEXI SHARING
Top material: 18MM PRE-LAMINATED PARTICLE BOARD BOTH SIDES LAMINATE WITH EDGEBANDING
Color specs: TBD
Leg: MS+ALUMINUM LEG WITH POWDER COATING
Color specs: TBD
Electrification: 4+4 SWITCHES WITH SCREEN HOLDER
Color specs: TBD
Screen: 
Color specs: TBD</v>
      </c>
      <c r="R6" s="33"/>
      <c r="S6" s="33" t="s">
        <v>148</v>
      </c>
      <c r="T6" s="33">
        <f t="shared" ca="1" si="1"/>
        <v>9500</v>
      </c>
      <c r="U6" s="38">
        <f t="shared" ca="1" si="2"/>
        <v>8550</v>
      </c>
      <c r="V6" s="38">
        <f t="shared" ca="1" si="3"/>
        <v>8075</v>
      </c>
      <c r="W6" s="38">
        <f t="shared" ca="1" si="4"/>
        <v>7600</v>
      </c>
      <c r="X6" s="38">
        <f t="shared" ca="1" si="5"/>
        <v>6650</v>
      </c>
      <c r="Y6" s="18"/>
    </row>
    <row r="7" spans="1:25" ht="222" customHeight="1" x14ac:dyDescent="0.15">
      <c r="A7" s="18"/>
      <c r="B7" s="20" t="s">
        <v>58</v>
      </c>
      <c r="C7" s="20" t="s">
        <v>60</v>
      </c>
      <c r="D7" s="20" t="s">
        <v>61</v>
      </c>
      <c r="E7" s="20" t="s">
        <v>63</v>
      </c>
      <c r="F7" s="20" t="s">
        <v>112</v>
      </c>
      <c r="G7" s="20">
        <v>900</v>
      </c>
      <c r="H7" s="20" t="s">
        <v>66</v>
      </c>
      <c r="I7" s="20" t="str">
        <f t="shared" si="0"/>
        <v>WFLX-LNR-SH-PLM-900-F</v>
      </c>
      <c r="J7" s="20" t="s">
        <v>86</v>
      </c>
      <c r="K7" s="20" t="s">
        <v>130</v>
      </c>
      <c r="L7" s="20" t="s">
        <v>95</v>
      </c>
      <c r="M7" s="20" t="s">
        <v>96</v>
      </c>
      <c r="N7" s="20">
        <v>900</v>
      </c>
      <c r="O7" s="20" t="s">
        <v>31</v>
      </c>
      <c r="P7" s="25" t="str">
        <f t="shared" ref="P7:P9" si="6">P4</f>
        <v>FABRIC</v>
      </c>
      <c r="Q7" s="33" t="str">
        <f t="array" ref="Q7">"Actual size: "&amp;N7&amp;" x 600mm per user"&amp;CHAR(10)&amp;CHAR(10)&amp;"Formation - "&amp;K7&amp;" "&amp;M7&amp;CHAR(10)&amp;CHAR(10)&amp;"Top material: "&amp;INDEX('MASTER DATA'!$D$21:$D$29,MATCH(O7,'MASTER DATA'!$B$21:$B$29,0))&amp;CHAR(10)&amp;"Color specs: TBD"&amp;CHAR(10)&amp;CHAR(10)&amp;"Leg: "&amp;INDEX('MASTER DATA'!$D$33:$D$37,MATCH(K7,'MASTER DATA'!$B$33:$B$37,0))&amp;CHAR(10)&amp;"Color specs: TBD"&amp;CHAR(10)&amp;CHAR(10)&amp;"Electrification: "&amp;'MASTER DATA'!D45&amp;CHAR(10)&amp;"Color specs: TBD"&amp;CHAR(10)&amp;CHAR(10)&amp;"Screen: "&amp;INDEX('MASTER DATA'!$D$52:$D$54,MATCH(P7,'MASTER DATA'!$B$52:$B$54,0))&amp;CHAR(10)&amp;"Color specs: TBD"</f>
        <v>Actual size: 900 x 600mm per user
Formation - FLEXI SHARING
Top material: 18MM PRE-LAMINATED MDF(MEDIUM DESNSITY FIBER) BOARD BOTH SIDES LAMINATE
Color specs: TBD
Leg: MS+ALUMINUM LEG WITH POWDER COATING
Color specs: TBD
Electrification: 2 WAY ACCESS FLAP WITH SWITCH PLATE INSIDE
Color specs: TBD
Screen: L:6" LESS THAN TOP LENGTH, H400mm, D30mm 
FABRIC PINUP BOARD WITH ALUMINUM TRIMS 
Color specs: TBD</v>
      </c>
      <c r="R7" s="33"/>
      <c r="S7" s="33" t="s">
        <v>107</v>
      </c>
      <c r="T7" s="33">
        <f t="shared" ca="1" si="1"/>
        <v>12100</v>
      </c>
      <c r="U7" s="38">
        <f t="shared" ca="1" si="2"/>
        <v>10890</v>
      </c>
      <c r="V7" s="38">
        <f t="shared" ca="1" si="3"/>
        <v>10285</v>
      </c>
      <c r="W7" s="38">
        <f t="shared" ca="1" si="4"/>
        <v>9680</v>
      </c>
      <c r="X7" s="38">
        <f t="shared" ca="1" si="5"/>
        <v>8470</v>
      </c>
      <c r="Y7" s="18"/>
    </row>
    <row r="8" spans="1:25" ht="222" customHeight="1" x14ac:dyDescent="0.15">
      <c r="A8" s="18"/>
      <c r="B8" s="20" t="s">
        <v>58</v>
      </c>
      <c r="C8" s="20" t="s">
        <v>60</v>
      </c>
      <c r="D8" s="20" t="s">
        <v>61</v>
      </c>
      <c r="E8" s="20" t="s">
        <v>63</v>
      </c>
      <c r="F8" s="20" t="s">
        <v>112</v>
      </c>
      <c r="G8" s="20">
        <v>900</v>
      </c>
      <c r="H8" s="20" t="s">
        <v>116</v>
      </c>
      <c r="I8" s="20" t="str">
        <f t="shared" si="0"/>
        <v>WFLX-LNR-SH-PLM-900-G</v>
      </c>
      <c r="J8" s="20" t="s">
        <v>86</v>
      </c>
      <c r="K8" s="20" t="s">
        <v>130</v>
      </c>
      <c r="L8" s="20" t="s">
        <v>95</v>
      </c>
      <c r="M8" s="20" t="s">
        <v>96</v>
      </c>
      <c r="N8" s="20">
        <v>900</v>
      </c>
      <c r="O8" s="20" t="s">
        <v>31</v>
      </c>
      <c r="P8" s="25" t="str">
        <f t="shared" si="6"/>
        <v>GLASS</v>
      </c>
      <c r="Q8" s="33" t="str">
        <f t="array" ref="Q8">"Actual size: "&amp;N8&amp;" x 600mm per user"&amp;CHAR(10)&amp;CHAR(10)&amp;"Formation - "&amp;K8&amp;" "&amp;M8&amp;CHAR(10)&amp;CHAR(10)&amp;"Top material: "&amp;INDEX('MASTER DATA'!$D$21:$D$29,MATCH(O8,'MASTER DATA'!$B$21:$B$29,0))&amp;CHAR(10)&amp;"Color specs: TBD"&amp;CHAR(10)&amp;CHAR(10)&amp;"Leg: "&amp;INDEX('MASTER DATA'!$D$33:$D$37,MATCH(K8,'MASTER DATA'!$B$33:$B$37,0))&amp;CHAR(10)&amp;"Color specs: TBD"&amp;CHAR(10)&amp;CHAR(10)&amp;"Electrification: "&amp;'MASTER DATA'!D46&amp;CHAR(10)&amp;"Color specs: TBD"&amp;CHAR(10)&amp;CHAR(10)&amp;"Screen: "&amp;INDEX('MASTER DATA'!$D$52:$D$54,MATCH(P8,'MASTER DATA'!$B$52:$B$54,0))&amp;CHAR(10)&amp;"Color specs: TBD"</f>
        <v>Actual size: 900 x 600mm per user
Formation - FLEXI SHARING
Top material: 18MM PRE-LAMINATED MDF(MEDIUM DESNSITY FIBER) BOARD BOTH SIDES LAMINATE
Color specs: TBD
Leg: MS+ALUMINUM LEG WITH POWDER COATING
Color specs: TBD
Electrification: 100MM VERTICAL BOX
Color specs: TBD
Screen: 4+4MM SANDWICHED BACK PAINTED MAGNETIC GLASS SCREEN
Color specs: TBD</v>
      </c>
      <c r="R8" s="33"/>
      <c r="S8" s="33" t="s">
        <v>129</v>
      </c>
      <c r="T8" s="33">
        <f t="shared" ca="1" si="1"/>
        <v>12300</v>
      </c>
      <c r="U8" s="38">
        <f t="shared" ca="1" si="2"/>
        <v>11070</v>
      </c>
      <c r="V8" s="38">
        <f t="shared" ca="1" si="3"/>
        <v>10455</v>
      </c>
      <c r="W8" s="38">
        <f t="shared" ca="1" si="4"/>
        <v>9840</v>
      </c>
      <c r="X8" s="38">
        <f t="shared" ca="1" si="5"/>
        <v>8610</v>
      </c>
      <c r="Y8" s="18"/>
    </row>
    <row r="9" spans="1:25" ht="222" customHeight="1" x14ac:dyDescent="0.15">
      <c r="A9" s="18"/>
      <c r="B9" s="20" t="s">
        <v>58</v>
      </c>
      <c r="C9" s="20" t="s">
        <v>60</v>
      </c>
      <c r="D9" s="20" t="s">
        <v>61</v>
      </c>
      <c r="E9" s="20" t="s">
        <v>63</v>
      </c>
      <c r="F9" s="20" t="s">
        <v>112</v>
      </c>
      <c r="G9" s="20">
        <v>900</v>
      </c>
      <c r="H9" s="20" t="s">
        <v>131</v>
      </c>
      <c r="I9" s="20" t="str">
        <f t="shared" si="0"/>
        <v>WFLX-LNR-SH-PLM-900-X</v>
      </c>
      <c r="J9" s="20" t="s">
        <v>86</v>
      </c>
      <c r="K9" s="20" t="s">
        <v>130</v>
      </c>
      <c r="L9" s="20" t="s">
        <v>95</v>
      </c>
      <c r="M9" s="20" t="s">
        <v>96</v>
      </c>
      <c r="N9" s="20">
        <v>900</v>
      </c>
      <c r="O9" s="20" t="s">
        <v>31</v>
      </c>
      <c r="P9" s="25" t="str">
        <f t="shared" si="6"/>
        <v>NONE</v>
      </c>
      <c r="Q9" s="33" t="str">
        <f t="array" ref="Q9">"Actual size: "&amp;N9&amp;" x 600mm per user"&amp;CHAR(10)&amp;CHAR(10)&amp;"Formation - "&amp;K9&amp;" "&amp;M9&amp;CHAR(10)&amp;CHAR(10)&amp;"Top material: "&amp;INDEX('MASTER DATA'!$D$21:$D$29,MATCH(O9,'MASTER DATA'!$B$21:$B$29,0))&amp;CHAR(10)&amp;"Color specs: TBD"&amp;CHAR(10)&amp;CHAR(10)&amp;"Leg: "&amp;INDEX('MASTER DATA'!$D$33:$D$37,MATCH(K9,'MASTER DATA'!$B$33:$B$37,0))&amp;CHAR(10)&amp;"Color specs: TBD"&amp;CHAR(10)&amp;CHAR(10)&amp;"Electrification: "&amp;'MASTER DATA'!D47&amp;CHAR(10)&amp;"Color specs: TBD"&amp;CHAR(10)&amp;CHAR(10)&amp;"Screen: "&amp;INDEX('MASTER DATA'!$D$52:$D$54,MATCH(P9,'MASTER DATA'!$B$52:$B$54,0))&amp;CHAR(10)&amp;"Color specs: TBD"</f>
        <v>Actual size: 900 x 600mm per user
Formation - FLEXI SHARING
Top material: 18MM PRE-LAMINATED MDF(MEDIUM DESNSITY FIBER) BOARD BOTH SIDES LAMINATE
Color specs: TBD
Leg: MS+ALUMINUM LEG WITH POWDER COATING
Color specs: TBD
Electrification: 450MM VERTICAL BOX
Color specs: TBD
Screen: 
Color specs: TBD</v>
      </c>
      <c r="R9" s="33"/>
      <c r="S9" s="33" t="s">
        <v>148</v>
      </c>
      <c r="T9" s="33">
        <f t="shared" ca="1" si="1"/>
        <v>10300</v>
      </c>
      <c r="U9" s="38">
        <f t="shared" ca="1" si="2"/>
        <v>9270</v>
      </c>
      <c r="V9" s="38">
        <f t="shared" ca="1" si="3"/>
        <v>8755</v>
      </c>
      <c r="W9" s="38">
        <f t="shared" ca="1" si="4"/>
        <v>8240</v>
      </c>
      <c r="X9" s="38">
        <f t="shared" ca="1" si="5"/>
        <v>7209.9999999999991</v>
      </c>
      <c r="Y9" s="18"/>
    </row>
    <row r="10" spans="1:25" ht="222" customHeight="1" x14ac:dyDescent="0.15">
      <c r="A10" s="18"/>
      <c r="B10" s="20" t="s">
        <v>58</v>
      </c>
      <c r="C10" s="20" t="s">
        <v>60</v>
      </c>
      <c r="D10" s="20" t="s">
        <v>61</v>
      </c>
      <c r="E10" s="20" t="s">
        <v>63</v>
      </c>
      <c r="F10" s="20" t="s">
        <v>114</v>
      </c>
      <c r="G10" s="20">
        <v>900</v>
      </c>
      <c r="H10" s="20" t="s">
        <v>66</v>
      </c>
      <c r="I10" s="20" t="str">
        <f t="shared" si="0"/>
        <v>WFLX-LNR-SH-PoLM-900-F</v>
      </c>
      <c r="J10" s="20" t="s">
        <v>86</v>
      </c>
      <c r="K10" s="20" t="s">
        <v>130</v>
      </c>
      <c r="L10" s="20" t="s">
        <v>95</v>
      </c>
      <c r="M10" s="20" t="s">
        <v>96</v>
      </c>
      <c r="N10" s="20">
        <v>900</v>
      </c>
      <c r="O10" s="20" t="s">
        <v>47</v>
      </c>
      <c r="P10" s="20" t="s">
        <v>23</v>
      </c>
      <c r="Q10" s="33" t="str">
        <f t="array" ref="Q10">"Actual size: "&amp;N10&amp;" x 600mm per user"&amp;CHAR(10)&amp;CHAR(10)&amp;"Formation - "&amp;K10&amp;" "&amp;M10&amp;CHAR(10)&amp;CHAR(10)&amp;"Top material: "&amp;INDEX('MASTER DATA'!$D$21:$D$29,MATCH(O10,'MASTER DATA'!$B$21:$B$29,0))&amp;CHAR(10)&amp;"Color specs: TBD"&amp;CHAR(10)&amp;CHAR(10)&amp;"Leg: "&amp;INDEX('MASTER DATA'!$D$33:$D$37,MATCH(K10,'MASTER DATA'!$B$33:$B$37,0))&amp;CHAR(10)&amp;"Color specs: TBD"&amp;CHAR(10)&amp;CHAR(10)&amp;"Electrification: "&amp;'MASTER DATA'!D48&amp;CHAR(10)&amp;"Color specs: TBD"&amp;CHAR(10)&amp;CHAR(10)&amp;"Screen: "&amp;INDEX('MASTER DATA'!$D$52:$D$54,MATCH(P10,'MASTER DATA'!$B$52:$B$54,0))&amp;CHAR(10)&amp;"Color specs: TBD"</f>
        <v>Actual size: 900 x 600mm per user
Formation - FLEXI SHARING
Top material: 18MM POST-LAMINATED MDF(MEDIUM DESNSITY FIBER) BOARD BOTH SIDES LAMINATE
Color specs: TBD
Leg: MS+ALUMINUM LEG WITH POWDER COATING
Color specs: TBD
Electrification: VERTEBRA SNAKE
Color specs: TBD
Screen: L:6" LESS THAN TOP LENGTH, H400mm, D30mm 
FABRIC PINUP BOARD WITH ALUMINUM TRIMS 
Color specs: TBD</v>
      </c>
      <c r="R10" s="33"/>
      <c r="S10" s="33" t="s">
        <v>107</v>
      </c>
      <c r="T10" s="33">
        <f t="shared" ca="1" si="1"/>
        <v>16900</v>
      </c>
      <c r="U10" s="38">
        <f t="shared" ca="1" si="2"/>
        <v>15210</v>
      </c>
      <c r="V10" s="38">
        <f t="shared" ca="1" si="3"/>
        <v>14365</v>
      </c>
      <c r="W10" s="38">
        <f t="shared" ca="1" si="4"/>
        <v>13520</v>
      </c>
      <c r="X10" s="38">
        <f t="shared" ca="1" si="5"/>
        <v>11830</v>
      </c>
      <c r="Y10" s="18"/>
    </row>
    <row r="11" spans="1:25" ht="222" customHeight="1" x14ac:dyDescent="0.15">
      <c r="A11" s="18"/>
      <c r="B11" s="20" t="s">
        <v>58</v>
      </c>
      <c r="C11" s="20" t="s">
        <v>60</v>
      </c>
      <c r="D11" s="20" t="s">
        <v>61</v>
      </c>
      <c r="E11" s="20" t="s">
        <v>63</v>
      </c>
      <c r="F11" s="20" t="s">
        <v>114</v>
      </c>
      <c r="G11" s="20">
        <v>900</v>
      </c>
      <c r="H11" s="20" t="s">
        <v>116</v>
      </c>
      <c r="I11" s="20" t="str">
        <f t="shared" si="0"/>
        <v>WFLX-LNR-SH-PoLM-900-G</v>
      </c>
      <c r="J11" s="20" t="s">
        <v>86</v>
      </c>
      <c r="K11" s="20" t="s">
        <v>130</v>
      </c>
      <c r="L11" s="20" t="s">
        <v>95</v>
      </c>
      <c r="M11" s="20" t="s">
        <v>96</v>
      </c>
      <c r="N11" s="20">
        <v>900</v>
      </c>
      <c r="O11" s="20" t="s">
        <v>47</v>
      </c>
      <c r="P11" s="20" t="s">
        <v>42</v>
      </c>
      <c r="Q11" s="33" t="str">
        <f t="array" ref="Q11">"Actual size: "&amp;N11&amp;" x 600mm per user"&amp;CHAR(10)&amp;CHAR(10)&amp;"Formation - "&amp;K11&amp;" "&amp;M11&amp;CHAR(10)&amp;CHAR(10)&amp;"Top material: "&amp;INDEX('MASTER DATA'!$D$21:$D$29,MATCH(O11,'MASTER DATA'!$B$21:$B$29,0))&amp;CHAR(10)&amp;"Color specs: TBD"&amp;CHAR(10)&amp;CHAR(10)&amp;"Leg: "&amp;INDEX('MASTER DATA'!$D$33:$D$37,MATCH(K11,'MASTER DATA'!$B$33:$B$37,0))&amp;CHAR(10)&amp;"Color specs: TBD"&amp;CHAR(10)&amp;CHAR(10)&amp;"Electrification: "&amp;'MASTER DATA'!D49&amp;CHAR(10)&amp;"Color specs: TBD"&amp;CHAR(10)&amp;CHAR(10)&amp;"Screen: "&amp;INDEX('MASTER DATA'!$D$52:$D$54,MATCH(P11,'MASTER DATA'!$B$52:$B$54,0))&amp;CHAR(10)&amp;"Color specs: TBD"</f>
        <v>Actual size: 900 x 600mm per user
Formation - FLEXI SHARING
Top material: 18MM POST-LAMINATED MDF(MEDIUM DESNSITY FIBER) BOARD BOTH SIDES LAMINATE
Color specs: TBD
Leg: MS+ALUMINUM LEG WITH POWDER COATING
Color specs: TBD
Electrification: 
Color specs: TBD
Screen: 4+4MM SANDWICHED BACK PAINTED MAGNETIC GLASS SCREEN
Color specs: TBD</v>
      </c>
      <c r="R11" s="33"/>
      <c r="S11" s="33" t="s">
        <v>129</v>
      </c>
      <c r="T11" s="33">
        <f t="shared" ca="1" si="1"/>
        <v>17200</v>
      </c>
      <c r="U11" s="38">
        <f t="shared" ca="1" si="2"/>
        <v>15480</v>
      </c>
      <c r="V11" s="38">
        <f t="shared" ca="1" si="3"/>
        <v>14620</v>
      </c>
      <c r="W11" s="38">
        <f t="shared" ca="1" si="4"/>
        <v>13760</v>
      </c>
      <c r="X11" s="38">
        <f t="shared" ca="1" si="5"/>
        <v>12040</v>
      </c>
      <c r="Y11" s="18"/>
    </row>
    <row r="12" spans="1:25" ht="222" customHeight="1" x14ac:dyDescent="0.15">
      <c r="A12" s="18"/>
      <c r="B12" s="20" t="s">
        <v>58</v>
      </c>
      <c r="C12" s="20" t="s">
        <v>60</v>
      </c>
      <c r="D12" s="20" t="s">
        <v>61</v>
      </c>
      <c r="E12" s="20" t="s">
        <v>63</v>
      </c>
      <c r="F12" s="20" t="s">
        <v>114</v>
      </c>
      <c r="G12" s="20">
        <v>900</v>
      </c>
      <c r="H12" s="20" t="s">
        <v>131</v>
      </c>
      <c r="I12" s="20" t="str">
        <f t="shared" si="0"/>
        <v>WFLX-LNR-SH-PoLM-900-X</v>
      </c>
      <c r="J12" s="20" t="s">
        <v>86</v>
      </c>
      <c r="K12" s="20" t="s">
        <v>130</v>
      </c>
      <c r="L12" s="20" t="s">
        <v>95</v>
      </c>
      <c r="M12" s="20" t="s">
        <v>96</v>
      </c>
      <c r="N12" s="20">
        <v>900</v>
      </c>
      <c r="O12" s="20" t="s">
        <v>47</v>
      </c>
      <c r="P12" s="20" t="s">
        <v>55</v>
      </c>
      <c r="Q12" s="33" t="str">
        <f t="array" ref="Q12">"Actual size: "&amp;N12&amp;" x 600mm per user"&amp;CHAR(10)&amp;CHAR(10)&amp;"Formation - "&amp;K12&amp;" "&amp;M12&amp;CHAR(10)&amp;CHAR(10)&amp;"Top material: "&amp;INDEX('MASTER DATA'!$D$21:$D$29,MATCH(O12,'MASTER DATA'!$B$21:$B$29,0))&amp;CHAR(10)&amp;"Color specs: TBD"&amp;CHAR(10)&amp;CHAR(10)&amp;"Leg: "&amp;INDEX('MASTER DATA'!$D$33:$D$37,MATCH(K12,'MASTER DATA'!$B$33:$B$37,0))&amp;CHAR(10)&amp;"Color specs: TBD"&amp;CHAR(10)&amp;CHAR(10)&amp;"Electrification: "&amp;'MASTER DATA'!D50&amp;CHAR(10)&amp;"Color specs: TBD"&amp;CHAR(10)&amp;CHAR(10)&amp;"Screen: "&amp;INDEX('MASTER DATA'!$D$52:$D$54,MATCH(P12,'MASTER DATA'!$B$52:$B$54,0))&amp;CHAR(10)&amp;"Color specs: TBD"</f>
        <v>Actual size: 900 x 600mm per user
Formation - FLEXI SHARING
Top material: 18MM POST-LAMINATED MDF(MEDIUM DESNSITY FIBER) BOARD BOTH SIDES LAMINATE
Color specs: TBD
Leg: MS+ALUMINUM LEG WITH POWDER COATING
Color specs: TBD
Electrification: 
Color specs: TBD
Screen: 
Color specs: TBD</v>
      </c>
      <c r="R12" s="33"/>
      <c r="S12" s="33" t="s">
        <v>148</v>
      </c>
      <c r="T12" s="33">
        <f t="shared" ca="1" si="1"/>
        <v>15200</v>
      </c>
      <c r="U12" s="38">
        <f t="shared" ca="1" si="2"/>
        <v>13680</v>
      </c>
      <c r="V12" s="38">
        <f t="shared" ca="1" si="3"/>
        <v>12920</v>
      </c>
      <c r="W12" s="38">
        <f t="shared" ca="1" si="4"/>
        <v>12160</v>
      </c>
      <c r="X12" s="38">
        <f t="shared" ca="1" si="5"/>
        <v>10640</v>
      </c>
      <c r="Y12" s="18"/>
    </row>
    <row r="13" spans="1:25" ht="222" customHeight="1" x14ac:dyDescent="0.15">
      <c r="A13" s="18"/>
      <c r="B13" s="20" t="s">
        <v>58</v>
      </c>
      <c r="C13" s="20" t="s">
        <v>60</v>
      </c>
      <c r="D13" s="20" t="s">
        <v>61</v>
      </c>
      <c r="E13" s="20" t="s">
        <v>63</v>
      </c>
      <c r="F13" s="20" t="s">
        <v>117</v>
      </c>
      <c r="G13" s="20">
        <v>900</v>
      </c>
      <c r="H13" s="20" t="s">
        <v>66</v>
      </c>
      <c r="I13" s="20" t="str">
        <f t="shared" si="0"/>
        <v>WFLX-LNR-SH-LVM-900-F</v>
      </c>
      <c r="J13" s="20" t="s">
        <v>86</v>
      </c>
      <c r="K13" s="20" t="s">
        <v>130</v>
      </c>
      <c r="L13" s="20" t="s">
        <v>95</v>
      </c>
      <c r="M13" s="20" t="s">
        <v>96</v>
      </c>
      <c r="N13" s="20">
        <v>900</v>
      </c>
      <c r="O13" s="20" t="s">
        <v>157</v>
      </c>
      <c r="P13" s="20" t="s">
        <v>23</v>
      </c>
      <c r="Q13" s="33" t="e">
        <f t="array" ref="Q13">"Actual size: "&amp;N13&amp;" x 600mm per user"&amp;CHAR(10)&amp;CHAR(10)&amp;"Formation - "&amp;K13&amp;" "&amp;M13&amp;CHAR(10)&amp;CHAR(10)&amp;"Top material: "&amp;INDEX('MASTER DATA'!$D$21:$D$29,MATCH(O13,'MASTER DATA'!$B$21:$B$29,0))&amp;CHAR(10)&amp;"Color specs: TBD"&amp;CHAR(10)&amp;CHAR(10)&amp;"Leg: "&amp;INDEX('MASTER DATA'!$D$33:$D$37,MATCH(K13,'MASTER DATA'!$B$33:$B$37,0))&amp;CHAR(10)&amp;"Color specs: TBD"&amp;CHAR(10)&amp;CHAR(10)&amp;"Electrification: "&amp;'MASTER DATA'!D51&amp;CHAR(10)&amp;"Color specs: TBD"&amp;CHAR(10)&amp;CHAR(10)&amp;"Screen: "&amp;INDEX('MASTER DATA'!$D$52:$D$54,MATCH(P13,'MASTER DATA'!$B$52:$B$54,0))&amp;CHAR(10)&amp;"Color specs: TBD"</f>
        <v>#N/A</v>
      </c>
      <c r="R13" s="33"/>
      <c r="S13" s="33" t="s">
        <v>107</v>
      </c>
      <c r="T13" s="33">
        <f t="shared" ca="1" si="1"/>
        <v>19100</v>
      </c>
      <c r="U13" s="38">
        <f t="shared" ca="1" si="2"/>
        <v>17190</v>
      </c>
      <c r="V13" s="38">
        <f t="shared" ca="1" si="3"/>
        <v>16235</v>
      </c>
      <c r="W13" s="38">
        <f t="shared" ca="1" si="4"/>
        <v>15280</v>
      </c>
      <c r="X13" s="38">
        <f t="shared" ca="1" si="5"/>
        <v>13370</v>
      </c>
      <c r="Y13" s="18"/>
    </row>
    <row r="14" spans="1:25" ht="222" customHeight="1" x14ac:dyDescent="0.15">
      <c r="A14" s="18"/>
      <c r="B14" s="20" t="s">
        <v>58</v>
      </c>
      <c r="C14" s="20" t="s">
        <v>60</v>
      </c>
      <c r="D14" s="20" t="s">
        <v>61</v>
      </c>
      <c r="E14" s="20" t="s">
        <v>63</v>
      </c>
      <c r="F14" s="20" t="s">
        <v>117</v>
      </c>
      <c r="G14" s="20">
        <v>900</v>
      </c>
      <c r="H14" s="20" t="s">
        <v>116</v>
      </c>
      <c r="I14" s="20" t="str">
        <f t="shared" si="0"/>
        <v>WFLX-LNR-SH-LVM-900-G</v>
      </c>
      <c r="J14" s="20" t="s">
        <v>86</v>
      </c>
      <c r="K14" s="20" t="s">
        <v>130</v>
      </c>
      <c r="L14" s="20" t="s">
        <v>95</v>
      </c>
      <c r="M14" s="20" t="s">
        <v>96</v>
      </c>
      <c r="N14" s="20">
        <v>900</v>
      </c>
      <c r="O14" s="20" t="s">
        <v>157</v>
      </c>
      <c r="P14" s="20" t="s">
        <v>42</v>
      </c>
      <c r="Q14" s="33" t="e">
        <f t="array" ref="Q14">"Actual size: "&amp;N14&amp;" x 600mm per user"&amp;CHAR(10)&amp;CHAR(10)&amp;"Formation - "&amp;K14&amp;" "&amp;M14&amp;CHAR(10)&amp;CHAR(10)&amp;"Top material: "&amp;INDEX('MASTER DATA'!$D$21:$D$29,MATCH(O14,'MASTER DATA'!$B$21:$B$29,0))&amp;CHAR(10)&amp;"Color specs: TBD"&amp;CHAR(10)&amp;CHAR(10)&amp;"Leg: "&amp;INDEX('MASTER DATA'!$D$33:$D$37,MATCH(K14,'MASTER DATA'!$B$33:$B$37,0))&amp;CHAR(10)&amp;"Color specs: TBD"&amp;CHAR(10)&amp;CHAR(10)&amp;"Electrification: "&amp;'MASTER DATA'!D52&amp;CHAR(10)&amp;"Color specs: TBD"&amp;CHAR(10)&amp;CHAR(10)&amp;"Screen: "&amp;INDEX('MASTER DATA'!$D$52:$D$54,MATCH(P14,'MASTER DATA'!$B$52:$B$54,0))&amp;CHAR(10)&amp;"Color specs: TBD"</f>
        <v>#N/A</v>
      </c>
      <c r="R14" s="33"/>
      <c r="S14" s="33" t="s">
        <v>129</v>
      </c>
      <c r="T14" s="33">
        <f t="shared" ca="1" si="1"/>
        <v>19300</v>
      </c>
      <c r="U14" s="38">
        <f t="shared" ca="1" si="2"/>
        <v>17370</v>
      </c>
      <c r="V14" s="38">
        <f t="shared" ca="1" si="3"/>
        <v>16405</v>
      </c>
      <c r="W14" s="38">
        <f t="shared" ca="1" si="4"/>
        <v>15440</v>
      </c>
      <c r="X14" s="38">
        <f t="shared" ca="1" si="5"/>
        <v>13510</v>
      </c>
      <c r="Y14" s="18"/>
    </row>
    <row r="15" spans="1:25" ht="222" customHeight="1" x14ac:dyDescent="0.15">
      <c r="A15" s="18"/>
      <c r="B15" s="20" t="s">
        <v>58</v>
      </c>
      <c r="C15" s="20" t="s">
        <v>60</v>
      </c>
      <c r="D15" s="20" t="s">
        <v>61</v>
      </c>
      <c r="E15" s="20" t="s">
        <v>63</v>
      </c>
      <c r="F15" s="20" t="s">
        <v>117</v>
      </c>
      <c r="G15" s="20">
        <v>900</v>
      </c>
      <c r="H15" s="20" t="s">
        <v>131</v>
      </c>
      <c r="I15" s="20" t="str">
        <f t="shared" si="0"/>
        <v>WFLX-LNR-SH-LVM-900-X</v>
      </c>
      <c r="J15" s="20" t="s">
        <v>86</v>
      </c>
      <c r="K15" s="20" t="s">
        <v>130</v>
      </c>
      <c r="L15" s="20" t="s">
        <v>95</v>
      </c>
      <c r="M15" s="20" t="s">
        <v>96</v>
      </c>
      <c r="N15" s="20">
        <v>900</v>
      </c>
      <c r="O15" s="20" t="s">
        <v>157</v>
      </c>
      <c r="P15" s="20" t="s">
        <v>55</v>
      </c>
      <c r="Q15" s="33" t="e">
        <f t="array" ref="Q15">"Actual size: "&amp;N15&amp;" x 600mm per user"&amp;CHAR(10)&amp;CHAR(10)&amp;"Formation - "&amp;K15&amp;" "&amp;M15&amp;CHAR(10)&amp;CHAR(10)&amp;"Top material: "&amp;INDEX('MASTER DATA'!$D$21:$D$29,MATCH(O15,'MASTER DATA'!$B$21:$B$29,0))&amp;CHAR(10)&amp;"Color specs: TBD"&amp;CHAR(10)&amp;CHAR(10)&amp;"Leg: "&amp;INDEX('MASTER DATA'!$D$33:$D$37,MATCH(K15,'MASTER DATA'!$B$33:$B$37,0))&amp;CHAR(10)&amp;"Color specs: TBD"&amp;CHAR(10)&amp;CHAR(10)&amp;"Electrification: "&amp;'MASTER DATA'!D53&amp;CHAR(10)&amp;"Color specs: TBD"&amp;CHAR(10)&amp;CHAR(10)&amp;"Screen: "&amp;INDEX('MASTER DATA'!$D$52:$D$54,MATCH(P15,'MASTER DATA'!$B$52:$B$54,0))&amp;CHAR(10)&amp;"Color specs: TBD"</f>
        <v>#N/A</v>
      </c>
      <c r="R15" s="33"/>
      <c r="S15" s="33" t="s">
        <v>148</v>
      </c>
      <c r="T15" s="33">
        <f t="shared" ca="1" si="1"/>
        <v>17300</v>
      </c>
      <c r="U15" s="38">
        <f t="shared" ca="1" si="2"/>
        <v>15570</v>
      </c>
      <c r="V15" s="38">
        <f t="shared" ca="1" si="3"/>
        <v>14705</v>
      </c>
      <c r="W15" s="38">
        <f t="shared" ca="1" si="4"/>
        <v>13840</v>
      </c>
      <c r="X15" s="38">
        <f t="shared" ca="1" si="5"/>
        <v>12110</v>
      </c>
      <c r="Y15" s="18"/>
    </row>
    <row r="16" spans="1:25" ht="222" customHeight="1" x14ac:dyDescent="0.15">
      <c r="A16" s="18"/>
      <c r="B16" s="20" t="s">
        <v>58</v>
      </c>
      <c r="C16" s="20" t="s">
        <v>60</v>
      </c>
      <c r="D16" s="20" t="s">
        <v>61</v>
      </c>
      <c r="E16" s="20" t="s">
        <v>63</v>
      </c>
      <c r="F16" s="20" t="s">
        <v>119</v>
      </c>
      <c r="G16" s="20">
        <v>900</v>
      </c>
      <c r="H16" s="20" t="s">
        <v>66</v>
      </c>
      <c r="I16" s="20" t="str">
        <f t="shared" si="0"/>
        <v>WFLX-LNR-SH-LVP-900-F</v>
      </c>
      <c r="J16" s="20" t="s">
        <v>86</v>
      </c>
      <c r="K16" s="20" t="s">
        <v>130</v>
      </c>
      <c r="L16" s="20" t="s">
        <v>95</v>
      </c>
      <c r="M16" s="20" t="s">
        <v>96</v>
      </c>
      <c r="N16" s="20">
        <v>900</v>
      </c>
      <c r="O16" s="20" t="s">
        <v>158</v>
      </c>
      <c r="P16" s="20" t="s">
        <v>23</v>
      </c>
      <c r="Q16" s="33" t="e">
        <f t="array" ref="Q16">"Actual size: "&amp;N16&amp;" x 600mm per user"&amp;CHAR(10)&amp;CHAR(10)&amp;"Formation - "&amp;K16&amp;" "&amp;M16&amp;CHAR(10)&amp;CHAR(10)&amp;"Top material: "&amp;INDEX('MASTER DATA'!$D$21:$D$29,MATCH(O16,'MASTER DATA'!$B$21:$B$29,0))&amp;CHAR(10)&amp;"Color specs: TBD"&amp;CHAR(10)&amp;CHAR(10)&amp;"Leg: "&amp;INDEX('MASTER DATA'!$D$33:$D$37,MATCH(K16,'MASTER DATA'!$B$33:$B$37,0))&amp;CHAR(10)&amp;"Color specs: TBD"&amp;CHAR(10)&amp;CHAR(10)&amp;"Electrification: "&amp;'MASTER DATA'!D54&amp;CHAR(10)&amp;"Color specs: TBD"&amp;CHAR(10)&amp;CHAR(10)&amp;"Screen: "&amp;INDEX('MASTER DATA'!$D$52:$D$54,MATCH(P16,'MASTER DATA'!$B$52:$B$54,0))&amp;CHAR(10)&amp;"Color specs: TBD"</f>
        <v>#N/A</v>
      </c>
      <c r="R16" s="33"/>
      <c r="S16" s="33" t="s">
        <v>107</v>
      </c>
      <c r="T16" s="33">
        <f t="shared" ca="1" si="1"/>
        <v>20200</v>
      </c>
      <c r="U16" s="38">
        <f t="shared" ca="1" si="2"/>
        <v>18180</v>
      </c>
      <c r="V16" s="38">
        <f t="shared" ca="1" si="3"/>
        <v>17170</v>
      </c>
      <c r="W16" s="38">
        <f t="shared" ca="1" si="4"/>
        <v>16160</v>
      </c>
      <c r="X16" s="38">
        <f t="shared" ca="1" si="5"/>
        <v>14140</v>
      </c>
      <c r="Y16" s="18"/>
    </row>
    <row r="17" spans="1:25" ht="222" customHeight="1" x14ac:dyDescent="0.15">
      <c r="A17" s="18"/>
      <c r="B17" s="20" t="s">
        <v>58</v>
      </c>
      <c r="C17" s="20" t="s">
        <v>60</v>
      </c>
      <c r="D17" s="20" t="s">
        <v>61</v>
      </c>
      <c r="E17" s="20" t="s">
        <v>63</v>
      </c>
      <c r="F17" s="20" t="s">
        <v>119</v>
      </c>
      <c r="G17" s="20">
        <v>900</v>
      </c>
      <c r="H17" s="20" t="s">
        <v>116</v>
      </c>
      <c r="I17" s="20" t="str">
        <f t="shared" si="0"/>
        <v>WFLX-LNR-SH-LVP-900-G</v>
      </c>
      <c r="J17" s="20" t="s">
        <v>86</v>
      </c>
      <c r="K17" s="20" t="s">
        <v>130</v>
      </c>
      <c r="L17" s="20" t="s">
        <v>95</v>
      </c>
      <c r="M17" s="20" t="s">
        <v>96</v>
      </c>
      <c r="N17" s="20">
        <v>900</v>
      </c>
      <c r="O17" s="20" t="s">
        <v>158</v>
      </c>
      <c r="P17" s="20" t="s">
        <v>42</v>
      </c>
      <c r="Q17" s="33" t="e">
        <f t="array" ref="Q17">"Actual size: "&amp;N17&amp;" x 600mm per user"&amp;CHAR(10)&amp;CHAR(10)&amp;"Formation - "&amp;K17&amp;" "&amp;M17&amp;CHAR(10)&amp;CHAR(10)&amp;"Top material: "&amp;INDEX('MASTER DATA'!$D$21:$D$29,MATCH(O17,'MASTER DATA'!$B$21:$B$29,0))&amp;CHAR(10)&amp;"Color specs: TBD"&amp;CHAR(10)&amp;CHAR(10)&amp;"Leg: "&amp;INDEX('MASTER DATA'!$D$33:$D$37,MATCH(K17,'MASTER DATA'!$B$33:$B$37,0))&amp;CHAR(10)&amp;"Color specs: TBD"&amp;CHAR(10)&amp;CHAR(10)&amp;"Electrification: "&amp;'MASTER DATA'!D55&amp;CHAR(10)&amp;"Color specs: TBD"&amp;CHAR(10)&amp;CHAR(10)&amp;"Screen: "&amp;INDEX('MASTER DATA'!$D$52:$D$54,MATCH(P17,'MASTER DATA'!$B$52:$B$54,0))&amp;CHAR(10)&amp;"Color specs: TBD"</f>
        <v>#N/A</v>
      </c>
      <c r="R17" s="33"/>
      <c r="S17" s="33" t="s">
        <v>129</v>
      </c>
      <c r="T17" s="33">
        <f t="shared" ca="1" si="1"/>
        <v>20400</v>
      </c>
      <c r="U17" s="38">
        <f t="shared" ca="1" si="2"/>
        <v>18360</v>
      </c>
      <c r="V17" s="38">
        <f t="shared" ca="1" si="3"/>
        <v>17340</v>
      </c>
      <c r="W17" s="38">
        <f t="shared" ca="1" si="4"/>
        <v>16320</v>
      </c>
      <c r="X17" s="38">
        <f t="shared" ca="1" si="5"/>
        <v>14280</v>
      </c>
      <c r="Y17" s="18"/>
    </row>
    <row r="18" spans="1:25" ht="222" customHeight="1" x14ac:dyDescent="0.15">
      <c r="A18" s="18"/>
      <c r="B18" s="20" t="s">
        <v>58</v>
      </c>
      <c r="C18" s="20" t="s">
        <v>60</v>
      </c>
      <c r="D18" s="20" t="s">
        <v>61</v>
      </c>
      <c r="E18" s="20" t="s">
        <v>63</v>
      </c>
      <c r="F18" s="20" t="s">
        <v>119</v>
      </c>
      <c r="G18" s="20">
        <v>900</v>
      </c>
      <c r="H18" s="20" t="s">
        <v>131</v>
      </c>
      <c r="I18" s="20" t="str">
        <f t="shared" si="0"/>
        <v>WFLX-LNR-SH-LVP-900-X</v>
      </c>
      <c r="J18" s="20" t="s">
        <v>86</v>
      </c>
      <c r="K18" s="20" t="s">
        <v>130</v>
      </c>
      <c r="L18" s="20" t="s">
        <v>95</v>
      </c>
      <c r="M18" s="20" t="s">
        <v>96</v>
      </c>
      <c r="N18" s="20">
        <v>900</v>
      </c>
      <c r="O18" s="20" t="s">
        <v>158</v>
      </c>
      <c r="P18" s="20" t="s">
        <v>55</v>
      </c>
      <c r="Q18" s="33" t="e">
        <f t="array" ref="Q18">"Actual size: "&amp;N18&amp;" x 600mm per user"&amp;CHAR(10)&amp;CHAR(10)&amp;"Formation - "&amp;K18&amp;" "&amp;M18&amp;CHAR(10)&amp;CHAR(10)&amp;"Top material: "&amp;INDEX('MASTER DATA'!$D$21:$D$29,MATCH(O18,'MASTER DATA'!$B$21:$B$29,0))&amp;CHAR(10)&amp;"Color specs: TBD"&amp;CHAR(10)&amp;CHAR(10)&amp;"Leg: "&amp;INDEX('MASTER DATA'!$D$33:$D$37,MATCH(K18,'MASTER DATA'!$B$33:$B$37,0))&amp;CHAR(10)&amp;"Color specs: TBD"&amp;CHAR(10)&amp;CHAR(10)&amp;"Electrification: "&amp;'MASTER DATA'!D56&amp;CHAR(10)&amp;"Color specs: TBD"&amp;CHAR(10)&amp;CHAR(10)&amp;"Screen: "&amp;INDEX('MASTER DATA'!$D$52:$D$54,MATCH(P18,'MASTER DATA'!$B$52:$B$54,0))&amp;CHAR(10)&amp;"Color specs: TBD"</f>
        <v>#N/A</v>
      </c>
      <c r="R18" s="33"/>
      <c r="S18" s="33" t="s">
        <v>148</v>
      </c>
      <c r="T18" s="33">
        <f t="shared" ca="1" si="1"/>
        <v>18400</v>
      </c>
      <c r="U18" s="38">
        <f t="shared" ca="1" si="2"/>
        <v>16560</v>
      </c>
      <c r="V18" s="38">
        <f t="shared" ca="1" si="3"/>
        <v>15640</v>
      </c>
      <c r="W18" s="38">
        <f t="shared" ca="1" si="4"/>
        <v>14720</v>
      </c>
      <c r="X18" s="38">
        <f t="shared" ca="1" si="5"/>
        <v>12880</v>
      </c>
      <c r="Y18" s="18"/>
    </row>
    <row r="19" spans="1:25" ht="222" customHeight="1" x14ac:dyDescent="0.15">
      <c r="A19" s="18"/>
      <c r="B19" s="20" t="s">
        <v>58</v>
      </c>
      <c r="C19" s="20" t="s">
        <v>60</v>
      </c>
      <c r="D19" s="20" t="s">
        <v>61</v>
      </c>
      <c r="E19" s="20" t="s">
        <v>63</v>
      </c>
      <c r="F19" s="20" t="s">
        <v>125</v>
      </c>
      <c r="G19" s="20">
        <v>900</v>
      </c>
      <c r="H19" s="20" t="s">
        <v>66</v>
      </c>
      <c r="I19" s="20" t="str">
        <f t="shared" si="0"/>
        <v>WFLX-LNR-SH-MB-900-F</v>
      </c>
      <c r="J19" s="20" t="s">
        <v>86</v>
      </c>
      <c r="K19" s="20" t="s">
        <v>130</v>
      </c>
      <c r="L19" s="20" t="s">
        <v>95</v>
      </c>
      <c r="M19" s="20" t="s">
        <v>96</v>
      </c>
      <c r="N19" s="20">
        <v>900</v>
      </c>
      <c r="O19" s="20" t="s">
        <v>97</v>
      </c>
      <c r="P19" s="20" t="s">
        <v>23</v>
      </c>
      <c r="Q19" s="33" t="str">
        <f t="array" ref="Q19">"Actual size: "&amp;N19&amp;" x 600mm per user"&amp;CHAR(10)&amp;CHAR(10)&amp;"Formation - "&amp;K19&amp;" "&amp;M19&amp;CHAR(10)&amp;CHAR(10)&amp;"Top material: "&amp;INDEX('MASTER DATA'!$D$21:$D$29,MATCH(O19,'MASTER DATA'!$B$21:$B$29,0))&amp;CHAR(10)&amp;"Color specs: TBD"&amp;CHAR(10)&amp;CHAR(10)&amp;"Leg: "&amp;INDEX('MASTER DATA'!$D$33:$D$37,MATCH(K19,'MASTER DATA'!$B$33:$B$37,0))&amp;CHAR(10)&amp;"Color specs: TBD"&amp;CHAR(10)&amp;CHAR(10)&amp;"Electrification: "&amp;'MASTER DATA'!D57&amp;CHAR(10)&amp;"Color specs: TBD"&amp;CHAR(10)&amp;CHAR(10)&amp;"Screen: "&amp;INDEX('MASTER DATA'!$D$52:$D$54,MATCH(P19,'MASTER DATA'!$B$52:$B$54,0))&amp;CHAR(10)&amp;"Color specs: TBD"</f>
        <v>Actual size: 900 x 600mm per user
Formation - FLEXI SHARING
Top material: 25MM GERMAN MEMBRANE ON POST-LAMINATED MDF(MEDIUM DESNSITY FIBER) BOARD
Color specs: TBD
Leg: MS+ALUMINUM LEG WITH POWDER COATING
Color specs: TBD
Electrification: FULL NAME
Color specs: TBD
Screen: L:6" LESS THAN TOP LENGTH, H400mm, D30mm 
FABRIC PINUP BOARD WITH ALUMINUM TRIMS 
Color specs: TBD</v>
      </c>
      <c r="R19" s="33"/>
      <c r="S19" s="33" t="s">
        <v>107</v>
      </c>
      <c r="T19" s="33">
        <f t="shared" ca="1" si="1"/>
        <v>26400</v>
      </c>
      <c r="U19" s="38">
        <f t="shared" ca="1" si="2"/>
        <v>23760</v>
      </c>
      <c r="V19" s="38">
        <f t="shared" ca="1" si="3"/>
        <v>22440</v>
      </c>
      <c r="W19" s="38">
        <f t="shared" ca="1" si="4"/>
        <v>21120</v>
      </c>
      <c r="X19" s="38">
        <f t="shared" ca="1" si="5"/>
        <v>18480</v>
      </c>
      <c r="Y19" s="18"/>
    </row>
    <row r="20" spans="1:25" ht="222" customHeight="1" x14ac:dyDescent="0.15">
      <c r="A20" s="18"/>
      <c r="B20" s="20" t="s">
        <v>58</v>
      </c>
      <c r="C20" s="20" t="s">
        <v>60</v>
      </c>
      <c r="D20" s="20" t="s">
        <v>61</v>
      </c>
      <c r="E20" s="20" t="s">
        <v>63</v>
      </c>
      <c r="F20" s="20" t="s">
        <v>125</v>
      </c>
      <c r="G20" s="20">
        <v>900</v>
      </c>
      <c r="H20" s="20" t="s">
        <v>116</v>
      </c>
      <c r="I20" s="20" t="str">
        <f t="shared" si="0"/>
        <v>WFLX-LNR-SH-MB-900-G</v>
      </c>
      <c r="J20" s="20" t="s">
        <v>86</v>
      </c>
      <c r="K20" s="20" t="s">
        <v>130</v>
      </c>
      <c r="L20" s="20" t="s">
        <v>95</v>
      </c>
      <c r="M20" s="20" t="s">
        <v>96</v>
      </c>
      <c r="N20" s="20">
        <v>900</v>
      </c>
      <c r="O20" s="20" t="s">
        <v>97</v>
      </c>
      <c r="P20" s="20" t="s">
        <v>42</v>
      </c>
      <c r="Q20" s="33" t="str">
        <f t="array" ref="Q20">"Actual size: "&amp;N20&amp;" x 600mm per user"&amp;CHAR(10)&amp;CHAR(10)&amp;"Formation - "&amp;K20&amp;" "&amp;M20&amp;CHAR(10)&amp;CHAR(10)&amp;"Top material: "&amp;INDEX('MASTER DATA'!$D$21:$D$29,MATCH(O20,'MASTER DATA'!$B$21:$B$29,0))&amp;CHAR(10)&amp;"Color specs: TBD"&amp;CHAR(10)&amp;CHAR(10)&amp;"Leg: "&amp;INDEX('MASTER DATA'!$D$33:$D$37,MATCH(K20,'MASTER DATA'!$B$33:$B$37,0))&amp;CHAR(10)&amp;"Color specs: TBD"&amp;CHAR(10)&amp;CHAR(10)&amp;"Electrification: "&amp;'MASTER DATA'!D58&amp;CHAR(10)&amp;"Color specs: TBD"&amp;CHAR(10)&amp;CHAR(10)&amp;"Screen: "&amp;INDEX('MASTER DATA'!$D$52:$D$54,MATCH(P20,'MASTER DATA'!$B$52:$B$54,0))&amp;CHAR(10)&amp;"Color specs: TBD"</f>
        <v>Actual size: 900 x 600mm per user
Formation - FLEXI SHARING
Top material: 25MM GERMAN MEMBRANE ON POST-LAMINATED MDF(MEDIUM DESNSITY FIBER) BOARD
Color specs: TBD
Leg: MS+ALUMINUM LEG WITH POWDER COATING
Color specs: TBD
Electrification: PLPB/PLMDF SIDE UNIT WITH STANDARD LOCK 
Color specs: TBD
Screen: 4+4MM SANDWICHED BACK PAINTED MAGNETIC GLASS SCREEN
Color specs: TBD</v>
      </c>
      <c r="R20" s="33"/>
      <c r="S20" s="33" t="s">
        <v>129</v>
      </c>
      <c r="T20" s="33">
        <f t="shared" ca="1" si="1"/>
        <v>26600</v>
      </c>
      <c r="U20" s="38">
        <f t="shared" ca="1" si="2"/>
        <v>23940</v>
      </c>
      <c r="V20" s="38">
        <f t="shared" ca="1" si="3"/>
        <v>22610</v>
      </c>
      <c r="W20" s="38">
        <f t="shared" ca="1" si="4"/>
        <v>21280</v>
      </c>
      <c r="X20" s="38">
        <f t="shared" ca="1" si="5"/>
        <v>18620</v>
      </c>
      <c r="Y20" s="18"/>
    </row>
    <row r="21" spans="1:25" ht="222" customHeight="1" x14ac:dyDescent="0.15">
      <c r="A21" s="18"/>
      <c r="B21" s="20" t="s">
        <v>58</v>
      </c>
      <c r="C21" s="20" t="s">
        <v>60</v>
      </c>
      <c r="D21" s="20" t="s">
        <v>61</v>
      </c>
      <c r="E21" s="20" t="s">
        <v>63</v>
      </c>
      <c r="F21" s="20" t="s">
        <v>125</v>
      </c>
      <c r="G21" s="20">
        <v>900</v>
      </c>
      <c r="H21" s="20" t="s">
        <v>131</v>
      </c>
      <c r="I21" s="20" t="str">
        <f t="shared" si="0"/>
        <v>WFLX-LNR-SH-MB-900-X</v>
      </c>
      <c r="J21" s="20" t="s">
        <v>86</v>
      </c>
      <c r="K21" s="20" t="s">
        <v>130</v>
      </c>
      <c r="L21" s="20" t="s">
        <v>95</v>
      </c>
      <c r="M21" s="20" t="s">
        <v>96</v>
      </c>
      <c r="N21" s="20">
        <v>900</v>
      </c>
      <c r="O21" s="20" t="s">
        <v>97</v>
      </c>
      <c r="P21" s="20" t="s">
        <v>55</v>
      </c>
      <c r="Q21" s="33" t="str">
        <f t="array" ref="Q21">"Actual size: "&amp;N21&amp;" x 600mm per user"&amp;CHAR(10)&amp;CHAR(10)&amp;"Formation - "&amp;K21&amp;" "&amp;M21&amp;CHAR(10)&amp;CHAR(10)&amp;"Top material: "&amp;INDEX('MASTER DATA'!$D$21:$D$29,MATCH(O21,'MASTER DATA'!$B$21:$B$29,0))&amp;CHAR(10)&amp;"Color specs: TBD"&amp;CHAR(10)&amp;CHAR(10)&amp;"Leg: "&amp;INDEX('MASTER DATA'!$D$33:$D$37,MATCH(K21,'MASTER DATA'!$B$33:$B$37,0))&amp;CHAR(10)&amp;"Color specs: TBD"&amp;CHAR(10)&amp;CHAR(10)&amp;"Electrification: "&amp;'MASTER DATA'!D59&amp;CHAR(10)&amp;"Color specs: TBD"&amp;CHAR(10)&amp;CHAR(10)&amp;"Screen: "&amp;INDEX('MASTER DATA'!$D$52:$D$54,MATCH(P21,'MASTER DATA'!$B$52:$B$54,0))&amp;CHAR(10)&amp;"Color specs: TBD"</f>
        <v>Actual size: 900 x 600mm per user
Formation - FLEXI SHARING
Top material: 25MM GERMAN MEMBRANE ON POST-LAMINATED MDF(MEDIUM DESNSITY FIBER) BOARD
Color specs: TBD
Leg: MS+ALUMINUM LEG WITH POWDER COATING
Color specs: TBD
Electrification: LUVIH FACIA UNITS WITH DIGILOCK
Color specs: TBD
Screen: 
Color specs: TBD</v>
      </c>
      <c r="R21" s="33"/>
      <c r="S21" s="33" t="s">
        <v>148</v>
      </c>
      <c r="T21" s="33">
        <f t="shared" ca="1" si="1"/>
        <v>24600</v>
      </c>
      <c r="U21" s="38">
        <f t="shared" ca="1" si="2"/>
        <v>22140</v>
      </c>
      <c r="V21" s="38">
        <f t="shared" ca="1" si="3"/>
        <v>20910</v>
      </c>
      <c r="W21" s="38">
        <f t="shared" ca="1" si="4"/>
        <v>19680</v>
      </c>
      <c r="X21" s="38">
        <f t="shared" ca="1" si="5"/>
        <v>17220</v>
      </c>
      <c r="Y21" s="18"/>
    </row>
    <row r="22" spans="1:25" ht="222" customHeight="1" x14ac:dyDescent="0.15">
      <c r="A22" s="18"/>
      <c r="B22" s="20" t="s">
        <v>58</v>
      </c>
      <c r="C22" s="20" t="s">
        <v>60</v>
      </c>
      <c r="D22" s="20" t="s">
        <v>61</v>
      </c>
      <c r="E22" s="20" t="s">
        <v>63</v>
      </c>
      <c r="F22" s="20" t="s">
        <v>65</v>
      </c>
      <c r="G22" s="20">
        <v>1200</v>
      </c>
      <c r="H22" s="20" t="s">
        <v>66</v>
      </c>
      <c r="I22" s="20" t="str">
        <f t="shared" si="0"/>
        <v>WFLX-LNR-SH-PB-1200-F</v>
      </c>
      <c r="J22" s="20" t="s">
        <v>86</v>
      </c>
      <c r="K22" s="20" t="s">
        <v>130</v>
      </c>
      <c r="L22" s="20" t="s">
        <v>95</v>
      </c>
      <c r="M22" s="20" t="s">
        <v>96</v>
      </c>
      <c r="N22" s="20">
        <v>1200</v>
      </c>
      <c r="O22" s="20" t="s">
        <v>11</v>
      </c>
      <c r="P22" s="20" t="s">
        <v>23</v>
      </c>
      <c r="Q22" s="33" t="str">
        <f t="array" ref="Q22">"Actual size: "&amp;N22&amp;" x 600mm per user"&amp;CHAR(10)&amp;CHAR(10)&amp;"Formation - "&amp;K22&amp;" "&amp;M22&amp;CHAR(10)&amp;CHAR(10)&amp;"Top material: "&amp;INDEX('MASTER DATA'!$D$21:$D$29,MATCH(O22,'MASTER DATA'!$B$21:$B$29,0))&amp;CHAR(10)&amp;"Color specs: TBD"&amp;CHAR(10)&amp;CHAR(10)&amp;"Leg: "&amp;INDEX('MASTER DATA'!$D$33:$D$37,MATCH(K22,'MASTER DATA'!$B$33:$B$37,0))&amp;CHAR(10)&amp;"Color specs: TBD"&amp;CHAR(10)&amp;CHAR(10)&amp;"Electrification: "&amp;'MASTER DATA'!D60&amp;CHAR(10)&amp;"Color specs: TBD"&amp;CHAR(10)&amp;CHAR(10)&amp;"Screen: "&amp;INDEX('MASTER DATA'!$D$52:$D$54,MATCH(P22,'MASTER DATA'!$B$52:$B$54,0))&amp;CHAR(10)&amp;"Color specs: TBD"</f>
        <v>Actual size: 1200 x 600mm per user
Formation - FLEXI SHARING
Top material: 18MM PRE-LAMINATED PARTICLE BOARD BOTH SIDES LAMINATE WITH EDGEBANDING
Color specs: TBD
Leg: MS+ALUMINUM LEG WITH POWDER COATING
Color specs: TBD
Electrification: 
Color specs: TBD
Screen: L:6" LESS THAN TOP LENGTH, H400mm, D30mm 
FABRIC PINUP BOARD WITH ALUMINUM TRIMS 
Color specs: TBD</v>
      </c>
      <c r="R22" s="33"/>
      <c r="S22" s="33" t="s">
        <v>107</v>
      </c>
      <c r="T22" s="33">
        <f t="shared" ca="1" si="1"/>
        <v>13000</v>
      </c>
      <c r="U22" s="38">
        <f t="shared" ca="1" si="2"/>
        <v>11700</v>
      </c>
      <c r="V22" s="38">
        <f t="shared" ca="1" si="3"/>
        <v>11050</v>
      </c>
      <c r="W22" s="38">
        <f t="shared" ca="1" si="4"/>
        <v>10400</v>
      </c>
      <c r="X22" s="38">
        <f t="shared" ca="1" si="5"/>
        <v>9100</v>
      </c>
      <c r="Y22" s="18"/>
    </row>
    <row r="23" spans="1:25" ht="222" customHeight="1" x14ac:dyDescent="0.15">
      <c r="A23" s="18"/>
      <c r="B23" s="20" t="s">
        <v>58</v>
      </c>
      <c r="C23" s="20" t="s">
        <v>60</v>
      </c>
      <c r="D23" s="20" t="s">
        <v>61</v>
      </c>
      <c r="E23" s="20" t="s">
        <v>63</v>
      </c>
      <c r="F23" s="20" t="s">
        <v>65</v>
      </c>
      <c r="G23" s="20">
        <v>1200</v>
      </c>
      <c r="H23" s="20" t="s">
        <v>116</v>
      </c>
      <c r="I23" s="20" t="str">
        <f t="shared" si="0"/>
        <v>WFLX-LNR-SH-PB-1200-G</v>
      </c>
      <c r="J23" s="20" t="s">
        <v>86</v>
      </c>
      <c r="K23" s="20" t="s">
        <v>130</v>
      </c>
      <c r="L23" s="20" t="s">
        <v>95</v>
      </c>
      <c r="M23" s="20" t="s">
        <v>96</v>
      </c>
      <c r="N23" s="20">
        <v>1200</v>
      </c>
      <c r="O23" s="20" t="s">
        <v>11</v>
      </c>
      <c r="P23" s="20" t="s">
        <v>42</v>
      </c>
      <c r="Q23" s="33" t="str">
        <f t="array" ref="Q23">"Actual size: "&amp;N23&amp;" x 600mm per user"&amp;CHAR(10)&amp;CHAR(10)&amp;"Formation - "&amp;K23&amp;" "&amp;M23&amp;CHAR(10)&amp;CHAR(10)&amp;"Top material: "&amp;INDEX('MASTER DATA'!$D$21:$D$29,MATCH(O23,'MASTER DATA'!$B$21:$B$29,0))&amp;CHAR(10)&amp;"Color specs: TBD"&amp;CHAR(10)&amp;CHAR(10)&amp;"Leg: "&amp;INDEX('MASTER DATA'!$D$33:$D$37,MATCH(K23,'MASTER DATA'!$B$33:$B$37,0))&amp;CHAR(10)&amp;"Color specs: TBD"&amp;CHAR(10)&amp;CHAR(10)&amp;"Electrification: "&amp;'MASTER DATA'!D61&amp;CHAR(10)&amp;"Color specs: TBD"&amp;CHAR(10)&amp;CHAR(10)&amp;"Screen: "&amp;INDEX('MASTER DATA'!$D$52:$D$54,MATCH(P23,'MASTER DATA'!$B$52:$B$54,0))&amp;CHAR(10)&amp;"Color specs: TBD"</f>
        <v>Actual size: 1200 x 600mm per user
Formation - FLEXI SHARING
Top material: 18MM PRE-LAMINATED PARTICLE BOARD BOTH SIDES LAMINATE WITH EDGEBANDING
Color specs: TBD
Leg: MS+ALUMINUM LEG WITH POWDER COATING
Color specs: TBD
Electrification: 
Color specs: TBD
Screen: 4+4MM SANDWICHED BACK PAINTED MAGNETIC GLASS SCREEN
Color specs: TBD</v>
      </c>
      <c r="R23" s="33" t="s">
        <v>160</v>
      </c>
      <c r="S23" s="33" t="s">
        <v>129</v>
      </c>
      <c r="T23" s="33">
        <f t="shared" ca="1" si="1"/>
        <v>13300</v>
      </c>
      <c r="U23" s="38">
        <f t="shared" ca="1" si="2"/>
        <v>11970</v>
      </c>
      <c r="V23" s="38">
        <f t="shared" ca="1" si="3"/>
        <v>11305</v>
      </c>
      <c r="W23" s="38">
        <f t="shared" ca="1" si="4"/>
        <v>10640</v>
      </c>
      <c r="X23" s="38">
        <f t="shared" ca="1" si="5"/>
        <v>9310</v>
      </c>
      <c r="Y23" s="18"/>
    </row>
    <row r="24" spans="1:25" ht="222" customHeight="1" x14ac:dyDescent="0.15">
      <c r="A24" s="18"/>
      <c r="B24" s="20" t="s">
        <v>58</v>
      </c>
      <c r="C24" s="20" t="s">
        <v>60</v>
      </c>
      <c r="D24" s="20" t="s">
        <v>61</v>
      </c>
      <c r="E24" s="20" t="s">
        <v>63</v>
      </c>
      <c r="F24" s="20" t="s">
        <v>65</v>
      </c>
      <c r="G24" s="20">
        <v>1200</v>
      </c>
      <c r="H24" s="20" t="s">
        <v>131</v>
      </c>
      <c r="I24" s="20" t="str">
        <f t="shared" si="0"/>
        <v>WFLX-LNR-SH-PB-1200-X</v>
      </c>
      <c r="J24" s="20" t="s">
        <v>86</v>
      </c>
      <c r="K24" s="20" t="s">
        <v>130</v>
      </c>
      <c r="L24" s="20" t="s">
        <v>95</v>
      </c>
      <c r="M24" s="20" t="s">
        <v>96</v>
      </c>
      <c r="N24" s="20">
        <v>1200</v>
      </c>
      <c r="O24" s="20" t="s">
        <v>11</v>
      </c>
      <c r="P24" s="20" t="s">
        <v>55</v>
      </c>
      <c r="Q24" s="33" t="str">
        <f t="array" ref="Q24">"Actual size: "&amp;N24&amp;" x 600mm per user"&amp;CHAR(10)&amp;CHAR(10)&amp;"Formation - "&amp;K24&amp;" "&amp;M24&amp;CHAR(10)&amp;CHAR(10)&amp;"Top material: "&amp;INDEX('MASTER DATA'!$D$21:$D$29,MATCH(O24,'MASTER DATA'!$B$21:$B$29,0))&amp;CHAR(10)&amp;"Color specs: TBD"&amp;CHAR(10)&amp;CHAR(10)&amp;"Leg: "&amp;INDEX('MASTER DATA'!$D$33:$D$37,MATCH(K24,'MASTER DATA'!$B$33:$B$37,0))&amp;CHAR(10)&amp;"Color specs: TBD"&amp;CHAR(10)&amp;CHAR(10)&amp;"Electrification: "&amp;'MASTER DATA'!D62&amp;CHAR(10)&amp;"Color specs: TBD"&amp;CHAR(10)&amp;CHAR(10)&amp;"Screen: "&amp;INDEX('MASTER DATA'!$D$52:$D$54,MATCH(P24,'MASTER DATA'!$B$52:$B$54,0))&amp;CHAR(10)&amp;"Color specs: TBD"</f>
        <v>Actual size: 1200 x 600mm per user
Formation - FLEXI SHARING
Top material: 18MM PRE-LAMINATED PARTICLE BOARD BOTH SIDES LAMINATE WITH EDGEBANDING
Color specs: TBD
Leg: MS+ALUMINUM LEG WITH POWDER COATING
Color specs: TBD
Electrification: 
Color specs: TBD
Screen: 
Color specs: TBD</v>
      </c>
      <c r="R24" s="33"/>
      <c r="S24" s="33" t="s">
        <v>148</v>
      </c>
      <c r="T24" s="33">
        <f t="shared" ca="1" si="1"/>
        <v>10700</v>
      </c>
      <c r="U24" s="38">
        <f t="shared" ca="1" si="2"/>
        <v>9630</v>
      </c>
      <c r="V24" s="38">
        <f t="shared" ca="1" si="3"/>
        <v>9095</v>
      </c>
      <c r="W24" s="38">
        <f t="shared" ca="1" si="4"/>
        <v>8560</v>
      </c>
      <c r="X24" s="38">
        <f t="shared" ca="1" si="5"/>
        <v>7489.9999999999991</v>
      </c>
      <c r="Y24" s="18"/>
    </row>
    <row r="25" spans="1:25" ht="222" customHeight="1" x14ac:dyDescent="0.15">
      <c r="A25" s="18"/>
      <c r="B25" s="20" t="s">
        <v>58</v>
      </c>
      <c r="C25" s="20" t="s">
        <v>60</v>
      </c>
      <c r="D25" s="20" t="s">
        <v>61</v>
      </c>
      <c r="E25" s="20" t="s">
        <v>63</v>
      </c>
      <c r="F25" s="20" t="s">
        <v>112</v>
      </c>
      <c r="G25" s="20">
        <v>1200</v>
      </c>
      <c r="H25" s="20" t="s">
        <v>66</v>
      </c>
      <c r="I25" s="20" t="str">
        <f t="shared" si="0"/>
        <v>WFLX-LNR-SH-PLM-1200-F</v>
      </c>
      <c r="J25" s="20" t="s">
        <v>86</v>
      </c>
      <c r="K25" s="20" t="s">
        <v>130</v>
      </c>
      <c r="L25" s="20" t="s">
        <v>95</v>
      </c>
      <c r="M25" s="20" t="s">
        <v>96</v>
      </c>
      <c r="N25" s="20">
        <v>1200</v>
      </c>
      <c r="O25" s="20" t="s">
        <v>31</v>
      </c>
      <c r="P25" s="20" t="s">
        <v>23</v>
      </c>
      <c r="Q25" s="33"/>
      <c r="R25" s="33"/>
      <c r="S25" s="33" t="s">
        <v>107</v>
      </c>
      <c r="T25" s="33">
        <f t="shared" ca="1" si="1"/>
        <v>14100</v>
      </c>
      <c r="U25" s="38">
        <f t="shared" ca="1" si="2"/>
        <v>12690</v>
      </c>
      <c r="V25" s="38">
        <f t="shared" ca="1" si="3"/>
        <v>11985</v>
      </c>
      <c r="W25" s="38">
        <f t="shared" ca="1" si="4"/>
        <v>11280</v>
      </c>
      <c r="X25" s="38">
        <f t="shared" ca="1" si="5"/>
        <v>9870</v>
      </c>
      <c r="Y25" s="18"/>
    </row>
    <row r="26" spans="1:25" ht="222" customHeight="1" x14ac:dyDescent="0.15">
      <c r="A26" s="18"/>
      <c r="B26" s="20" t="s">
        <v>58</v>
      </c>
      <c r="C26" s="20" t="s">
        <v>60</v>
      </c>
      <c r="D26" s="20" t="s">
        <v>61</v>
      </c>
      <c r="E26" s="20" t="s">
        <v>63</v>
      </c>
      <c r="F26" s="20" t="s">
        <v>112</v>
      </c>
      <c r="G26" s="20">
        <v>1200</v>
      </c>
      <c r="H26" s="20" t="s">
        <v>116</v>
      </c>
      <c r="I26" s="20" t="str">
        <f t="shared" si="0"/>
        <v>WFLX-LNR-SH-PLM-1200-G</v>
      </c>
      <c r="J26" s="20" t="s">
        <v>86</v>
      </c>
      <c r="K26" s="20" t="s">
        <v>130</v>
      </c>
      <c r="L26" s="20" t="s">
        <v>95</v>
      </c>
      <c r="M26" s="20" t="s">
        <v>96</v>
      </c>
      <c r="N26" s="20">
        <v>1200</v>
      </c>
      <c r="O26" s="20" t="s">
        <v>31</v>
      </c>
      <c r="P26" s="20" t="s">
        <v>42</v>
      </c>
      <c r="Q26" s="33" t="str">
        <f t="array" ref="Q26">"Actual size: "&amp;N26&amp;" x 600mm per user"&amp;CHAR(10)&amp;CHAR(10)&amp;"Formation - "&amp;K26&amp;" "&amp;M26&amp;CHAR(10)&amp;CHAR(10)&amp;"Top material: "&amp;INDEX('MASTER DATA'!$D$21:$D$29,MATCH(O26,'MASTER DATA'!$B$21:$B$29,0))&amp;CHAR(10)&amp;"Color specs: TBD"&amp;CHAR(10)&amp;CHAR(10)&amp;"Leg: "&amp;INDEX('MASTER DATA'!$D$33:$D$37,MATCH(K26,'MASTER DATA'!$B$33:$B$37,0))&amp;CHAR(10)&amp;"Color specs: TBD"&amp;CHAR(10)&amp;CHAR(10)&amp;"Electrification: "&amp;'MASTER DATA'!D64&amp;CHAR(10)&amp;"Color specs: TBD"&amp;CHAR(10)&amp;CHAR(10)&amp;"Screen: "&amp;INDEX('MASTER DATA'!$D$52:$D$54,MATCH(P26,'MASTER DATA'!$B$52:$B$54,0))&amp;CHAR(10)&amp;"Color specs: TBD"</f>
        <v>Actual size: 1200 x 600mm per user
Formation - FLEXI SHARING
Top material: 18MM PRE-LAMINATED MDF(MEDIUM DESNSITY FIBER) BOARD BOTH SIDES LAMINATE
Color specs: TBD
Leg: MS+ALUMINUM LEG WITH POWDER COATING
Color specs: TBD
Electrification: 
Color specs: TBD
Screen: 4+4MM SANDWICHED BACK PAINTED MAGNETIC GLASS SCREEN
Color specs: TBD</v>
      </c>
      <c r="R26" s="33"/>
      <c r="S26" s="33" t="s">
        <v>129</v>
      </c>
      <c r="T26" s="33">
        <f t="shared" ca="1" si="1"/>
        <v>14400</v>
      </c>
      <c r="U26" s="38">
        <f t="shared" ca="1" si="2"/>
        <v>12960</v>
      </c>
      <c r="V26" s="38">
        <f t="shared" ca="1" si="3"/>
        <v>12240</v>
      </c>
      <c r="W26" s="38">
        <f t="shared" ca="1" si="4"/>
        <v>11520</v>
      </c>
      <c r="X26" s="38">
        <f t="shared" ca="1" si="5"/>
        <v>10080</v>
      </c>
      <c r="Y26" s="18"/>
    </row>
    <row r="27" spans="1:25" ht="222" customHeight="1" x14ac:dyDescent="0.15">
      <c r="A27" s="18"/>
      <c r="B27" s="20" t="s">
        <v>58</v>
      </c>
      <c r="C27" s="20" t="s">
        <v>60</v>
      </c>
      <c r="D27" s="20" t="s">
        <v>61</v>
      </c>
      <c r="E27" s="20" t="s">
        <v>63</v>
      </c>
      <c r="F27" s="20" t="s">
        <v>112</v>
      </c>
      <c r="G27" s="20">
        <v>1200</v>
      </c>
      <c r="H27" s="20" t="s">
        <v>131</v>
      </c>
      <c r="I27" s="20" t="str">
        <f t="shared" si="0"/>
        <v>WFLX-LNR-SH-PLM-1200-X</v>
      </c>
      <c r="J27" s="20" t="s">
        <v>86</v>
      </c>
      <c r="K27" s="20" t="s">
        <v>130</v>
      </c>
      <c r="L27" s="20" t="s">
        <v>95</v>
      </c>
      <c r="M27" s="20" t="s">
        <v>96</v>
      </c>
      <c r="N27" s="20">
        <v>1200</v>
      </c>
      <c r="O27" s="20" t="s">
        <v>31</v>
      </c>
      <c r="P27" s="20" t="s">
        <v>55</v>
      </c>
      <c r="Q27" s="33" t="str">
        <f t="array" ref="Q27">"Actual size: "&amp;N27&amp;" x 600mm per user"&amp;CHAR(10)&amp;CHAR(10)&amp;"Formation - "&amp;K27&amp;" "&amp;M27&amp;CHAR(10)&amp;CHAR(10)&amp;"Top material: "&amp;INDEX('MASTER DATA'!$D$21:$D$29,MATCH(O27,'MASTER DATA'!$B$21:$B$29,0))&amp;CHAR(10)&amp;"Color specs: TBD"&amp;CHAR(10)&amp;CHAR(10)&amp;"Leg: "&amp;INDEX('MASTER DATA'!$D$33:$D$37,MATCH(K27,'MASTER DATA'!$B$33:$B$37,0))&amp;CHAR(10)&amp;"Color specs: TBD"&amp;CHAR(10)&amp;CHAR(10)&amp;"Electrification: "&amp;'MASTER DATA'!D65&amp;CHAR(10)&amp;"Color specs: TBD"&amp;CHAR(10)&amp;CHAR(10)&amp;"Screen: "&amp;INDEX('MASTER DATA'!$D$52:$D$54,MATCH(P27,'MASTER DATA'!$B$52:$B$54,0))&amp;CHAR(10)&amp;"Color specs: TBD"</f>
        <v>Actual size: 1200 x 600mm per user
Formation - FLEXI SHARING
Top material: 18MM PRE-LAMINATED MDF(MEDIUM DESNSITY FIBER) BOARD BOTH SIDES LAMINATE
Color specs: TBD
Leg: MS+ALUMINUM LEG WITH POWDER COATING
Color specs: TBD
Electrification: 
Color specs: TBD
Screen: 
Color specs: TBD</v>
      </c>
      <c r="R27" s="33"/>
      <c r="S27" s="33" t="s">
        <v>148</v>
      </c>
      <c r="T27" s="33">
        <f t="shared" ca="1" si="1"/>
        <v>11800</v>
      </c>
      <c r="U27" s="38">
        <f t="shared" ca="1" si="2"/>
        <v>10620</v>
      </c>
      <c r="V27" s="38">
        <f t="shared" ca="1" si="3"/>
        <v>10030</v>
      </c>
      <c r="W27" s="38">
        <f t="shared" ca="1" si="4"/>
        <v>9440</v>
      </c>
      <c r="X27" s="38">
        <f t="shared" ca="1" si="5"/>
        <v>8260</v>
      </c>
      <c r="Y27" s="18"/>
    </row>
    <row r="28" spans="1:25" ht="307.5" customHeight="1" x14ac:dyDescent="0.15">
      <c r="A28" s="18"/>
      <c r="B28" s="20" t="s">
        <v>58</v>
      </c>
      <c r="C28" s="20" t="s">
        <v>60</v>
      </c>
      <c r="D28" s="20" t="s">
        <v>61</v>
      </c>
      <c r="E28" s="20" t="s">
        <v>63</v>
      </c>
      <c r="F28" s="20" t="s">
        <v>114</v>
      </c>
      <c r="G28" s="20">
        <v>1200</v>
      </c>
      <c r="H28" s="20" t="s">
        <v>66</v>
      </c>
      <c r="I28" s="20" t="str">
        <f t="shared" si="0"/>
        <v>WFLX-LNR-SH-PoLM-1200-F</v>
      </c>
      <c r="J28" s="20" t="s">
        <v>86</v>
      </c>
      <c r="K28" s="20" t="s">
        <v>130</v>
      </c>
      <c r="L28" s="20" t="s">
        <v>95</v>
      </c>
      <c r="M28" s="20" t="s">
        <v>96</v>
      </c>
      <c r="N28" s="20">
        <v>1200</v>
      </c>
      <c r="O28" s="20" t="s">
        <v>47</v>
      </c>
      <c r="P28" s="20" t="s">
        <v>23</v>
      </c>
      <c r="Q28" s="33" t="str">
        <f t="array" ref="Q28">"Actual size: "&amp;N28&amp;" x 600mm per user"&amp;CHAR(10)&amp;CHAR(10)&amp;"Formation - "&amp;K28&amp;" "&amp;M28&amp;CHAR(10)&amp;CHAR(10)&amp;"Top material: "&amp;INDEX('MASTER DATA'!$D$21:$D$29,MATCH(O28,'MASTER DATA'!$B$21:$B$29,0))&amp;CHAR(10)&amp;"Color specs: TBD"&amp;CHAR(10)&amp;CHAR(10)&amp;"Leg: "&amp;INDEX('MASTER DATA'!$D$33:$D$37,MATCH(K28,'MASTER DATA'!$B$33:$B$37,0))&amp;CHAR(10)&amp;"Color specs: TBD"&amp;CHAR(10)&amp;CHAR(10)&amp;"Electrification: "&amp;'MASTER DATA'!D66&amp;CHAR(10)&amp;"Color specs: TBD"&amp;CHAR(10)&amp;CHAR(10)&amp;"Screen: "&amp;INDEX('MASTER DATA'!$D$52:$D$54,MATCH(P28,'MASTER DATA'!$B$52:$B$54,0))&amp;CHAR(10)&amp;"Color specs: TBD"</f>
        <v>Actual size: 1200 x 600mm per user
Formation - FLEXI SHARING
Top material: 18MM POST-LAMINATED MDF(MEDIUM DESNSITY FIBER) BOARD BOTH SIDES LAMINATE
Color specs: TBD
Leg: MS+ALUMINUM LEG WITH POWDER COATING
Color specs: TBD
Electrification: 
Color specs: TBD
Screen: L:6" LESS THAN TOP LENGTH, H400mm, D30mm 
FABRIC PINUP BOARD WITH ALUMINUM TRIMS 
Color specs: TBD</v>
      </c>
      <c r="R28" s="33"/>
      <c r="S28" s="33" t="s">
        <v>107</v>
      </c>
      <c r="T28" s="33">
        <f t="shared" ca="1" si="1"/>
        <v>20600</v>
      </c>
      <c r="U28" s="38">
        <f t="shared" ca="1" si="2"/>
        <v>18540</v>
      </c>
      <c r="V28" s="38">
        <f t="shared" ca="1" si="3"/>
        <v>17510</v>
      </c>
      <c r="W28" s="38">
        <f t="shared" ca="1" si="4"/>
        <v>16480</v>
      </c>
      <c r="X28" s="38">
        <f t="shared" ca="1" si="5"/>
        <v>14419.999999999998</v>
      </c>
      <c r="Y28" s="18"/>
    </row>
    <row r="29" spans="1:25" ht="307.5" customHeight="1" x14ac:dyDescent="0.15">
      <c r="A29" s="18"/>
      <c r="B29" s="20" t="s">
        <v>58</v>
      </c>
      <c r="C29" s="20" t="s">
        <v>60</v>
      </c>
      <c r="D29" s="20" t="s">
        <v>61</v>
      </c>
      <c r="E29" s="20" t="s">
        <v>63</v>
      </c>
      <c r="F29" s="20" t="s">
        <v>114</v>
      </c>
      <c r="G29" s="20">
        <v>1200</v>
      </c>
      <c r="H29" s="20" t="s">
        <v>116</v>
      </c>
      <c r="I29" s="20" t="str">
        <f t="shared" si="0"/>
        <v>WFLX-LNR-SH-PoLM-1200-G</v>
      </c>
      <c r="J29" s="20" t="s">
        <v>86</v>
      </c>
      <c r="K29" s="20" t="s">
        <v>130</v>
      </c>
      <c r="L29" s="20" t="s">
        <v>95</v>
      </c>
      <c r="M29" s="20" t="s">
        <v>96</v>
      </c>
      <c r="N29" s="20">
        <v>1200</v>
      </c>
      <c r="O29" s="20" t="s">
        <v>47</v>
      </c>
      <c r="P29" s="20" t="s">
        <v>42</v>
      </c>
      <c r="Q29" s="33" t="str">
        <f t="array" ref="Q29">"Actual size: "&amp;N29&amp;" x 600mm per user"&amp;CHAR(10)&amp;CHAR(10)&amp;"Formation - "&amp;K29&amp;" "&amp;M29&amp;CHAR(10)&amp;CHAR(10)&amp;"Top material: "&amp;INDEX('MASTER DATA'!$D$21:$D$29,MATCH(O29,'MASTER DATA'!$B$21:$B$29,0))&amp;CHAR(10)&amp;"Color specs: TBD"&amp;CHAR(10)&amp;CHAR(10)&amp;"Leg: "&amp;INDEX('MASTER DATA'!$D$33:$D$37,MATCH(K29,'MASTER DATA'!$B$33:$B$37,0))&amp;CHAR(10)&amp;"Color specs: TBD"&amp;CHAR(10)&amp;CHAR(10)&amp;"Electrification: "&amp;'MASTER DATA'!D67&amp;CHAR(10)&amp;"Color specs: TBD"&amp;CHAR(10)&amp;CHAR(10)&amp;"Screen: "&amp;INDEX('MASTER DATA'!$D$52:$D$54,MATCH(P29,'MASTER DATA'!$B$52:$B$54,0))&amp;CHAR(10)&amp;"Color specs: TBD"</f>
        <v>Actual size: 1200 x 600mm per user
Formation - FLEXI SHARING
Top material: 18MM POST-LAMINATED MDF(MEDIUM DESNSITY FIBER) BOARD BOTH SIDES LAMINATE
Color specs: TBD
Leg: MS+ALUMINUM LEG WITH POWDER COATING
Color specs: TBD
Electrification: 
Color specs: TBD
Screen: 4+4MM SANDWICHED BACK PAINTED MAGNETIC GLASS SCREEN
Color specs: TBD</v>
      </c>
      <c r="R29" s="33"/>
      <c r="S29" s="33" t="s">
        <v>129</v>
      </c>
      <c r="T29" s="33">
        <f t="shared" ca="1" si="1"/>
        <v>20900</v>
      </c>
      <c r="U29" s="38">
        <f t="shared" ca="1" si="2"/>
        <v>18810</v>
      </c>
      <c r="V29" s="38">
        <f t="shared" ca="1" si="3"/>
        <v>17765</v>
      </c>
      <c r="W29" s="38">
        <f t="shared" ca="1" si="4"/>
        <v>16720</v>
      </c>
      <c r="X29" s="38">
        <f t="shared" ca="1" si="5"/>
        <v>14629.999999999998</v>
      </c>
      <c r="Y29" s="18"/>
    </row>
    <row r="30" spans="1:25" ht="307.5" customHeight="1" x14ac:dyDescent="0.15">
      <c r="A30" s="15"/>
      <c r="B30" s="20" t="s">
        <v>58</v>
      </c>
      <c r="C30" s="20" t="s">
        <v>60</v>
      </c>
      <c r="D30" s="20" t="s">
        <v>61</v>
      </c>
      <c r="E30" s="20" t="s">
        <v>63</v>
      </c>
      <c r="F30" s="20" t="s">
        <v>114</v>
      </c>
      <c r="G30" s="20">
        <v>1200</v>
      </c>
      <c r="H30" s="20" t="s">
        <v>131</v>
      </c>
      <c r="I30" s="20" t="str">
        <f t="shared" si="0"/>
        <v>WFLX-LNR-SH-PoLM-1200-X</v>
      </c>
      <c r="J30" s="20" t="s">
        <v>86</v>
      </c>
      <c r="K30" s="20" t="s">
        <v>130</v>
      </c>
      <c r="L30" s="20" t="s">
        <v>95</v>
      </c>
      <c r="M30" s="20" t="s">
        <v>96</v>
      </c>
      <c r="N30" s="20">
        <v>1200</v>
      </c>
      <c r="O30" s="20" t="s">
        <v>47</v>
      </c>
      <c r="P30" s="20" t="s">
        <v>55</v>
      </c>
      <c r="Q30" s="33" t="str">
        <f t="array" ref="Q30">"Actual size: "&amp;N30&amp;" x 600mm per user"&amp;CHAR(10)&amp;CHAR(10)&amp;"Formation - "&amp;K30&amp;" "&amp;M30&amp;CHAR(10)&amp;CHAR(10)&amp;"Top material: "&amp;INDEX('MASTER DATA'!$D$21:$D$29,MATCH(O30,'MASTER DATA'!$B$21:$B$29,0))&amp;CHAR(10)&amp;"Color specs: TBD"&amp;CHAR(10)&amp;CHAR(10)&amp;"Leg: "&amp;INDEX('MASTER DATA'!$D$33:$D$37,MATCH(K30,'MASTER DATA'!$B$33:$B$37,0))&amp;CHAR(10)&amp;"Color specs: TBD"&amp;CHAR(10)&amp;CHAR(10)&amp;"Electrification: "&amp;'MASTER DATA'!D68&amp;CHAR(10)&amp;"Color specs: TBD"&amp;CHAR(10)&amp;CHAR(10)&amp;"Screen: "&amp;INDEX('MASTER DATA'!$D$52:$D$54,MATCH(P30,'MASTER DATA'!$B$52:$B$54,0))&amp;CHAR(10)&amp;"Color specs: TBD"</f>
        <v>Actual size: 1200 x 600mm per user
Formation - FLEXI SHARING
Top material: 18MM POST-LAMINATED MDF(MEDIUM DESNSITY FIBER) BOARD BOTH SIDES LAMINATE
Color specs: TBD
Leg: MS+ALUMINUM LEG WITH POWDER COATING
Color specs: TBD
Electrification: 
Color specs: TBD
Screen: 
Color specs: TBD</v>
      </c>
      <c r="R30" s="33"/>
      <c r="S30" s="33" t="s">
        <v>148</v>
      </c>
      <c r="T30" s="33">
        <f t="shared" ca="1" si="1"/>
        <v>18300</v>
      </c>
      <c r="U30" s="38">
        <f t="shared" ca="1" si="2"/>
        <v>16470</v>
      </c>
      <c r="V30" s="38">
        <f t="shared" ca="1" si="3"/>
        <v>15555</v>
      </c>
      <c r="W30" s="38">
        <f t="shared" ca="1" si="4"/>
        <v>14640</v>
      </c>
      <c r="X30" s="38">
        <f t="shared" ca="1" si="5"/>
        <v>12810</v>
      </c>
      <c r="Y30" s="18"/>
    </row>
    <row r="31" spans="1:25" ht="307.5" customHeight="1" x14ac:dyDescent="0.15">
      <c r="A31" s="18"/>
      <c r="B31" s="20" t="s">
        <v>58</v>
      </c>
      <c r="C31" s="20" t="s">
        <v>60</v>
      </c>
      <c r="D31" s="20" t="s">
        <v>61</v>
      </c>
      <c r="E31" s="20" t="s">
        <v>63</v>
      </c>
      <c r="F31" s="20" t="s">
        <v>117</v>
      </c>
      <c r="G31" s="20">
        <v>1200</v>
      </c>
      <c r="H31" s="20" t="s">
        <v>66</v>
      </c>
      <c r="I31" s="20" t="str">
        <f t="shared" si="0"/>
        <v>WFLX-LNR-SH-LVM-1200-F</v>
      </c>
      <c r="J31" s="20" t="s">
        <v>86</v>
      </c>
      <c r="K31" s="20" t="s">
        <v>130</v>
      </c>
      <c r="L31" s="20" t="s">
        <v>95</v>
      </c>
      <c r="M31" s="20" t="s">
        <v>96</v>
      </c>
      <c r="N31" s="20">
        <v>1200</v>
      </c>
      <c r="O31" s="20" t="s">
        <v>157</v>
      </c>
      <c r="P31" s="20" t="s">
        <v>23</v>
      </c>
      <c r="Q31" s="33"/>
      <c r="R31" s="33"/>
      <c r="S31" s="33" t="s">
        <v>107</v>
      </c>
      <c r="T31" s="33">
        <f t="shared" ca="1" si="1"/>
        <v>23500</v>
      </c>
      <c r="U31" s="38">
        <f t="shared" ca="1" si="2"/>
        <v>21150</v>
      </c>
      <c r="V31" s="38">
        <f t="shared" ca="1" si="3"/>
        <v>19975</v>
      </c>
      <c r="W31" s="38">
        <f t="shared" ca="1" si="4"/>
        <v>18800</v>
      </c>
      <c r="X31" s="38">
        <f t="shared" ca="1" si="5"/>
        <v>16450</v>
      </c>
      <c r="Y31" s="18"/>
    </row>
    <row r="32" spans="1:25" ht="307.5" customHeight="1" x14ac:dyDescent="0.15">
      <c r="A32" s="18"/>
      <c r="B32" s="20" t="s">
        <v>58</v>
      </c>
      <c r="C32" s="20" t="s">
        <v>60</v>
      </c>
      <c r="D32" s="20" t="s">
        <v>61</v>
      </c>
      <c r="E32" s="20" t="s">
        <v>63</v>
      </c>
      <c r="F32" s="20" t="s">
        <v>117</v>
      </c>
      <c r="G32" s="20">
        <v>1200</v>
      </c>
      <c r="H32" s="20" t="s">
        <v>116</v>
      </c>
      <c r="I32" s="20" t="str">
        <f t="shared" si="0"/>
        <v>WFLX-LNR-SH-LVM-1200-G</v>
      </c>
      <c r="J32" s="20" t="s">
        <v>86</v>
      </c>
      <c r="K32" s="20" t="s">
        <v>130</v>
      </c>
      <c r="L32" s="20" t="s">
        <v>95</v>
      </c>
      <c r="M32" s="20" t="s">
        <v>96</v>
      </c>
      <c r="N32" s="20">
        <v>1200</v>
      </c>
      <c r="O32" s="20" t="s">
        <v>157</v>
      </c>
      <c r="P32" s="20" t="s">
        <v>42</v>
      </c>
      <c r="Q32" s="33"/>
      <c r="R32" s="33"/>
      <c r="S32" s="33" t="s">
        <v>129</v>
      </c>
      <c r="T32" s="33">
        <f t="shared" ca="1" si="1"/>
        <v>23800</v>
      </c>
      <c r="U32" s="38">
        <f t="shared" ca="1" si="2"/>
        <v>21420</v>
      </c>
      <c r="V32" s="38">
        <f t="shared" ca="1" si="3"/>
        <v>20230</v>
      </c>
      <c r="W32" s="38">
        <f t="shared" ca="1" si="4"/>
        <v>19040</v>
      </c>
      <c r="X32" s="38">
        <f t="shared" ca="1" si="5"/>
        <v>16660</v>
      </c>
      <c r="Y32" s="18"/>
    </row>
    <row r="33" spans="1:25" ht="307.5" customHeight="1" x14ac:dyDescent="0.15">
      <c r="A33" s="18"/>
      <c r="B33" s="20" t="s">
        <v>58</v>
      </c>
      <c r="C33" s="20" t="s">
        <v>60</v>
      </c>
      <c r="D33" s="20" t="s">
        <v>61</v>
      </c>
      <c r="E33" s="20" t="s">
        <v>63</v>
      </c>
      <c r="F33" s="20" t="s">
        <v>117</v>
      </c>
      <c r="G33" s="20">
        <v>1200</v>
      </c>
      <c r="H33" s="20" t="s">
        <v>131</v>
      </c>
      <c r="I33" s="20" t="str">
        <f t="shared" si="0"/>
        <v>WFLX-LNR-SH-LVM-1200-X</v>
      </c>
      <c r="J33" s="20" t="s">
        <v>86</v>
      </c>
      <c r="K33" s="20" t="s">
        <v>130</v>
      </c>
      <c r="L33" s="20" t="s">
        <v>95</v>
      </c>
      <c r="M33" s="20" t="s">
        <v>96</v>
      </c>
      <c r="N33" s="20">
        <v>1200</v>
      </c>
      <c r="O33" s="20" t="s">
        <v>157</v>
      </c>
      <c r="P33" s="20" t="s">
        <v>55</v>
      </c>
      <c r="Q33" s="33"/>
      <c r="R33" s="33"/>
      <c r="S33" s="33" t="s">
        <v>148</v>
      </c>
      <c r="T33" s="33">
        <f t="shared" ca="1" si="1"/>
        <v>21200</v>
      </c>
      <c r="U33" s="38">
        <f t="shared" ca="1" si="2"/>
        <v>19080</v>
      </c>
      <c r="V33" s="38">
        <f t="shared" ca="1" si="3"/>
        <v>18020</v>
      </c>
      <c r="W33" s="38">
        <f t="shared" ca="1" si="4"/>
        <v>16960</v>
      </c>
      <c r="X33" s="38">
        <f t="shared" ca="1" si="5"/>
        <v>14839.999999999998</v>
      </c>
      <c r="Y33" s="18"/>
    </row>
    <row r="34" spans="1:25" ht="307.5" customHeight="1" x14ac:dyDescent="0.15">
      <c r="A34" s="18"/>
      <c r="B34" s="20" t="s">
        <v>58</v>
      </c>
      <c r="C34" s="20" t="s">
        <v>60</v>
      </c>
      <c r="D34" s="20" t="s">
        <v>61</v>
      </c>
      <c r="E34" s="20" t="s">
        <v>63</v>
      </c>
      <c r="F34" s="20" t="s">
        <v>119</v>
      </c>
      <c r="G34" s="20">
        <v>1200</v>
      </c>
      <c r="H34" s="20" t="s">
        <v>66</v>
      </c>
      <c r="I34" s="20" t="str">
        <f t="shared" si="0"/>
        <v>WFLX-LNR-SH-LVP-1200-F</v>
      </c>
      <c r="J34" s="20" t="s">
        <v>86</v>
      </c>
      <c r="K34" s="20" t="s">
        <v>130</v>
      </c>
      <c r="L34" s="20" t="s">
        <v>95</v>
      </c>
      <c r="M34" s="20" t="s">
        <v>96</v>
      </c>
      <c r="N34" s="20">
        <v>1200</v>
      </c>
      <c r="O34" s="20" t="s">
        <v>158</v>
      </c>
      <c r="P34" s="20" t="s">
        <v>23</v>
      </c>
      <c r="Q34" s="33"/>
      <c r="R34" s="33"/>
      <c r="S34" s="33" t="s">
        <v>107</v>
      </c>
      <c r="T34" s="33">
        <f t="shared" ca="1" si="1"/>
        <v>24900</v>
      </c>
      <c r="U34" s="38">
        <f t="shared" ca="1" si="2"/>
        <v>22410</v>
      </c>
      <c r="V34" s="38">
        <f t="shared" ca="1" si="3"/>
        <v>21165</v>
      </c>
      <c r="W34" s="38">
        <f t="shared" ca="1" si="4"/>
        <v>19920</v>
      </c>
      <c r="X34" s="38">
        <f t="shared" ca="1" si="5"/>
        <v>17430</v>
      </c>
      <c r="Y34" s="18"/>
    </row>
    <row r="35" spans="1:25" ht="307.5" customHeight="1" x14ac:dyDescent="0.15">
      <c r="A35" s="18"/>
      <c r="B35" s="20" t="s">
        <v>58</v>
      </c>
      <c r="C35" s="20" t="s">
        <v>60</v>
      </c>
      <c r="D35" s="20" t="s">
        <v>61</v>
      </c>
      <c r="E35" s="20" t="s">
        <v>63</v>
      </c>
      <c r="F35" s="20" t="s">
        <v>119</v>
      </c>
      <c r="G35" s="20">
        <v>1200</v>
      </c>
      <c r="H35" s="20" t="s">
        <v>116</v>
      </c>
      <c r="I35" s="20" t="str">
        <f t="shared" si="0"/>
        <v>WFLX-LNR-SH-LVP-1200-G</v>
      </c>
      <c r="J35" s="20" t="s">
        <v>86</v>
      </c>
      <c r="K35" s="20" t="s">
        <v>130</v>
      </c>
      <c r="L35" s="20" t="s">
        <v>95</v>
      </c>
      <c r="M35" s="20" t="s">
        <v>96</v>
      </c>
      <c r="N35" s="20">
        <v>1200</v>
      </c>
      <c r="O35" s="20" t="s">
        <v>158</v>
      </c>
      <c r="P35" s="20" t="s">
        <v>42</v>
      </c>
      <c r="Q35" s="33"/>
      <c r="R35" s="33"/>
      <c r="S35" s="33" t="s">
        <v>129</v>
      </c>
      <c r="T35" s="33">
        <f t="shared" ca="1" si="1"/>
        <v>25200</v>
      </c>
      <c r="U35" s="38">
        <f t="shared" ca="1" si="2"/>
        <v>22680</v>
      </c>
      <c r="V35" s="38">
        <f t="shared" ca="1" si="3"/>
        <v>21420</v>
      </c>
      <c r="W35" s="38">
        <f t="shared" ca="1" si="4"/>
        <v>20160</v>
      </c>
      <c r="X35" s="38">
        <f t="shared" ca="1" si="5"/>
        <v>17640</v>
      </c>
      <c r="Y35" s="18"/>
    </row>
    <row r="36" spans="1:25" ht="307.5" customHeight="1" x14ac:dyDescent="0.15">
      <c r="A36" s="18"/>
      <c r="B36" s="20" t="s">
        <v>58</v>
      </c>
      <c r="C36" s="20" t="s">
        <v>60</v>
      </c>
      <c r="D36" s="20" t="s">
        <v>61</v>
      </c>
      <c r="E36" s="20" t="s">
        <v>63</v>
      </c>
      <c r="F36" s="20" t="s">
        <v>119</v>
      </c>
      <c r="G36" s="20">
        <v>1200</v>
      </c>
      <c r="H36" s="20" t="s">
        <v>131</v>
      </c>
      <c r="I36" s="20" t="str">
        <f t="shared" si="0"/>
        <v>WFLX-LNR-SH-LVP-1200-X</v>
      </c>
      <c r="J36" s="20" t="s">
        <v>86</v>
      </c>
      <c r="K36" s="20" t="s">
        <v>130</v>
      </c>
      <c r="L36" s="20" t="s">
        <v>95</v>
      </c>
      <c r="M36" s="20" t="s">
        <v>96</v>
      </c>
      <c r="N36" s="20">
        <v>1200</v>
      </c>
      <c r="O36" s="20" t="s">
        <v>158</v>
      </c>
      <c r="P36" s="20" t="s">
        <v>55</v>
      </c>
      <c r="Q36" s="33"/>
      <c r="R36" s="33"/>
      <c r="S36" s="33" t="s">
        <v>148</v>
      </c>
      <c r="T36" s="33">
        <f t="shared" ca="1" si="1"/>
        <v>22600</v>
      </c>
      <c r="U36" s="38">
        <f t="shared" ca="1" si="2"/>
        <v>20340</v>
      </c>
      <c r="V36" s="38">
        <f t="shared" ca="1" si="3"/>
        <v>19210</v>
      </c>
      <c r="W36" s="38">
        <f t="shared" ca="1" si="4"/>
        <v>18080</v>
      </c>
      <c r="X36" s="38">
        <f t="shared" ca="1" si="5"/>
        <v>15819.999999999998</v>
      </c>
      <c r="Y36" s="18"/>
    </row>
    <row r="37" spans="1:25" ht="307.5" customHeight="1" x14ac:dyDescent="0.15">
      <c r="A37" s="18"/>
      <c r="B37" s="20" t="s">
        <v>58</v>
      </c>
      <c r="C37" s="20" t="s">
        <v>60</v>
      </c>
      <c r="D37" s="20" t="s">
        <v>61</v>
      </c>
      <c r="E37" s="20" t="s">
        <v>63</v>
      </c>
      <c r="F37" s="20" t="s">
        <v>125</v>
      </c>
      <c r="G37" s="20">
        <v>1200</v>
      </c>
      <c r="H37" s="20" t="s">
        <v>66</v>
      </c>
      <c r="I37" s="20" t="str">
        <f t="shared" si="0"/>
        <v>WFLX-LNR-SH-MB-1200-F</v>
      </c>
      <c r="J37" s="20" t="s">
        <v>86</v>
      </c>
      <c r="K37" s="20" t="s">
        <v>130</v>
      </c>
      <c r="L37" s="20" t="s">
        <v>95</v>
      </c>
      <c r="M37" s="20" t="s">
        <v>96</v>
      </c>
      <c r="N37" s="20">
        <v>1200</v>
      </c>
      <c r="O37" s="20" t="s">
        <v>97</v>
      </c>
      <c r="P37" s="20" t="s">
        <v>23</v>
      </c>
      <c r="Q37" s="33"/>
      <c r="R37" s="33"/>
      <c r="S37" s="33" t="s">
        <v>107</v>
      </c>
      <c r="T37" s="33">
        <f t="shared" ca="1" si="1"/>
        <v>33200</v>
      </c>
      <c r="U37" s="38">
        <f t="shared" ca="1" si="2"/>
        <v>29880</v>
      </c>
      <c r="V37" s="38">
        <f t="shared" ca="1" si="3"/>
        <v>28220</v>
      </c>
      <c r="W37" s="38">
        <f t="shared" ca="1" si="4"/>
        <v>26560</v>
      </c>
      <c r="X37" s="38">
        <f t="shared" ca="1" si="5"/>
        <v>23240</v>
      </c>
      <c r="Y37" s="18"/>
    </row>
    <row r="38" spans="1:25" ht="307.5" customHeight="1" x14ac:dyDescent="0.15">
      <c r="A38" s="18"/>
      <c r="B38" s="20" t="s">
        <v>58</v>
      </c>
      <c r="C38" s="20" t="s">
        <v>60</v>
      </c>
      <c r="D38" s="20" t="s">
        <v>61</v>
      </c>
      <c r="E38" s="20" t="s">
        <v>63</v>
      </c>
      <c r="F38" s="20" t="s">
        <v>125</v>
      </c>
      <c r="G38" s="20">
        <v>1200</v>
      </c>
      <c r="H38" s="20" t="s">
        <v>116</v>
      </c>
      <c r="I38" s="20" t="str">
        <f t="shared" si="0"/>
        <v>WFLX-LNR-SH-MB-1200-G</v>
      </c>
      <c r="J38" s="20" t="s">
        <v>86</v>
      </c>
      <c r="K38" s="20" t="s">
        <v>130</v>
      </c>
      <c r="L38" s="20" t="s">
        <v>95</v>
      </c>
      <c r="M38" s="20" t="s">
        <v>96</v>
      </c>
      <c r="N38" s="20">
        <v>1200</v>
      </c>
      <c r="O38" s="20" t="s">
        <v>97</v>
      </c>
      <c r="P38" s="20" t="s">
        <v>42</v>
      </c>
      <c r="Q38" s="33"/>
      <c r="R38" s="33"/>
      <c r="S38" s="33" t="s">
        <v>129</v>
      </c>
      <c r="T38" s="33">
        <f t="shared" ca="1" si="1"/>
        <v>33500</v>
      </c>
      <c r="U38" s="38">
        <f t="shared" ca="1" si="2"/>
        <v>30150</v>
      </c>
      <c r="V38" s="38">
        <f t="shared" ca="1" si="3"/>
        <v>28475</v>
      </c>
      <c r="W38" s="38">
        <f t="shared" ca="1" si="4"/>
        <v>26800</v>
      </c>
      <c r="X38" s="38">
        <f t="shared" ca="1" si="5"/>
        <v>23450</v>
      </c>
      <c r="Y38" s="18"/>
    </row>
    <row r="39" spans="1:25" ht="307.5" customHeight="1" x14ac:dyDescent="0.15">
      <c r="A39" s="18"/>
      <c r="B39" s="20" t="s">
        <v>58</v>
      </c>
      <c r="C39" s="20" t="s">
        <v>60</v>
      </c>
      <c r="D39" s="20" t="s">
        <v>61</v>
      </c>
      <c r="E39" s="20" t="s">
        <v>63</v>
      </c>
      <c r="F39" s="20" t="s">
        <v>125</v>
      </c>
      <c r="G39" s="20">
        <v>1200</v>
      </c>
      <c r="H39" s="20" t="s">
        <v>131</v>
      </c>
      <c r="I39" s="20" t="str">
        <f t="shared" si="0"/>
        <v>WFLX-LNR-SH-MB-1200-X</v>
      </c>
      <c r="J39" s="20" t="s">
        <v>86</v>
      </c>
      <c r="K39" s="20" t="s">
        <v>130</v>
      </c>
      <c r="L39" s="20" t="s">
        <v>95</v>
      </c>
      <c r="M39" s="20" t="s">
        <v>96</v>
      </c>
      <c r="N39" s="20">
        <v>1200</v>
      </c>
      <c r="O39" s="20" t="s">
        <v>97</v>
      </c>
      <c r="P39" s="20" t="s">
        <v>55</v>
      </c>
      <c r="Q39" s="33"/>
      <c r="R39" s="33"/>
      <c r="S39" s="33" t="s">
        <v>148</v>
      </c>
      <c r="T39" s="33">
        <f t="shared" ca="1" si="1"/>
        <v>30900</v>
      </c>
      <c r="U39" s="38">
        <f t="shared" ca="1" si="2"/>
        <v>27810</v>
      </c>
      <c r="V39" s="38">
        <f t="shared" ca="1" si="3"/>
        <v>26265</v>
      </c>
      <c r="W39" s="38">
        <f t="shared" ca="1" si="4"/>
        <v>24720</v>
      </c>
      <c r="X39" s="38">
        <f t="shared" ca="1" si="5"/>
        <v>21630</v>
      </c>
      <c r="Y39" s="18"/>
    </row>
    <row r="40" spans="1:25" ht="307.5" customHeight="1" x14ac:dyDescent="0.15">
      <c r="A40" s="18"/>
      <c r="B40" s="20" t="s">
        <v>58</v>
      </c>
      <c r="C40" s="20" t="s">
        <v>60</v>
      </c>
      <c r="D40" s="20" t="s">
        <v>61</v>
      </c>
      <c r="E40" s="20" t="s">
        <v>63</v>
      </c>
      <c r="F40" s="20" t="s">
        <v>65</v>
      </c>
      <c r="G40" s="20">
        <v>1500</v>
      </c>
      <c r="H40" s="20" t="s">
        <v>66</v>
      </c>
      <c r="I40" s="20" t="str">
        <f t="shared" si="0"/>
        <v>WFLX-LNR-SH-PB-1500-F</v>
      </c>
      <c r="J40" s="20" t="s">
        <v>86</v>
      </c>
      <c r="K40" s="20" t="s">
        <v>130</v>
      </c>
      <c r="L40" s="20" t="s">
        <v>95</v>
      </c>
      <c r="M40" s="20" t="s">
        <v>96</v>
      </c>
      <c r="N40" s="20">
        <v>1500</v>
      </c>
      <c r="O40" s="20" t="s">
        <v>11</v>
      </c>
      <c r="P40" s="20" t="s">
        <v>23</v>
      </c>
      <c r="Q40" s="33"/>
      <c r="R40" s="33"/>
      <c r="S40" s="33" t="s">
        <v>107</v>
      </c>
      <c r="T40" s="33">
        <f t="shared" ca="1" si="1"/>
        <v>14700</v>
      </c>
      <c r="U40" s="38">
        <f t="shared" ca="1" si="2"/>
        <v>13230</v>
      </c>
      <c r="V40" s="38">
        <f t="shared" ca="1" si="3"/>
        <v>12495</v>
      </c>
      <c r="W40" s="38">
        <f t="shared" ca="1" si="4"/>
        <v>11760</v>
      </c>
      <c r="X40" s="38">
        <f t="shared" ca="1" si="5"/>
        <v>10290</v>
      </c>
      <c r="Y40" s="18"/>
    </row>
    <row r="41" spans="1:25" ht="307.5" customHeight="1" x14ac:dyDescent="0.15">
      <c r="A41" s="18"/>
      <c r="B41" s="20" t="s">
        <v>58</v>
      </c>
      <c r="C41" s="20" t="s">
        <v>60</v>
      </c>
      <c r="D41" s="20" t="s">
        <v>61</v>
      </c>
      <c r="E41" s="20" t="s">
        <v>63</v>
      </c>
      <c r="F41" s="20" t="s">
        <v>65</v>
      </c>
      <c r="G41" s="20">
        <v>1500</v>
      </c>
      <c r="H41" s="20" t="s">
        <v>116</v>
      </c>
      <c r="I41" s="20" t="str">
        <f t="shared" si="0"/>
        <v>WFLX-LNR-SH-PB-1500-G</v>
      </c>
      <c r="J41" s="20" t="s">
        <v>86</v>
      </c>
      <c r="K41" s="20" t="s">
        <v>130</v>
      </c>
      <c r="L41" s="20" t="s">
        <v>95</v>
      </c>
      <c r="M41" s="20" t="s">
        <v>96</v>
      </c>
      <c r="N41" s="20">
        <v>1500</v>
      </c>
      <c r="O41" s="20" t="s">
        <v>11</v>
      </c>
      <c r="P41" s="20" t="s">
        <v>42</v>
      </c>
      <c r="Q41" s="33"/>
      <c r="R41" s="33"/>
      <c r="S41" s="33" t="s">
        <v>129</v>
      </c>
      <c r="T41" s="33">
        <f t="shared" ca="1" si="1"/>
        <v>15200</v>
      </c>
      <c r="U41" s="38">
        <f t="shared" ca="1" si="2"/>
        <v>13680</v>
      </c>
      <c r="V41" s="38">
        <f t="shared" ca="1" si="3"/>
        <v>12920</v>
      </c>
      <c r="W41" s="38">
        <f t="shared" ca="1" si="4"/>
        <v>12160</v>
      </c>
      <c r="X41" s="38">
        <f t="shared" ca="1" si="5"/>
        <v>10640</v>
      </c>
      <c r="Y41" s="18"/>
    </row>
    <row r="42" spans="1:25" ht="307.5" customHeight="1" x14ac:dyDescent="0.15">
      <c r="A42" s="18"/>
      <c r="B42" s="20" t="s">
        <v>58</v>
      </c>
      <c r="C42" s="20" t="s">
        <v>60</v>
      </c>
      <c r="D42" s="20" t="s">
        <v>61</v>
      </c>
      <c r="E42" s="20" t="s">
        <v>63</v>
      </c>
      <c r="F42" s="20" t="s">
        <v>65</v>
      </c>
      <c r="G42" s="20">
        <v>1500</v>
      </c>
      <c r="H42" s="20" t="s">
        <v>131</v>
      </c>
      <c r="I42" s="20" t="str">
        <f t="shared" si="0"/>
        <v>WFLX-LNR-SH-PB-1500-X</v>
      </c>
      <c r="J42" s="20" t="s">
        <v>86</v>
      </c>
      <c r="K42" s="20" t="s">
        <v>130</v>
      </c>
      <c r="L42" s="20" t="s">
        <v>95</v>
      </c>
      <c r="M42" s="20" t="s">
        <v>96</v>
      </c>
      <c r="N42" s="20">
        <v>1500</v>
      </c>
      <c r="O42" s="20" t="s">
        <v>11</v>
      </c>
      <c r="P42" s="20" t="s">
        <v>55</v>
      </c>
      <c r="Q42" s="33"/>
      <c r="R42" s="33"/>
      <c r="S42" s="33" t="s">
        <v>148</v>
      </c>
      <c r="T42" s="33">
        <f t="shared" ca="1" si="1"/>
        <v>11900</v>
      </c>
      <c r="U42" s="38">
        <f t="shared" ca="1" si="2"/>
        <v>10710</v>
      </c>
      <c r="V42" s="38">
        <f t="shared" ca="1" si="3"/>
        <v>10115</v>
      </c>
      <c r="W42" s="38">
        <f t="shared" ca="1" si="4"/>
        <v>9520</v>
      </c>
      <c r="X42" s="38">
        <f t="shared" ca="1" si="5"/>
        <v>8330</v>
      </c>
      <c r="Y42" s="18"/>
    </row>
    <row r="43" spans="1:25" ht="307.5" customHeight="1" x14ac:dyDescent="0.15">
      <c r="A43" s="18"/>
      <c r="B43" s="20" t="s">
        <v>58</v>
      </c>
      <c r="C43" s="20" t="s">
        <v>60</v>
      </c>
      <c r="D43" s="20" t="s">
        <v>61</v>
      </c>
      <c r="E43" s="20" t="s">
        <v>63</v>
      </c>
      <c r="F43" s="20" t="s">
        <v>112</v>
      </c>
      <c r="G43" s="20">
        <v>1500</v>
      </c>
      <c r="H43" s="20" t="s">
        <v>66</v>
      </c>
      <c r="I43" s="20" t="str">
        <f t="shared" si="0"/>
        <v>WFLX-LNR-SH-PLM-1500-F</v>
      </c>
      <c r="J43" s="20" t="s">
        <v>86</v>
      </c>
      <c r="K43" s="20" t="s">
        <v>130</v>
      </c>
      <c r="L43" s="20" t="s">
        <v>95</v>
      </c>
      <c r="M43" s="20" t="s">
        <v>96</v>
      </c>
      <c r="N43" s="20">
        <v>1500</v>
      </c>
      <c r="O43" s="20" t="s">
        <v>31</v>
      </c>
      <c r="P43" s="20" t="s">
        <v>23</v>
      </c>
      <c r="Q43" s="33"/>
      <c r="R43" s="33"/>
      <c r="S43" s="33" t="s">
        <v>107</v>
      </c>
      <c r="T43" s="33">
        <f t="shared" ca="1" si="1"/>
        <v>16200</v>
      </c>
      <c r="U43" s="38">
        <f t="shared" ca="1" si="2"/>
        <v>14580</v>
      </c>
      <c r="V43" s="38">
        <f t="shared" ca="1" si="3"/>
        <v>13770</v>
      </c>
      <c r="W43" s="38">
        <f t="shared" ca="1" si="4"/>
        <v>12960</v>
      </c>
      <c r="X43" s="38">
        <f t="shared" ca="1" si="5"/>
        <v>11340</v>
      </c>
      <c r="Y43" s="18"/>
    </row>
    <row r="44" spans="1:25" ht="307.5" customHeight="1" x14ac:dyDescent="0.15">
      <c r="A44" s="18"/>
      <c r="B44" s="20" t="s">
        <v>58</v>
      </c>
      <c r="C44" s="20" t="s">
        <v>60</v>
      </c>
      <c r="D44" s="20" t="s">
        <v>61</v>
      </c>
      <c r="E44" s="20" t="s">
        <v>63</v>
      </c>
      <c r="F44" s="20" t="s">
        <v>112</v>
      </c>
      <c r="G44" s="20">
        <v>1500</v>
      </c>
      <c r="H44" s="20" t="s">
        <v>116</v>
      </c>
      <c r="I44" s="20" t="str">
        <f t="shared" si="0"/>
        <v>WFLX-LNR-SH-PLM-1500-G</v>
      </c>
      <c r="J44" s="20" t="s">
        <v>86</v>
      </c>
      <c r="K44" s="20" t="s">
        <v>130</v>
      </c>
      <c r="L44" s="20" t="s">
        <v>95</v>
      </c>
      <c r="M44" s="20" t="s">
        <v>96</v>
      </c>
      <c r="N44" s="20">
        <v>1500</v>
      </c>
      <c r="O44" s="20" t="s">
        <v>31</v>
      </c>
      <c r="P44" s="20" t="s">
        <v>42</v>
      </c>
      <c r="Q44" s="33"/>
      <c r="R44" s="33"/>
      <c r="S44" s="33" t="s">
        <v>129</v>
      </c>
      <c r="T44" s="33">
        <f t="shared" ca="1" si="1"/>
        <v>16600</v>
      </c>
      <c r="U44" s="38">
        <f t="shared" ca="1" si="2"/>
        <v>14940</v>
      </c>
      <c r="V44" s="38">
        <f t="shared" ca="1" si="3"/>
        <v>14110</v>
      </c>
      <c r="W44" s="38">
        <f t="shared" ca="1" si="4"/>
        <v>13280</v>
      </c>
      <c r="X44" s="38">
        <f t="shared" ca="1" si="5"/>
        <v>11620</v>
      </c>
      <c r="Y44" s="18"/>
    </row>
    <row r="45" spans="1:25" ht="307.5" customHeight="1" x14ac:dyDescent="0.15">
      <c r="A45" s="18"/>
      <c r="B45" s="20" t="s">
        <v>58</v>
      </c>
      <c r="C45" s="20" t="s">
        <v>60</v>
      </c>
      <c r="D45" s="20" t="s">
        <v>61</v>
      </c>
      <c r="E45" s="20" t="s">
        <v>63</v>
      </c>
      <c r="F45" s="20" t="s">
        <v>112</v>
      </c>
      <c r="G45" s="20">
        <v>1500</v>
      </c>
      <c r="H45" s="20" t="s">
        <v>131</v>
      </c>
      <c r="I45" s="20" t="str">
        <f t="shared" si="0"/>
        <v>WFLX-LNR-SH-PLM-1500-X</v>
      </c>
      <c r="J45" s="20" t="s">
        <v>86</v>
      </c>
      <c r="K45" s="20" t="s">
        <v>130</v>
      </c>
      <c r="L45" s="20" t="s">
        <v>95</v>
      </c>
      <c r="M45" s="20" t="s">
        <v>96</v>
      </c>
      <c r="N45" s="20">
        <v>1500</v>
      </c>
      <c r="O45" s="20" t="s">
        <v>31</v>
      </c>
      <c r="P45" s="20" t="s">
        <v>55</v>
      </c>
      <c r="Q45" s="33"/>
      <c r="R45" s="33"/>
      <c r="S45" s="33" t="s">
        <v>148</v>
      </c>
      <c r="T45" s="33">
        <f t="shared" ca="1" si="1"/>
        <v>13300</v>
      </c>
      <c r="U45" s="38">
        <f t="shared" ca="1" si="2"/>
        <v>11970</v>
      </c>
      <c r="V45" s="38">
        <f t="shared" ca="1" si="3"/>
        <v>11305</v>
      </c>
      <c r="W45" s="38">
        <f t="shared" ca="1" si="4"/>
        <v>10640</v>
      </c>
      <c r="X45" s="38">
        <f t="shared" ca="1" si="5"/>
        <v>9310</v>
      </c>
      <c r="Y45" s="18"/>
    </row>
    <row r="46" spans="1:25" ht="307.5" customHeight="1" x14ac:dyDescent="0.15">
      <c r="A46" s="18"/>
      <c r="B46" s="20" t="s">
        <v>58</v>
      </c>
      <c r="C46" s="20" t="s">
        <v>60</v>
      </c>
      <c r="D46" s="20" t="s">
        <v>61</v>
      </c>
      <c r="E46" s="20" t="s">
        <v>63</v>
      </c>
      <c r="F46" s="20" t="s">
        <v>114</v>
      </c>
      <c r="G46" s="20">
        <v>1500</v>
      </c>
      <c r="H46" s="20" t="s">
        <v>66</v>
      </c>
      <c r="I46" s="20" t="str">
        <f t="shared" si="0"/>
        <v>WFLX-LNR-SH-PoLM-1500-F</v>
      </c>
      <c r="J46" s="20" t="s">
        <v>86</v>
      </c>
      <c r="K46" s="20" t="s">
        <v>130</v>
      </c>
      <c r="L46" s="20" t="s">
        <v>95</v>
      </c>
      <c r="M46" s="20" t="s">
        <v>96</v>
      </c>
      <c r="N46" s="20">
        <v>1500</v>
      </c>
      <c r="O46" s="20" t="s">
        <v>47</v>
      </c>
      <c r="P46" s="20" t="s">
        <v>23</v>
      </c>
      <c r="Q46" s="33"/>
      <c r="R46" s="33"/>
      <c r="S46" s="33" t="s">
        <v>107</v>
      </c>
      <c r="T46" s="33">
        <f t="shared" ca="1" si="1"/>
        <v>24300</v>
      </c>
      <c r="U46" s="38">
        <f t="shared" ca="1" si="2"/>
        <v>21870</v>
      </c>
      <c r="V46" s="38">
        <f t="shared" ca="1" si="3"/>
        <v>20655</v>
      </c>
      <c r="W46" s="38">
        <f t="shared" ca="1" si="4"/>
        <v>19440</v>
      </c>
      <c r="X46" s="38">
        <f t="shared" ca="1" si="5"/>
        <v>17010</v>
      </c>
      <c r="Y46" s="18"/>
    </row>
    <row r="47" spans="1:25" ht="307.5" customHeight="1" x14ac:dyDescent="0.15">
      <c r="A47" s="18"/>
      <c r="B47" s="20" t="s">
        <v>58</v>
      </c>
      <c r="C47" s="20" t="s">
        <v>60</v>
      </c>
      <c r="D47" s="20" t="s">
        <v>61</v>
      </c>
      <c r="E47" s="20" t="s">
        <v>63</v>
      </c>
      <c r="F47" s="20" t="s">
        <v>114</v>
      </c>
      <c r="G47" s="20">
        <v>1500</v>
      </c>
      <c r="H47" s="20" t="s">
        <v>116</v>
      </c>
      <c r="I47" s="20" t="str">
        <f t="shared" si="0"/>
        <v>WFLX-LNR-SH-PoLM-1500-G</v>
      </c>
      <c r="J47" s="20" t="s">
        <v>86</v>
      </c>
      <c r="K47" s="20" t="s">
        <v>130</v>
      </c>
      <c r="L47" s="20" t="s">
        <v>95</v>
      </c>
      <c r="M47" s="20" t="s">
        <v>96</v>
      </c>
      <c r="N47" s="20">
        <v>1500</v>
      </c>
      <c r="O47" s="20" t="s">
        <v>47</v>
      </c>
      <c r="P47" s="20" t="s">
        <v>42</v>
      </c>
      <c r="Q47" s="33"/>
      <c r="R47" s="33"/>
      <c r="S47" s="33" t="s">
        <v>129</v>
      </c>
      <c r="T47" s="33">
        <f t="shared" ca="1" si="1"/>
        <v>24700</v>
      </c>
      <c r="U47" s="38">
        <f t="shared" ca="1" si="2"/>
        <v>22230</v>
      </c>
      <c r="V47" s="38">
        <f t="shared" ca="1" si="3"/>
        <v>20995</v>
      </c>
      <c r="W47" s="38">
        <f t="shared" ca="1" si="4"/>
        <v>19760</v>
      </c>
      <c r="X47" s="38">
        <f t="shared" ca="1" si="5"/>
        <v>17290</v>
      </c>
      <c r="Y47" s="18"/>
    </row>
    <row r="48" spans="1:25" ht="30" x14ac:dyDescent="0.15">
      <c r="A48" s="18"/>
      <c r="B48" s="20" t="s">
        <v>58</v>
      </c>
      <c r="C48" s="20" t="s">
        <v>60</v>
      </c>
      <c r="D48" s="20" t="s">
        <v>61</v>
      </c>
      <c r="E48" s="20" t="s">
        <v>63</v>
      </c>
      <c r="F48" s="20" t="s">
        <v>114</v>
      </c>
      <c r="G48" s="20">
        <v>1500</v>
      </c>
      <c r="H48" s="20" t="s">
        <v>131</v>
      </c>
      <c r="I48" s="20" t="str">
        <f t="shared" si="0"/>
        <v>WFLX-LNR-SH-PoLM-1500-X</v>
      </c>
      <c r="J48" s="20" t="s">
        <v>86</v>
      </c>
      <c r="K48" s="20" t="s">
        <v>130</v>
      </c>
      <c r="L48" s="20" t="s">
        <v>95</v>
      </c>
      <c r="M48" s="20" t="s">
        <v>96</v>
      </c>
      <c r="N48" s="20">
        <v>1500</v>
      </c>
      <c r="O48" s="20" t="s">
        <v>47</v>
      </c>
      <c r="P48" s="20" t="s">
        <v>55</v>
      </c>
      <c r="Q48" s="33"/>
      <c r="R48" s="33"/>
      <c r="S48" s="33" t="s">
        <v>148</v>
      </c>
      <c r="T48" s="33">
        <f t="shared" ca="1" si="1"/>
        <v>21400</v>
      </c>
      <c r="U48" s="38">
        <f t="shared" ca="1" si="2"/>
        <v>19260</v>
      </c>
      <c r="V48" s="38">
        <f t="shared" ca="1" si="3"/>
        <v>18190</v>
      </c>
      <c r="W48" s="38">
        <f t="shared" ca="1" si="4"/>
        <v>17120</v>
      </c>
      <c r="X48" s="38">
        <f t="shared" ca="1" si="5"/>
        <v>14979.999999999998</v>
      </c>
      <c r="Y48" s="18"/>
    </row>
    <row r="49" spans="1:25" ht="30" x14ac:dyDescent="0.15">
      <c r="A49" s="18"/>
      <c r="B49" s="20" t="s">
        <v>58</v>
      </c>
      <c r="C49" s="20" t="s">
        <v>60</v>
      </c>
      <c r="D49" s="20" t="s">
        <v>61</v>
      </c>
      <c r="E49" s="20" t="s">
        <v>63</v>
      </c>
      <c r="F49" s="20" t="s">
        <v>117</v>
      </c>
      <c r="G49" s="20">
        <v>1500</v>
      </c>
      <c r="H49" s="20" t="s">
        <v>66</v>
      </c>
      <c r="I49" s="20" t="str">
        <f t="shared" si="0"/>
        <v>WFLX-LNR-SH-LVM-1500-F</v>
      </c>
      <c r="J49" s="20" t="s">
        <v>86</v>
      </c>
      <c r="K49" s="20" t="s">
        <v>130</v>
      </c>
      <c r="L49" s="20" t="s">
        <v>95</v>
      </c>
      <c r="M49" s="20" t="s">
        <v>96</v>
      </c>
      <c r="N49" s="20">
        <v>1500</v>
      </c>
      <c r="O49" s="20" t="s">
        <v>157</v>
      </c>
      <c r="P49" s="20" t="s">
        <v>23</v>
      </c>
      <c r="Q49" s="33"/>
      <c r="R49" s="33"/>
      <c r="S49" s="33" t="s">
        <v>107</v>
      </c>
      <c r="T49" s="33">
        <f t="shared" ca="1" si="1"/>
        <v>27900</v>
      </c>
      <c r="U49" s="38">
        <f t="shared" ca="1" si="2"/>
        <v>25110</v>
      </c>
      <c r="V49" s="38">
        <f t="shared" ca="1" si="3"/>
        <v>23715</v>
      </c>
      <c r="W49" s="38">
        <f t="shared" ca="1" si="4"/>
        <v>22320</v>
      </c>
      <c r="X49" s="38">
        <f t="shared" ca="1" si="5"/>
        <v>19530</v>
      </c>
      <c r="Y49" s="18"/>
    </row>
    <row r="50" spans="1:25" ht="30" x14ac:dyDescent="0.15">
      <c r="A50" s="18"/>
      <c r="B50" s="20" t="s">
        <v>58</v>
      </c>
      <c r="C50" s="20" t="s">
        <v>60</v>
      </c>
      <c r="D50" s="20" t="s">
        <v>61</v>
      </c>
      <c r="E50" s="20" t="s">
        <v>63</v>
      </c>
      <c r="F50" s="20" t="s">
        <v>117</v>
      </c>
      <c r="G50" s="20">
        <v>1500</v>
      </c>
      <c r="H50" s="20" t="s">
        <v>116</v>
      </c>
      <c r="I50" s="20" t="str">
        <f t="shared" si="0"/>
        <v>WFLX-LNR-SH-LVM-1500-G</v>
      </c>
      <c r="J50" s="20" t="s">
        <v>86</v>
      </c>
      <c r="K50" s="20" t="s">
        <v>130</v>
      </c>
      <c r="L50" s="20" t="s">
        <v>95</v>
      </c>
      <c r="M50" s="20" t="s">
        <v>96</v>
      </c>
      <c r="N50" s="20">
        <v>1500</v>
      </c>
      <c r="O50" s="20" t="s">
        <v>157</v>
      </c>
      <c r="P50" s="20" t="s">
        <v>42</v>
      </c>
      <c r="Q50" s="33"/>
      <c r="R50" s="33"/>
      <c r="S50" s="33" t="s">
        <v>129</v>
      </c>
      <c r="T50" s="33">
        <f t="shared" ca="1" si="1"/>
        <v>28300</v>
      </c>
      <c r="U50" s="38">
        <f t="shared" ca="1" si="2"/>
        <v>25470</v>
      </c>
      <c r="V50" s="38">
        <f t="shared" ca="1" si="3"/>
        <v>24055</v>
      </c>
      <c r="W50" s="38">
        <f t="shared" ca="1" si="4"/>
        <v>22640</v>
      </c>
      <c r="X50" s="38">
        <f t="shared" ca="1" si="5"/>
        <v>19810</v>
      </c>
      <c r="Y50" s="18"/>
    </row>
    <row r="51" spans="1:25" ht="30" x14ac:dyDescent="0.15">
      <c r="A51" s="18"/>
      <c r="B51" s="20" t="s">
        <v>58</v>
      </c>
      <c r="C51" s="20" t="s">
        <v>60</v>
      </c>
      <c r="D51" s="20" t="s">
        <v>61</v>
      </c>
      <c r="E51" s="20" t="s">
        <v>63</v>
      </c>
      <c r="F51" s="20" t="s">
        <v>117</v>
      </c>
      <c r="G51" s="20">
        <v>1500</v>
      </c>
      <c r="H51" s="20" t="s">
        <v>131</v>
      </c>
      <c r="I51" s="20" t="str">
        <f t="shared" si="0"/>
        <v>WFLX-LNR-SH-LVM-1500-X</v>
      </c>
      <c r="J51" s="20" t="s">
        <v>86</v>
      </c>
      <c r="K51" s="20" t="s">
        <v>130</v>
      </c>
      <c r="L51" s="20" t="s">
        <v>95</v>
      </c>
      <c r="M51" s="20" t="s">
        <v>96</v>
      </c>
      <c r="N51" s="20">
        <v>1500</v>
      </c>
      <c r="O51" s="20" t="s">
        <v>157</v>
      </c>
      <c r="P51" s="20" t="s">
        <v>55</v>
      </c>
      <c r="Q51" s="33"/>
      <c r="R51" s="33"/>
      <c r="S51" s="33" t="s">
        <v>148</v>
      </c>
      <c r="T51" s="33">
        <f t="shared" ca="1" si="1"/>
        <v>25000</v>
      </c>
      <c r="U51" s="38">
        <f t="shared" ca="1" si="2"/>
        <v>22500</v>
      </c>
      <c r="V51" s="38">
        <f t="shared" ca="1" si="3"/>
        <v>21250</v>
      </c>
      <c r="W51" s="38">
        <f t="shared" ca="1" si="4"/>
        <v>20000</v>
      </c>
      <c r="X51" s="38">
        <f t="shared" ca="1" si="5"/>
        <v>17500</v>
      </c>
      <c r="Y51" s="18"/>
    </row>
    <row r="52" spans="1:25" ht="30" x14ac:dyDescent="0.15">
      <c r="A52" s="18"/>
      <c r="B52" s="20" t="s">
        <v>58</v>
      </c>
      <c r="C52" s="20" t="s">
        <v>60</v>
      </c>
      <c r="D52" s="20" t="s">
        <v>61</v>
      </c>
      <c r="E52" s="20" t="s">
        <v>63</v>
      </c>
      <c r="F52" s="20" t="s">
        <v>119</v>
      </c>
      <c r="G52" s="20">
        <v>1500</v>
      </c>
      <c r="H52" s="20" t="s">
        <v>66</v>
      </c>
      <c r="I52" s="20" t="str">
        <f t="shared" si="0"/>
        <v>WFLX-LNR-SH-LVP-1500-F</v>
      </c>
      <c r="J52" s="20" t="s">
        <v>86</v>
      </c>
      <c r="K52" s="20" t="s">
        <v>130</v>
      </c>
      <c r="L52" s="20" t="s">
        <v>95</v>
      </c>
      <c r="M52" s="20" t="s">
        <v>96</v>
      </c>
      <c r="N52" s="20">
        <v>1500</v>
      </c>
      <c r="O52" s="20" t="s">
        <v>158</v>
      </c>
      <c r="P52" s="20" t="s">
        <v>23</v>
      </c>
      <c r="Q52" s="33"/>
      <c r="R52" s="33"/>
      <c r="S52" s="33" t="s">
        <v>107</v>
      </c>
      <c r="T52" s="33">
        <f t="shared" ca="1" si="1"/>
        <v>29700</v>
      </c>
      <c r="U52" s="38">
        <f t="shared" ca="1" si="2"/>
        <v>26730</v>
      </c>
      <c r="V52" s="38">
        <f t="shared" ca="1" si="3"/>
        <v>25245</v>
      </c>
      <c r="W52" s="38">
        <f t="shared" ca="1" si="4"/>
        <v>23760</v>
      </c>
      <c r="X52" s="38">
        <f t="shared" ca="1" si="5"/>
        <v>20790</v>
      </c>
      <c r="Y52" s="18"/>
    </row>
    <row r="53" spans="1:25" ht="30" x14ac:dyDescent="0.15">
      <c r="A53" s="18"/>
      <c r="B53" s="20" t="s">
        <v>58</v>
      </c>
      <c r="C53" s="20" t="s">
        <v>60</v>
      </c>
      <c r="D53" s="20" t="s">
        <v>61</v>
      </c>
      <c r="E53" s="20" t="s">
        <v>63</v>
      </c>
      <c r="F53" s="20" t="s">
        <v>119</v>
      </c>
      <c r="G53" s="20">
        <v>1500</v>
      </c>
      <c r="H53" s="20" t="s">
        <v>116</v>
      </c>
      <c r="I53" s="20" t="str">
        <f t="shared" si="0"/>
        <v>WFLX-LNR-SH-LVP-1500-G</v>
      </c>
      <c r="J53" s="20" t="s">
        <v>86</v>
      </c>
      <c r="K53" s="20" t="s">
        <v>130</v>
      </c>
      <c r="L53" s="20" t="s">
        <v>95</v>
      </c>
      <c r="M53" s="20" t="s">
        <v>96</v>
      </c>
      <c r="N53" s="20">
        <v>1500</v>
      </c>
      <c r="O53" s="20" t="s">
        <v>158</v>
      </c>
      <c r="P53" s="20" t="s">
        <v>42</v>
      </c>
      <c r="Q53" s="33"/>
      <c r="R53" s="33"/>
      <c r="S53" s="33" t="s">
        <v>129</v>
      </c>
      <c r="T53" s="33">
        <f t="shared" ca="1" si="1"/>
        <v>30100</v>
      </c>
      <c r="U53" s="38">
        <f t="shared" ca="1" si="2"/>
        <v>27090</v>
      </c>
      <c r="V53" s="38">
        <f t="shared" ca="1" si="3"/>
        <v>25585</v>
      </c>
      <c r="W53" s="38">
        <f t="shared" ca="1" si="4"/>
        <v>24080</v>
      </c>
      <c r="X53" s="38">
        <f t="shared" ca="1" si="5"/>
        <v>21070</v>
      </c>
      <c r="Y53" s="18"/>
    </row>
    <row r="54" spans="1:25" ht="30" x14ac:dyDescent="0.15">
      <c r="A54" s="18"/>
      <c r="B54" s="20" t="s">
        <v>58</v>
      </c>
      <c r="C54" s="20" t="s">
        <v>60</v>
      </c>
      <c r="D54" s="20" t="s">
        <v>61</v>
      </c>
      <c r="E54" s="20" t="s">
        <v>63</v>
      </c>
      <c r="F54" s="20" t="s">
        <v>119</v>
      </c>
      <c r="G54" s="20">
        <v>1500</v>
      </c>
      <c r="H54" s="20" t="s">
        <v>131</v>
      </c>
      <c r="I54" s="20" t="str">
        <f t="shared" si="0"/>
        <v>WFLX-LNR-SH-LVP-1500-X</v>
      </c>
      <c r="J54" s="20" t="s">
        <v>86</v>
      </c>
      <c r="K54" s="20" t="s">
        <v>130</v>
      </c>
      <c r="L54" s="20" t="s">
        <v>95</v>
      </c>
      <c r="M54" s="20" t="s">
        <v>96</v>
      </c>
      <c r="N54" s="20">
        <v>1500</v>
      </c>
      <c r="O54" s="20" t="s">
        <v>158</v>
      </c>
      <c r="P54" s="20" t="s">
        <v>55</v>
      </c>
      <c r="Q54" s="33"/>
      <c r="R54" s="33"/>
      <c r="S54" s="33" t="s">
        <v>148</v>
      </c>
      <c r="T54" s="33">
        <f t="shared" ca="1" si="1"/>
        <v>26800</v>
      </c>
      <c r="U54" s="38">
        <f t="shared" ca="1" si="2"/>
        <v>24120</v>
      </c>
      <c r="V54" s="38">
        <f t="shared" ca="1" si="3"/>
        <v>22780</v>
      </c>
      <c r="W54" s="38">
        <f t="shared" ca="1" si="4"/>
        <v>21440</v>
      </c>
      <c r="X54" s="38">
        <f t="shared" ca="1" si="5"/>
        <v>18760</v>
      </c>
      <c r="Y54" s="18"/>
    </row>
    <row r="55" spans="1:25" ht="30" x14ac:dyDescent="0.15">
      <c r="A55" s="18"/>
      <c r="B55" s="20" t="s">
        <v>58</v>
      </c>
      <c r="C55" s="20" t="s">
        <v>60</v>
      </c>
      <c r="D55" s="20" t="s">
        <v>61</v>
      </c>
      <c r="E55" s="20" t="s">
        <v>63</v>
      </c>
      <c r="F55" s="20" t="s">
        <v>125</v>
      </c>
      <c r="G55" s="20">
        <v>1500</v>
      </c>
      <c r="H55" s="20" t="s">
        <v>66</v>
      </c>
      <c r="I55" s="20" t="str">
        <f t="shared" si="0"/>
        <v>WFLX-LNR-SH-MB-1500-F</v>
      </c>
      <c r="J55" s="20" t="s">
        <v>86</v>
      </c>
      <c r="K55" s="20" t="s">
        <v>130</v>
      </c>
      <c r="L55" s="20" t="s">
        <v>95</v>
      </c>
      <c r="M55" s="20" t="s">
        <v>96</v>
      </c>
      <c r="N55" s="20">
        <v>1500</v>
      </c>
      <c r="O55" s="20" t="s">
        <v>97</v>
      </c>
      <c r="P55" s="20" t="s">
        <v>23</v>
      </c>
      <c r="Q55" s="33"/>
      <c r="R55" s="33"/>
      <c r="S55" s="33" t="s">
        <v>107</v>
      </c>
      <c r="T55" s="33">
        <f t="shared" ca="1" si="1"/>
        <v>40000</v>
      </c>
      <c r="U55" s="38">
        <f t="shared" ca="1" si="2"/>
        <v>36000</v>
      </c>
      <c r="V55" s="38">
        <f t="shared" ca="1" si="3"/>
        <v>34000</v>
      </c>
      <c r="W55" s="38">
        <f t="shared" ca="1" si="4"/>
        <v>32000</v>
      </c>
      <c r="X55" s="38">
        <f t="shared" ca="1" si="5"/>
        <v>28000</v>
      </c>
      <c r="Y55" s="18"/>
    </row>
    <row r="56" spans="1:25" ht="30" x14ac:dyDescent="0.15">
      <c r="A56" s="18"/>
      <c r="B56" s="20" t="s">
        <v>58</v>
      </c>
      <c r="C56" s="20" t="s">
        <v>60</v>
      </c>
      <c r="D56" s="20" t="s">
        <v>61</v>
      </c>
      <c r="E56" s="20" t="s">
        <v>63</v>
      </c>
      <c r="F56" s="20" t="s">
        <v>125</v>
      </c>
      <c r="G56" s="20">
        <v>1500</v>
      </c>
      <c r="H56" s="20" t="s">
        <v>116</v>
      </c>
      <c r="I56" s="20" t="str">
        <f t="shared" si="0"/>
        <v>WFLX-LNR-SH-MB-1500-G</v>
      </c>
      <c r="J56" s="20" t="s">
        <v>86</v>
      </c>
      <c r="K56" s="20" t="s">
        <v>130</v>
      </c>
      <c r="L56" s="20" t="s">
        <v>95</v>
      </c>
      <c r="M56" s="20" t="s">
        <v>96</v>
      </c>
      <c r="N56" s="20">
        <v>1500</v>
      </c>
      <c r="O56" s="20" t="s">
        <v>97</v>
      </c>
      <c r="P56" s="20" t="s">
        <v>42</v>
      </c>
      <c r="Q56" s="33"/>
      <c r="R56" s="33"/>
      <c r="S56" s="33" t="s">
        <v>129</v>
      </c>
      <c r="T56" s="33">
        <f t="shared" ca="1" si="1"/>
        <v>40400</v>
      </c>
      <c r="U56" s="38">
        <f t="shared" ca="1" si="2"/>
        <v>36360</v>
      </c>
      <c r="V56" s="38">
        <f t="shared" ca="1" si="3"/>
        <v>34340</v>
      </c>
      <c r="W56" s="38">
        <f t="shared" ca="1" si="4"/>
        <v>32320</v>
      </c>
      <c r="X56" s="38">
        <f t="shared" ca="1" si="5"/>
        <v>28280</v>
      </c>
      <c r="Y56" s="18"/>
    </row>
    <row r="57" spans="1:25" ht="30" x14ac:dyDescent="0.15">
      <c r="A57" s="18"/>
      <c r="B57" s="20" t="s">
        <v>58</v>
      </c>
      <c r="C57" s="20" t="s">
        <v>60</v>
      </c>
      <c r="D57" s="20" t="s">
        <v>61</v>
      </c>
      <c r="E57" s="20" t="s">
        <v>63</v>
      </c>
      <c r="F57" s="20" t="s">
        <v>125</v>
      </c>
      <c r="G57" s="20">
        <v>1500</v>
      </c>
      <c r="H57" s="20" t="s">
        <v>131</v>
      </c>
      <c r="I57" s="20" t="str">
        <f t="shared" si="0"/>
        <v>WFLX-LNR-SH-MB-1500-X</v>
      </c>
      <c r="J57" s="20" t="s">
        <v>86</v>
      </c>
      <c r="K57" s="20" t="s">
        <v>130</v>
      </c>
      <c r="L57" s="20" t="s">
        <v>95</v>
      </c>
      <c r="M57" s="20" t="s">
        <v>96</v>
      </c>
      <c r="N57" s="20">
        <v>1500</v>
      </c>
      <c r="O57" s="20" t="s">
        <v>97</v>
      </c>
      <c r="P57" s="20" t="s">
        <v>55</v>
      </c>
      <c r="Q57" s="33"/>
      <c r="R57" s="33"/>
      <c r="S57" s="33" t="s">
        <v>148</v>
      </c>
      <c r="T57" s="33">
        <f t="shared" ca="1" si="1"/>
        <v>37100</v>
      </c>
      <c r="U57" s="38">
        <f t="shared" ca="1" si="2"/>
        <v>33390</v>
      </c>
      <c r="V57" s="38">
        <f t="shared" ca="1" si="3"/>
        <v>31535</v>
      </c>
      <c r="W57" s="38">
        <f t="shared" ca="1" si="4"/>
        <v>29680</v>
      </c>
      <c r="X57" s="38">
        <f t="shared" ca="1" si="5"/>
        <v>25970</v>
      </c>
      <c r="Y57" s="18"/>
    </row>
    <row r="58" spans="1:25" ht="30" x14ac:dyDescent="0.15">
      <c r="A58" s="18"/>
      <c r="B58" s="20" t="s">
        <v>58</v>
      </c>
      <c r="C58" s="20" t="s">
        <v>60</v>
      </c>
      <c r="D58" s="20" t="s">
        <v>61</v>
      </c>
      <c r="E58" s="20" t="s">
        <v>161</v>
      </c>
      <c r="F58" s="20" t="s">
        <v>65</v>
      </c>
      <c r="G58" s="20">
        <v>900</v>
      </c>
      <c r="H58" s="20" t="s">
        <v>66</v>
      </c>
      <c r="I58" s="20" t="str">
        <f t="shared" si="0"/>
        <v>WFLX-LNR-NSH-PB-900-F</v>
      </c>
      <c r="J58" s="20" t="s">
        <v>86</v>
      </c>
      <c r="K58" s="20" t="s">
        <v>130</v>
      </c>
      <c r="L58" s="20" t="s">
        <v>95</v>
      </c>
      <c r="M58" s="20" t="s">
        <v>162</v>
      </c>
      <c r="N58" s="20">
        <v>900</v>
      </c>
      <c r="O58" s="20" t="s">
        <v>11</v>
      </c>
      <c r="P58" s="20" t="s">
        <v>23</v>
      </c>
      <c r="Q58" s="33"/>
      <c r="R58" s="33"/>
      <c r="S58" s="33" t="s">
        <v>163</v>
      </c>
      <c r="T58" s="33">
        <f t="shared" ca="1" si="1"/>
        <v>18000</v>
      </c>
      <c r="U58" s="38">
        <f t="shared" ca="1" si="2"/>
        <v>16200</v>
      </c>
      <c r="V58" s="38">
        <f t="shared" ca="1" si="3"/>
        <v>15300</v>
      </c>
      <c r="W58" s="38">
        <f t="shared" ca="1" si="4"/>
        <v>14400</v>
      </c>
      <c r="X58" s="38">
        <f t="shared" ca="1" si="5"/>
        <v>12600</v>
      </c>
      <c r="Y58" s="18"/>
    </row>
    <row r="59" spans="1:25" ht="30" x14ac:dyDescent="0.15">
      <c r="A59" s="18"/>
      <c r="B59" s="20" t="s">
        <v>58</v>
      </c>
      <c r="C59" s="20" t="s">
        <v>60</v>
      </c>
      <c r="D59" s="20" t="s">
        <v>61</v>
      </c>
      <c r="E59" s="20" t="s">
        <v>161</v>
      </c>
      <c r="F59" s="20" t="s">
        <v>65</v>
      </c>
      <c r="G59" s="20">
        <v>900</v>
      </c>
      <c r="H59" s="20" t="s">
        <v>116</v>
      </c>
      <c r="I59" s="20" t="str">
        <f t="shared" si="0"/>
        <v>WFLX-LNR-NSH-PB-900-G</v>
      </c>
      <c r="J59" s="20" t="s">
        <v>86</v>
      </c>
      <c r="K59" s="20" t="s">
        <v>130</v>
      </c>
      <c r="L59" s="20" t="s">
        <v>95</v>
      </c>
      <c r="M59" s="20" t="s">
        <v>162</v>
      </c>
      <c r="N59" s="20">
        <v>900</v>
      </c>
      <c r="O59" s="20" t="s">
        <v>11</v>
      </c>
      <c r="P59" s="20" t="s">
        <v>42</v>
      </c>
      <c r="Q59" s="33"/>
      <c r="R59" s="33"/>
      <c r="S59" s="33" t="s">
        <v>164</v>
      </c>
      <c r="T59" s="33">
        <f t="shared" ca="1" si="1"/>
        <v>18500</v>
      </c>
      <c r="U59" s="38">
        <f t="shared" ca="1" si="2"/>
        <v>16650</v>
      </c>
      <c r="V59" s="38">
        <f t="shared" ca="1" si="3"/>
        <v>15725</v>
      </c>
      <c r="W59" s="38">
        <f t="shared" ca="1" si="4"/>
        <v>14800</v>
      </c>
      <c r="X59" s="38">
        <f t="shared" ca="1" si="5"/>
        <v>12950</v>
      </c>
      <c r="Y59" s="18"/>
    </row>
    <row r="60" spans="1:25" ht="30" x14ac:dyDescent="0.15">
      <c r="A60" s="18"/>
      <c r="B60" s="20" t="s">
        <v>58</v>
      </c>
      <c r="C60" s="20" t="s">
        <v>60</v>
      </c>
      <c r="D60" s="20" t="s">
        <v>61</v>
      </c>
      <c r="E60" s="20" t="s">
        <v>161</v>
      </c>
      <c r="F60" s="20" t="s">
        <v>65</v>
      </c>
      <c r="G60" s="20">
        <v>900</v>
      </c>
      <c r="H60" s="20" t="s">
        <v>131</v>
      </c>
      <c r="I60" s="20" t="str">
        <f t="shared" si="0"/>
        <v>WFLX-LNR-NSH-PB-900-X</v>
      </c>
      <c r="J60" s="20" t="s">
        <v>86</v>
      </c>
      <c r="K60" s="20" t="s">
        <v>130</v>
      </c>
      <c r="L60" s="20" t="s">
        <v>95</v>
      </c>
      <c r="M60" s="20" t="s">
        <v>162</v>
      </c>
      <c r="N60" s="20">
        <v>900</v>
      </c>
      <c r="O60" s="20" t="s">
        <v>11</v>
      </c>
      <c r="P60" s="20" t="s">
        <v>55</v>
      </c>
      <c r="Q60" s="33"/>
      <c r="R60" s="33"/>
      <c r="S60" s="33" t="s">
        <v>165</v>
      </c>
      <c r="T60" s="33">
        <f t="shared" ca="1" si="1"/>
        <v>14600</v>
      </c>
      <c r="U60" s="38">
        <f t="shared" ca="1" si="2"/>
        <v>13140</v>
      </c>
      <c r="V60" s="38">
        <f t="shared" ca="1" si="3"/>
        <v>12410</v>
      </c>
      <c r="W60" s="38">
        <f t="shared" ca="1" si="4"/>
        <v>11680</v>
      </c>
      <c r="X60" s="38">
        <f t="shared" ca="1" si="5"/>
        <v>10220</v>
      </c>
      <c r="Y60" s="18"/>
    </row>
    <row r="61" spans="1:25" ht="30" x14ac:dyDescent="0.15">
      <c r="A61" s="18"/>
      <c r="B61" s="20" t="s">
        <v>58</v>
      </c>
      <c r="C61" s="20" t="s">
        <v>60</v>
      </c>
      <c r="D61" s="20" t="s">
        <v>61</v>
      </c>
      <c r="E61" s="20" t="s">
        <v>161</v>
      </c>
      <c r="F61" s="20" t="s">
        <v>112</v>
      </c>
      <c r="G61" s="20">
        <v>900</v>
      </c>
      <c r="H61" s="20" t="s">
        <v>66</v>
      </c>
      <c r="I61" s="20" t="str">
        <f t="shared" si="0"/>
        <v>WFLX-LNR-NSH-PLM-900-F</v>
      </c>
      <c r="J61" s="20" t="s">
        <v>86</v>
      </c>
      <c r="K61" s="20" t="s">
        <v>130</v>
      </c>
      <c r="L61" s="20" t="s">
        <v>95</v>
      </c>
      <c r="M61" s="20" t="s">
        <v>162</v>
      </c>
      <c r="N61" s="20">
        <v>900</v>
      </c>
      <c r="O61" s="20" t="s">
        <v>31</v>
      </c>
      <c r="P61" s="20" t="s">
        <v>23</v>
      </c>
      <c r="Q61" s="33"/>
      <c r="R61" s="33"/>
      <c r="S61" s="33" t="s">
        <v>163</v>
      </c>
      <c r="T61" s="33">
        <f t="shared" ca="1" si="1"/>
        <v>19300</v>
      </c>
      <c r="U61" s="38">
        <f t="shared" ca="1" si="2"/>
        <v>17370</v>
      </c>
      <c r="V61" s="38">
        <f t="shared" ca="1" si="3"/>
        <v>16405</v>
      </c>
      <c r="W61" s="38">
        <f t="shared" ca="1" si="4"/>
        <v>15440</v>
      </c>
      <c r="X61" s="38">
        <f t="shared" ca="1" si="5"/>
        <v>13510</v>
      </c>
      <c r="Y61" s="18"/>
    </row>
    <row r="62" spans="1:25" ht="30" x14ac:dyDescent="0.15">
      <c r="A62" s="18"/>
      <c r="B62" s="20" t="s">
        <v>58</v>
      </c>
      <c r="C62" s="20" t="s">
        <v>60</v>
      </c>
      <c r="D62" s="20" t="s">
        <v>61</v>
      </c>
      <c r="E62" s="20" t="s">
        <v>161</v>
      </c>
      <c r="F62" s="20" t="s">
        <v>112</v>
      </c>
      <c r="G62" s="20">
        <v>900</v>
      </c>
      <c r="H62" s="20" t="s">
        <v>116</v>
      </c>
      <c r="I62" s="20" t="str">
        <f t="shared" si="0"/>
        <v>WFLX-LNR-NSH-PLM-900-G</v>
      </c>
      <c r="J62" s="20" t="s">
        <v>86</v>
      </c>
      <c r="K62" s="20" t="s">
        <v>130</v>
      </c>
      <c r="L62" s="20" t="s">
        <v>95</v>
      </c>
      <c r="M62" s="20" t="s">
        <v>162</v>
      </c>
      <c r="N62" s="20">
        <v>900</v>
      </c>
      <c r="O62" s="20" t="s">
        <v>31</v>
      </c>
      <c r="P62" s="20" t="s">
        <v>42</v>
      </c>
      <c r="Q62" s="33"/>
      <c r="R62" s="33"/>
      <c r="S62" s="33" t="s">
        <v>164</v>
      </c>
      <c r="T62" s="33">
        <f t="shared" ca="1" si="1"/>
        <v>19800</v>
      </c>
      <c r="U62" s="38">
        <f t="shared" ca="1" si="2"/>
        <v>17820</v>
      </c>
      <c r="V62" s="38">
        <f t="shared" ca="1" si="3"/>
        <v>16830</v>
      </c>
      <c r="W62" s="38">
        <f t="shared" ca="1" si="4"/>
        <v>15840</v>
      </c>
      <c r="X62" s="38">
        <f t="shared" ca="1" si="5"/>
        <v>13860</v>
      </c>
      <c r="Y62" s="18"/>
    </row>
    <row r="63" spans="1:25" ht="30" x14ac:dyDescent="0.15">
      <c r="A63" s="18"/>
      <c r="B63" s="20" t="s">
        <v>58</v>
      </c>
      <c r="C63" s="20" t="s">
        <v>60</v>
      </c>
      <c r="D63" s="20" t="s">
        <v>61</v>
      </c>
      <c r="E63" s="20" t="s">
        <v>161</v>
      </c>
      <c r="F63" s="20" t="s">
        <v>112</v>
      </c>
      <c r="G63" s="20">
        <v>900</v>
      </c>
      <c r="H63" s="20" t="s">
        <v>131</v>
      </c>
      <c r="I63" s="20" t="str">
        <f t="shared" si="0"/>
        <v>WFLX-LNR-NSH-PLM-900-X</v>
      </c>
      <c r="J63" s="20" t="s">
        <v>86</v>
      </c>
      <c r="K63" s="20" t="s">
        <v>130</v>
      </c>
      <c r="L63" s="20" t="s">
        <v>95</v>
      </c>
      <c r="M63" s="20" t="s">
        <v>162</v>
      </c>
      <c r="N63" s="20">
        <v>900</v>
      </c>
      <c r="O63" s="20" t="s">
        <v>31</v>
      </c>
      <c r="P63" s="20" t="s">
        <v>55</v>
      </c>
      <c r="Q63" s="33"/>
      <c r="R63" s="33"/>
      <c r="S63" s="33" t="s">
        <v>165</v>
      </c>
      <c r="T63" s="33">
        <f t="shared" ca="1" si="1"/>
        <v>15900</v>
      </c>
      <c r="U63" s="38">
        <f t="shared" ca="1" si="2"/>
        <v>14310</v>
      </c>
      <c r="V63" s="38">
        <f t="shared" ca="1" si="3"/>
        <v>13515</v>
      </c>
      <c r="W63" s="38">
        <f t="shared" ca="1" si="4"/>
        <v>12720</v>
      </c>
      <c r="X63" s="38">
        <f t="shared" ca="1" si="5"/>
        <v>11130</v>
      </c>
      <c r="Y63" s="18"/>
    </row>
    <row r="64" spans="1:25" ht="30" x14ac:dyDescent="0.15">
      <c r="A64" s="18"/>
      <c r="B64" s="20" t="s">
        <v>58</v>
      </c>
      <c r="C64" s="20" t="s">
        <v>60</v>
      </c>
      <c r="D64" s="20" t="s">
        <v>61</v>
      </c>
      <c r="E64" s="20" t="s">
        <v>161</v>
      </c>
      <c r="F64" s="20" t="s">
        <v>114</v>
      </c>
      <c r="G64" s="20">
        <v>900</v>
      </c>
      <c r="H64" s="20" t="s">
        <v>66</v>
      </c>
      <c r="I64" s="20" t="str">
        <f t="shared" si="0"/>
        <v>WFLX-LNR-NSH-PoLM-900-F</v>
      </c>
      <c r="J64" s="20" t="s">
        <v>86</v>
      </c>
      <c r="K64" s="20" t="s">
        <v>130</v>
      </c>
      <c r="L64" s="20" t="s">
        <v>95</v>
      </c>
      <c r="M64" s="20" t="s">
        <v>162</v>
      </c>
      <c r="N64" s="20">
        <v>900</v>
      </c>
      <c r="O64" s="20" t="s">
        <v>47</v>
      </c>
      <c r="P64" s="20" t="s">
        <v>23</v>
      </c>
      <c r="Q64" s="33"/>
      <c r="R64" s="33"/>
      <c r="S64" s="33" t="s">
        <v>163</v>
      </c>
      <c r="T64" s="33">
        <f t="shared" ca="1" si="1"/>
        <v>26600</v>
      </c>
      <c r="U64" s="38">
        <f t="shared" ca="1" si="2"/>
        <v>23940</v>
      </c>
      <c r="V64" s="38">
        <f t="shared" ca="1" si="3"/>
        <v>22610</v>
      </c>
      <c r="W64" s="38">
        <f t="shared" ca="1" si="4"/>
        <v>21280</v>
      </c>
      <c r="X64" s="38">
        <f t="shared" ca="1" si="5"/>
        <v>18620</v>
      </c>
      <c r="Y64" s="18"/>
    </row>
    <row r="65" spans="1:25" ht="30" x14ac:dyDescent="0.15">
      <c r="A65" s="18"/>
      <c r="B65" s="20" t="s">
        <v>58</v>
      </c>
      <c r="C65" s="20" t="s">
        <v>60</v>
      </c>
      <c r="D65" s="20" t="s">
        <v>61</v>
      </c>
      <c r="E65" s="20" t="s">
        <v>161</v>
      </c>
      <c r="F65" s="20" t="s">
        <v>114</v>
      </c>
      <c r="G65" s="20">
        <v>900</v>
      </c>
      <c r="H65" s="20" t="s">
        <v>116</v>
      </c>
      <c r="I65" s="20" t="str">
        <f t="shared" si="0"/>
        <v>WFLX-LNR-NSH-PoLM-900-G</v>
      </c>
      <c r="J65" s="20" t="s">
        <v>86</v>
      </c>
      <c r="K65" s="20" t="s">
        <v>130</v>
      </c>
      <c r="L65" s="20" t="s">
        <v>95</v>
      </c>
      <c r="M65" s="20" t="s">
        <v>162</v>
      </c>
      <c r="N65" s="20">
        <v>900</v>
      </c>
      <c r="O65" s="20" t="s">
        <v>47</v>
      </c>
      <c r="P65" s="20" t="s">
        <v>42</v>
      </c>
      <c r="Q65" s="33"/>
      <c r="R65" s="33"/>
      <c r="S65" s="33" t="s">
        <v>164</v>
      </c>
      <c r="T65" s="33">
        <f t="shared" ca="1" si="1"/>
        <v>27100</v>
      </c>
      <c r="U65" s="38">
        <f t="shared" ca="1" si="2"/>
        <v>24390</v>
      </c>
      <c r="V65" s="38">
        <f t="shared" ca="1" si="3"/>
        <v>23035</v>
      </c>
      <c r="W65" s="38">
        <f t="shared" ca="1" si="4"/>
        <v>21680</v>
      </c>
      <c r="X65" s="38">
        <f t="shared" ca="1" si="5"/>
        <v>18970</v>
      </c>
      <c r="Y65" s="18"/>
    </row>
    <row r="66" spans="1:25" ht="30" x14ac:dyDescent="0.15">
      <c r="A66" s="18"/>
      <c r="B66" s="20" t="s">
        <v>58</v>
      </c>
      <c r="C66" s="20" t="s">
        <v>60</v>
      </c>
      <c r="D66" s="20" t="s">
        <v>61</v>
      </c>
      <c r="E66" s="20" t="s">
        <v>161</v>
      </c>
      <c r="F66" s="20" t="s">
        <v>114</v>
      </c>
      <c r="G66" s="20">
        <v>900</v>
      </c>
      <c r="H66" s="20" t="s">
        <v>131</v>
      </c>
      <c r="I66" s="20" t="str">
        <f t="shared" si="0"/>
        <v>WFLX-LNR-NSH-PoLM-900-X</v>
      </c>
      <c r="J66" s="20" t="s">
        <v>86</v>
      </c>
      <c r="K66" s="20" t="s">
        <v>130</v>
      </c>
      <c r="L66" s="20" t="s">
        <v>95</v>
      </c>
      <c r="M66" s="20" t="s">
        <v>162</v>
      </c>
      <c r="N66" s="20">
        <v>900</v>
      </c>
      <c r="O66" s="20" t="s">
        <v>47</v>
      </c>
      <c r="P66" s="20" t="s">
        <v>55</v>
      </c>
      <c r="Q66" s="33"/>
      <c r="R66" s="33"/>
      <c r="S66" s="33" t="s">
        <v>165</v>
      </c>
      <c r="T66" s="33">
        <f t="shared" ca="1" si="1"/>
        <v>23200</v>
      </c>
      <c r="U66" s="38">
        <f t="shared" ca="1" si="2"/>
        <v>20880</v>
      </c>
      <c r="V66" s="38">
        <f t="shared" ca="1" si="3"/>
        <v>19720</v>
      </c>
      <c r="W66" s="38">
        <f t="shared" ca="1" si="4"/>
        <v>18560</v>
      </c>
      <c r="X66" s="38">
        <f t="shared" ca="1" si="5"/>
        <v>16239.999999999998</v>
      </c>
      <c r="Y66" s="18"/>
    </row>
    <row r="67" spans="1:25" ht="30" x14ac:dyDescent="0.15">
      <c r="A67" s="18"/>
      <c r="B67" s="20" t="s">
        <v>58</v>
      </c>
      <c r="C67" s="20" t="s">
        <v>60</v>
      </c>
      <c r="D67" s="20" t="s">
        <v>61</v>
      </c>
      <c r="E67" s="20" t="s">
        <v>161</v>
      </c>
      <c r="F67" s="20" t="s">
        <v>117</v>
      </c>
      <c r="G67" s="20">
        <v>900</v>
      </c>
      <c r="H67" s="20" t="s">
        <v>66</v>
      </c>
      <c r="I67" s="20" t="str">
        <f t="shared" si="0"/>
        <v>WFLX-LNR-NSH-LVM-900-F</v>
      </c>
      <c r="J67" s="20" t="s">
        <v>86</v>
      </c>
      <c r="K67" s="20" t="s">
        <v>130</v>
      </c>
      <c r="L67" s="20" t="s">
        <v>95</v>
      </c>
      <c r="M67" s="20" t="s">
        <v>162</v>
      </c>
      <c r="N67" s="20">
        <v>900</v>
      </c>
      <c r="O67" s="20" t="s">
        <v>157</v>
      </c>
      <c r="P67" s="20" t="s">
        <v>23</v>
      </c>
      <c r="Q67" s="33"/>
      <c r="R67" s="33"/>
      <c r="S67" s="33" t="s">
        <v>163</v>
      </c>
      <c r="T67" s="33">
        <f t="shared" ca="1" si="1"/>
        <v>29900</v>
      </c>
      <c r="U67" s="38">
        <f t="shared" ca="1" si="2"/>
        <v>26910</v>
      </c>
      <c r="V67" s="38">
        <f t="shared" ca="1" si="3"/>
        <v>25415</v>
      </c>
      <c r="W67" s="38">
        <f t="shared" ca="1" si="4"/>
        <v>23920</v>
      </c>
      <c r="X67" s="38">
        <f t="shared" ca="1" si="5"/>
        <v>20930</v>
      </c>
      <c r="Y67" s="18"/>
    </row>
    <row r="68" spans="1:25" ht="30" x14ac:dyDescent="0.15">
      <c r="A68" s="18"/>
      <c r="B68" s="20" t="s">
        <v>58</v>
      </c>
      <c r="C68" s="20" t="s">
        <v>60</v>
      </c>
      <c r="D68" s="20" t="s">
        <v>61</v>
      </c>
      <c r="E68" s="20" t="s">
        <v>161</v>
      </c>
      <c r="F68" s="20" t="s">
        <v>117</v>
      </c>
      <c r="G68" s="20">
        <v>900</v>
      </c>
      <c r="H68" s="20" t="s">
        <v>116</v>
      </c>
      <c r="I68" s="20" t="str">
        <f t="shared" si="0"/>
        <v>WFLX-LNR-NSH-LVM-900-G</v>
      </c>
      <c r="J68" s="20" t="s">
        <v>86</v>
      </c>
      <c r="K68" s="20" t="s">
        <v>130</v>
      </c>
      <c r="L68" s="20" t="s">
        <v>95</v>
      </c>
      <c r="M68" s="20" t="s">
        <v>162</v>
      </c>
      <c r="N68" s="20">
        <v>900</v>
      </c>
      <c r="O68" s="20" t="s">
        <v>157</v>
      </c>
      <c r="P68" s="20" t="s">
        <v>42</v>
      </c>
      <c r="Q68" s="33"/>
      <c r="R68" s="33"/>
      <c r="S68" s="33" t="s">
        <v>164</v>
      </c>
      <c r="T68" s="33">
        <f t="shared" ca="1" si="1"/>
        <v>30400</v>
      </c>
      <c r="U68" s="38">
        <f t="shared" ca="1" si="2"/>
        <v>27360</v>
      </c>
      <c r="V68" s="38">
        <f t="shared" ca="1" si="3"/>
        <v>25840</v>
      </c>
      <c r="W68" s="38">
        <f t="shared" ca="1" si="4"/>
        <v>24320</v>
      </c>
      <c r="X68" s="38">
        <f t="shared" ca="1" si="5"/>
        <v>21280</v>
      </c>
      <c r="Y68" s="18"/>
    </row>
    <row r="69" spans="1:25" ht="30" x14ac:dyDescent="0.15">
      <c r="A69" s="18"/>
      <c r="B69" s="20" t="s">
        <v>58</v>
      </c>
      <c r="C69" s="20" t="s">
        <v>60</v>
      </c>
      <c r="D69" s="20" t="s">
        <v>61</v>
      </c>
      <c r="E69" s="20" t="s">
        <v>161</v>
      </c>
      <c r="F69" s="20" t="s">
        <v>117</v>
      </c>
      <c r="G69" s="20">
        <v>900</v>
      </c>
      <c r="H69" s="20" t="s">
        <v>131</v>
      </c>
      <c r="I69" s="20" t="str">
        <f t="shared" si="0"/>
        <v>WFLX-LNR-NSH-LVM-900-X</v>
      </c>
      <c r="J69" s="20" t="s">
        <v>86</v>
      </c>
      <c r="K69" s="20" t="s">
        <v>130</v>
      </c>
      <c r="L69" s="20" t="s">
        <v>95</v>
      </c>
      <c r="M69" s="20" t="s">
        <v>162</v>
      </c>
      <c r="N69" s="20">
        <v>900</v>
      </c>
      <c r="O69" s="20" t="s">
        <v>157</v>
      </c>
      <c r="P69" s="20" t="s">
        <v>55</v>
      </c>
      <c r="Q69" s="33"/>
      <c r="R69" s="33"/>
      <c r="S69" s="33" t="s">
        <v>165</v>
      </c>
      <c r="T69" s="33">
        <f t="shared" ca="1" si="1"/>
        <v>26400</v>
      </c>
      <c r="U69" s="38">
        <f t="shared" ca="1" si="2"/>
        <v>23760</v>
      </c>
      <c r="V69" s="38">
        <f t="shared" ca="1" si="3"/>
        <v>22440</v>
      </c>
      <c r="W69" s="38">
        <f t="shared" ca="1" si="4"/>
        <v>21120</v>
      </c>
      <c r="X69" s="38">
        <f t="shared" ca="1" si="5"/>
        <v>18480</v>
      </c>
      <c r="Y69" s="18"/>
    </row>
    <row r="70" spans="1:25" ht="30" x14ac:dyDescent="0.15">
      <c r="A70" s="18"/>
      <c r="B70" s="20" t="s">
        <v>58</v>
      </c>
      <c r="C70" s="20" t="s">
        <v>60</v>
      </c>
      <c r="D70" s="20" t="s">
        <v>61</v>
      </c>
      <c r="E70" s="20" t="s">
        <v>161</v>
      </c>
      <c r="F70" s="20" t="s">
        <v>119</v>
      </c>
      <c r="G70" s="20">
        <v>900</v>
      </c>
      <c r="H70" s="20" t="s">
        <v>66</v>
      </c>
      <c r="I70" s="20" t="str">
        <f t="shared" si="0"/>
        <v>WFLX-LNR-NSH-LVP-900-F</v>
      </c>
      <c r="J70" s="20" t="s">
        <v>86</v>
      </c>
      <c r="K70" s="20" t="s">
        <v>130</v>
      </c>
      <c r="L70" s="20" t="s">
        <v>95</v>
      </c>
      <c r="M70" s="20" t="s">
        <v>162</v>
      </c>
      <c r="N70" s="20">
        <v>900</v>
      </c>
      <c r="O70" s="20" t="s">
        <v>158</v>
      </c>
      <c r="P70" s="20" t="s">
        <v>23</v>
      </c>
      <c r="Q70" s="33"/>
      <c r="R70" s="33"/>
      <c r="S70" s="33" t="s">
        <v>163</v>
      </c>
      <c r="T70" s="33">
        <f t="shared" ca="1" si="1"/>
        <v>31500</v>
      </c>
      <c r="U70" s="38">
        <f t="shared" ca="1" si="2"/>
        <v>28350</v>
      </c>
      <c r="V70" s="38">
        <f t="shared" ca="1" si="3"/>
        <v>26775</v>
      </c>
      <c r="W70" s="38">
        <f t="shared" ca="1" si="4"/>
        <v>25200</v>
      </c>
      <c r="X70" s="38">
        <f t="shared" ca="1" si="5"/>
        <v>22050</v>
      </c>
      <c r="Y70" s="18"/>
    </row>
    <row r="71" spans="1:25" ht="30" x14ac:dyDescent="0.15">
      <c r="A71" s="18"/>
      <c r="B71" s="20" t="s">
        <v>58</v>
      </c>
      <c r="C71" s="20" t="s">
        <v>60</v>
      </c>
      <c r="D71" s="20" t="s">
        <v>61</v>
      </c>
      <c r="E71" s="20" t="s">
        <v>161</v>
      </c>
      <c r="F71" s="20" t="s">
        <v>119</v>
      </c>
      <c r="G71" s="20">
        <v>900</v>
      </c>
      <c r="H71" s="20" t="s">
        <v>116</v>
      </c>
      <c r="I71" s="20" t="str">
        <f t="shared" si="0"/>
        <v>WFLX-LNR-NSH-LVP-900-G</v>
      </c>
      <c r="J71" s="20" t="s">
        <v>86</v>
      </c>
      <c r="K71" s="20" t="s">
        <v>130</v>
      </c>
      <c r="L71" s="20" t="s">
        <v>95</v>
      </c>
      <c r="M71" s="20" t="s">
        <v>162</v>
      </c>
      <c r="N71" s="20">
        <v>900</v>
      </c>
      <c r="O71" s="20" t="s">
        <v>158</v>
      </c>
      <c r="P71" s="20" t="s">
        <v>42</v>
      </c>
      <c r="Q71" s="33"/>
      <c r="R71" s="33"/>
      <c r="S71" s="33" t="s">
        <v>164</v>
      </c>
      <c r="T71" s="33">
        <f t="shared" ca="1" si="1"/>
        <v>32000</v>
      </c>
      <c r="U71" s="38">
        <f t="shared" ca="1" si="2"/>
        <v>28800</v>
      </c>
      <c r="V71" s="38">
        <f t="shared" ca="1" si="3"/>
        <v>27200</v>
      </c>
      <c r="W71" s="38">
        <f t="shared" ca="1" si="4"/>
        <v>25600</v>
      </c>
      <c r="X71" s="38">
        <f t="shared" ca="1" si="5"/>
        <v>22400</v>
      </c>
      <c r="Y71" s="18"/>
    </row>
    <row r="72" spans="1:25" ht="30" x14ac:dyDescent="0.15">
      <c r="A72" s="18"/>
      <c r="B72" s="20" t="s">
        <v>58</v>
      </c>
      <c r="C72" s="20" t="s">
        <v>60</v>
      </c>
      <c r="D72" s="20" t="s">
        <v>61</v>
      </c>
      <c r="E72" s="20" t="s">
        <v>161</v>
      </c>
      <c r="F72" s="20" t="s">
        <v>119</v>
      </c>
      <c r="G72" s="20">
        <v>900</v>
      </c>
      <c r="H72" s="20" t="s">
        <v>131</v>
      </c>
      <c r="I72" s="20" t="str">
        <f t="shared" si="0"/>
        <v>WFLX-LNR-NSH-LVP-900-X</v>
      </c>
      <c r="J72" s="20" t="s">
        <v>86</v>
      </c>
      <c r="K72" s="20" t="s">
        <v>130</v>
      </c>
      <c r="L72" s="20" t="s">
        <v>95</v>
      </c>
      <c r="M72" s="20" t="s">
        <v>162</v>
      </c>
      <c r="N72" s="20">
        <v>900</v>
      </c>
      <c r="O72" s="20" t="s">
        <v>158</v>
      </c>
      <c r="P72" s="20" t="s">
        <v>55</v>
      </c>
      <c r="Q72" s="33"/>
      <c r="R72" s="33"/>
      <c r="S72" s="33" t="s">
        <v>165</v>
      </c>
      <c r="T72" s="33">
        <f t="shared" ca="1" si="1"/>
        <v>28000</v>
      </c>
      <c r="U72" s="38">
        <f t="shared" ca="1" si="2"/>
        <v>25200</v>
      </c>
      <c r="V72" s="38">
        <f t="shared" ca="1" si="3"/>
        <v>23800</v>
      </c>
      <c r="W72" s="38">
        <f t="shared" ca="1" si="4"/>
        <v>22400</v>
      </c>
      <c r="X72" s="38">
        <f t="shared" ca="1" si="5"/>
        <v>19600</v>
      </c>
      <c r="Y72" s="18"/>
    </row>
    <row r="73" spans="1:25" ht="30" x14ac:dyDescent="0.15">
      <c r="A73" s="18"/>
      <c r="B73" s="20" t="s">
        <v>58</v>
      </c>
      <c r="C73" s="20" t="s">
        <v>60</v>
      </c>
      <c r="D73" s="20" t="s">
        <v>61</v>
      </c>
      <c r="E73" s="20" t="s">
        <v>161</v>
      </c>
      <c r="F73" s="20" t="s">
        <v>125</v>
      </c>
      <c r="G73" s="20">
        <v>900</v>
      </c>
      <c r="H73" s="20" t="s">
        <v>66</v>
      </c>
      <c r="I73" s="20" t="str">
        <f t="shared" si="0"/>
        <v>WFLX-LNR-NSH-MB-900-F</v>
      </c>
      <c r="J73" s="20" t="s">
        <v>86</v>
      </c>
      <c r="K73" s="20" t="s">
        <v>130</v>
      </c>
      <c r="L73" s="20" t="s">
        <v>95</v>
      </c>
      <c r="M73" s="20" t="s">
        <v>162</v>
      </c>
      <c r="N73" s="20">
        <v>900</v>
      </c>
      <c r="O73" s="20" t="s">
        <v>97</v>
      </c>
      <c r="P73" s="20" t="s">
        <v>23</v>
      </c>
      <c r="Q73" s="33"/>
      <c r="R73" s="33"/>
      <c r="S73" s="33" t="s">
        <v>163</v>
      </c>
      <c r="T73" s="33">
        <f t="shared" ca="1" si="1"/>
        <v>40800</v>
      </c>
      <c r="U73" s="38">
        <f t="shared" ca="1" si="2"/>
        <v>36720</v>
      </c>
      <c r="V73" s="38">
        <f t="shared" ca="1" si="3"/>
        <v>34680</v>
      </c>
      <c r="W73" s="38">
        <f t="shared" ca="1" si="4"/>
        <v>32640</v>
      </c>
      <c r="X73" s="38">
        <f t="shared" ca="1" si="5"/>
        <v>28560</v>
      </c>
      <c r="Y73" s="18"/>
    </row>
    <row r="74" spans="1:25" ht="30" x14ac:dyDescent="0.15">
      <c r="A74" s="18"/>
      <c r="B74" s="20" t="s">
        <v>58</v>
      </c>
      <c r="C74" s="20" t="s">
        <v>60</v>
      </c>
      <c r="D74" s="20" t="s">
        <v>61</v>
      </c>
      <c r="E74" s="20" t="s">
        <v>161</v>
      </c>
      <c r="F74" s="20" t="s">
        <v>125</v>
      </c>
      <c r="G74" s="20">
        <v>900</v>
      </c>
      <c r="H74" s="20" t="s">
        <v>116</v>
      </c>
      <c r="I74" s="20" t="str">
        <f t="shared" si="0"/>
        <v>WFLX-LNR-NSH-MB-900-G</v>
      </c>
      <c r="J74" s="20" t="s">
        <v>86</v>
      </c>
      <c r="K74" s="20" t="s">
        <v>130</v>
      </c>
      <c r="L74" s="20" t="s">
        <v>95</v>
      </c>
      <c r="M74" s="20" t="s">
        <v>162</v>
      </c>
      <c r="N74" s="20">
        <v>900</v>
      </c>
      <c r="O74" s="20" t="s">
        <v>97</v>
      </c>
      <c r="P74" s="20" t="s">
        <v>42</v>
      </c>
      <c r="Q74" s="33"/>
      <c r="R74" s="33"/>
      <c r="S74" s="33" t="s">
        <v>164</v>
      </c>
      <c r="T74" s="33">
        <f t="shared" ca="1" si="1"/>
        <v>41300</v>
      </c>
      <c r="U74" s="38">
        <f t="shared" ca="1" si="2"/>
        <v>37170</v>
      </c>
      <c r="V74" s="38">
        <f t="shared" ca="1" si="3"/>
        <v>35105</v>
      </c>
      <c r="W74" s="38">
        <f t="shared" ca="1" si="4"/>
        <v>33040</v>
      </c>
      <c r="X74" s="38">
        <f t="shared" ca="1" si="5"/>
        <v>28909.999999999996</v>
      </c>
      <c r="Y74" s="18"/>
    </row>
    <row r="75" spans="1:25" ht="30" x14ac:dyDescent="0.15">
      <c r="A75" s="18"/>
      <c r="B75" s="20" t="s">
        <v>58</v>
      </c>
      <c r="C75" s="20" t="s">
        <v>60</v>
      </c>
      <c r="D75" s="20" t="s">
        <v>61</v>
      </c>
      <c r="E75" s="20" t="s">
        <v>161</v>
      </c>
      <c r="F75" s="20" t="s">
        <v>125</v>
      </c>
      <c r="G75" s="20">
        <v>900</v>
      </c>
      <c r="H75" s="20" t="s">
        <v>131</v>
      </c>
      <c r="I75" s="20" t="str">
        <f t="shared" si="0"/>
        <v>WFLX-LNR-NSH-MB-900-X</v>
      </c>
      <c r="J75" s="20" t="s">
        <v>86</v>
      </c>
      <c r="K75" s="20" t="s">
        <v>130</v>
      </c>
      <c r="L75" s="20" t="s">
        <v>95</v>
      </c>
      <c r="M75" s="20" t="s">
        <v>162</v>
      </c>
      <c r="N75" s="20">
        <v>900</v>
      </c>
      <c r="O75" s="20" t="s">
        <v>97</v>
      </c>
      <c r="P75" s="20" t="s">
        <v>55</v>
      </c>
      <c r="Q75" s="33"/>
      <c r="R75" s="33"/>
      <c r="S75" s="33" t="s">
        <v>165</v>
      </c>
      <c r="T75" s="33">
        <f t="shared" ca="1" si="1"/>
        <v>37300</v>
      </c>
      <c r="U75" s="38">
        <f t="shared" ca="1" si="2"/>
        <v>33570</v>
      </c>
      <c r="V75" s="38">
        <f t="shared" ca="1" si="3"/>
        <v>31705</v>
      </c>
      <c r="W75" s="38">
        <f t="shared" ca="1" si="4"/>
        <v>29840</v>
      </c>
      <c r="X75" s="38">
        <f t="shared" ca="1" si="5"/>
        <v>26110</v>
      </c>
      <c r="Y75" s="18"/>
    </row>
    <row r="76" spans="1:25" ht="30" x14ac:dyDescent="0.15">
      <c r="A76" s="18"/>
      <c r="B76" s="20" t="s">
        <v>58</v>
      </c>
      <c r="C76" s="20" t="s">
        <v>60</v>
      </c>
      <c r="D76" s="20" t="s">
        <v>61</v>
      </c>
      <c r="E76" s="20" t="s">
        <v>161</v>
      </c>
      <c r="F76" s="20" t="s">
        <v>65</v>
      </c>
      <c r="G76" s="20">
        <v>1200</v>
      </c>
      <c r="H76" s="20" t="s">
        <v>66</v>
      </c>
      <c r="I76" s="20" t="str">
        <f t="shared" si="0"/>
        <v>WFLX-LNR-NSH-PB-1200-F</v>
      </c>
      <c r="J76" s="20" t="s">
        <v>86</v>
      </c>
      <c r="K76" s="20" t="s">
        <v>130</v>
      </c>
      <c r="L76" s="20" t="s">
        <v>95</v>
      </c>
      <c r="M76" s="20" t="s">
        <v>162</v>
      </c>
      <c r="N76" s="20">
        <v>1200</v>
      </c>
      <c r="O76" s="20" t="s">
        <v>11</v>
      </c>
      <c r="P76" s="20" t="s">
        <v>23</v>
      </c>
      <c r="Q76" s="33"/>
      <c r="R76" s="33"/>
      <c r="S76" s="33" t="s">
        <v>163</v>
      </c>
      <c r="T76" s="33">
        <f t="shared" ca="1" si="1"/>
        <v>21200</v>
      </c>
      <c r="U76" s="38">
        <f t="shared" ca="1" si="2"/>
        <v>19080</v>
      </c>
      <c r="V76" s="38">
        <f t="shared" ca="1" si="3"/>
        <v>18020</v>
      </c>
      <c r="W76" s="38">
        <f t="shared" ca="1" si="4"/>
        <v>16960</v>
      </c>
      <c r="X76" s="38">
        <f t="shared" ca="1" si="5"/>
        <v>14839.999999999998</v>
      </c>
      <c r="Y76" s="18"/>
    </row>
    <row r="77" spans="1:25" ht="30" x14ac:dyDescent="0.15">
      <c r="A77" s="18"/>
      <c r="B77" s="20" t="s">
        <v>58</v>
      </c>
      <c r="C77" s="20" t="s">
        <v>60</v>
      </c>
      <c r="D77" s="20" t="s">
        <v>61</v>
      </c>
      <c r="E77" s="20" t="s">
        <v>161</v>
      </c>
      <c r="F77" s="20" t="s">
        <v>65</v>
      </c>
      <c r="G77" s="20">
        <v>1200</v>
      </c>
      <c r="H77" s="20" t="s">
        <v>116</v>
      </c>
      <c r="I77" s="20" t="str">
        <f t="shared" si="0"/>
        <v>WFLX-LNR-NSH-PB-1200-G</v>
      </c>
      <c r="J77" s="20" t="s">
        <v>86</v>
      </c>
      <c r="K77" s="20" t="s">
        <v>130</v>
      </c>
      <c r="L77" s="20" t="s">
        <v>95</v>
      </c>
      <c r="M77" s="20" t="s">
        <v>162</v>
      </c>
      <c r="N77" s="20">
        <v>1200</v>
      </c>
      <c r="O77" s="20" t="s">
        <v>11</v>
      </c>
      <c r="P77" s="20" t="s">
        <v>42</v>
      </c>
      <c r="Q77" s="33"/>
      <c r="R77" s="33"/>
      <c r="S77" s="33" t="s">
        <v>164</v>
      </c>
      <c r="T77" s="33">
        <f t="shared" ca="1" si="1"/>
        <v>21900</v>
      </c>
      <c r="U77" s="38">
        <f t="shared" ca="1" si="2"/>
        <v>19710</v>
      </c>
      <c r="V77" s="38">
        <f t="shared" ca="1" si="3"/>
        <v>18615</v>
      </c>
      <c r="W77" s="38">
        <f t="shared" ca="1" si="4"/>
        <v>17520</v>
      </c>
      <c r="X77" s="38">
        <f t="shared" ca="1" si="5"/>
        <v>15329.999999999998</v>
      </c>
      <c r="Y77" s="18"/>
    </row>
    <row r="78" spans="1:25" ht="30" x14ac:dyDescent="0.15">
      <c r="A78" s="18"/>
      <c r="B78" s="20" t="s">
        <v>58</v>
      </c>
      <c r="C78" s="20" t="s">
        <v>60</v>
      </c>
      <c r="D78" s="20" t="s">
        <v>61</v>
      </c>
      <c r="E78" s="20" t="s">
        <v>161</v>
      </c>
      <c r="F78" s="20" t="s">
        <v>65</v>
      </c>
      <c r="G78" s="20">
        <v>1200</v>
      </c>
      <c r="H78" s="20" t="s">
        <v>131</v>
      </c>
      <c r="I78" s="20" t="str">
        <f t="shared" si="0"/>
        <v>WFLX-LNR-NSH-PB-1200-X</v>
      </c>
      <c r="J78" s="20" t="s">
        <v>86</v>
      </c>
      <c r="K78" s="20" t="s">
        <v>130</v>
      </c>
      <c r="L78" s="20" t="s">
        <v>95</v>
      </c>
      <c r="M78" s="20" t="s">
        <v>162</v>
      </c>
      <c r="N78" s="20">
        <v>1200</v>
      </c>
      <c r="O78" s="20" t="s">
        <v>11</v>
      </c>
      <c r="P78" s="20" t="s">
        <v>55</v>
      </c>
      <c r="Q78" s="33"/>
      <c r="R78" s="33"/>
      <c r="S78" s="33" t="s">
        <v>165</v>
      </c>
      <c r="T78" s="33">
        <f t="shared" ca="1" si="1"/>
        <v>16600</v>
      </c>
      <c r="U78" s="38">
        <f t="shared" ca="1" si="2"/>
        <v>14940</v>
      </c>
      <c r="V78" s="38">
        <f t="shared" ca="1" si="3"/>
        <v>14110</v>
      </c>
      <c r="W78" s="38">
        <f t="shared" ca="1" si="4"/>
        <v>13280</v>
      </c>
      <c r="X78" s="38">
        <f t="shared" ca="1" si="5"/>
        <v>11620</v>
      </c>
      <c r="Y78" s="18"/>
    </row>
    <row r="79" spans="1:25" ht="30" x14ac:dyDescent="0.15">
      <c r="A79" s="18"/>
      <c r="B79" s="20" t="s">
        <v>58</v>
      </c>
      <c r="C79" s="20" t="s">
        <v>60</v>
      </c>
      <c r="D79" s="20" t="s">
        <v>61</v>
      </c>
      <c r="E79" s="20" t="s">
        <v>161</v>
      </c>
      <c r="F79" s="20" t="s">
        <v>112</v>
      </c>
      <c r="G79" s="20">
        <v>1200</v>
      </c>
      <c r="H79" s="20" t="s">
        <v>66</v>
      </c>
      <c r="I79" s="20" t="str">
        <f t="shared" si="0"/>
        <v>WFLX-LNR-NSH-PLM-1200-F</v>
      </c>
      <c r="J79" s="20" t="s">
        <v>86</v>
      </c>
      <c r="K79" s="20" t="s">
        <v>130</v>
      </c>
      <c r="L79" s="20" t="s">
        <v>95</v>
      </c>
      <c r="M79" s="20" t="s">
        <v>162</v>
      </c>
      <c r="N79" s="20">
        <v>1200</v>
      </c>
      <c r="O79" s="20" t="s">
        <v>31</v>
      </c>
      <c r="P79" s="20" t="s">
        <v>23</v>
      </c>
      <c r="Q79" s="33"/>
      <c r="R79" s="33"/>
      <c r="S79" s="33" t="s">
        <v>163</v>
      </c>
      <c r="T79" s="33">
        <f t="shared" ca="1" si="1"/>
        <v>22900</v>
      </c>
      <c r="U79" s="38">
        <f t="shared" ca="1" si="2"/>
        <v>20610</v>
      </c>
      <c r="V79" s="38">
        <f t="shared" ca="1" si="3"/>
        <v>19465</v>
      </c>
      <c r="W79" s="38">
        <f t="shared" ca="1" si="4"/>
        <v>18320</v>
      </c>
      <c r="X79" s="38">
        <f t="shared" ca="1" si="5"/>
        <v>16029.999999999998</v>
      </c>
      <c r="Y79" s="18"/>
    </row>
    <row r="80" spans="1:25" ht="30" x14ac:dyDescent="0.15">
      <c r="A80" s="18"/>
      <c r="B80" s="20" t="s">
        <v>58</v>
      </c>
      <c r="C80" s="20" t="s">
        <v>60</v>
      </c>
      <c r="D80" s="20" t="s">
        <v>61</v>
      </c>
      <c r="E80" s="20" t="s">
        <v>161</v>
      </c>
      <c r="F80" s="20" t="s">
        <v>112</v>
      </c>
      <c r="G80" s="20">
        <v>1200</v>
      </c>
      <c r="H80" s="20" t="s">
        <v>116</v>
      </c>
      <c r="I80" s="20" t="str">
        <f t="shared" si="0"/>
        <v>WFLX-LNR-NSH-PLM-1200-G</v>
      </c>
      <c r="J80" s="20" t="s">
        <v>86</v>
      </c>
      <c r="K80" s="20" t="s">
        <v>130</v>
      </c>
      <c r="L80" s="20" t="s">
        <v>95</v>
      </c>
      <c r="M80" s="20" t="s">
        <v>162</v>
      </c>
      <c r="N80" s="20">
        <v>1200</v>
      </c>
      <c r="O80" s="20" t="s">
        <v>31</v>
      </c>
      <c r="P80" s="20" t="s">
        <v>42</v>
      </c>
      <c r="Q80" s="33"/>
      <c r="R80" s="33"/>
      <c r="S80" s="33" t="s">
        <v>164</v>
      </c>
      <c r="T80" s="33">
        <f t="shared" ca="1" si="1"/>
        <v>23600</v>
      </c>
      <c r="U80" s="38">
        <f t="shared" ca="1" si="2"/>
        <v>21240</v>
      </c>
      <c r="V80" s="38">
        <f t="shared" ca="1" si="3"/>
        <v>20060</v>
      </c>
      <c r="W80" s="38">
        <f t="shared" ca="1" si="4"/>
        <v>18880</v>
      </c>
      <c r="X80" s="38">
        <f t="shared" ca="1" si="5"/>
        <v>16520</v>
      </c>
      <c r="Y80" s="18"/>
    </row>
    <row r="81" spans="1:25" ht="30" x14ac:dyDescent="0.15">
      <c r="A81" s="18"/>
      <c r="B81" s="20" t="s">
        <v>58</v>
      </c>
      <c r="C81" s="20" t="s">
        <v>60</v>
      </c>
      <c r="D81" s="20" t="s">
        <v>61</v>
      </c>
      <c r="E81" s="20" t="s">
        <v>161</v>
      </c>
      <c r="F81" s="20" t="s">
        <v>112</v>
      </c>
      <c r="G81" s="20">
        <v>1200</v>
      </c>
      <c r="H81" s="20" t="s">
        <v>131</v>
      </c>
      <c r="I81" s="20" t="str">
        <f t="shared" si="0"/>
        <v>WFLX-LNR-NSH-PLM-1200-X</v>
      </c>
      <c r="J81" s="20" t="s">
        <v>86</v>
      </c>
      <c r="K81" s="20" t="s">
        <v>130</v>
      </c>
      <c r="L81" s="20" t="s">
        <v>95</v>
      </c>
      <c r="M81" s="20" t="s">
        <v>162</v>
      </c>
      <c r="N81" s="20">
        <v>1200</v>
      </c>
      <c r="O81" s="20" t="s">
        <v>31</v>
      </c>
      <c r="P81" s="20" t="s">
        <v>55</v>
      </c>
      <c r="Q81" s="33"/>
      <c r="R81" s="33"/>
      <c r="S81" s="33" t="s">
        <v>165</v>
      </c>
      <c r="T81" s="33">
        <f t="shared" ca="1" si="1"/>
        <v>18300</v>
      </c>
      <c r="U81" s="38">
        <f t="shared" ca="1" si="2"/>
        <v>16470</v>
      </c>
      <c r="V81" s="38">
        <f t="shared" ca="1" si="3"/>
        <v>15555</v>
      </c>
      <c r="W81" s="38">
        <f t="shared" ca="1" si="4"/>
        <v>14640</v>
      </c>
      <c r="X81" s="38">
        <f t="shared" ca="1" si="5"/>
        <v>12810</v>
      </c>
      <c r="Y81" s="18"/>
    </row>
    <row r="82" spans="1:25" ht="30" x14ac:dyDescent="0.15">
      <c r="A82" s="18"/>
      <c r="B82" s="20" t="s">
        <v>58</v>
      </c>
      <c r="C82" s="20" t="s">
        <v>60</v>
      </c>
      <c r="D82" s="20" t="s">
        <v>61</v>
      </c>
      <c r="E82" s="20" t="s">
        <v>161</v>
      </c>
      <c r="F82" s="20" t="s">
        <v>114</v>
      </c>
      <c r="G82" s="20">
        <v>1200</v>
      </c>
      <c r="H82" s="20" t="s">
        <v>66</v>
      </c>
      <c r="I82" s="20" t="str">
        <f t="shared" si="0"/>
        <v>WFLX-LNR-NSH-PoLM-1200-F</v>
      </c>
      <c r="J82" s="20" t="s">
        <v>86</v>
      </c>
      <c r="K82" s="20" t="s">
        <v>130</v>
      </c>
      <c r="L82" s="20" t="s">
        <v>95</v>
      </c>
      <c r="M82" s="20" t="s">
        <v>162</v>
      </c>
      <c r="N82" s="20">
        <v>1200</v>
      </c>
      <c r="O82" s="20" t="s">
        <v>47</v>
      </c>
      <c r="P82" s="20" t="s">
        <v>23</v>
      </c>
      <c r="Q82" s="33"/>
      <c r="R82" s="33"/>
      <c r="S82" s="33" t="s">
        <v>163</v>
      </c>
      <c r="T82" s="33">
        <f t="shared" ca="1" si="1"/>
        <v>32600</v>
      </c>
      <c r="U82" s="38">
        <f t="shared" ca="1" si="2"/>
        <v>29340</v>
      </c>
      <c r="V82" s="38">
        <f t="shared" ca="1" si="3"/>
        <v>27710</v>
      </c>
      <c r="W82" s="38">
        <f t="shared" ca="1" si="4"/>
        <v>26080</v>
      </c>
      <c r="X82" s="38">
        <f t="shared" ca="1" si="5"/>
        <v>22820</v>
      </c>
      <c r="Y82" s="18"/>
    </row>
    <row r="83" spans="1:25" ht="30" x14ac:dyDescent="0.15">
      <c r="A83" s="18"/>
      <c r="B83" s="20" t="s">
        <v>58</v>
      </c>
      <c r="C83" s="20" t="s">
        <v>60</v>
      </c>
      <c r="D83" s="20" t="s">
        <v>61</v>
      </c>
      <c r="E83" s="20" t="s">
        <v>161</v>
      </c>
      <c r="F83" s="20" t="s">
        <v>114</v>
      </c>
      <c r="G83" s="20">
        <v>1200</v>
      </c>
      <c r="H83" s="20" t="s">
        <v>116</v>
      </c>
      <c r="I83" s="20" t="str">
        <f t="shared" si="0"/>
        <v>WFLX-LNR-NSH-PoLM-1200-G</v>
      </c>
      <c r="J83" s="20" t="s">
        <v>86</v>
      </c>
      <c r="K83" s="20" t="s">
        <v>130</v>
      </c>
      <c r="L83" s="20" t="s">
        <v>95</v>
      </c>
      <c r="M83" s="20" t="s">
        <v>162</v>
      </c>
      <c r="N83" s="20">
        <v>1200</v>
      </c>
      <c r="O83" s="20" t="s">
        <v>47</v>
      </c>
      <c r="P83" s="20" t="s">
        <v>42</v>
      </c>
      <c r="Q83" s="33"/>
      <c r="R83" s="33"/>
      <c r="S83" s="33" t="s">
        <v>164</v>
      </c>
      <c r="T83" s="33">
        <f t="shared" ca="1" si="1"/>
        <v>33300</v>
      </c>
      <c r="U83" s="38">
        <f t="shared" ca="1" si="2"/>
        <v>29970</v>
      </c>
      <c r="V83" s="38">
        <f t="shared" ca="1" si="3"/>
        <v>28305</v>
      </c>
      <c r="W83" s="38">
        <f t="shared" ca="1" si="4"/>
        <v>26640</v>
      </c>
      <c r="X83" s="38">
        <f t="shared" ca="1" si="5"/>
        <v>23310</v>
      </c>
      <c r="Y83" s="18"/>
    </row>
    <row r="84" spans="1:25" ht="30" x14ac:dyDescent="0.15">
      <c r="A84" s="18"/>
      <c r="B84" s="20" t="s">
        <v>58</v>
      </c>
      <c r="C84" s="20" t="s">
        <v>60</v>
      </c>
      <c r="D84" s="20" t="s">
        <v>61</v>
      </c>
      <c r="E84" s="20" t="s">
        <v>161</v>
      </c>
      <c r="F84" s="20" t="s">
        <v>114</v>
      </c>
      <c r="G84" s="20">
        <v>1200</v>
      </c>
      <c r="H84" s="20" t="s">
        <v>131</v>
      </c>
      <c r="I84" s="20" t="str">
        <f t="shared" si="0"/>
        <v>WFLX-LNR-NSH-PoLM-1200-X</v>
      </c>
      <c r="J84" s="20" t="s">
        <v>86</v>
      </c>
      <c r="K84" s="20" t="s">
        <v>130</v>
      </c>
      <c r="L84" s="20" t="s">
        <v>95</v>
      </c>
      <c r="M84" s="20" t="s">
        <v>162</v>
      </c>
      <c r="N84" s="20">
        <v>1200</v>
      </c>
      <c r="O84" s="20" t="s">
        <v>47</v>
      </c>
      <c r="P84" s="20" t="s">
        <v>55</v>
      </c>
      <c r="Q84" s="33"/>
      <c r="R84" s="33"/>
      <c r="S84" s="33" t="s">
        <v>165</v>
      </c>
      <c r="T84" s="33">
        <f t="shared" ca="1" si="1"/>
        <v>28000</v>
      </c>
      <c r="U84" s="38">
        <f t="shared" ca="1" si="2"/>
        <v>25200</v>
      </c>
      <c r="V84" s="38">
        <f t="shared" ca="1" si="3"/>
        <v>23800</v>
      </c>
      <c r="W84" s="38">
        <f t="shared" ca="1" si="4"/>
        <v>22400</v>
      </c>
      <c r="X84" s="38">
        <f t="shared" ca="1" si="5"/>
        <v>19600</v>
      </c>
      <c r="Y84" s="18"/>
    </row>
    <row r="85" spans="1:25" ht="30" x14ac:dyDescent="0.15">
      <c r="A85" s="18"/>
      <c r="B85" s="20" t="s">
        <v>58</v>
      </c>
      <c r="C85" s="20" t="s">
        <v>60</v>
      </c>
      <c r="D85" s="20" t="s">
        <v>61</v>
      </c>
      <c r="E85" s="20" t="s">
        <v>161</v>
      </c>
      <c r="F85" s="20" t="s">
        <v>117</v>
      </c>
      <c r="G85" s="20">
        <v>1200</v>
      </c>
      <c r="H85" s="20" t="s">
        <v>66</v>
      </c>
      <c r="I85" s="20" t="str">
        <f t="shared" si="0"/>
        <v>WFLX-LNR-NSH-LVM-1200-F</v>
      </c>
      <c r="J85" s="20" t="s">
        <v>86</v>
      </c>
      <c r="K85" s="20" t="s">
        <v>130</v>
      </c>
      <c r="L85" s="20" t="s">
        <v>95</v>
      </c>
      <c r="M85" s="20" t="s">
        <v>162</v>
      </c>
      <c r="N85" s="20">
        <v>1200</v>
      </c>
      <c r="O85" s="20" t="s">
        <v>157</v>
      </c>
      <c r="P85" s="20" t="s">
        <v>23</v>
      </c>
      <c r="Q85" s="33"/>
      <c r="R85" s="33"/>
      <c r="S85" s="33" t="s">
        <v>163</v>
      </c>
      <c r="T85" s="33">
        <f t="shared" ca="1" si="1"/>
        <v>37000</v>
      </c>
      <c r="U85" s="38">
        <f t="shared" ca="1" si="2"/>
        <v>33300</v>
      </c>
      <c r="V85" s="38">
        <f t="shared" ca="1" si="3"/>
        <v>31450</v>
      </c>
      <c r="W85" s="38">
        <f t="shared" ca="1" si="4"/>
        <v>29600</v>
      </c>
      <c r="X85" s="38">
        <f t="shared" ca="1" si="5"/>
        <v>25900</v>
      </c>
      <c r="Y85" s="18"/>
    </row>
    <row r="86" spans="1:25" ht="30" x14ac:dyDescent="0.15">
      <c r="A86" s="18"/>
      <c r="B86" s="20" t="s">
        <v>58</v>
      </c>
      <c r="C86" s="20" t="s">
        <v>60</v>
      </c>
      <c r="D86" s="20" t="s">
        <v>61</v>
      </c>
      <c r="E86" s="20" t="s">
        <v>161</v>
      </c>
      <c r="F86" s="20" t="s">
        <v>117</v>
      </c>
      <c r="G86" s="20">
        <v>1200</v>
      </c>
      <c r="H86" s="20" t="s">
        <v>116</v>
      </c>
      <c r="I86" s="20" t="str">
        <f t="shared" si="0"/>
        <v>WFLX-LNR-NSH-LVM-1200-G</v>
      </c>
      <c r="J86" s="20" t="s">
        <v>86</v>
      </c>
      <c r="K86" s="20" t="s">
        <v>130</v>
      </c>
      <c r="L86" s="20" t="s">
        <v>95</v>
      </c>
      <c r="M86" s="20" t="s">
        <v>162</v>
      </c>
      <c r="N86" s="20">
        <v>1200</v>
      </c>
      <c r="O86" s="20" t="s">
        <v>157</v>
      </c>
      <c r="P86" s="20" t="s">
        <v>42</v>
      </c>
      <c r="Q86" s="33"/>
      <c r="R86" s="33"/>
      <c r="S86" s="33" t="s">
        <v>164</v>
      </c>
      <c r="T86" s="33">
        <f t="shared" ca="1" si="1"/>
        <v>37600</v>
      </c>
      <c r="U86" s="38">
        <f t="shared" ca="1" si="2"/>
        <v>33840</v>
      </c>
      <c r="V86" s="38">
        <f t="shared" ca="1" si="3"/>
        <v>31960</v>
      </c>
      <c r="W86" s="38">
        <f t="shared" ca="1" si="4"/>
        <v>30080</v>
      </c>
      <c r="X86" s="38">
        <f t="shared" ca="1" si="5"/>
        <v>26320</v>
      </c>
      <c r="Y86" s="18"/>
    </row>
    <row r="87" spans="1:25" ht="30" x14ac:dyDescent="0.15">
      <c r="A87" s="18"/>
      <c r="B87" s="20" t="s">
        <v>58</v>
      </c>
      <c r="C87" s="20" t="s">
        <v>60</v>
      </c>
      <c r="D87" s="20" t="s">
        <v>61</v>
      </c>
      <c r="E87" s="20" t="s">
        <v>161</v>
      </c>
      <c r="F87" s="20" t="s">
        <v>117</v>
      </c>
      <c r="G87" s="20">
        <v>1200</v>
      </c>
      <c r="H87" s="20" t="s">
        <v>131</v>
      </c>
      <c r="I87" s="20" t="str">
        <f t="shared" si="0"/>
        <v>WFLX-LNR-NSH-LVM-1200-X</v>
      </c>
      <c r="J87" s="20" t="s">
        <v>86</v>
      </c>
      <c r="K87" s="20" t="s">
        <v>130</v>
      </c>
      <c r="L87" s="20" t="s">
        <v>95</v>
      </c>
      <c r="M87" s="20" t="s">
        <v>162</v>
      </c>
      <c r="N87" s="20">
        <v>1200</v>
      </c>
      <c r="O87" s="20" t="s">
        <v>157</v>
      </c>
      <c r="P87" s="20" t="s">
        <v>55</v>
      </c>
      <c r="Q87" s="33"/>
      <c r="R87" s="33"/>
      <c r="S87" s="33" t="s">
        <v>165</v>
      </c>
      <c r="T87" s="33">
        <f t="shared" ca="1" si="1"/>
        <v>32300</v>
      </c>
      <c r="U87" s="38">
        <f t="shared" ca="1" si="2"/>
        <v>29070</v>
      </c>
      <c r="V87" s="38">
        <f t="shared" ca="1" si="3"/>
        <v>27455</v>
      </c>
      <c r="W87" s="38">
        <f t="shared" ca="1" si="4"/>
        <v>25840</v>
      </c>
      <c r="X87" s="38">
        <f t="shared" ca="1" si="5"/>
        <v>22610</v>
      </c>
      <c r="Y87" s="18"/>
    </row>
    <row r="88" spans="1:25" ht="30" x14ac:dyDescent="0.15">
      <c r="A88" s="18"/>
      <c r="B88" s="20" t="s">
        <v>58</v>
      </c>
      <c r="C88" s="20" t="s">
        <v>60</v>
      </c>
      <c r="D88" s="20" t="s">
        <v>61</v>
      </c>
      <c r="E88" s="20" t="s">
        <v>161</v>
      </c>
      <c r="F88" s="20" t="s">
        <v>119</v>
      </c>
      <c r="G88" s="20">
        <v>1200</v>
      </c>
      <c r="H88" s="20" t="s">
        <v>66</v>
      </c>
      <c r="I88" s="20" t="str">
        <f t="shared" si="0"/>
        <v>WFLX-LNR-NSH-LVP-1200-F</v>
      </c>
      <c r="J88" s="20" t="s">
        <v>86</v>
      </c>
      <c r="K88" s="20" t="s">
        <v>130</v>
      </c>
      <c r="L88" s="20" t="s">
        <v>95</v>
      </c>
      <c r="M88" s="20" t="s">
        <v>162</v>
      </c>
      <c r="N88" s="20">
        <v>1200</v>
      </c>
      <c r="O88" s="20" t="s">
        <v>158</v>
      </c>
      <c r="P88" s="20" t="s">
        <v>23</v>
      </c>
      <c r="Q88" s="33"/>
      <c r="R88" s="33"/>
      <c r="S88" s="33" t="s">
        <v>163</v>
      </c>
      <c r="T88" s="33">
        <f t="shared" ca="1" si="1"/>
        <v>39100</v>
      </c>
      <c r="U88" s="38">
        <f t="shared" ca="1" si="2"/>
        <v>35190</v>
      </c>
      <c r="V88" s="38">
        <f t="shared" ca="1" si="3"/>
        <v>33235</v>
      </c>
      <c r="W88" s="38">
        <f t="shared" ca="1" si="4"/>
        <v>31280</v>
      </c>
      <c r="X88" s="38">
        <f t="shared" ca="1" si="5"/>
        <v>27370</v>
      </c>
      <c r="Y88" s="18"/>
    </row>
    <row r="89" spans="1:25" ht="30" x14ac:dyDescent="0.15">
      <c r="A89" s="18"/>
      <c r="B89" s="20" t="s">
        <v>58</v>
      </c>
      <c r="C89" s="20" t="s">
        <v>60</v>
      </c>
      <c r="D89" s="20" t="s">
        <v>61</v>
      </c>
      <c r="E89" s="20" t="s">
        <v>161</v>
      </c>
      <c r="F89" s="20" t="s">
        <v>119</v>
      </c>
      <c r="G89" s="20">
        <v>1200</v>
      </c>
      <c r="H89" s="20" t="s">
        <v>116</v>
      </c>
      <c r="I89" s="20" t="str">
        <f t="shared" si="0"/>
        <v>WFLX-LNR-NSH-LVP-1200-G</v>
      </c>
      <c r="J89" s="20" t="s">
        <v>86</v>
      </c>
      <c r="K89" s="20" t="s">
        <v>130</v>
      </c>
      <c r="L89" s="20" t="s">
        <v>95</v>
      </c>
      <c r="M89" s="20" t="s">
        <v>162</v>
      </c>
      <c r="N89" s="20">
        <v>1200</v>
      </c>
      <c r="O89" s="20" t="s">
        <v>158</v>
      </c>
      <c r="P89" s="20" t="s">
        <v>42</v>
      </c>
      <c r="Q89" s="33"/>
      <c r="R89" s="33"/>
      <c r="S89" s="33" t="s">
        <v>164</v>
      </c>
      <c r="T89" s="33">
        <f t="shared" ca="1" si="1"/>
        <v>39800</v>
      </c>
      <c r="U89" s="38">
        <f t="shared" ca="1" si="2"/>
        <v>35820</v>
      </c>
      <c r="V89" s="38">
        <f t="shared" ca="1" si="3"/>
        <v>33830</v>
      </c>
      <c r="W89" s="38">
        <f t="shared" ca="1" si="4"/>
        <v>31840</v>
      </c>
      <c r="X89" s="38">
        <f t="shared" ca="1" si="5"/>
        <v>27860</v>
      </c>
      <c r="Y89" s="18"/>
    </row>
    <row r="90" spans="1:25" ht="30" x14ac:dyDescent="0.15">
      <c r="A90" s="18"/>
      <c r="B90" s="20" t="s">
        <v>58</v>
      </c>
      <c r="C90" s="20" t="s">
        <v>60</v>
      </c>
      <c r="D90" s="20" t="s">
        <v>61</v>
      </c>
      <c r="E90" s="20" t="s">
        <v>161</v>
      </c>
      <c r="F90" s="20" t="s">
        <v>119</v>
      </c>
      <c r="G90" s="20">
        <v>1200</v>
      </c>
      <c r="H90" s="20" t="s">
        <v>131</v>
      </c>
      <c r="I90" s="20" t="str">
        <f t="shared" si="0"/>
        <v>WFLX-LNR-NSH-LVP-1200-X</v>
      </c>
      <c r="J90" s="20" t="s">
        <v>86</v>
      </c>
      <c r="K90" s="20" t="s">
        <v>130</v>
      </c>
      <c r="L90" s="20" t="s">
        <v>95</v>
      </c>
      <c r="M90" s="20" t="s">
        <v>162</v>
      </c>
      <c r="N90" s="20">
        <v>1200</v>
      </c>
      <c r="O90" s="20" t="s">
        <v>158</v>
      </c>
      <c r="P90" s="20" t="s">
        <v>55</v>
      </c>
      <c r="Q90" s="33"/>
      <c r="R90" s="33"/>
      <c r="S90" s="33" t="s">
        <v>165</v>
      </c>
      <c r="T90" s="33">
        <f t="shared" ca="1" si="1"/>
        <v>34500</v>
      </c>
      <c r="U90" s="38">
        <f t="shared" ca="1" si="2"/>
        <v>31050</v>
      </c>
      <c r="V90" s="38">
        <f t="shared" ca="1" si="3"/>
        <v>29325</v>
      </c>
      <c r="W90" s="38">
        <f t="shared" ca="1" si="4"/>
        <v>27600</v>
      </c>
      <c r="X90" s="38">
        <f t="shared" ca="1" si="5"/>
        <v>24150</v>
      </c>
      <c r="Y90" s="18"/>
    </row>
    <row r="91" spans="1:25" ht="30" x14ac:dyDescent="0.15">
      <c r="A91" s="18"/>
      <c r="B91" s="20" t="s">
        <v>58</v>
      </c>
      <c r="C91" s="20" t="s">
        <v>60</v>
      </c>
      <c r="D91" s="20" t="s">
        <v>61</v>
      </c>
      <c r="E91" s="20" t="s">
        <v>161</v>
      </c>
      <c r="F91" s="20" t="s">
        <v>125</v>
      </c>
      <c r="G91" s="20">
        <v>1200</v>
      </c>
      <c r="H91" s="20" t="s">
        <v>66</v>
      </c>
      <c r="I91" s="20" t="str">
        <f t="shared" si="0"/>
        <v>WFLX-LNR-NSH-MB-1200-F</v>
      </c>
      <c r="J91" s="20" t="s">
        <v>86</v>
      </c>
      <c r="K91" s="20" t="s">
        <v>130</v>
      </c>
      <c r="L91" s="20" t="s">
        <v>95</v>
      </c>
      <c r="M91" s="20" t="s">
        <v>162</v>
      </c>
      <c r="N91" s="20">
        <v>1200</v>
      </c>
      <c r="O91" s="20" t="s">
        <v>97</v>
      </c>
      <c r="P91" s="20" t="s">
        <v>23</v>
      </c>
      <c r="Q91" s="33"/>
      <c r="R91" s="33"/>
      <c r="S91" s="33" t="s">
        <v>163</v>
      </c>
      <c r="T91" s="33">
        <f t="shared" ca="1" si="1"/>
        <v>51500</v>
      </c>
      <c r="U91" s="38">
        <f t="shared" ca="1" si="2"/>
        <v>46350</v>
      </c>
      <c r="V91" s="38">
        <f t="shared" ca="1" si="3"/>
        <v>43775</v>
      </c>
      <c r="W91" s="38">
        <f t="shared" ca="1" si="4"/>
        <v>41200</v>
      </c>
      <c r="X91" s="38">
        <f t="shared" ca="1" si="5"/>
        <v>36050</v>
      </c>
      <c r="Y91" s="18"/>
    </row>
    <row r="92" spans="1:25" ht="30" x14ac:dyDescent="0.15">
      <c r="A92" s="18"/>
      <c r="B92" s="20" t="s">
        <v>58</v>
      </c>
      <c r="C92" s="20" t="s">
        <v>60</v>
      </c>
      <c r="D92" s="20" t="s">
        <v>61</v>
      </c>
      <c r="E92" s="20" t="s">
        <v>161</v>
      </c>
      <c r="F92" s="20" t="s">
        <v>125</v>
      </c>
      <c r="G92" s="20">
        <v>1200</v>
      </c>
      <c r="H92" s="20" t="s">
        <v>116</v>
      </c>
      <c r="I92" s="20" t="str">
        <f t="shared" si="0"/>
        <v>WFLX-LNR-NSH-MB-1200-G</v>
      </c>
      <c r="J92" s="20" t="s">
        <v>86</v>
      </c>
      <c r="K92" s="20" t="s">
        <v>130</v>
      </c>
      <c r="L92" s="20" t="s">
        <v>95</v>
      </c>
      <c r="M92" s="20" t="s">
        <v>162</v>
      </c>
      <c r="N92" s="20">
        <v>1200</v>
      </c>
      <c r="O92" s="20" t="s">
        <v>97</v>
      </c>
      <c r="P92" s="20" t="s">
        <v>42</v>
      </c>
      <c r="Q92" s="33"/>
      <c r="R92" s="33"/>
      <c r="S92" s="33" t="s">
        <v>164</v>
      </c>
      <c r="T92" s="33">
        <f t="shared" ca="1" si="1"/>
        <v>52200</v>
      </c>
      <c r="U92" s="38">
        <f t="shared" ca="1" si="2"/>
        <v>46980</v>
      </c>
      <c r="V92" s="38">
        <f t="shared" ca="1" si="3"/>
        <v>44370</v>
      </c>
      <c r="W92" s="38">
        <f t="shared" ca="1" si="4"/>
        <v>41760</v>
      </c>
      <c r="X92" s="38">
        <f t="shared" ca="1" si="5"/>
        <v>36540</v>
      </c>
      <c r="Y92" s="18"/>
    </row>
    <row r="93" spans="1:25" ht="30" x14ac:dyDescent="0.15">
      <c r="A93" s="18"/>
      <c r="B93" s="20" t="s">
        <v>58</v>
      </c>
      <c r="C93" s="20" t="s">
        <v>60</v>
      </c>
      <c r="D93" s="20" t="s">
        <v>61</v>
      </c>
      <c r="E93" s="20" t="s">
        <v>161</v>
      </c>
      <c r="F93" s="20" t="s">
        <v>125</v>
      </c>
      <c r="G93" s="20">
        <v>1200</v>
      </c>
      <c r="H93" s="20" t="s">
        <v>131</v>
      </c>
      <c r="I93" s="20" t="str">
        <f t="shared" si="0"/>
        <v>WFLX-LNR-NSH-MB-1200-X</v>
      </c>
      <c r="J93" s="20" t="s">
        <v>86</v>
      </c>
      <c r="K93" s="20" t="s">
        <v>130</v>
      </c>
      <c r="L93" s="20" t="s">
        <v>95</v>
      </c>
      <c r="M93" s="20" t="s">
        <v>162</v>
      </c>
      <c r="N93" s="20">
        <v>1200</v>
      </c>
      <c r="O93" s="20" t="s">
        <v>97</v>
      </c>
      <c r="P93" s="20" t="s">
        <v>55</v>
      </c>
      <c r="Q93" s="33"/>
      <c r="R93" s="33"/>
      <c r="S93" s="33" t="s">
        <v>165</v>
      </c>
      <c r="T93" s="33">
        <f t="shared" ca="1" si="1"/>
        <v>46900</v>
      </c>
      <c r="U93" s="38">
        <f t="shared" ca="1" si="2"/>
        <v>42210</v>
      </c>
      <c r="V93" s="38">
        <f t="shared" ca="1" si="3"/>
        <v>39865</v>
      </c>
      <c r="W93" s="38">
        <f t="shared" ca="1" si="4"/>
        <v>37520</v>
      </c>
      <c r="X93" s="38">
        <f t="shared" ca="1" si="5"/>
        <v>32830</v>
      </c>
      <c r="Y93" s="18"/>
    </row>
    <row r="94" spans="1:25" ht="30" x14ac:dyDescent="0.15">
      <c r="A94" s="18"/>
      <c r="B94" s="20" t="s">
        <v>58</v>
      </c>
      <c r="C94" s="20" t="s">
        <v>60</v>
      </c>
      <c r="D94" s="20" t="s">
        <v>61</v>
      </c>
      <c r="E94" s="20" t="s">
        <v>161</v>
      </c>
      <c r="F94" s="20" t="s">
        <v>65</v>
      </c>
      <c r="G94" s="20">
        <v>1500</v>
      </c>
      <c r="H94" s="20" t="s">
        <v>66</v>
      </c>
      <c r="I94" s="20" t="str">
        <f t="shared" si="0"/>
        <v>WFLX-LNR-NSH-PB-1500-F</v>
      </c>
      <c r="J94" s="20" t="s">
        <v>86</v>
      </c>
      <c r="K94" s="20" t="s">
        <v>130</v>
      </c>
      <c r="L94" s="20" t="s">
        <v>95</v>
      </c>
      <c r="M94" s="20" t="s">
        <v>162</v>
      </c>
      <c r="N94" s="20">
        <v>1500</v>
      </c>
      <c r="O94" s="20" t="s">
        <v>11</v>
      </c>
      <c r="P94" s="20" t="s">
        <v>23</v>
      </c>
      <c r="Q94" s="33"/>
      <c r="R94" s="33"/>
      <c r="S94" s="33" t="s">
        <v>163</v>
      </c>
      <c r="T94" s="33">
        <f t="shared" ca="1" si="1"/>
        <v>24300</v>
      </c>
      <c r="U94" s="38">
        <f t="shared" ca="1" si="2"/>
        <v>21870</v>
      </c>
      <c r="V94" s="38">
        <f t="shared" ca="1" si="3"/>
        <v>20655</v>
      </c>
      <c r="W94" s="38">
        <f t="shared" ca="1" si="4"/>
        <v>19440</v>
      </c>
      <c r="X94" s="38">
        <f t="shared" ca="1" si="5"/>
        <v>17010</v>
      </c>
      <c r="Y94" s="18"/>
    </row>
    <row r="95" spans="1:25" ht="30" x14ac:dyDescent="0.15">
      <c r="A95" s="18"/>
      <c r="B95" s="20" t="s">
        <v>58</v>
      </c>
      <c r="C95" s="20" t="s">
        <v>60</v>
      </c>
      <c r="D95" s="20" t="s">
        <v>61</v>
      </c>
      <c r="E95" s="20" t="s">
        <v>161</v>
      </c>
      <c r="F95" s="20" t="s">
        <v>65</v>
      </c>
      <c r="G95" s="20">
        <v>1500</v>
      </c>
      <c r="H95" s="20" t="s">
        <v>116</v>
      </c>
      <c r="I95" s="20" t="str">
        <f t="shared" si="0"/>
        <v>WFLX-LNR-NSH-PB-1500-G</v>
      </c>
      <c r="J95" s="20" t="s">
        <v>86</v>
      </c>
      <c r="K95" s="20" t="s">
        <v>130</v>
      </c>
      <c r="L95" s="20" t="s">
        <v>95</v>
      </c>
      <c r="M95" s="20" t="s">
        <v>162</v>
      </c>
      <c r="N95" s="20">
        <v>1500</v>
      </c>
      <c r="O95" s="20" t="s">
        <v>11</v>
      </c>
      <c r="P95" s="20" t="s">
        <v>42</v>
      </c>
      <c r="Q95" s="33"/>
      <c r="R95" s="33"/>
      <c r="S95" s="33" t="s">
        <v>164</v>
      </c>
      <c r="T95" s="33">
        <f t="shared" ca="1" si="1"/>
        <v>25200</v>
      </c>
      <c r="U95" s="38">
        <f t="shared" ca="1" si="2"/>
        <v>22680</v>
      </c>
      <c r="V95" s="38">
        <f t="shared" ca="1" si="3"/>
        <v>21420</v>
      </c>
      <c r="W95" s="38">
        <f t="shared" ca="1" si="4"/>
        <v>20160</v>
      </c>
      <c r="X95" s="38">
        <f t="shared" ca="1" si="5"/>
        <v>17640</v>
      </c>
      <c r="Y95" s="18"/>
    </row>
    <row r="96" spans="1:25" ht="30" x14ac:dyDescent="0.15">
      <c r="A96" s="18"/>
      <c r="B96" s="20" t="s">
        <v>58</v>
      </c>
      <c r="C96" s="20" t="s">
        <v>60</v>
      </c>
      <c r="D96" s="20" t="s">
        <v>61</v>
      </c>
      <c r="E96" s="20" t="s">
        <v>161</v>
      </c>
      <c r="F96" s="20" t="s">
        <v>65</v>
      </c>
      <c r="G96" s="20">
        <v>1500</v>
      </c>
      <c r="H96" s="20" t="s">
        <v>131</v>
      </c>
      <c r="I96" s="20" t="str">
        <f t="shared" si="0"/>
        <v>WFLX-LNR-NSH-PB-1500-X</v>
      </c>
      <c r="J96" s="20" t="s">
        <v>86</v>
      </c>
      <c r="K96" s="20" t="s">
        <v>130</v>
      </c>
      <c r="L96" s="20" t="s">
        <v>95</v>
      </c>
      <c r="M96" s="20" t="s">
        <v>162</v>
      </c>
      <c r="N96" s="20">
        <v>1500</v>
      </c>
      <c r="O96" s="20" t="s">
        <v>11</v>
      </c>
      <c r="P96" s="20" t="s">
        <v>55</v>
      </c>
      <c r="Q96" s="33"/>
      <c r="R96" s="33"/>
      <c r="S96" s="33" t="s">
        <v>165</v>
      </c>
      <c r="T96" s="33">
        <f t="shared" ca="1" si="1"/>
        <v>18600</v>
      </c>
      <c r="U96" s="38">
        <f t="shared" ca="1" si="2"/>
        <v>16740</v>
      </c>
      <c r="V96" s="38">
        <f t="shared" ca="1" si="3"/>
        <v>15810</v>
      </c>
      <c r="W96" s="38">
        <f t="shared" ca="1" si="4"/>
        <v>14880</v>
      </c>
      <c r="X96" s="38">
        <f t="shared" ca="1" si="5"/>
        <v>13020</v>
      </c>
      <c r="Y96" s="18"/>
    </row>
    <row r="97" spans="1:25" ht="30" x14ac:dyDescent="0.15">
      <c r="A97" s="18"/>
      <c r="B97" s="20" t="s">
        <v>58</v>
      </c>
      <c r="C97" s="20" t="s">
        <v>60</v>
      </c>
      <c r="D97" s="20" t="s">
        <v>61</v>
      </c>
      <c r="E97" s="20" t="s">
        <v>161</v>
      </c>
      <c r="F97" s="20" t="s">
        <v>112</v>
      </c>
      <c r="G97" s="20">
        <v>1500</v>
      </c>
      <c r="H97" s="20" t="s">
        <v>66</v>
      </c>
      <c r="I97" s="20" t="str">
        <f t="shared" si="0"/>
        <v>WFLX-LNR-NSH-PLM-1500-F</v>
      </c>
      <c r="J97" s="20" t="s">
        <v>86</v>
      </c>
      <c r="K97" s="20" t="s">
        <v>130</v>
      </c>
      <c r="L97" s="20" t="s">
        <v>95</v>
      </c>
      <c r="M97" s="20" t="s">
        <v>162</v>
      </c>
      <c r="N97" s="20">
        <v>1500</v>
      </c>
      <c r="O97" s="20" t="s">
        <v>31</v>
      </c>
      <c r="P97" s="20" t="s">
        <v>23</v>
      </c>
      <c r="Q97" s="33"/>
      <c r="R97" s="33"/>
      <c r="S97" s="33" t="s">
        <v>163</v>
      </c>
      <c r="T97" s="33">
        <f t="shared" ca="1" si="1"/>
        <v>26500</v>
      </c>
      <c r="U97" s="38">
        <f t="shared" ca="1" si="2"/>
        <v>23850</v>
      </c>
      <c r="V97" s="38">
        <f t="shared" ca="1" si="3"/>
        <v>22525</v>
      </c>
      <c r="W97" s="38">
        <f t="shared" ca="1" si="4"/>
        <v>21200</v>
      </c>
      <c r="X97" s="38">
        <f t="shared" ca="1" si="5"/>
        <v>18550</v>
      </c>
      <c r="Y97" s="18"/>
    </row>
    <row r="98" spans="1:25" ht="30" x14ac:dyDescent="0.15">
      <c r="A98" s="18"/>
      <c r="B98" s="20" t="s">
        <v>58</v>
      </c>
      <c r="C98" s="20" t="s">
        <v>60</v>
      </c>
      <c r="D98" s="20" t="s">
        <v>61</v>
      </c>
      <c r="E98" s="20" t="s">
        <v>161</v>
      </c>
      <c r="F98" s="20" t="s">
        <v>112</v>
      </c>
      <c r="G98" s="20">
        <v>1500</v>
      </c>
      <c r="H98" s="20" t="s">
        <v>116</v>
      </c>
      <c r="I98" s="20" t="str">
        <f t="shared" si="0"/>
        <v>WFLX-LNR-NSH-PLM-1500-G</v>
      </c>
      <c r="J98" s="20" t="s">
        <v>86</v>
      </c>
      <c r="K98" s="20" t="s">
        <v>130</v>
      </c>
      <c r="L98" s="20" t="s">
        <v>95</v>
      </c>
      <c r="M98" s="20" t="s">
        <v>162</v>
      </c>
      <c r="N98" s="20">
        <v>1500</v>
      </c>
      <c r="O98" s="20" t="s">
        <v>31</v>
      </c>
      <c r="P98" s="20" t="s">
        <v>42</v>
      </c>
      <c r="Q98" s="33"/>
      <c r="R98" s="33"/>
      <c r="S98" s="33" t="s">
        <v>164</v>
      </c>
      <c r="T98" s="33">
        <f t="shared" ca="1" si="1"/>
        <v>27300</v>
      </c>
      <c r="U98" s="38">
        <f t="shared" ca="1" si="2"/>
        <v>24570</v>
      </c>
      <c r="V98" s="38">
        <f t="shared" ca="1" si="3"/>
        <v>23205</v>
      </c>
      <c r="W98" s="38">
        <f t="shared" ca="1" si="4"/>
        <v>21840</v>
      </c>
      <c r="X98" s="38">
        <f t="shared" ca="1" si="5"/>
        <v>19110</v>
      </c>
      <c r="Y98" s="18"/>
    </row>
    <row r="99" spans="1:25" ht="30" x14ac:dyDescent="0.15">
      <c r="A99" s="18"/>
      <c r="B99" s="20" t="s">
        <v>58</v>
      </c>
      <c r="C99" s="20" t="s">
        <v>60</v>
      </c>
      <c r="D99" s="20" t="s">
        <v>61</v>
      </c>
      <c r="E99" s="20" t="s">
        <v>161</v>
      </c>
      <c r="F99" s="20" t="s">
        <v>112</v>
      </c>
      <c r="G99" s="20">
        <v>1500</v>
      </c>
      <c r="H99" s="20" t="s">
        <v>131</v>
      </c>
      <c r="I99" s="20" t="str">
        <f t="shared" si="0"/>
        <v>WFLX-LNR-NSH-PLM-1500-X</v>
      </c>
      <c r="J99" s="20" t="s">
        <v>86</v>
      </c>
      <c r="K99" s="20" t="s">
        <v>130</v>
      </c>
      <c r="L99" s="20" t="s">
        <v>95</v>
      </c>
      <c r="M99" s="20" t="s">
        <v>162</v>
      </c>
      <c r="N99" s="20">
        <v>1500</v>
      </c>
      <c r="O99" s="20" t="s">
        <v>31</v>
      </c>
      <c r="P99" s="20" t="s">
        <v>55</v>
      </c>
      <c r="Q99" s="33"/>
      <c r="R99" s="33"/>
      <c r="S99" s="33" t="s">
        <v>165</v>
      </c>
      <c r="T99" s="33">
        <f t="shared" ca="1" si="1"/>
        <v>20700</v>
      </c>
      <c r="U99" s="38">
        <f t="shared" ca="1" si="2"/>
        <v>18630</v>
      </c>
      <c r="V99" s="38">
        <f t="shared" ca="1" si="3"/>
        <v>17595</v>
      </c>
      <c r="W99" s="38">
        <f t="shared" ca="1" si="4"/>
        <v>16560</v>
      </c>
      <c r="X99" s="38">
        <f t="shared" ca="1" si="5"/>
        <v>14489.999999999998</v>
      </c>
      <c r="Y99" s="18"/>
    </row>
    <row r="100" spans="1:25" ht="30" x14ac:dyDescent="0.15">
      <c r="A100" s="18"/>
      <c r="B100" s="20" t="s">
        <v>58</v>
      </c>
      <c r="C100" s="20" t="s">
        <v>60</v>
      </c>
      <c r="D100" s="20" t="s">
        <v>61</v>
      </c>
      <c r="E100" s="20" t="s">
        <v>161</v>
      </c>
      <c r="F100" s="20" t="s">
        <v>114</v>
      </c>
      <c r="G100" s="20">
        <v>1500</v>
      </c>
      <c r="H100" s="20" t="s">
        <v>66</v>
      </c>
      <c r="I100" s="20" t="str">
        <f t="shared" si="0"/>
        <v>WFLX-LNR-NSH-PoLM-1500-F</v>
      </c>
      <c r="J100" s="20" t="s">
        <v>86</v>
      </c>
      <c r="K100" s="20" t="s">
        <v>130</v>
      </c>
      <c r="L100" s="20" t="s">
        <v>95</v>
      </c>
      <c r="M100" s="20" t="s">
        <v>162</v>
      </c>
      <c r="N100" s="20">
        <v>1500</v>
      </c>
      <c r="O100" s="20" t="s">
        <v>47</v>
      </c>
      <c r="P100" s="20" t="s">
        <v>23</v>
      </c>
      <c r="Q100" s="33"/>
      <c r="R100" s="33"/>
      <c r="S100" s="33" t="s">
        <v>163</v>
      </c>
      <c r="T100" s="33">
        <f t="shared" ca="1" si="1"/>
        <v>38600</v>
      </c>
      <c r="U100" s="38">
        <f t="shared" ca="1" si="2"/>
        <v>34740</v>
      </c>
      <c r="V100" s="38">
        <f t="shared" ca="1" si="3"/>
        <v>32810</v>
      </c>
      <c r="W100" s="38">
        <f t="shared" ca="1" si="4"/>
        <v>30880</v>
      </c>
      <c r="X100" s="38">
        <f t="shared" ca="1" si="5"/>
        <v>27020</v>
      </c>
      <c r="Y100" s="18"/>
    </row>
    <row r="101" spans="1:25" ht="30" x14ac:dyDescent="0.15">
      <c r="A101" s="18"/>
      <c r="B101" s="20" t="s">
        <v>58</v>
      </c>
      <c r="C101" s="20" t="s">
        <v>60</v>
      </c>
      <c r="D101" s="20" t="s">
        <v>61</v>
      </c>
      <c r="E101" s="20" t="s">
        <v>161</v>
      </c>
      <c r="F101" s="20" t="s">
        <v>114</v>
      </c>
      <c r="G101" s="20">
        <v>1500</v>
      </c>
      <c r="H101" s="20" t="s">
        <v>116</v>
      </c>
      <c r="I101" s="20" t="str">
        <f t="shared" si="0"/>
        <v>WFLX-LNR-NSH-PoLM-1500-G</v>
      </c>
      <c r="J101" s="20" t="s">
        <v>86</v>
      </c>
      <c r="K101" s="20" t="s">
        <v>130</v>
      </c>
      <c r="L101" s="20" t="s">
        <v>95</v>
      </c>
      <c r="M101" s="20" t="s">
        <v>162</v>
      </c>
      <c r="N101" s="20">
        <v>1500</v>
      </c>
      <c r="O101" s="20" t="s">
        <v>47</v>
      </c>
      <c r="P101" s="20" t="s">
        <v>42</v>
      </c>
      <c r="Q101" s="33"/>
      <c r="R101" s="33"/>
      <c r="S101" s="33" t="s">
        <v>164</v>
      </c>
      <c r="T101" s="33">
        <f t="shared" ca="1" si="1"/>
        <v>39500</v>
      </c>
      <c r="U101" s="38">
        <f t="shared" ca="1" si="2"/>
        <v>35550</v>
      </c>
      <c r="V101" s="38">
        <f t="shared" ca="1" si="3"/>
        <v>33575</v>
      </c>
      <c r="W101" s="38">
        <f t="shared" ca="1" si="4"/>
        <v>31600</v>
      </c>
      <c r="X101" s="38">
        <f t="shared" ca="1" si="5"/>
        <v>27650</v>
      </c>
      <c r="Y101" s="18"/>
    </row>
    <row r="102" spans="1:25" ht="30" x14ac:dyDescent="0.15">
      <c r="A102" s="18"/>
      <c r="B102" s="20" t="s">
        <v>58</v>
      </c>
      <c r="C102" s="20" t="s">
        <v>60</v>
      </c>
      <c r="D102" s="20" t="s">
        <v>61</v>
      </c>
      <c r="E102" s="20" t="s">
        <v>161</v>
      </c>
      <c r="F102" s="20" t="s">
        <v>114</v>
      </c>
      <c r="G102" s="20">
        <v>1500</v>
      </c>
      <c r="H102" s="20" t="s">
        <v>131</v>
      </c>
      <c r="I102" s="20" t="str">
        <f t="shared" si="0"/>
        <v>WFLX-LNR-NSH-PoLM-1500-X</v>
      </c>
      <c r="J102" s="20" t="s">
        <v>86</v>
      </c>
      <c r="K102" s="20" t="s">
        <v>130</v>
      </c>
      <c r="L102" s="20" t="s">
        <v>95</v>
      </c>
      <c r="M102" s="20" t="s">
        <v>162</v>
      </c>
      <c r="N102" s="20">
        <v>1500</v>
      </c>
      <c r="O102" s="20" t="s">
        <v>47</v>
      </c>
      <c r="P102" s="20" t="s">
        <v>55</v>
      </c>
      <c r="Q102" s="33"/>
      <c r="R102" s="33"/>
      <c r="S102" s="33" t="s">
        <v>165</v>
      </c>
      <c r="T102" s="33">
        <f t="shared" ca="1" si="1"/>
        <v>32900</v>
      </c>
      <c r="U102" s="38">
        <f t="shared" ca="1" si="2"/>
        <v>29610</v>
      </c>
      <c r="V102" s="38">
        <f t="shared" ca="1" si="3"/>
        <v>27965</v>
      </c>
      <c r="W102" s="38">
        <f t="shared" ca="1" si="4"/>
        <v>26320</v>
      </c>
      <c r="X102" s="38">
        <f t="shared" ca="1" si="5"/>
        <v>23030</v>
      </c>
      <c r="Y102" s="18"/>
    </row>
    <row r="103" spans="1:25" ht="30" x14ac:dyDescent="0.15">
      <c r="A103" s="18"/>
      <c r="B103" s="20" t="s">
        <v>58</v>
      </c>
      <c r="C103" s="20" t="s">
        <v>60</v>
      </c>
      <c r="D103" s="20" t="s">
        <v>61</v>
      </c>
      <c r="E103" s="20" t="s">
        <v>161</v>
      </c>
      <c r="F103" s="20" t="s">
        <v>117</v>
      </c>
      <c r="G103" s="20">
        <v>1500</v>
      </c>
      <c r="H103" s="20" t="s">
        <v>66</v>
      </c>
      <c r="I103" s="20" t="str">
        <f t="shared" si="0"/>
        <v>WFLX-LNR-NSH-LVM-1500-F</v>
      </c>
      <c r="J103" s="20" t="s">
        <v>86</v>
      </c>
      <c r="K103" s="20" t="s">
        <v>130</v>
      </c>
      <c r="L103" s="20" t="s">
        <v>95</v>
      </c>
      <c r="M103" s="20" t="s">
        <v>162</v>
      </c>
      <c r="N103" s="20">
        <v>1500</v>
      </c>
      <c r="O103" s="20" t="s">
        <v>157</v>
      </c>
      <c r="P103" s="20" t="s">
        <v>23</v>
      </c>
      <c r="Q103" s="33"/>
      <c r="R103" s="33"/>
      <c r="S103" s="33" t="s">
        <v>163</v>
      </c>
      <c r="T103" s="33">
        <f t="shared" ca="1" si="1"/>
        <v>44000</v>
      </c>
      <c r="U103" s="38">
        <f t="shared" ca="1" si="2"/>
        <v>39600</v>
      </c>
      <c r="V103" s="38">
        <f t="shared" ca="1" si="3"/>
        <v>37400</v>
      </c>
      <c r="W103" s="38">
        <f t="shared" ca="1" si="4"/>
        <v>35200</v>
      </c>
      <c r="X103" s="38">
        <f t="shared" ca="1" si="5"/>
        <v>30799.999999999996</v>
      </c>
      <c r="Y103" s="18"/>
    </row>
    <row r="104" spans="1:25" ht="30" x14ac:dyDescent="0.15">
      <c r="A104" s="18"/>
      <c r="B104" s="20" t="s">
        <v>58</v>
      </c>
      <c r="C104" s="20" t="s">
        <v>60</v>
      </c>
      <c r="D104" s="20" t="s">
        <v>61</v>
      </c>
      <c r="E104" s="20" t="s">
        <v>161</v>
      </c>
      <c r="F104" s="20" t="s">
        <v>117</v>
      </c>
      <c r="G104" s="20">
        <v>1500</v>
      </c>
      <c r="H104" s="20" t="s">
        <v>116</v>
      </c>
      <c r="I104" s="20" t="str">
        <f t="shared" si="0"/>
        <v>WFLX-LNR-NSH-LVM-1500-G</v>
      </c>
      <c r="J104" s="20" t="s">
        <v>86</v>
      </c>
      <c r="K104" s="20" t="s">
        <v>130</v>
      </c>
      <c r="L104" s="20" t="s">
        <v>95</v>
      </c>
      <c r="M104" s="20" t="s">
        <v>162</v>
      </c>
      <c r="N104" s="20">
        <v>1500</v>
      </c>
      <c r="O104" s="20" t="s">
        <v>157</v>
      </c>
      <c r="P104" s="20" t="s">
        <v>42</v>
      </c>
      <c r="Q104" s="33"/>
      <c r="R104" s="33"/>
      <c r="S104" s="33" t="s">
        <v>164</v>
      </c>
      <c r="T104" s="33">
        <f t="shared" ca="1" si="1"/>
        <v>44900</v>
      </c>
      <c r="U104" s="38">
        <f t="shared" ca="1" si="2"/>
        <v>40410</v>
      </c>
      <c r="V104" s="38">
        <f t="shared" ca="1" si="3"/>
        <v>38165</v>
      </c>
      <c r="W104" s="38">
        <f t="shared" ca="1" si="4"/>
        <v>35920</v>
      </c>
      <c r="X104" s="38">
        <f t="shared" ca="1" si="5"/>
        <v>31429.999999999996</v>
      </c>
      <c r="Y104" s="18"/>
    </row>
    <row r="105" spans="1:25" ht="30" x14ac:dyDescent="0.15">
      <c r="A105" s="18"/>
      <c r="B105" s="20" t="s">
        <v>58</v>
      </c>
      <c r="C105" s="20" t="s">
        <v>60</v>
      </c>
      <c r="D105" s="20" t="s">
        <v>61</v>
      </c>
      <c r="E105" s="20" t="s">
        <v>161</v>
      </c>
      <c r="F105" s="20" t="s">
        <v>117</v>
      </c>
      <c r="G105" s="20">
        <v>1500</v>
      </c>
      <c r="H105" s="20" t="s">
        <v>131</v>
      </c>
      <c r="I105" s="20" t="str">
        <f t="shared" si="0"/>
        <v>WFLX-LNR-NSH-LVM-1500-X</v>
      </c>
      <c r="J105" s="20" t="s">
        <v>86</v>
      </c>
      <c r="K105" s="20" t="s">
        <v>130</v>
      </c>
      <c r="L105" s="20" t="s">
        <v>95</v>
      </c>
      <c r="M105" s="20" t="s">
        <v>162</v>
      </c>
      <c r="N105" s="20">
        <v>1500</v>
      </c>
      <c r="O105" s="20" t="s">
        <v>157</v>
      </c>
      <c r="P105" s="20" t="s">
        <v>55</v>
      </c>
      <c r="Q105" s="33"/>
      <c r="R105" s="33"/>
      <c r="S105" s="33" t="s">
        <v>165</v>
      </c>
      <c r="T105" s="33">
        <f t="shared" ca="1" si="1"/>
        <v>38300</v>
      </c>
      <c r="U105" s="38">
        <f t="shared" ca="1" si="2"/>
        <v>34470</v>
      </c>
      <c r="V105" s="38">
        <f t="shared" ca="1" si="3"/>
        <v>32555</v>
      </c>
      <c r="W105" s="38">
        <f t="shared" ca="1" si="4"/>
        <v>30640</v>
      </c>
      <c r="X105" s="38">
        <f t="shared" ca="1" si="5"/>
        <v>26810</v>
      </c>
      <c r="Y105" s="18"/>
    </row>
    <row r="106" spans="1:25" ht="30" x14ac:dyDescent="0.15">
      <c r="A106" s="18"/>
      <c r="B106" s="20" t="s">
        <v>58</v>
      </c>
      <c r="C106" s="20" t="s">
        <v>60</v>
      </c>
      <c r="D106" s="20" t="s">
        <v>61</v>
      </c>
      <c r="E106" s="20" t="s">
        <v>161</v>
      </c>
      <c r="F106" s="20" t="s">
        <v>119</v>
      </c>
      <c r="G106" s="20">
        <v>1500</v>
      </c>
      <c r="H106" s="20" t="s">
        <v>66</v>
      </c>
      <c r="I106" s="20" t="str">
        <f t="shared" si="0"/>
        <v>WFLX-LNR-NSH-LVP-1500-F</v>
      </c>
      <c r="J106" s="20" t="s">
        <v>86</v>
      </c>
      <c r="K106" s="20" t="s">
        <v>130</v>
      </c>
      <c r="L106" s="20" t="s">
        <v>95</v>
      </c>
      <c r="M106" s="20" t="s">
        <v>162</v>
      </c>
      <c r="N106" s="20">
        <v>1500</v>
      </c>
      <c r="O106" s="20" t="s">
        <v>158</v>
      </c>
      <c r="P106" s="20" t="s">
        <v>23</v>
      </c>
      <c r="Q106" s="33"/>
      <c r="R106" s="33"/>
      <c r="S106" s="33" t="s">
        <v>163</v>
      </c>
      <c r="T106" s="33">
        <f t="shared" ca="1" si="1"/>
        <v>46700</v>
      </c>
      <c r="U106" s="38">
        <f t="shared" ca="1" si="2"/>
        <v>42030</v>
      </c>
      <c r="V106" s="38">
        <f t="shared" ca="1" si="3"/>
        <v>39695</v>
      </c>
      <c r="W106" s="38">
        <f t="shared" ca="1" si="4"/>
        <v>37360</v>
      </c>
      <c r="X106" s="38">
        <f t="shared" ca="1" si="5"/>
        <v>32689.999999999996</v>
      </c>
      <c r="Y106" s="18"/>
    </row>
    <row r="107" spans="1:25" ht="30" x14ac:dyDescent="0.15">
      <c r="A107" s="18"/>
      <c r="B107" s="20" t="s">
        <v>58</v>
      </c>
      <c r="C107" s="20" t="s">
        <v>60</v>
      </c>
      <c r="D107" s="20" t="s">
        <v>61</v>
      </c>
      <c r="E107" s="20" t="s">
        <v>161</v>
      </c>
      <c r="F107" s="20" t="s">
        <v>119</v>
      </c>
      <c r="G107" s="20">
        <v>1500</v>
      </c>
      <c r="H107" s="20" t="s">
        <v>116</v>
      </c>
      <c r="I107" s="20" t="str">
        <f t="shared" si="0"/>
        <v>WFLX-LNR-NSH-LVP-1500-G</v>
      </c>
      <c r="J107" s="20" t="s">
        <v>86</v>
      </c>
      <c r="K107" s="20" t="s">
        <v>130</v>
      </c>
      <c r="L107" s="20" t="s">
        <v>95</v>
      </c>
      <c r="M107" s="20" t="s">
        <v>162</v>
      </c>
      <c r="N107" s="20">
        <v>1500</v>
      </c>
      <c r="O107" s="20" t="s">
        <v>158</v>
      </c>
      <c r="P107" s="20" t="s">
        <v>42</v>
      </c>
      <c r="Q107" s="33"/>
      <c r="R107" s="33"/>
      <c r="S107" s="33" t="s">
        <v>164</v>
      </c>
      <c r="T107" s="33">
        <f t="shared" ca="1" si="1"/>
        <v>47600</v>
      </c>
      <c r="U107" s="38">
        <f t="shared" ca="1" si="2"/>
        <v>42840</v>
      </c>
      <c r="V107" s="38">
        <f t="shared" ca="1" si="3"/>
        <v>40460</v>
      </c>
      <c r="W107" s="38">
        <f t="shared" ca="1" si="4"/>
        <v>38080</v>
      </c>
      <c r="X107" s="38">
        <f t="shared" ca="1" si="5"/>
        <v>33320</v>
      </c>
      <c r="Y107" s="18"/>
    </row>
    <row r="108" spans="1:25" ht="30" x14ac:dyDescent="0.15">
      <c r="A108" s="18"/>
      <c r="B108" s="20" t="s">
        <v>58</v>
      </c>
      <c r="C108" s="20" t="s">
        <v>60</v>
      </c>
      <c r="D108" s="20" t="s">
        <v>61</v>
      </c>
      <c r="E108" s="20" t="s">
        <v>161</v>
      </c>
      <c r="F108" s="20" t="s">
        <v>119</v>
      </c>
      <c r="G108" s="20">
        <v>1500</v>
      </c>
      <c r="H108" s="20" t="s">
        <v>131</v>
      </c>
      <c r="I108" s="20" t="str">
        <f t="shared" si="0"/>
        <v>WFLX-LNR-NSH-LVP-1500-X</v>
      </c>
      <c r="J108" s="20" t="s">
        <v>86</v>
      </c>
      <c r="K108" s="20" t="s">
        <v>130</v>
      </c>
      <c r="L108" s="20" t="s">
        <v>95</v>
      </c>
      <c r="M108" s="20" t="s">
        <v>162</v>
      </c>
      <c r="N108" s="20">
        <v>1500</v>
      </c>
      <c r="O108" s="20" t="s">
        <v>158</v>
      </c>
      <c r="P108" s="20" t="s">
        <v>55</v>
      </c>
      <c r="Q108" s="33"/>
      <c r="R108" s="33"/>
      <c r="S108" s="33" t="s">
        <v>165</v>
      </c>
      <c r="T108" s="33">
        <f t="shared" ca="1" si="1"/>
        <v>41000</v>
      </c>
      <c r="U108" s="38">
        <f t="shared" ca="1" si="2"/>
        <v>36900</v>
      </c>
      <c r="V108" s="38">
        <f t="shared" ca="1" si="3"/>
        <v>34850</v>
      </c>
      <c r="W108" s="38">
        <f t="shared" ca="1" si="4"/>
        <v>32800</v>
      </c>
      <c r="X108" s="38">
        <f t="shared" ca="1" si="5"/>
        <v>28699.999999999996</v>
      </c>
      <c r="Y108" s="18"/>
    </row>
    <row r="109" spans="1:25" ht="30" x14ac:dyDescent="0.15">
      <c r="A109" s="18"/>
      <c r="B109" s="20" t="s">
        <v>58</v>
      </c>
      <c r="C109" s="20" t="s">
        <v>60</v>
      </c>
      <c r="D109" s="20" t="s">
        <v>61</v>
      </c>
      <c r="E109" s="20" t="s">
        <v>161</v>
      </c>
      <c r="F109" s="20" t="s">
        <v>125</v>
      </c>
      <c r="G109" s="20">
        <v>1500</v>
      </c>
      <c r="H109" s="20" t="s">
        <v>66</v>
      </c>
      <c r="I109" s="20" t="str">
        <f t="shared" si="0"/>
        <v>WFLX-LNR-NSH-MB-1500-F</v>
      </c>
      <c r="J109" s="20" t="s">
        <v>86</v>
      </c>
      <c r="K109" s="20" t="s">
        <v>130</v>
      </c>
      <c r="L109" s="20" t="s">
        <v>95</v>
      </c>
      <c r="M109" s="20" t="s">
        <v>162</v>
      </c>
      <c r="N109" s="20">
        <v>1500</v>
      </c>
      <c r="O109" s="20" t="s">
        <v>97</v>
      </c>
      <c r="P109" s="20" t="s">
        <v>23</v>
      </c>
      <c r="Q109" s="33"/>
      <c r="R109" s="33"/>
      <c r="S109" s="33" t="s">
        <v>163</v>
      </c>
      <c r="T109" s="33">
        <f t="shared" ca="1" si="1"/>
        <v>62300</v>
      </c>
      <c r="U109" s="38">
        <f t="shared" ca="1" si="2"/>
        <v>56070</v>
      </c>
      <c r="V109" s="38">
        <f t="shared" ca="1" si="3"/>
        <v>52955</v>
      </c>
      <c r="W109" s="38">
        <f t="shared" ca="1" si="4"/>
        <v>49840</v>
      </c>
      <c r="X109" s="38">
        <f t="shared" ca="1" si="5"/>
        <v>43610</v>
      </c>
      <c r="Y109" s="18"/>
    </row>
    <row r="110" spans="1:25" ht="30" x14ac:dyDescent="0.15">
      <c r="A110" s="18"/>
      <c r="B110" s="20" t="s">
        <v>58</v>
      </c>
      <c r="C110" s="20" t="s">
        <v>60</v>
      </c>
      <c r="D110" s="20" t="s">
        <v>61</v>
      </c>
      <c r="E110" s="20" t="s">
        <v>161</v>
      </c>
      <c r="F110" s="20" t="s">
        <v>125</v>
      </c>
      <c r="G110" s="20">
        <v>1500</v>
      </c>
      <c r="H110" s="20" t="s">
        <v>116</v>
      </c>
      <c r="I110" s="20" t="str">
        <f t="shared" si="0"/>
        <v>WFLX-LNR-NSH-MB-1500-G</v>
      </c>
      <c r="J110" s="20" t="s">
        <v>86</v>
      </c>
      <c r="K110" s="20" t="s">
        <v>130</v>
      </c>
      <c r="L110" s="20" t="s">
        <v>95</v>
      </c>
      <c r="M110" s="20" t="s">
        <v>162</v>
      </c>
      <c r="N110" s="20">
        <v>1500</v>
      </c>
      <c r="O110" s="20" t="s">
        <v>97</v>
      </c>
      <c r="P110" s="20" t="s">
        <v>42</v>
      </c>
      <c r="Q110" s="33"/>
      <c r="R110" s="33"/>
      <c r="S110" s="33" t="s">
        <v>164</v>
      </c>
      <c r="T110" s="33">
        <f t="shared" ca="1" si="1"/>
        <v>63100</v>
      </c>
      <c r="U110" s="38">
        <f t="shared" ca="1" si="2"/>
        <v>56790</v>
      </c>
      <c r="V110" s="38">
        <f t="shared" ca="1" si="3"/>
        <v>53635</v>
      </c>
      <c r="W110" s="38">
        <f t="shared" ca="1" si="4"/>
        <v>50480</v>
      </c>
      <c r="X110" s="38">
        <f t="shared" ca="1" si="5"/>
        <v>44170</v>
      </c>
      <c r="Y110" s="18"/>
    </row>
    <row r="111" spans="1:25" ht="30" x14ac:dyDescent="0.15">
      <c r="A111" s="18"/>
      <c r="B111" s="20" t="s">
        <v>58</v>
      </c>
      <c r="C111" s="20" t="s">
        <v>60</v>
      </c>
      <c r="D111" s="20" t="s">
        <v>61</v>
      </c>
      <c r="E111" s="20" t="s">
        <v>161</v>
      </c>
      <c r="F111" s="20" t="s">
        <v>125</v>
      </c>
      <c r="G111" s="20">
        <v>1500</v>
      </c>
      <c r="H111" s="20" t="s">
        <v>131</v>
      </c>
      <c r="I111" s="20" t="str">
        <f t="shared" si="0"/>
        <v>WFLX-LNR-NSH-MB-1500-X</v>
      </c>
      <c r="J111" s="20" t="s">
        <v>86</v>
      </c>
      <c r="K111" s="20" t="s">
        <v>130</v>
      </c>
      <c r="L111" s="20" t="s">
        <v>95</v>
      </c>
      <c r="M111" s="20" t="s">
        <v>162</v>
      </c>
      <c r="N111" s="20">
        <v>1500</v>
      </c>
      <c r="O111" s="20" t="s">
        <v>97</v>
      </c>
      <c r="P111" s="20" t="s">
        <v>55</v>
      </c>
      <c r="Q111" s="33"/>
      <c r="R111" s="33"/>
      <c r="S111" s="33" t="s">
        <v>165</v>
      </c>
      <c r="T111" s="33">
        <f t="shared" ca="1" si="1"/>
        <v>56500</v>
      </c>
      <c r="U111" s="38">
        <f t="shared" ca="1" si="2"/>
        <v>50850</v>
      </c>
      <c r="V111" s="38">
        <f t="shared" ca="1" si="3"/>
        <v>48025</v>
      </c>
      <c r="W111" s="38">
        <f t="shared" ca="1" si="4"/>
        <v>45200</v>
      </c>
      <c r="X111" s="38">
        <f t="shared" ca="1" si="5"/>
        <v>39550</v>
      </c>
      <c r="Y111" s="18"/>
    </row>
    <row r="112" spans="1:25" ht="30" x14ac:dyDescent="0.15">
      <c r="A112" s="18"/>
      <c r="B112" s="20" t="s">
        <v>58</v>
      </c>
      <c r="C112" s="20" t="s">
        <v>60</v>
      </c>
      <c r="D112" s="20" t="s">
        <v>61</v>
      </c>
      <c r="E112" s="20" t="s">
        <v>166</v>
      </c>
      <c r="F112" s="20" t="s">
        <v>65</v>
      </c>
      <c r="G112" s="20">
        <v>900</v>
      </c>
      <c r="H112" s="20" t="s">
        <v>66</v>
      </c>
      <c r="I112" s="20" t="str">
        <f t="shared" si="0"/>
        <v>WFLX-LNR-S-PB-900-F</v>
      </c>
      <c r="J112" s="20" t="s">
        <v>86</v>
      </c>
      <c r="K112" s="20" t="s">
        <v>130</v>
      </c>
      <c r="L112" s="20" t="s">
        <v>95</v>
      </c>
      <c r="M112" s="20" t="s">
        <v>167</v>
      </c>
      <c r="N112" s="20">
        <v>900</v>
      </c>
      <c r="O112" s="20" t="s">
        <v>11</v>
      </c>
      <c r="P112" s="20" t="s">
        <v>23</v>
      </c>
      <c r="Q112" s="33"/>
      <c r="R112" s="33"/>
      <c r="S112" s="33" t="s">
        <v>168</v>
      </c>
      <c r="T112" s="33">
        <f t="shared" ca="1" si="1"/>
        <v>27700</v>
      </c>
      <c r="U112" s="38">
        <f t="shared" ca="1" si="2"/>
        <v>24930</v>
      </c>
      <c r="V112" s="38">
        <f t="shared" ca="1" si="3"/>
        <v>23545</v>
      </c>
      <c r="W112" s="38">
        <f t="shared" ca="1" si="4"/>
        <v>22160</v>
      </c>
      <c r="X112" s="38">
        <f t="shared" ca="1" si="5"/>
        <v>19390</v>
      </c>
      <c r="Y112" s="18"/>
    </row>
    <row r="113" spans="1:25" ht="30" x14ac:dyDescent="0.15">
      <c r="A113" s="18"/>
      <c r="B113" s="20" t="s">
        <v>58</v>
      </c>
      <c r="C113" s="20" t="s">
        <v>60</v>
      </c>
      <c r="D113" s="20" t="s">
        <v>61</v>
      </c>
      <c r="E113" s="20" t="s">
        <v>166</v>
      </c>
      <c r="F113" s="20" t="s">
        <v>65</v>
      </c>
      <c r="G113" s="20">
        <v>900</v>
      </c>
      <c r="H113" s="20" t="s">
        <v>116</v>
      </c>
      <c r="I113" s="20" t="str">
        <f t="shared" si="0"/>
        <v>WFLX-LNR-S-PB-900-G</v>
      </c>
      <c r="J113" s="20" t="s">
        <v>86</v>
      </c>
      <c r="K113" s="20" t="s">
        <v>130</v>
      </c>
      <c r="L113" s="20" t="s">
        <v>95</v>
      </c>
      <c r="M113" s="20" t="s">
        <v>167</v>
      </c>
      <c r="N113" s="20">
        <v>900</v>
      </c>
      <c r="O113" s="20" t="s">
        <v>11</v>
      </c>
      <c r="P113" s="20" t="s">
        <v>42</v>
      </c>
      <c r="Q113" s="33"/>
      <c r="R113" s="33"/>
      <c r="S113" s="33" t="s">
        <v>169</v>
      </c>
      <c r="T113" s="33">
        <f t="shared" ca="1" si="1"/>
        <v>28200</v>
      </c>
      <c r="U113" s="38">
        <f t="shared" ca="1" si="2"/>
        <v>25380</v>
      </c>
      <c r="V113" s="38">
        <f t="shared" ca="1" si="3"/>
        <v>23970</v>
      </c>
      <c r="W113" s="38">
        <f t="shared" ca="1" si="4"/>
        <v>22560</v>
      </c>
      <c r="X113" s="38">
        <f t="shared" ca="1" si="5"/>
        <v>19740</v>
      </c>
      <c r="Y113" s="18"/>
    </row>
    <row r="114" spans="1:25" ht="30" x14ac:dyDescent="0.15">
      <c r="A114" s="18"/>
      <c r="B114" s="20" t="s">
        <v>58</v>
      </c>
      <c r="C114" s="20" t="s">
        <v>60</v>
      </c>
      <c r="D114" s="20" t="s">
        <v>61</v>
      </c>
      <c r="E114" s="20" t="s">
        <v>166</v>
      </c>
      <c r="F114" s="20" t="s">
        <v>65</v>
      </c>
      <c r="G114" s="20">
        <v>900</v>
      </c>
      <c r="H114" s="20" t="s">
        <v>131</v>
      </c>
      <c r="I114" s="20" t="str">
        <f t="shared" si="0"/>
        <v>WFLX-LNR-S-PB-900-X</v>
      </c>
      <c r="J114" s="20" t="s">
        <v>86</v>
      </c>
      <c r="K114" s="20" t="s">
        <v>130</v>
      </c>
      <c r="L114" s="20" t="s">
        <v>95</v>
      </c>
      <c r="M114" s="20" t="s">
        <v>167</v>
      </c>
      <c r="N114" s="20">
        <v>900</v>
      </c>
      <c r="O114" s="20" t="s">
        <v>11</v>
      </c>
      <c r="P114" s="20" t="s">
        <v>55</v>
      </c>
      <c r="Q114" s="33"/>
      <c r="R114" s="33"/>
      <c r="S114" s="33" t="s">
        <v>170</v>
      </c>
      <c r="T114" s="33">
        <f t="shared" ca="1" si="1"/>
        <v>24300</v>
      </c>
      <c r="U114" s="38">
        <f t="shared" ca="1" si="2"/>
        <v>21870</v>
      </c>
      <c r="V114" s="38">
        <f t="shared" ca="1" si="3"/>
        <v>20655</v>
      </c>
      <c r="W114" s="38">
        <f t="shared" ca="1" si="4"/>
        <v>19440</v>
      </c>
      <c r="X114" s="38">
        <f t="shared" ca="1" si="5"/>
        <v>17010</v>
      </c>
      <c r="Y114" s="18"/>
    </row>
    <row r="115" spans="1:25" ht="30" x14ac:dyDescent="0.15">
      <c r="A115" s="18"/>
      <c r="B115" s="20" t="s">
        <v>58</v>
      </c>
      <c r="C115" s="20" t="s">
        <v>60</v>
      </c>
      <c r="D115" s="20" t="s">
        <v>61</v>
      </c>
      <c r="E115" s="20" t="s">
        <v>166</v>
      </c>
      <c r="F115" s="20" t="s">
        <v>112</v>
      </c>
      <c r="G115" s="20">
        <v>900</v>
      </c>
      <c r="H115" s="20" t="s">
        <v>66</v>
      </c>
      <c r="I115" s="20" t="str">
        <f t="shared" si="0"/>
        <v>WFLX-LNR-S-PLM-900-F</v>
      </c>
      <c r="J115" s="20" t="s">
        <v>86</v>
      </c>
      <c r="K115" s="20" t="s">
        <v>130</v>
      </c>
      <c r="L115" s="20" t="s">
        <v>95</v>
      </c>
      <c r="M115" s="20" t="s">
        <v>167</v>
      </c>
      <c r="N115" s="20">
        <v>900</v>
      </c>
      <c r="O115" s="20" t="s">
        <v>31</v>
      </c>
      <c r="P115" s="20" t="s">
        <v>23</v>
      </c>
      <c r="Q115" s="33"/>
      <c r="R115" s="33"/>
      <c r="S115" s="33" t="s">
        <v>168</v>
      </c>
      <c r="T115" s="33">
        <f t="shared" ca="1" si="1"/>
        <v>24200</v>
      </c>
      <c r="U115" s="38">
        <f t="shared" ca="1" si="2"/>
        <v>21780</v>
      </c>
      <c r="V115" s="38">
        <f t="shared" ca="1" si="3"/>
        <v>20570</v>
      </c>
      <c r="W115" s="38">
        <f t="shared" ca="1" si="4"/>
        <v>19360</v>
      </c>
      <c r="X115" s="38">
        <f t="shared" ca="1" si="5"/>
        <v>16940</v>
      </c>
      <c r="Y115" s="18"/>
    </row>
    <row r="116" spans="1:25" ht="30" x14ac:dyDescent="0.15">
      <c r="A116" s="18"/>
      <c r="B116" s="20" t="s">
        <v>58</v>
      </c>
      <c r="C116" s="20" t="s">
        <v>60</v>
      </c>
      <c r="D116" s="20" t="s">
        <v>61</v>
      </c>
      <c r="E116" s="20" t="s">
        <v>166</v>
      </c>
      <c r="F116" s="20" t="s">
        <v>112</v>
      </c>
      <c r="G116" s="20">
        <v>900</v>
      </c>
      <c r="H116" s="20" t="s">
        <v>116</v>
      </c>
      <c r="I116" s="20" t="str">
        <f t="shared" si="0"/>
        <v>WFLX-LNR-S-PLM-900-G</v>
      </c>
      <c r="J116" s="20" t="s">
        <v>86</v>
      </c>
      <c r="K116" s="20" t="s">
        <v>130</v>
      </c>
      <c r="L116" s="20" t="s">
        <v>95</v>
      </c>
      <c r="M116" s="20" t="s">
        <v>167</v>
      </c>
      <c r="N116" s="20">
        <v>900</v>
      </c>
      <c r="O116" s="20" t="s">
        <v>31</v>
      </c>
      <c r="P116" s="20" t="s">
        <v>42</v>
      </c>
      <c r="Q116" s="33"/>
      <c r="R116" s="33"/>
      <c r="S116" s="33" t="s">
        <v>169</v>
      </c>
      <c r="T116" s="33">
        <f t="shared" ca="1" si="1"/>
        <v>29500</v>
      </c>
      <c r="U116" s="38">
        <f t="shared" ca="1" si="2"/>
        <v>26550</v>
      </c>
      <c r="V116" s="38">
        <f t="shared" ca="1" si="3"/>
        <v>25075</v>
      </c>
      <c r="W116" s="38">
        <f t="shared" ca="1" si="4"/>
        <v>23600</v>
      </c>
      <c r="X116" s="38">
        <f t="shared" ca="1" si="5"/>
        <v>20650</v>
      </c>
      <c r="Y116" s="18"/>
    </row>
    <row r="117" spans="1:25" ht="30" x14ac:dyDescent="0.15">
      <c r="A117" s="18"/>
      <c r="B117" s="20" t="s">
        <v>58</v>
      </c>
      <c r="C117" s="20" t="s">
        <v>60</v>
      </c>
      <c r="D117" s="20" t="s">
        <v>61</v>
      </c>
      <c r="E117" s="20" t="s">
        <v>166</v>
      </c>
      <c r="F117" s="20" t="s">
        <v>112</v>
      </c>
      <c r="G117" s="20">
        <v>900</v>
      </c>
      <c r="H117" s="20" t="s">
        <v>131</v>
      </c>
      <c r="I117" s="20" t="str">
        <f t="shared" si="0"/>
        <v>WFLX-LNR-S-PLM-900-X</v>
      </c>
      <c r="J117" s="20" t="s">
        <v>86</v>
      </c>
      <c r="K117" s="20" t="s">
        <v>130</v>
      </c>
      <c r="L117" s="20" t="s">
        <v>95</v>
      </c>
      <c r="M117" s="20" t="s">
        <v>167</v>
      </c>
      <c r="N117" s="20">
        <v>900</v>
      </c>
      <c r="O117" s="20" t="s">
        <v>31</v>
      </c>
      <c r="P117" s="20" t="s">
        <v>55</v>
      </c>
      <c r="Q117" s="33"/>
      <c r="R117" s="33"/>
      <c r="S117" s="33" t="s">
        <v>170</v>
      </c>
      <c r="T117" s="33">
        <f t="shared" ca="1" si="1"/>
        <v>25600</v>
      </c>
      <c r="U117" s="38">
        <f t="shared" ca="1" si="2"/>
        <v>23040</v>
      </c>
      <c r="V117" s="38">
        <f t="shared" ca="1" si="3"/>
        <v>21760</v>
      </c>
      <c r="W117" s="38">
        <f t="shared" ca="1" si="4"/>
        <v>20480</v>
      </c>
      <c r="X117" s="38">
        <f t="shared" ca="1" si="5"/>
        <v>17920</v>
      </c>
      <c r="Y117" s="18"/>
    </row>
    <row r="118" spans="1:25" ht="30" x14ac:dyDescent="0.15">
      <c r="A118" s="18"/>
      <c r="B118" s="20" t="s">
        <v>58</v>
      </c>
      <c r="C118" s="20" t="s">
        <v>60</v>
      </c>
      <c r="D118" s="20" t="s">
        <v>61</v>
      </c>
      <c r="E118" s="20" t="s">
        <v>166</v>
      </c>
      <c r="F118" s="20" t="s">
        <v>114</v>
      </c>
      <c r="G118" s="20">
        <v>900</v>
      </c>
      <c r="H118" s="20" t="s">
        <v>66</v>
      </c>
      <c r="I118" s="20" t="str">
        <f t="shared" si="0"/>
        <v>WFLX-LNR-S-PoLM-900-F</v>
      </c>
      <c r="J118" s="20" t="s">
        <v>86</v>
      </c>
      <c r="K118" s="20" t="s">
        <v>130</v>
      </c>
      <c r="L118" s="20" t="s">
        <v>95</v>
      </c>
      <c r="M118" s="20" t="s">
        <v>167</v>
      </c>
      <c r="N118" s="20">
        <v>900</v>
      </c>
      <c r="O118" s="20" t="s">
        <v>47</v>
      </c>
      <c r="P118" s="20" t="s">
        <v>23</v>
      </c>
      <c r="Q118" s="33"/>
      <c r="R118" s="33"/>
      <c r="S118" s="33" t="s">
        <v>168</v>
      </c>
      <c r="T118" s="33">
        <f t="shared" ca="1" si="1"/>
        <v>24200</v>
      </c>
      <c r="U118" s="38">
        <f t="shared" ca="1" si="2"/>
        <v>21780</v>
      </c>
      <c r="V118" s="38">
        <f t="shared" ca="1" si="3"/>
        <v>20570</v>
      </c>
      <c r="W118" s="38">
        <f t="shared" ca="1" si="4"/>
        <v>19360</v>
      </c>
      <c r="X118" s="38">
        <f t="shared" ca="1" si="5"/>
        <v>16940</v>
      </c>
      <c r="Y118" s="18"/>
    </row>
    <row r="119" spans="1:25" ht="30" x14ac:dyDescent="0.15">
      <c r="A119" s="18"/>
      <c r="B119" s="20" t="s">
        <v>58</v>
      </c>
      <c r="C119" s="20" t="s">
        <v>60</v>
      </c>
      <c r="D119" s="20" t="s">
        <v>61</v>
      </c>
      <c r="E119" s="20" t="s">
        <v>166</v>
      </c>
      <c r="F119" s="20" t="s">
        <v>114</v>
      </c>
      <c r="G119" s="20">
        <v>900</v>
      </c>
      <c r="H119" s="20" t="s">
        <v>116</v>
      </c>
      <c r="I119" s="20" t="str">
        <f t="shared" si="0"/>
        <v>WFLX-LNR-S-PoLM-900-G</v>
      </c>
      <c r="J119" s="20" t="s">
        <v>86</v>
      </c>
      <c r="K119" s="20" t="s">
        <v>130</v>
      </c>
      <c r="L119" s="20" t="s">
        <v>95</v>
      </c>
      <c r="M119" s="20" t="s">
        <v>167</v>
      </c>
      <c r="N119" s="20">
        <v>900</v>
      </c>
      <c r="O119" s="20" t="s">
        <v>47</v>
      </c>
      <c r="P119" s="20" t="s">
        <v>42</v>
      </c>
      <c r="Q119" s="33"/>
      <c r="R119" s="33"/>
      <c r="S119" s="33" t="s">
        <v>169</v>
      </c>
      <c r="T119" s="33">
        <f t="shared" ca="1" si="1"/>
        <v>24700</v>
      </c>
      <c r="U119" s="38">
        <f t="shared" ca="1" si="2"/>
        <v>22230</v>
      </c>
      <c r="V119" s="38">
        <f t="shared" ca="1" si="3"/>
        <v>20995</v>
      </c>
      <c r="W119" s="38">
        <f t="shared" ca="1" si="4"/>
        <v>19760</v>
      </c>
      <c r="X119" s="38">
        <f t="shared" ca="1" si="5"/>
        <v>17290</v>
      </c>
      <c r="Y119" s="18"/>
    </row>
    <row r="120" spans="1:25" ht="30" x14ac:dyDescent="0.15">
      <c r="A120" s="18"/>
      <c r="B120" s="20" t="s">
        <v>58</v>
      </c>
      <c r="C120" s="20" t="s">
        <v>60</v>
      </c>
      <c r="D120" s="20" t="s">
        <v>61</v>
      </c>
      <c r="E120" s="20" t="s">
        <v>166</v>
      </c>
      <c r="F120" s="20" t="s">
        <v>114</v>
      </c>
      <c r="G120" s="20">
        <v>900</v>
      </c>
      <c r="H120" s="20" t="s">
        <v>131</v>
      </c>
      <c r="I120" s="20" t="str">
        <f t="shared" si="0"/>
        <v>WFLX-LNR-S-PoLM-900-X</v>
      </c>
      <c r="J120" s="20" t="s">
        <v>86</v>
      </c>
      <c r="K120" s="20" t="s">
        <v>130</v>
      </c>
      <c r="L120" s="20" t="s">
        <v>95</v>
      </c>
      <c r="M120" s="20" t="s">
        <v>167</v>
      </c>
      <c r="N120" s="20">
        <v>900</v>
      </c>
      <c r="O120" s="20" t="s">
        <v>47</v>
      </c>
      <c r="P120" s="20" t="s">
        <v>55</v>
      </c>
      <c r="Q120" s="33"/>
      <c r="R120" s="33"/>
      <c r="S120" s="33" t="s">
        <v>170</v>
      </c>
      <c r="T120" s="33">
        <f t="shared" ca="1" si="1"/>
        <v>32900</v>
      </c>
      <c r="U120" s="38">
        <f t="shared" ca="1" si="2"/>
        <v>29610</v>
      </c>
      <c r="V120" s="38">
        <f t="shared" ca="1" si="3"/>
        <v>27965</v>
      </c>
      <c r="W120" s="38">
        <f t="shared" ca="1" si="4"/>
        <v>26320</v>
      </c>
      <c r="X120" s="38">
        <f t="shared" ca="1" si="5"/>
        <v>23030</v>
      </c>
      <c r="Y120" s="18"/>
    </row>
    <row r="121" spans="1:25" ht="30" x14ac:dyDescent="0.15">
      <c r="A121" s="18"/>
      <c r="B121" s="20" t="s">
        <v>58</v>
      </c>
      <c r="C121" s="20" t="s">
        <v>60</v>
      </c>
      <c r="D121" s="20" t="s">
        <v>61</v>
      </c>
      <c r="E121" s="20" t="s">
        <v>166</v>
      </c>
      <c r="F121" s="20" t="s">
        <v>117</v>
      </c>
      <c r="G121" s="20">
        <v>900</v>
      </c>
      <c r="H121" s="20" t="s">
        <v>66</v>
      </c>
      <c r="I121" s="20" t="str">
        <f t="shared" si="0"/>
        <v>WFLX-LNR-S-LVM-900-F</v>
      </c>
      <c r="J121" s="20" t="s">
        <v>86</v>
      </c>
      <c r="K121" s="20" t="s">
        <v>130</v>
      </c>
      <c r="L121" s="20" t="s">
        <v>95</v>
      </c>
      <c r="M121" s="20" t="s">
        <v>167</v>
      </c>
      <c r="N121" s="20">
        <v>900</v>
      </c>
      <c r="O121" s="20" t="s">
        <v>157</v>
      </c>
      <c r="P121" s="20" t="s">
        <v>23</v>
      </c>
      <c r="Q121" s="33"/>
      <c r="R121" s="33"/>
      <c r="S121" s="33" t="s">
        <v>168</v>
      </c>
      <c r="T121" s="33">
        <f t="shared" ca="1" si="1"/>
        <v>39600</v>
      </c>
      <c r="U121" s="38">
        <f t="shared" ca="1" si="2"/>
        <v>35640</v>
      </c>
      <c r="V121" s="38">
        <f t="shared" ca="1" si="3"/>
        <v>33660</v>
      </c>
      <c r="W121" s="38">
        <f t="shared" ca="1" si="4"/>
        <v>31680</v>
      </c>
      <c r="X121" s="38">
        <f t="shared" ca="1" si="5"/>
        <v>27720</v>
      </c>
      <c r="Y121" s="18"/>
    </row>
    <row r="122" spans="1:25" ht="30" x14ac:dyDescent="0.15">
      <c r="A122" s="18"/>
      <c r="B122" s="20" t="s">
        <v>58</v>
      </c>
      <c r="C122" s="20" t="s">
        <v>60</v>
      </c>
      <c r="D122" s="20" t="s">
        <v>61</v>
      </c>
      <c r="E122" s="20" t="s">
        <v>166</v>
      </c>
      <c r="F122" s="20" t="s">
        <v>117</v>
      </c>
      <c r="G122" s="20">
        <v>900</v>
      </c>
      <c r="H122" s="20" t="s">
        <v>116</v>
      </c>
      <c r="I122" s="20" t="str">
        <f t="shared" si="0"/>
        <v>WFLX-LNR-S-LVM-900-G</v>
      </c>
      <c r="J122" s="20" t="s">
        <v>86</v>
      </c>
      <c r="K122" s="20" t="s">
        <v>130</v>
      </c>
      <c r="L122" s="20" t="s">
        <v>95</v>
      </c>
      <c r="M122" s="20" t="s">
        <v>167</v>
      </c>
      <c r="N122" s="20">
        <v>900</v>
      </c>
      <c r="O122" s="20" t="s">
        <v>157</v>
      </c>
      <c r="P122" s="20" t="s">
        <v>42</v>
      </c>
      <c r="Q122" s="33"/>
      <c r="R122" s="33"/>
      <c r="S122" s="33" t="s">
        <v>169</v>
      </c>
      <c r="T122" s="33">
        <f t="shared" ca="1" si="1"/>
        <v>40100</v>
      </c>
      <c r="U122" s="38">
        <f t="shared" ca="1" si="2"/>
        <v>36090</v>
      </c>
      <c r="V122" s="38">
        <f t="shared" ca="1" si="3"/>
        <v>34085</v>
      </c>
      <c r="W122" s="38">
        <f t="shared" ca="1" si="4"/>
        <v>32080</v>
      </c>
      <c r="X122" s="38">
        <f t="shared" ca="1" si="5"/>
        <v>28070</v>
      </c>
      <c r="Y122" s="18"/>
    </row>
    <row r="123" spans="1:25" ht="30" x14ac:dyDescent="0.15">
      <c r="A123" s="18"/>
      <c r="B123" s="20" t="s">
        <v>58</v>
      </c>
      <c r="C123" s="20" t="s">
        <v>60</v>
      </c>
      <c r="D123" s="20" t="s">
        <v>61</v>
      </c>
      <c r="E123" s="20" t="s">
        <v>166</v>
      </c>
      <c r="F123" s="20" t="s">
        <v>117</v>
      </c>
      <c r="G123" s="20">
        <v>900</v>
      </c>
      <c r="H123" s="20" t="s">
        <v>131</v>
      </c>
      <c r="I123" s="20" t="str">
        <f t="shared" si="0"/>
        <v>WFLX-LNR-S-LVM-900-X</v>
      </c>
      <c r="J123" s="20" t="s">
        <v>86</v>
      </c>
      <c r="K123" s="20" t="s">
        <v>130</v>
      </c>
      <c r="L123" s="20" t="s">
        <v>95</v>
      </c>
      <c r="M123" s="20" t="s">
        <v>167</v>
      </c>
      <c r="N123" s="20">
        <v>900</v>
      </c>
      <c r="O123" s="20" t="s">
        <v>157</v>
      </c>
      <c r="P123" s="20" t="s">
        <v>55</v>
      </c>
      <c r="Q123" s="33"/>
      <c r="R123" s="33"/>
      <c r="S123" s="33" t="s">
        <v>170</v>
      </c>
      <c r="T123" s="33">
        <f t="shared" ca="1" si="1"/>
        <v>36100</v>
      </c>
      <c r="U123" s="38">
        <f t="shared" ca="1" si="2"/>
        <v>32490</v>
      </c>
      <c r="V123" s="38">
        <f t="shared" ca="1" si="3"/>
        <v>30685</v>
      </c>
      <c r="W123" s="38">
        <f t="shared" ca="1" si="4"/>
        <v>28880</v>
      </c>
      <c r="X123" s="38">
        <f t="shared" ca="1" si="5"/>
        <v>25270</v>
      </c>
      <c r="Y123" s="18"/>
    </row>
    <row r="124" spans="1:25" ht="30" x14ac:dyDescent="0.15">
      <c r="A124" s="18"/>
      <c r="B124" s="20" t="s">
        <v>58</v>
      </c>
      <c r="C124" s="20" t="s">
        <v>60</v>
      </c>
      <c r="D124" s="20" t="s">
        <v>61</v>
      </c>
      <c r="E124" s="20" t="s">
        <v>166</v>
      </c>
      <c r="F124" s="20" t="s">
        <v>119</v>
      </c>
      <c r="G124" s="20">
        <v>900</v>
      </c>
      <c r="H124" s="20" t="s">
        <v>66</v>
      </c>
      <c r="I124" s="20" t="str">
        <f t="shared" si="0"/>
        <v>WFLX-LNR-S-LVP-900-F</v>
      </c>
      <c r="J124" s="20" t="s">
        <v>86</v>
      </c>
      <c r="K124" s="20" t="s">
        <v>130</v>
      </c>
      <c r="L124" s="20" t="s">
        <v>95</v>
      </c>
      <c r="M124" s="20" t="s">
        <v>167</v>
      </c>
      <c r="N124" s="20">
        <v>900</v>
      </c>
      <c r="O124" s="20" t="s">
        <v>158</v>
      </c>
      <c r="P124" s="20" t="s">
        <v>23</v>
      </c>
      <c r="Q124" s="33"/>
      <c r="R124" s="33"/>
      <c r="S124" s="33" t="s">
        <v>168</v>
      </c>
      <c r="T124" s="33">
        <f t="shared" ca="1" si="1"/>
        <v>41200</v>
      </c>
      <c r="U124" s="38">
        <f t="shared" ca="1" si="2"/>
        <v>37080</v>
      </c>
      <c r="V124" s="38">
        <f t="shared" ca="1" si="3"/>
        <v>35020</v>
      </c>
      <c r="W124" s="38">
        <f t="shared" ca="1" si="4"/>
        <v>32960</v>
      </c>
      <c r="X124" s="38">
        <f t="shared" ca="1" si="5"/>
        <v>28839.999999999996</v>
      </c>
      <c r="Y124" s="18"/>
    </row>
    <row r="125" spans="1:25" ht="30" x14ac:dyDescent="0.15">
      <c r="A125" s="18"/>
      <c r="B125" s="20" t="s">
        <v>58</v>
      </c>
      <c r="C125" s="20" t="s">
        <v>60</v>
      </c>
      <c r="D125" s="20" t="s">
        <v>61</v>
      </c>
      <c r="E125" s="20" t="s">
        <v>166</v>
      </c>
      <c r="F125" s="20" t="s">
        <v>119</v>
      </c>
      <c r="G125" s="20">
        <v>900</v>
      </c>
      <c r="H125" s="20" t="s">
        <v>116</v>
      </c>
      <c r="I125" s="20" t="str">
        <f t="shared" si="0"/>
        <v>WFLX-LNR-S-LVP-900-G</v>
      </c>
      <c r="J125" s="20" t="s">
        <v>86</v>
      </c>
      <c r="K125" s="20" t="s">
        <v>130</v>
      </c>
      <c r="L125" s="20" t="s">
        <v>95</v>
      </c>
      <c r="M125" s="20" t="s">
        <v>167</v>
      </c>
      <c r="N125" s="20">
        <v>900</v>
      </c>
      <c r="O125" s="20" t="s">
        <v>158</v>
      </c>
      <c r="P125" s="20" t="s">
        <v>42</v>
      </c>
      <c r="Q125" s="33"/>
      <c r="R125" s="33"/>
      <c r="S125" s="33" t="s">
        <v>169</v>
      </c>
      <c r="T125" s="33">
        <f t="shared" ca="1" si="1"/>
        <v>41700</v>
      </c>
      <c r="U125" s="38">
        <f t="shared" ca="1" si="2"/>
        <v>37530</v>
      </c>
      <c r="V125" s="38">
        <f t="shared" ca="1" si="3"/>
        <v>35445</v>
      </c>
      <c r="W125" s="38">
        <f t="shared" ca="1" si="4"/>
        <v>33360</v>
      </c>
      <c r="X125" s="38">
        <f t="shared" ca="1" si="5"/>
        <v>29189.999999999996</v>
      </c>
      <c r="Y125" s="18"/>
    </row>
    <row r="126" spans="1:25" ht="30" x14ac:dyDescent="0.15">
      <c r="A126" s="18"/>
      <c r="B126" s="20" t="s">
        <v>58</v>
      </c>
      <c r="C126" s="20" t="s">
        <v>60</v>
      </c>
      <c r="D126" s="20" t="s">
        <v>61</v>
      </c>
      <c r="E126" s="20" t="s">
        <v>166</v>
      </c>
      <c r="F126" s="20" t="s">
        <v>119</v>
      </c>
      <c r="G126" s="20">
        <v>900</v>
      </c>
      <c r="H126" s="20" t="s">
        <v>131</v>
      </c>
      <c r="I126" s="20" t="str">
        <f t="shared" si="0"/>
        <v>WFLX-LNR-S-LVP-900-X</v>
      </c>
      <c r="J126" s="20" t="s">
        <v>86</v>
      </c>
      <c r="K126" s="20" t="s">
        <v>130</v>
      </c>
      <c r="L126" s="20" t="s">
        <v>95</v>
      </c>
      <c r="M126" s="20" t="s">
        <v>167</v>
      </c>
      <c r="N126" s="20">
        <v>900</v>
      </c>
      <c r="O126" s="20" t="s">
        <v>158</v>
      </c>
      <c r="P126" s="20" t="s">
        <v>55</v>
      </c>
      <c r="Q126" s="33"/>
      <c r="R126" s="33"/>
      <c r="S126" s="33" t="s">
        <v>170</v>
      </c>
      <c r="T126" s="33">
        <f t="shared" ca="1" si="1"/>
        <v>37700</v>
      </c>
      <c r="U126" s="38">
        <f t="shared" ca="1" si="2"/>
        <v>33930</v>
      </c>
      <c r="V126" s="38">
        <f t="shared" ca="1" si="3"/>
        <v>32045</v>
      </c>
      <c r="W126" s="38">
        <f t="shared" ca="1" si="4"/>
        <v>30160</v>
      </c>
      <c r="X126" s="38">
        <f t="shared" ca="1" si="5"/>
        <v>26390</v>
      </c>
      <c r="Y126" s="18"/>
    </row>
    <row r="127" spans="1:25" ht="30" x14ac:dyDescent="0.15">
      <c r="A127" s="18"/>
      <c r="B127" s="20" t="s">
        <v>58</v>
      </c>
      <c r="C127" s="20" t="s">
        <v>60</v>
      </c>
      <c r="D127" s="20" t="s">
        <v>61</v>
      </c>
      <c r="E127" s="20" t="s">
        <v>166</v>
      </c>
      <c r="F127" s="20" t="s">
        <v>125</v>
      </c>
      <c r="G127" s="20">
        <v>900</v>
      </c>
      <c r="H127" s="20" t="s">
        <v>66</v>
      </c>
      <c r="I127" s="20" t="str">
        <f t="shared" si="0"/>
        <v>WFLX-LNR-S-MB-900-F</v>
      </c>
      <c r="J127" s="20" t="s">
        <v>86</v>
      </c>
      <c r="K127" s="20" t="s">
        <v>130</v>
      </c>
      <c r="L127" s="20" t="s">
        <v>95</v>
      </c>
      <c r="M127" s="20" t="s">
        <v>167</v>
      </c>
      <c r="N127" s="20">
        <v>900</v>
      </c>
      <c r="O127" s="20" t="s">
        <v>97</v>
      </c>
      <c r="P127" s="20" t="s">
        <v>23</v>
      </c>
      <c r="Q127" s="33"/>
      <c r="R127" s="33"/>
      <c r="S127" s="33" t="s">
        <v>168</v>
      </c>
      <c r="T127" s="33">
        <f t="shared" ca="1" si="1"/>
        <v>50500</v>
      </c>
      <c r="U127" s="38">
        <f t="shared" ca="1" si="2"/>
        <v>45450</v>
      </c>
      <c r="V127" s="38">
        <f t="shared" ca="1" si="3"/>
        <v>42925</v>
      </c>
      <c r="W127" s="38">
        <f t="shared" ca="1" si="4"/>
        <v>40400</v>
      </c>
      <c r="X127" s="38">
        <f t="shared" ca="1" si="5"/>
        <v>35350</v>
      </c>
      <c r="Y127" s="18"/>
    </row>
    <row r="128" spans="1:25" ht="30" x14ac:dyDescent="0.15">
      <c r="A128" s="18"/>
      <c r="B128" s="20" t="s">
        <v>58</v>
      </c>
      <c r="C128" s="20" t="s">
        <v>60</v>
      </c>
      <c r="D128" s="20" t="s">
        <v>61</v>
      </c>
      <c r="E128" s="20" t="s">
        <v>166</v>
      </c>
      <c r="F128" s="20" t="s">
        <v>125</v>
      </c>
      <c r="G128" s="20">
        <v>900</v>
      </c>
      <c r="H128" s="20" t="s">
        <v>116</v>
      </c>
      <c r="I128" s="20" t="str">
        <f t="shared" si="0"/>
        <v>WFLX-LNR-S-MB-900-G</v>
      </c>
      <c r="J128" s="20" t="s">
        <v>86</v>
      </c>
      <c r="K128" s="20" t="s">
        <v>130</v>
      </c>
      <c r="L128" s="20" t="s">
        <v>95</v>
      </c>
      <c r="M128" s="20" t="s">
        <v>167</v>
      </c>
      <c r="N128" s="20">
        <v>900</v>
      </c>
      <c r="O128" s="20" t="s">
        <v>97</v>
      </c>
      <c r="P128" s="20" t="s">
        <v>42</v>
      </c>
      <c r="Q128" s="33"/>
      <c r="R128" s="33"/>
      <c r="S128" s="33" t="s">
        <v>169</v>
      </c>
      <c r="T128" s="33">
        <f t="shared" ca="1" si="1"/>
        <v>51000</v>
      </c>
      <c r="U128" s="38">
        <f t="shared" ca="1" si="2"/>
        <v>45900</v>
      </c>
      <c r="V128" s="38">
        <f t="shared" ca="1" si="3"/>
        <v>43350</v>
      </c>
      <c r="W128" s="38">
        <f t="shared" ca="1" si="4"/>
        <v>40800</v>
      </c>
      <c r="X128" s="38">
        <f t="shared" ca="1" si="5"/>
        <v>35700</v>
      </c>
      <c r="Y128" s="18"/>
    </row>
    <row r="129" spans="1:25" ht="30" x14ac:dyDescent="0.15">
      <c r="A129" s="18"/>
      <c r="B129" s="20" t="s">
        <v>58</v>
      </c>
      <c r="C129" s="20" t="s">
        <v>60</v>
      </c>
      <c r="D129" s="20" t="s">
        <v>61</v>
      </c>
      <c r="E129" s="20" t="s">
        <v>166</v>
      </c>
      <c r="F129" s="20" t="s">
        <v>125</v>
      </c>
      <c r="G129" s="20">
        <v>900</v>
      </c>
      <c r="H129" s="20" t="s">
        <v>131</v>
      </c>
      <c r="I129" s="20" t="str">
        <f t="shared" si="0"/>
        <v>WFLX-LNR-S-MB-900-X</v>
      </c>
      <c r="J129" s="20" t="s">
        <v>86</v>
      </c>
      <c r="K129" s="20" t="s">
        <v>130</v>
      </c>
      <c r="L129" s="20" t="s">
        <v>95</v>
      </c>
      <c r="M129" s="20" t="s">
        <v>167</v>
      </c>
      <c r="N129" s="20">
        <v>900</v>
      </c>
      <c r="O129" s="20" t="s">
        <v>97</v>
      </c>
      <c r="P129" s="20" t="s">
        <v>55</v>
      </c>
      <c r="Q129" s="33"/>
      <c r="R129" s="33"/>
      <c r="S129" s="33" t="s">
        <v>170</v>
      </c>
      <c r="T129" s="33">
        <f t="shared" ca="1" si="1"/>
        <v>47000</v>
      </c>
      <c r="U129" s="38">
        <f t="shared" ca="1" si="2"/>
        <v>42300</v>
      </c>
      <c r="V129" s="38">
        <f t="shared" ca="1" si="3"/>
        <v>39950</v>
      </c>
      <c r="W129" s="38">
        <f t="shared" ca="1" si="4"/>
        <v>37600</v>
      </c>
      <c r="X129" s="38">
        <f t="shared" ca="1" si="5"/>
        <v>32900</v>
      </c>
      <c r="Y129" s="18"/>
    </row>
    <row r="130" spans="1:25" ht="30" x14ac:dyDescent="0.15">
      <c r="A130" s="18"/>
      <c r="B130" s="20" t="s">
        <v>58</v>
      </c>
      <c r="C130" s="20" t="s">
        <v>60</v>
      </c>
      <c r="D130" s="20" t="s">
        <v>61</v>
      </c>
      <c r="E130" s="20" t="s">
        <v>166</v>
      </c>
      <c r="F130" s="20" t="s">
        <v>65</v>
      </c>
      <c r="G130" s="20">
        <v>1200</v>
      </c>
      <c r="H130" s="20" t="s">
        <v>66</v>
      </c>
      <c r="I130" s="20" t="str">
        <f t="shared" si="0"/>
        <v>WFLX-LNR-S-PB-1200-F</v>
      </c>
      <c r="J130" s="20" t="s">
        <v>86</v>
      </c>
      <c r="K130" s="20" t="s">
        <v>130</v>
      </c>
      <c r="L130" s="20" t="s">
        <v>95</v>
      </c>
      <c r="M130" s="20" t="s">
        <v>167</v>
      </c>
      <c r="N130" s="20">
        <v>1200</v>
      </c>
      <c r="O130" s="20" t="s">
        <v>11</v>
      </c>
      <c r="P130" s="20" t="s">
        <v>23</v>
      </c>
      <c r="Q130" s="33"/>
      <c r="R130" s="33"/>
      <c r="S130" s="33" t="s">
        <v>168</v>
      </c>
      <c r="T130" s="33">
        <f t="shared" ca="1" si="1"/>
        <v>30900</v>
      </c>
      <c r="U130" s="38">
        <f t="shared" ca="1" si="2"/>
        <v>27810</v>
      </c>
      <c r="V130" s="38">
        <f t="shared" ca="1" si="3"/>
        <v>26265</v>
      </c>
      <c r="W130" s="38">
        <f t="shared" ca="1" si="4"/>
        <v>24720</v>
      </c>
      <c r="X130" s="38">
        <f t="shared" ca="1" si="5"/>
        <v>21630</v>
      </c>
      <c r="Y130" s="18"/>
    </row>
    <row r="131" spans="1:25" ht="30" x14ac:dyDescent="0.15">
      <c r="A131" s="18"/>
      <c r="B131" s="20" t="s">
        <v>58</v>
      </c>
      <c r="C131" s="20" t="s">
        <v>60</v>
      </c>
      <c r="D131" s="20" t="s">
        <v>61</v>
      </c>
      <c r="E131" s="20" t="s">
        <v>166</v>
      </c>
      <c r="F131" s="20" t="s">
        <v>65</v>
      </c>
      <c r="G131" s="20">
        <v>1200</v>
      </c>
      <c r="H131" s="20" t="s">
        <v>116</v>
      </c>
      <c r="I131" s="20" t="str">
        <f t="shared" si="0"/>
        <v>WFLX-LNR-S-PB-1200-G</v>
      </c>
      <c r="J131" s="20" t="s">
        <v>86</v>
      </c>
      <c r="K131" s="20" t="s">
        <v>130</v>
      </c>
      <c r="L131" s="20" t="s">
        <v>95</v>
      </c>
      <c r="M131" s="20" t="s">
        <v>167</v>
      </c>
      <c r="N131" s="20">
        <v>1200</v>
      </c>
      <c r="O131" s="20" t="s">
        <v>11</v>
      </c>
      <c r="P131" s="20" t="s">
        <v>42</v>
      </c>
      <c r="Q131" s="33"/>
      <c r="R131" s="33"/>
      <c r="S131" s="33" t="s">
        <v>169</v>
      </c>
      <c r="T131" s="33">
        <f t="shared" ca="1" si="1"/>
        <v>31500</v>
      </c>
      <c r="U131" s="38">
        <f t="shared" ca="1" si="2"/>
        <v>28350</v>
      </c>
      <c r="V131" s="38">
        <f t="shared" ca="1" si="3"/>
        <v>26775</v>
      </c>
      <c r="W131" s="38">
        <f t="shared" ca="1" si="4"/>
        <v>25200</v>
      </c>
      <c r="X131" s="38">
        <f t="shared" ca="1" si="5"/>
        <v>22050</v>
      </c>
      <c r="Y131" s="18"/>
    </row>
    <row r="132" spans="1:25" ht="30" x14ac:dyDescent="0.15">
      <c r="A132" s="18"/>
      <c r="B132" s="20" t="s">
        <v>58</v>
      </c>
      <c r="C132" s="20" t="s">
        <v>60</v>
      </c>
      <c r="D132" s="20" t="s">
        <v>61</v>
      </c>
      <c r="E132" s="20" t="s">
        <v>166</v>
      </c>
      <c r="F132" s="20" t="s">
        <v>65</v>
      </c>
      <c r="G132" s="20">
        <v>1200</v>
      </c>
      <c r="H132" s="20" t="s">
        <v>131</v>
      </c>
      <c r="I132" s="20" t="str">
        <f t="shared" si="0"/>
        <v>WFLX-LNR-S-PB-1200-X</v>
      </c>
      <c r="J132" s="20" t="s">
        <v>86</v>
      </c>
      <c r="K132" s="20" t="s">
        <v>130</v>
      </c>
      <c r="L132" s="20" t="s">
        <v>95</v>
      </c>
      <c r="M132" s="20" t="s">
        <v>167</v>
      </c>
      <c r="N132" s="20">
        <v>1200</v>
      </c>
      <c r="O132" s="20" t="s">
        <v>11</v>
      </c>
      <c r="P132" s="20" t="s">
        <v>55</v>
      </c>
      <c r="Q132" s="33"/>
      <c r="R132" s="33"/>
      <c r="S132" s="33" t="s">
        <v>170</v>
      </c>
      <c r="T132" s="33">
        <f t="shared" ca="1" si="1"/>
        <v>26300</v>
      </c>
      <c r="U132" s="38">
        <f t="shared" ca="1" si="2"/>
        <v>23670</v>
      </c>
      <c r="V132" s="38">
        <f t="shared" ca="1" si="3"/>
        <v>22355</v>
      </c>
      <c r="W132" s="38">
        <f t="shared" ca="1" si="4"/>
        <v>21040</v>
      </c>
      <c r="X132" s="38">
        <f t="shared" ca="1" si="5"/>
        <v>18410</v>
      </c>
      <c r="Y132" s="18"/>
    </row>
    <row r="133" spans="1:25" ht="30" x14ac:dyDescent="0.15">
      <c r="A133" s="18"/>
      <c r="B133" s="20" t="s">
        <v>58</v>
      </c>
      <c r="C133" s="20" t="s">
        <v>60</v>
      </c>
      <c r="D133" s="20" t="s">
        <v>61</v>
      </c>
      <c r="E133" s="20" t="s">
        <v>166</v>
      </c>
      <c r="F133" s="20" t="s">
        <v>112</v>
      </c>
      <c r="G133" s="20">
        <v>1200</v>
      </c>
      <c r="H133" s="20" t="s">
        <v>66</v>
      </c>
      <c r="I133" s="20" t="str">
        <f t="shared" si="0"/>
        <v>WFLX-LNR-S-PLM-1200-F</v>
      </c>
      <c r="J133" s="20" t="s">
        <v>86</v>
      </c>
      <c r="K133" s="20" t="s">
        <v>130</v>
      </c>
      <c r="L133" s="20" t="s">
        <v>95</v>
      </c>
      <c r="M133" s="20" t="s">
        <v>167</v>
      </c>
      <c r="N133" s="20">
        <v>1200</v>
      </c>
      <c r="O133" s="20" t="s">
        <v>31</v>
      </c>
      <c r="P133" s="20" t="s">
        <v>23</v>
      </c>
      <c r="Q133" s="33"/>
      <c r="R133" s="33"/>
      <c r="S133" s="33" t="s">
        <v>168</v>
      </c>
      <c r="T133" s="33">
        <f t="shared" ca="1" si="1"/>
        <v>32600</v>
      </c>
      <c r="U133" s="38">
        <f t="shared" ca="1" si="2"/>
        <v>29340</v>
      </c>
      <c r="V133" s="38">
        <f t="shared" ca="1" si="3"/>
        <v>27710</v>
      </c>
      <c r="W133" s="38">
        <f t="shared" ca="1" si="4"/>
        <v>26080</v>
      </c>
      <c r="X133" s="38">
        <f t="shared" ca="1" si="5"/>
        <v>22820</v>
      </c>
      <c r="Y133" s="18"/>
    </row>
    <row r="134" spans="1:25" ht="30" x14ac:dyDescent="0.15">
      <c r="A134" s="18"/>
      <c r="B134" s="20" t="s">
        <v>58</v>
      </c>
      <c r="C134" s="20" t="s">
        <v>60</v>
      </c>
      <c r="D134" s="20" t="s">
        <v>61</v>
      </c>
      <c r="E134" s="20" t="s">
        <v>166</v>
      </c>
      <c r="F134" s="20" t="s">
        <v>112</v>
      </c>
      <c r="G134" s="20">
        <v>1200</v>
      </c>
      <c r="H134" s="20" t="s">
        <v>116</v>
      </c>
      <c r="I134" s="20" t="str">
        <f t="shared" si="0"/>
        <v>WFLX-LNR-S-PLM-1200-G</v>
      </c>
      <c r="J134" s="20" t="s">
        <v>86</v>
      </c>
      <c r="K134" s="20" t="s">
        <v>130</v>
      </c>
      <c r="L134" s="20" t="s">
        <v>95</v>
      </c>
      <c r="M134" s="20" t="s">
        <v>167</v>
      </c>
      <c r="N134" s="20">
        <v>1200</v>
      </c>
      <c r="O134" s="20" t="s">
        <v>31</v>
      </c>
      <c r="P134" s="20" t="s">
        <v>42</v>
      </c>
      <c r="Q134" s="33"/>
      <c r="R134" s="33"/>
      <c r="S134" s="33" t="s">
        <v>169</v>
      </c>
      <c r="T134" s="33">
        <f t="shared" ca="1" si="1"/>
        <v>33300</v>
      </c>
      <c r="U134" s="38">
        <f t="shared" ca="1" si="2"/>
        <v>29970</v>
      </c>
      <c r="V134" s="38">
        <f t="shared" ca="1" si="3"/>
        <v>28305</v>
      </c>
      <c r="W134" s="38">
        <f t="shared" ca="1" si="4"/>
        <v>26640</v>
      </c>
      <c r="X134" s="38">
        <f t="shared" ca="1" si="5"/>
        <v>23310</v>
      </c>
      <c r="Y134" s="18"/>
    </row>
    <row r="135" spans="1:25" ht="30" x14ac:dyDescent="0.15">
      <c r="A135" s="18"/>
      <c r="B135" s="20" t="s">
        <v>58</v>
      </c>
      <c r="C135" s="20" t="s">
        <v>60</v>
      </c>
      <c r="D135" s="20" t="s">
        <v>61</v>
      </c>
      <c r="E135" s="20" t="s">
        <v>166</v>
      </c>
      <c r="F135" s="20" t="s">
        <v>112</v>
      </c>
      <c r="G135" s="20">
        <v>1200</v>
      </c>
      <c r="H135" s="20" t="s">
        <v>131</v>
      </c>
      <c r="I135" s="20" t="str">
        <f t="shared" si="0"/>
        <v>WFLX-LNR-S-PLM-1200-X</v>
      </c>
      <c r="J135" s="20" t="s">
        <v>86</v>
      </c>
      <c r="K135" s="20" t="s">
        <v>130</v>
      </c>
      <c r="L135" s="20" t="s">
        <v>95</v>
      </c>
      <c r="M135" s="20" t="s">
        <v>167</v>
      </c>
      <c r="N135" s="20">
        <v>1200</v>
      </c>
      <c r="O135" s="20" t="s">
        <v>31</v>
      </c>
      <c r="P135" s="20" t="s">
        <v>55</v>
      </c>
      <c r="Q135" s="33"/>
      <c r="R135" s="33"/>
      <c r="S135" s="33" t="s">
        <v>170</v>
      </c>
      <c r="T135" s="33">
        <f t="shared" ca="1" si="1"/>
        <v>28000</v>
      </c>
      <c r="U135" s="38">
        <f t="shared" ca="1" si="2"/>
        <v>25200</v>
      </c>
      <c r="V135" s="38">
        <f t="shared" ca="1" si="3"/>
        <v>23800</v>
      </c>
      <c r="W135" s="38">
        <f t="shared" ca="1" si="4"/>
        <v>22400</v>
      </c>
      <c r="X135" s="38">
        <f t="shared" ca="1" si="5"/>
        <v>19600</v>
      </c>
      <c r="Y135" s="18"/>
    </row>
    <row r="136" spans="1:25" ht="30" x14ac:dyDescent="0.15">
      <c r="A136" s="18"/>
      <c r="B136" s="20" t="s">
        <v>58</v>
      </c>
      <c r="C136" s="20" t="s">
        <v>60</v>
      </c>
      <c r="D136" s="20" t="s">
        <v>61</v>
      </c>
      <c r="E136" s="20" t="s">
        <v>166</v>
      </c>
      <c r="F136" s="20" t="s">
        <v>114</v>
      </c>
      <c r="G136" s="20">
        <v>1200</v>
      </c>
      <c r="H136" s="20" t="s">
        <v>66</v>
      </c>
      <c r="I136" s="20" t="str">
        <f t="shared" si="0"/>
        <v>WFLX-LNR-S-PoLM-1200-F</v>
      </c>
      <c r="J136" s="20" t="s">
        <v>86</v>
      </c>
      <c r="K136" s="20" t="s">
        <v>130</v>
      </c>
      <c r="L136" s="20" t="s">
        <v>95</v>
      </c>
      <c r="M136" s="20" t="s">
        <v>167</v>
      </c>
      <c r="N136" s="20">
        <v>1200</v>
      </c>
      <c r="O136" s="20" t="s">
        <v>47</v>
      </c>
      <c r="P136" s="20" t="s">
        <v>23</v>
      </c>
      <c r="Q136" s="33"/>
      <c r="R136" s="33"/>
      <c r="S136" s="33" t="s">
        <v>168</v>
      </c>
      <c r="T136" s="33">
        <f t="shared" ca="1" si="1"/>
        <v>42300</v>
      </c>
      <c r="U136" s="38">
        <f t="shared" ca="1" si="2"/>
        <v>38070</v>
      </c>
      <c r="V136" s="38">
        <f t="shared" ca="1" si="3"/>
        <v>35955</v>
      </c>
      <c r="W136" s="38">
        <f t="shared" ca="1" si="4"/>
        <v>33840</v>
      </c>
      <c r="X136" s="38">
        <f t="shared" ca="1" si="5"/>
        <v>29609.999999999996</v>
      </c>
      <c r="Y136" s="18"/>
    </row>
    <row r="137" spans="1:25" ht="30" x14ac:dyDescent="0.15">
      <c r="A137" s="18"/>
      <c r="B137" s="20" t="s">
        <v>58</v>
      </c>
      <c r="C137" s="20" t="s">
        <v>60</v>
      </c>
      <c r="D137" s="20" t="s">
        <v>61</v>
      </c>
      <c r="E137" s="20" t="s">
        <v>166</v>
      </c>
      <c r="F137" s="20" t="s">
        <v>114</v>
      </c>
      <c r="G137" s="20">
        <v>1200</v>
      </c>
      <c r="H137" s="20" t="s">
        <v>116</v>
      </c>
      <c r="I137" s="20" t="str">
        <f t="shared" si="0"/>
        <v>WFLX-LNR-S-PoLM-1200-G</v>
      </c>
      <c r="J137" s="20" t="s">
        <v>86</v>
      </c>
      <c r="K137" s="20" t="s">
        <v>130</v>
      </c>
      <c r="L137" s="20" t="s">
        <v>95</v>
      </c>
      <c r="M137" s="20" t="s">
        <v>167</v>
      </c>
      <c r="N137" s="20">
        <v>1200</v>
      </c>
      <c r="O137" s="20" t="s">
        <v>47</v>
      </c>
      <c r="P137" s="20" t="s">
        <v>42</v>
      </c>
      <c r="Q137" s="33"/>
      <c r="R137" s="33"/>
      <c r="S137" s="33" t="s">
        <v>169</v>
      </c>
      <c r="T137" s="33">
        <f t="shared" ca="1" si="1"/>
        <v>43000</v>
      </c>
      <c r="U137" s="38">
        <f t="shared" ca="1" si="2"/>
        <v>38700</v>
      </c>
      <c r="V137" s="38">
        <f t="shared" ca="1" si="3"/>
        <v>36550</v>
      </c>
      <c r="W137" s="38">
        <f t="shared" ca="1" si="4"/>
        <v>34400</v>
      </c>
      <c r="X137" s="38">
        <f t="shared" ca="1" si="5"/>
        <v>30099.999999999996</v>
      </c>
      <c r="Y137" s="18"/>
    </row>
    <row r="138" spans="1:25" ht="30" x14ac:dyDescent="0.15">
      <c r="A138" s="18"/>
      <c r="B138" s="20" t="s">
        <v>58</v>
      </c>
      <c r="C138" s="20" t="s">
        <v>60</v>
      </c>
      <c r="D138" s="20" t="s">
        <v>61</v>
      </c>
      <c r="E138" s="20" t="s">
        <v>166</v>
      </c>
      <c r="F138" s="20" t="s">
        <v>114</v>
      </c>
      <c r="G138" s="20">
        <v>1200</v>
      </c>
      <c r="H138" s="20" t="s">
        <v>131</v>
      </c>
      <c r="I138" s="20" t="str">
        <f t="shared" si="0"/>
        <v>WFLX-LNR-S-PoLM-1200-X</v>
      </c>
      <c r="J138" s="20" t="s">
        <v>86</v>
      </c>
      <c r="K138" s="20" t="s">
        <v>130</v>
      </c>
      <c r="L138" s="20" t="s">
        <v>95</v>
      </c>
      <c r="M138" s="20" t="s">
        <v>167</v>
      </c>
      <c r="N138" s="20">
        <v>1200</v>
      </c>
      <c r="O138" s="20" t="s">
        <v>47</v>
      </c>
      <c r="P138" s="20" t="s">
        <v>55</v>
      </c>
      <c r="Q138" s="33"/>
      <c r="R138" s="33"/>
      <c r="S138" s="33" t="s">
        <v>170</v>
      </c>
      <c r="T138" s="33">
        <f t="shared" ca="1" si="1"/>
        <v>37700</v>
      </c>
      <c r="U138" s="38">
        <f t="shared" ca="1" si="2"/>
        <v>33930</v>
      </c>
      <c r="V138" s="38">
        <f t="shared" ca="1" si="3"/>
        <v>32045</v>
      </c>
      <c r="W138" s="38">
        <f t="shared" ca="1" si="4"/>
        <v>30160</v>
      </c>
      <c r="X138" s="38">
        <f t="shared" ca="1" si="5"/>
        <v>26390</v>
      </c>
      <c r="Y138" s="18"/>
    </row>
    <row r="139" spans="1:25" ht="30" x14ac:dyDescent="0.15">
      <c r="A139" s="18"/>
      <c r="B139" s="20" t="s">
        <v>58</v>
      </c>
      <c r="C139" s="20" t="s">
        <v>60</v>
      </c>
      <c r="D139" s="20" t="s">
        <v>61</v>
      </c>
      <c r="E139" s="20" t="s">
        <v>166</v>
      </c>
      <c r="F139" s="20" t="s">
        <v>117</v>
      </c>
      <c r="G139" s="20">
        <v>1200</v>
      </c>
      <c r="H139" s="20" t="s">
        <v>66</v>
      </c>
      <c r="I139" s="20" t="str">
        <f t="shared" si="0"/>
        <v>WFLX-LNR-S-LVM-1200-F</v>
      </c>
      <c r="J139" s="20" t="s">
        <v>86</v>
      </c>
      <c r="K139" s="20" t="s">
        <v>130</v>
      </c>
      <c r="L139" s="20" t="s">
        <v>95</v>
      </c>
      <c r="M139" s="20" t="s">
        <v>167</v>
      </c>
      <c r="N139" s="20">
        <v>1200</v>
      </c>
      <c r="O139" s="20" t="s">
        <v>157</v>
      </c>
      <c r="P139" s="20" t="s">
        <v>23</v>
      </c>
      <c r="Q139" s="33"/>
      <c r="R139" s="33"/>
      <c r="S139" s="33" t="s">
        <v>168</v>
      </c>
      <c r="T139" s="33">
        <f t="shared" ca="1" si="1"/>
        <v>46600</v>
      </c>
      <c r="U139" s="38">
        <f t="shared" ca="1" si="2"/>
        <v>41940</v>
      </c>
      <c r="V139" s="38">
        <f t="shared" ca="1" si="3"/>
        <v>39610</v>
      </c>
      <c r="W139" s="38">
        <f t="shared" ca="1" si="4"/>
        <v>37280</v>
      </c>
      <c r="X139" s="38">
        <f t="shared" ca="1" si="5"/>
        <v>32619.999999999996</v>
      </c>
      <c r="Y139" s="18"/>
    </row>
    <row r="140" spans="1:25" ht="30" x14ac:dyDescent="0.15">
      <c r="A140" s="18"/>
      <c r="B140" s="20" t="s">
        <v>58</v>
      </c>
      <c r="C140" s="20" t="s">
        <v>60</v>
      </c>
      <c r="D140" s="20" t="s">
        <v>61</v>
      </c>
      <c r="E140" s="20" t="s">
        <v>166</v>
      </c>
      <c r="F140" s="20" t="s">
        <v>117</v>
      </c>
      <c r="G140" s="20">
        <v>1200</v>
      </c>
      <c r="H140" s="20" t="s">
        <v>116</v>
      </c>
      <c r="I140" s="20" t="str">
        <f t="shared" si="0"/>
        <v>WFLX-LNR-S-LVM-1200-G</v>
      </c>
      <c r="J140" s="20" t="s">
        <v>86</v>
      </c>
      <c r="K140" s="20" t="s">
        <v>130</v>
      </c>
      <c r="L140" s="20" t="s">
        <v>95</v>
      </c>
      <c r="M140" s="20" t="s">
        <v>167</v>
      </c>
      <c r="N140" s="20">
        <v>1200</v>
      </c>
      <c r="O140" s="20" t="s">
        <v>157</v>
      </c>
      <c r="P140" s="20" t="s">
        <v>42</v>
      </c>
      <c r="Q140" s="33"/>
      <c r="R140" s="33"/>
      <c r="S140" s="33" t="s">
        <v>169</v>
      </c>
      <c r="T140" s="33">
        <f t="shared" ca="1" si="1"/>
        <v>47300</v>
      </c>
      <c r="U140" s="38">
        <f t="shared" ca="1" si="2"/>
        <v>42570</v>
      </c>
      <c r="V140" s="38">
        <f t="shared" ca="1" si="3"/>
        <v>40205</v>
      </c>
      <c r="W140" s="38">
        <f t="shared" ca="1" si="4"/>
        <v>37840</v>
      </c>
      <c r="X140" s="38">
        <f t="shared" ca="1" si="5"/>
        <v>33110</v>
      </c>
      <c r="Y140" s="18"/>
    </row>
    <row r="141" spans="1:25" ht="30" x14ac:dyDescent="0.15">
      <c r="A141" s="18"/>
      <c r="B141" s="20" t="s">
        <v>58</v>
      </c>
      <c r="C141" s="20" t="s">
        <v>60</v>
      </c>
      <c r="D141" s="20" t="s">
        <v>61</v>
      </c>
      <c r="E141" s="20" t="s">
        <v>166</v>
      </c>
      <c r="F141" s="20" t="s">
        <v>117</v>
      </c>
      <c r="G141" s="20">
        <v>1200</v>
      </c>
      <c r="H141" s="20" t="s">
        <v>131</v>
      </c>
      <c r="I141" s="20" t="str">
        <f t="shared" si="0"/>
        <v>WFLX-LNR-S-LVM-1200-X</v>
      </c>
      <c r="J141" s="20" t="s">
        <v>86</v>
      </c>
      <c r="K141" s="20" t="s">
        <v>130</v>
      </c>
      <c r="L141" s="20" t="s">
        <v>95</v>
      </c>
      <c r="M141" s="20" t="s">
        <v>167</v>
      </c>
      <c r="N141" s="20">
        <v>1200</v>
      </c>
      <c r="O141" s="20" t="s">
        <v>157</v>
      </c>
      <c r="P141" s="20" t="s">
        <v>55</v>
      </c>
      <c r="Q141" s="33"/>
      <c r="R141" s="33"/>
      <c r="S141" s="33" t="s">
        <v>170</v>
      </c>
      <c r="T141" s="33">
        <f t="shared" ca="1" si="1"/>
        <v>42000</v>
      </c>
      <c r="U141" s="38">
        <f t="shared" ca="1" si="2"/>
        <v>37800</v>
      </c>
      <c r="V141" s="38">
        <f t="shared" ca="1" si="3"/>
        <v>35700</v>
      </c>
      <c r="W141" s="38">
        <f t="shared" ca="1" si="4"/>
        <v>33600</v>
      </c>
      <c r="X141" s="38">
        <f t="shared" ca="1" si="5"/>
        <v>29399.999999999996</v>
      </c>
      <c r="Y141" s="18"/>
    </row>
    <row r="142" spans="1:25" ht="30" x14ac:dyDescent="0.15">
      <c r="A142" s="18"/>
      <c r="B142" s="20" t="s">
        <v>58</v>
      </c>
      <c r="C142" s="20" t="s">
        <v>60</v>
      </c>
      <c r="D142" s="20" t="s">
        <v>61</v>
      </c>
      <c r="E142" s="20" t="s">
        <v>166</v>
      </c>
      <c r="F142" s="20" t="s">
        <v>119</v>
      </c>
      <c r="G142" s="20">
        <v>1200</v>
      </c>
      <c r="H142" s="20" t="s">
        <v>66</v>
      </c>
      <c r="I142" s="20" t="str">
        <f t="shared" si="0"/>
        <v>WFLX-LNR-S-LVP-1200-F</v>
      </c>
      <c r="J142" s="20" t="s">
        <v>86</v>
      </c>
      <c r="K142" s="20" t="s">
        <v>130</v>
      </c>
      <c r="L142" s="20" t="s">
        <v>95</v>
      </c>
      <c r="M142" s="20" t="s">
        <v>167</v>
      </c>
      <c r="N142" s="20">
        <v>1200</v>
      </c>
      <c r="O142" s="20" t="s">
        <v>158</v>
      </c>
      <c r="P142" s="20" t="s">
        <v>23</v>
      </c>
      <c r="Q142" s="33"/>
      <c r="R142" s="33"/>
      <c r="S142" s="33" t="s">
        <v>168</v>
      </c>
      <c r="T142" s="33">
        <f t="shared" ca="1" si="1"/>
        <v>48800</v>
      </c>
      <c r="U142" s="38">
        <f t="shared" ca="1" si="2"/>
        <v>43920</v>
      </c>
      <c r="V142" s="38">
        <f t="shared" ca="1" si="3"/>
        <v>41480</v>
      </c>
      <c r="W142" s="38">
        <f t="shared" ca="1" si="4"/>
        <v>39040</v>
      </c>
      <c r="X142" s="38">
        <f t="shared" ca="1" si="5"/>
        <v>34160</v>
      </c>
      <c r="Y142" s="18"/>
    </row>
    <row r="143" spans="1:25" ht="30" x14ac:dyDescent="0.15">
      <c r="A143" s="18"/>
      <c r="B143" s="20" t="s">
        <v>58</v>
      </c>
      <c r="C143" s="20" t="s">
        <v>60</v>
      </c>
      <c r="D143" s="20" t="s">
        <v>61</v>
      </c>
      <c r="E143" s="20" t="s">
        <v>166</v>
      </c>
      <c r="F143" s="20" t="s">
        <v>119</v>
      </c>
      <c r="G143" s="20">
        <v>1200</v>
      </c>
      <c r="H143" s="20" t="s">
        <v>116</v>
      </c>
      <c r="I143" s="20" t="str">
        <f t="shared" si="0"/>
        <v>WFLX-LNR-S-LVP-1200-G</v>
      </c>
      <c r="J143" s="20" t="s">
        <v>86</v>
      </c>
      <c r="K143" s="20" t="s">
        <v>130</v>
      </c>
      <c r="L143" s="20" t="s">
        <v>95</v>
      </c>
      <c r="M143" s="20" t="s">
        <v>167</v>
      </c>
      <c r="N143" s="20">
        <v>1200</v>
      </c>
      <c r="O143" s="20" t="s">
        <v>158</v>
      </c>
      <c r="P143" s="20" t="s">
        <v>42</v>
      </c>
      <c r="Q143" s="33"/>
      <c r="R143" s="33"/>
      <c r="S143" s="33" t="s">
        <v>169</v>
      </c>
      <c r="T143" s="33">
        <f t="shared" ca="1" si="1"/>
        <v>49500</v>
      </c>
      <c r="U143" s="38">
        <f t="shared" ca="1" si="2"/>
        <v>44550</v>
      </c>
      <c r="V143" s="38">
        <f t="shared" ca="1" si="3"/>
        <v>42075</v>
      </c>
      <c r="W143" s="38">
        <f t="shared" ca="1" si="4"/>
        <v>39600</v>
      </c>
      <c r="X143" s="38">
        <f t="shared" ca="1" si="5"/>
        <v>34650</v>
      </c>
      <c r="Y143" s="18"/>
    </row>
    <row r="144" spans="1:25" ht="30" x14ac:dyDescent="0.15">
      <c r="A144" s="18"/>
      <c r="B144" s="20" t="s">
        <v>58</v>
      </c>
      <c r="C144" s="20" t="s">
        <v>60</v>
      </c>
      <c r="D144" s="20" t="s">
        <v>61</v>
      </c>
      <c r="E144" s="20" t="s">
        <v>166</v>
      </c>
      <c r="F144" s="20" t="s">
        <v>119</v>
      </c>
      <c r="G144" s="20">
        <v>1200</v>
      </c>
      <c r="H144" s="20" t="s">
        <v>131</v>
      </c>
      <c r="I144" s="20" t="str">
        <f t="shared" si="0"/>
        <v>WFLX-LNR-S-LVP-1200-X</v>
      </c>
      <c r="J144" s="20" t="s">
        <v>86</v>
      </c>
      <c r="K144" s="20" t="s">
        <v>130</v>
      </c>
      <c r="L144" s="20" t="s">
        <v>95</v>
      </c>
      <c r="M144" s="20" t="s">
        <v>167</v>
      </c>
      <c r="N144" s="20">
        <v>1200</v>
      </c>
      <c r="O144" s="20" t="s">
        <v>158</v>
      </c>
      <c r="P144" s="20" t="s">
        <v>55</v>
      </c>
      <c r="Q144" s="33"/>
      <c r="R144" s="33"/>
      <c r="S144" s="33" t="s">
        <v>170</v>
      </c>
      <c r="T144" s="33">
        <f t="shared" ca="1" si="1"/>
        <v>44200</v>
      </c>
      <c r="U144" s="38">
        <f t="shared" ca="1" si="2"/>
        <v>39780</v>
      </c>
      <c r="V144" s="38">
        <f t="shared" ca="1" si="3"/>
        <v>37570</v>
      </c>
      <c r="W144" s="38">
        <f t="shared" ca="1" si="4"/>
        <v>35360</v>
      </c>
      <c r="X144" s="38">
        <f t="shared" ca="1" si="5"/>
        <v>30939.999999999996</v>
      </c>
      <c r="Y144" s="18"/>
    </row>
    <row r="145" spans="1:25" ht="30" x14ac:dyDescent="0.15">
      <c r="A145" s="18"/>
      <c r="B145" s="20" t="s">
        <v>58</v>
      </c>
      <c r="C145" s="20" t="s">
        <v>60</v>
      </c>
      <c r="D145" s="20" t="s">
        <v>61</v>
      </c>
      <c r="E145" s="20" t="s">
        <v>166</v>
      </c>
      <c r="F145" s="20" t="s">
        <v>125</v>
      </c>
      <c r="G145" s="20">
        <v>1200</v>
      </c>
      <c r="H145" s="20" t="s">
        <v>66</v>
      </c>
      <c r="I145" s="20" t="str">
        <f t="shared" si="0"/>
        <v>WFLX-LNR-S-MB-1200-F</v>
      </c>
      <c r="J145" s="20" t="s">
        <v>86</v>
      </c>
      <c r="K145" s="20" t="s">
        <v>130</v>
      </c>
      <c r="L145" s="20" t="s">
        <v>95</v>
      </c>
      <c r="M145" s="20" t="s">
        <v>167</v>
      </c>
      <c r="N145" s="20">
        <v>1200</v>
      </c>
      <c r="O145" s="20" t="s">
        <v>97</v>
      </c>
      <c r="P145" s="20" t="s">
        <v>23</v>
      </c>
      <c r="Q145" s="33"/>
      <c r="R145" s="33"/>
      <c r="S145" s="33" t="s">
        <v>168</v>
      </c>
      <c r="T145" s="33">
        <f t="shared" ca="1" si="1"/>
        <v>61200</v>
      </c>
      <c r="U145" s="38">
        <f t="shared" ca="1" si="2"/>
        <v>55080</v>
      </c>
      <c r="V145" s="38">
        <f t="shared" ca="1" si="3"/>
        <v>52020</v>
      </c>
      <c r="W145" s="38">
        <f t="shared" ca="1" si="4"/>
        <v>48960</v>
      </c>
      <c r="X145" s="38">
        <f t="shared" ca="1" si="5"/>
        <v>42840</v>
      </c>
      <c r="Y145" s="18"/>
    </row>
    <row r="146" spans="1:25" ht="30" x14ac:dyDescent="0.15">
      <c r="A146" s="18"/>
      <c r="B146" s="20" t="s">
        <v>58</v>
      </c>
      <c r="C146" s="20" t="s">
        <v>60</v>
      </c>
      <c r="D146" s="20" t="s">
        <v>61</v>
      </c>
      <c r="E146" s="20" t="s">
        <v>166</v>
      </c>
      <c r="F146" s="20" t="s">
        <v>125</v>
      </c>
      <c r="G146" s="20">
        <v>1200</v>
      </c>
      <c r="H146" s="20" t="s">
        <v>116</v>
      </c>
      <c r="I146" s="20" t="str">
        <f t="shared" si="0"/>
        <v>WFLX-LNR-S-MB-1200-G</v>
      </c>
      <c r="J146" s="20" t="s">
        <v>86</v>
      </c>
      <c r="K146" s="20" t="s">
        <v>130</v>
      </c>
      <c r="L146" s="20" t="s">
        <v>95</v>
      </c>
      <c r="M146" s="20" t="s">
        <v>167</v>
      </c>
      <c r="N146" s="20">
        <v>1200</v>
      </c>
      <c r="O146" s="20" t="s">
        <v>97</v>
      </c>
      <c r="P146" s="20" t="s">
        <v>42</v>
      </c>
      <c r="Q146" s="33"/>
      <c r="R146" s="33"/>
      <c r="S146" s="33" t="s">
        <v>169</v>
      </c>
      <c r="T146" s="33">
        <f t="shared" ca="1" si="1"/>
        <v>61900</v>
      </c>
      <c r="U146" s="38">
        <f t="shared" ca="1" si="2"/>
        <v>55710</v>
      </c>
      <c r="V146" s="38">
        <f t="shared" ca="1" si="3"/>
        <v>52615</v>
      </c>
      <c r="W146" s="38">
        <f t="shared" ca="1" si="4"/>
        <v>49520</v>
      </c>
      <c r="X146" s="38">
        <f t="shared" ca="1" si="5"/>
        <v>43330</v>
      </c>
      <c r="Y146" s="18"/>
    </row>
    <row r="147" spans="1:25" ht="30" x14ac:dyDescent="0.15">
      <c r="A147" s="18"/>
      <c r="B147" s="20" t="s">
        <v>58</v>
      </c>
      <c r="C147" s="20" t="s">
        <v>60</v>
      </c>
      <c r="D147" s="20" t="s">
        <v>61</v>
      </c>
      <c r="E147" s="20" t="s">
        <v>166</v>
      </c>
      <c r="F147" s="20" t="s">
        <v>125</v>
      </c>
      <c r="G147" s="20">
        <v>1200</v>
      </c>
      <c r="H147" s="20" t="s">
        <v>131</v>
      </c>
      <c r="I147" s="20" t="str">
        <f t="shared" si="0"/>
        <v>WFLX-LNR-S-MB-1200-X</v>
      </c>
      <c r="J147" s="20" t="s">
        <v>86</v>
      </c>
      <c r="K147" s="20" t="s">
        <v>130</v>
      </c>
      <c r="L147" s="20" t="s">
        <v>95</v>
      </c>
      <c r="M147" s="20" t="s">
        <v>167</v>
      </c>
      <c r="N147" s="20">
        <v>1200</v>
      </c>
      <c r="O147" s="20" t="s">
        <v>97</v>
      </c>
      <c r="P147" s="20" t="s">
        <v>55</v>
      </c>
      <c r="Q147" s="33"/>
      <c r="R147" s="33"/>
      <c r="S147" s="33" t="s">
        <v>170</v>
      </c>
      <c r="T147" s="33">
        <f t="shared" ca="1" si="1"/>
        <v>56600</v>
      </c>
      <c r="U147" s="38">
        <f t="shared" ca="1" si="2"/>
        <v>50940</v>
      </c>
      <c r="V147" s="38">
        <f t="shared" ca="1" si="3"/>
        <v>48110</v>
      </c>
      <c r="W147" s="38">
        <f t="shared" ca="1" si="4"/>
        <v>45280</v>
      </c>
      <c r="X147" s="38">
        <f t="shared" ca="1" si="5"/>
        <v>39620</v>
      </c>
      <c r="Y147" s="18"/>
    </row>
    <row r="148" spans="1:25" ht="30" x14ac:dyDescent="0.15">
      <c r="A148" s="18"/>
      <c r="B148" s="20" t="s">
        <v>58</v>
      </c>
      <c r="C148" s="20" t="s">
        <v>60</v>
      </c>
      <c r="D148" s="20" t="s">
        <v>61</v>
      </c>
      <c r="E148" s="20" t="s">
        <v>166</v>
      </c>
      <c r="F148" s="20" t="s">
        <v>65</v>
      </c>
      <c r="G148" s="20">
        <v>1500</v>
      </c>
      <c r="H148" s="20" t="s">
        <v>66</v>
      </c>
      <c r="I148" s="20" t="str">
        <f t="shared" si="0"/>
        <v>WFLX-LNR-S-PB-1500-F</v>
      </c>
      <c r="J148" s="20" t="s">
        <v>86</v>
      </c>
      <c r="K148" s="20" t="s">
        <v>130</v>
      </c>
      <c r="L148" s="20" t="s">
        <v>95</v>
      </c>
      <c r="M148" s="20" t="s">
        <v>167</v>
      </c>
      <c r="N148" s="20">
        <v>1500</v>
      </c>
      <c r="O148" s="20" t="s">
        <v>11</v>
      </c>
      <c r="P148" s="20" t="s">
        <v>23</v>
      </c>
      <c r="Q148" s="33"/>
      <c r="R148" s="33"/>
      <c r="S148" s="33" t="s">
        <v>168</v>
      </c>
      <c r="T148" s="33">
        <f t="shared" ca="1" si="1"/>
        <v>34000</v>
      </c>
      <c r="U148" s="38">
        <f t="shared" ca="1" si="2"/>
        <v>30600</v>
      </c>
      <c r="V148" s="38">
        <f t="shared" ca="1" si="3"/>
        <v>28900</v>
      </c>
      <c r="W148" s="38">
        <f t="shared" ca="1" si="4"/>
        <v>27200</v>
      </c>
      <c r="X148" s="38">
        <f t="shared" ca="1" si="5"/>
        <v>23800</v>
      </c>
      <c r="Y148" s="18"/>
    </row>
    <row r="149" spans="1:25" ht="30" x14ac:dyDescent="0.15">
      <c r="A149" s="18"/>
      <c r="B149" s="20" t="s">
        <v>58</v>
      </c>
      <c r="C149" s="20" t="s">
        <v>60</v>
      </c>
      <c r="D149" s="20" t="s">
        <v>61</v>
      </c>
      <c r="E149" s="20" t="s">
        <v>166</v>
      </c>
      <c r="F149" s="20" t="s">
        <v>65</v>
      </c>
      <c r="G149" s="20">
        <v>1500</v>
      </c>
      <c r="H149" s="20" t="s">
        <v>116</v>
      </c>
      <c r="I149" s="20" t="str">
        <f t="shared" si="0"/>
        <v>WFLX-LNR-S-PB-1500-G</v>
      </c>
      <c r="J149" s="20" t="s">
        <v>86</v>
      </c>
      <c r="K149" s="20" t="s">
        <v>130</v>
      </c>
      <c r="L149" s="20" t="s">
        <v>95</v>
      </c>
      <c r="M149" s="20" t="s">
        <v>167</v>
      </c>
      <c r="N149" s="20">
        <v>1500</v>
      </c>
      <c r="O149" s="20" t="s">
        <v>11</v>
      </c>
      <c r="P149" s="20" t="s">
        <v>42</v>
      </c>
      <c r="Q149" s="33"/>
      <c r="R149" s="33"/>
      <c r="S149" s="33" t="s">
        <v>169</v>
      </c>
      <c r="T149" s="33">
        <f t="shared" ca="1" si="1"/>
        <v>34900</v>
      </c>
      <c r="U149" s="38">
        <f t="shared" ca="1" si="2"/>
        <v>31410</v>
      </c>
      <c r="V149" s="38">
        <f t="shared" ca="1" si="3"/>
        <v>29665</v>
      </c>
      <c r="W149" s="38">
        <f t="shared" ca="1" si="4"/>
        <v>27920</v>
      </c>
      <c r="X149" s="38">
        <f t="shared" ca="1" si="5"/>
        <v>24430</v>
      </c>
      <c r="Y149" s="18"/>
    </row>
    <row r="150" spans="1:25" ht="30" x14ac:dyDescent="0.15">
      <c r="A150" s="18"/>
      <c r="B150" s="20" t="s">
        <v>58</v>
      </c>
      <c r="C150" s="20" t="s">
        <v>60</v>
      </c>
      <c r="D150" s="20" t="s">
        <v>61</v>
      </c>
      <c r="E150" s="20" t="s">
        <v>166</v>
      </c>
      <c r="F150" s="20" t="s">
        <v>65</v>
      </c>
      <c r="G150" s="20">
        <v>1500</v>
      </c>
      <c r="H150" s="20" t="s">
        <v>131</v>
      </c>
      <c r="I150" s="20" t="str">
        <f t="shared" si="0"/>
        <v>WFLX-LNR-S-PB-1500-X</v>
      </c>
      <c r="J150" s="20" t="s">
        <v>86</v>
      </c>
      <c r="K150" s="20" t="s">
        <v>130</v>
      </c>
      <c r="L150" s="20" t="s">
        <v>95</v>
      </c>
      <c r="M150" s="20" t="s">
        <v>167</v>
      </c>
      <c r="N150" s="20">
        <v>1500</v>
      </c>
      <c r="O150" s="20" t="s">
        <v>11</v>
      </c>
      <c r="P150" s="20" t="s">
        <v>55</v>
      </c>
      <c r="Q150" s="33"/>
      <c r="R150" s="33"/>
      <c r="S150" s="33" t="s">
        <v>170</v>
      </c>
      <c r="T150" s="33">
        <f t="shared" ca="1" si="1"/>
        <v>28300</v>
      </c>
      <c r="U150" s="38">
        <f t="shared" ca="1" si="2"/>
        <v>25470</v>
      </c>
      <c r="V150" s="38">
        <f t="shared" ca="1" si="3"/>
        <v>24055</v>
      </c>
      <c r="W150" s="38">
        <f t="shared" ca="1" si="4"/>
        <v>22640</v>
      </c>
      <c r="X150" s="38">
        <f t="shared" ca="1" si="5"/>
        <v>19810</v>
      </c>
      <c r="Y150" s="18"/>
    </row>
    <row r="151" spans="1:25" ht="30" x14ac:dyDescent="0.15">
      <c r="A151" s="18"/>
      <c r="B151" s="20" t="s">
        <v>58</v>
      </c>
      <c r="C151" s="20" t="s">
        <v>60</v>
      </c>
      <c r="D151" s="20" t="s">
        <v>61</v>
      </c>
      <c r="E151" s="20" t="s">
        <v>166</v>
      </c>
      <c r="F151" s="20" t="s">
        <v>112</v>
      </c>
      <c r="G151" s="20">
        <v>1500</v>
      </c>
      <c r="H151" s="20" t="s">
        <v>66</v>
      </c>
      <c r="I151" s="20" t="str">
        <f t="shared" si="0"/>
        <v>WFLX-LNR-S-PLM-1500-F</v>
      </c>
      <c r="J151" s="20" t="s">
        <v>86</v>
      </c>
      <c r="K151" s="20" t="s">
        <v>130</v>
      </c>
      <c r="L151" s="20" t="s">
        <v>95</v>
      </c>
      <c r="M151" s="20" t="s">
        <v>167</v>
      </c>
      <c r="N151" s="20">
        <v>1500</v>
      </c>
      <c r="O151" s="20" t="s">
        <v>31</v>
      </c>
      <c r="P151" s="20" t="s">
        <v>23</v>
      </c>
      <c r="Q151" s="33"/>
      <c r="R151" s="33"/>
      <c r="S151" s="33" t="s">
        <v>168</v>
      </c>
      <c r="T151" s="33">
        <f t="shared" ca="1" si="1"/>
        <v>36200</v>
      </c>
      <c r="U151" s="38">
        <f t="shared" ca="1" si="2"/>
        <v>32580</v>
      </c>
      <c r="V151" s="38">
        <f t="shared" ca="1" si="3"/>
        <v>30770</v>
      </c>
      <c r="W151" s="38">
        <f t="shared" ca="1" si="4"/>
        <v>28960</v>
      </c>
      <c r="X151" s="38">
        <f t="shared" ca="1" si="5"/>
        <v>25340</v>
      </c>
      <c r="Y151" s="18"/>
    </row>
    <row r="152" spans="1:25" ht="30" x14ac:dyDescent="0.15">
      <c r="A152" s="18"/>
      <c r="B152" s="20" t="s">
        <v>58</v>
      </c>
      <c r="C152" s="20" t="s">
        <v>60</v>
      </c>
      <c r="D152" s="20" t="s">
        <v>61</v>
      </c>
      <c r="E152" s="20" t="s">
        <v>166</v>
      </c>
      <c r="F152" s="20" t="s">
        <v>112</v>
      </c>
      <c r="G152" s="20">
        <v>1500</v>
      </c>
      <c r="H152" s="20" t="s">
        <v>116</v>
      </c>
      <c r="I152" s="20" t="str">
        <f t="shared" si="0"/>
        <v>WFLX-LNR-S-PLM-1500-G</v>
      </c>
      <c r="J152" s="20" t="s">
        <v>86</v>
      </c>
      <c r="K152" s="20" t="s">
        <v>130</v>
      </c>
      <c r="L152" s="20" t="s">
        <v>95</v>
      </c>
      <c r="M152" s="20" t="s">
        <v>167</v>
      </c>
      <c r="N152" s="20">
        <v>1500</v>
      </c>
      <c r="O152" s="20" t="s">
        <v>31</v>
      </c>
      <c r="P152" s="20" t="s">
        <v>42</v>
      </c>
      <c r="Q152" s="33"/>
      <c r="R152" s="33"/>
      <c r="S152" s="33" t="s">
        <v>169</v>
      </c>
      <c r="T152" s="33">
        <f t="shared" ca="1" si="1"/>
        <v>37000</v>
      </c>
      <c r="U152" s="38">
        <f t="shared" ca="1" si="2"/>
        <v>33300</v>
      </c>
      <c r="V152" s="38">
        <f t="shared" ca="1" si="3"/>
        <v>31450</v>
      </c>
      <c r="W152" s="38">
        <f t="shared" ca="1" si="4"/>
        <v>29600</v>
      </c>
      <c r="X152" s="38">
        <f t="shared" ca="1" si="5"/>
        <v>25900</v>
      </c>
      <c r="Y152" s="18"/>
    </row>
    <row r="153" spans="1:25" ht="30" x14ac:dyDescent="0.15">
      <c r="A153" s="18"/>
      <c r="B153" s="20" t="s">
        <v>58</v>
      </c>
      <c r="C153" s="20" t="s">
        <v>60</v>
      </c>
      <c r="D153" s="20" t="s">
        <v>61</v>
      </c>
      <c r="E153" s="20" t="s">
        <v>166</v>
      </c>
      <c r="F153" s="20" t="s">
        <v>112</v>
      </c>
      <c r="G153" s="20">
        <v>1500</v>
      </c>
      <c r="H153" s="20" t="s">
        <v>131</v>
      </c>
      <c r="I153" s="20" t="str">
        <f t="shared" si="0"/>
        <v>WFLX-LNR-S-PLM-1500-X</v>
      </c>
      <c r="J153" s="20" t="s">
        <v>86</v>
      </c>
      <c r="K153" s="20" t="s">
        <v>130</v>
      </c>
      <c r="L153" s="20" t="s">
        <v>95</v>
      </c>
      <c r="M153" s="20" t="s">
        <v>167</v>
      </c>
      <c r="N153" s="20">
        <v>1500</v>
      </c>
      <c r="O153" s="20" t="s">
        <v>31</v>
      </c>
      <c r="P153" s="20" t="s">
        <v>55</v>
      </c>
      <c r="Q153" s="33"/>
      <c r="R153" s="33"/>
      <c r="S153" s="33" t="s">
        <v>170</v>
      </c>
      <c r="T153" s="33">
        <f t="shared" ca="1" si="1"/>
        <v>30400</v>
      </c>
      <c r="U153" s="38">
        <f t="shared" ca="1" si="2"/>
        <v>27360</v>
      </c>
      <c r="V153" s="38">
        <f t="shared" ca="1" si="3"/>
        <v>25840</v>
      </c>
      <c r="W153" s="38">
        <f t="shared" ca="1" si="4"/>
        <v>24320</v>
      </c>
      <c r="X153" s="38">
        <f t="shared" ca="1" si="5"/>
        <v>21280</v>
      </c>
      <c r="Y153" s="18"/>
    </row>
    <row r="154" spans="1:25" ht="30" x14ac:dyDescent="0.15">
      <c r="A154" s="18"/>
      <c r="B154" s="20" t="s">
        <v>58</v>
      </c>
      <c r="C154" s="20" t="s">
        <v>60</v>
      </c>
      <c r="D154" s="20" t="s">
        <v>61</v>
      </c>
      <c r="E154" s="20" t="s">
        <v>166</v>
      </c>
      <c r="F154" s="20" t="s">
        <v>114</v>
      </c>
      <c r="G154" s="20">
        <v>1500</v>
      </c>
      <c r="H154" s="20" t="s">
        <v>66</v>
      </c>
      <c r="I154" s="20" t="str">
        <f t="shared" si="0"/>
        <v>WFLX-LNR-S-PoLM-1500-F</v>
      </c>
      <c r="J154" s="20" t="s">
        <v>86</v>
      </c>
      <c r="K154" s="20" t="s">
        <v>130</v>
      </c>
      <c r="L154" s="20" t="s">
        <v>95</v>
      </c>
      <c r="M154" s="20" t="s">
        <v>167</v>
      </c>
      <c r="N154" s="20">
        <v>1500</v>
      </c>
      <c r="O154" s="20" t="s">
        <v>47</v>
      </c>
      <c r="P154" s="20" t="s">
        <v>23</v>
      </c>
      <c r="Q154" s="33"/>
      <c r="R154" s="33"/>
      <c r="S154" s="33" t="s">
        <v>168</v>
      </c>
      <c r="T154" s="33">
        <f t="shared" ca="1" si="1"/>
        <v>48300</v>
      </c>
      <c r="U154" s="38">
        <f t="shared" ca="1" si="2"/>
        <v>43470</v>
      </c>
      <c r="V154" s="38">
        <f t="shared" ca="1" si="3"/>
        <v>41055</v>
      </c>
      <c r="W154" s="38">
        <f t="shared" ca="1" si="4"/>
        <v>38640</v>
      </c>
      <c r="X154" s="38">
        <f t="shared" ca="1" si="5"/>
        <v>33810</v>
      </c>
      <c r="Y154" s="18"/>
    </row>
    <row r="155" spans="1:25" ht="30" x14ac:dyDescent="0.15">
      <c r="A155" s="18"/>
      <c r="B155" s="20" t="s">
        <v>58</v>
      </c>
      <c r="C155" s="20" t="s">
        <v>60</v>
      </c>
      <c r="D155" s="20" t="s">
        <v>61</v>
      </c>
      <c r="E155" s="20" t="s">
        <v>166</v>
      </c>
      <c r="F155" s="20" t="s">
        <v>114</v>
      </c>
      <c r="G155" s="20">
        <v>1500</v>
      </c>
      <c r="H155" s="20" t="s">
        <v>116</v>
      </c>
      <c r="I155" s="20" t="str">
        <f t="shared" si="0"/>
        <v>WFLX-LNR-S-PoLM-1500-G</v>
      </c>
      <c r="J155" s="20" t="s">
        <v>86</v>
      </c>
      <c r="K155" s="20" t="s">
        <v>130</v>
      </c>
      <c r="L155" s="20" t="s">
        <v>95</v>
      </c>
      <c r="M155" s="20" t="s">
        <v>167</v>
      </c>
      <c r="N155" s="20">
        <v>1500</v>
      </c>
      <c r="O155" s="20" t="s">
        <v>47</v>
      </c>
      <c r="P155" s="20" t="s">
        <v>42</v>
      </c>
      <c r="Q155" s="33"/>
      <c r="R155" s="33"/>
      <c r="S155" s="33" t="s">
        <v>169</v>
      </c>
      <c r="T155" s="33">
        <f t="shared" ca="1" si="1"/>
        <v>49200</v>
      </c>
      <c r="U155" s="38">
        <f t="shared" ca="1" si="2"/>
        <v>44280</v>
      </c>
      <c r="V155" s="38">
        <f t="shared" ca="1" si="3"/>
        <v>41820</v>
      </c>
      <c r="W155" s="38">
        <f t="shared" ca="1" si="4"/>
        <v>39360</v>
      </c>
      <c r="X155" s="38">
        <f t="shared" ca="1" si="5"/>
        <v>34440</v>
      </c>
      <c r="Y155" s="18"/>
    </row>
    <row r="156" spans="1:25" ht="30" x14ac:dyDescent="0.15">
      <c r="A156" s="18"/>
      <c r="B156" s="20" t="s">
        <v>58</v>
      </c>
      <c r="C156" s="20" t="s">
        <v>60</v>
      </c>
      <c r="D156" s="20" t="s">
        <v>61</v>
      </c>
      <c r="E156" s="20" t="s">
        <v>166</v>
      </c>
      <c r="F156" s="20" t="s">
        <v>114</v>
      </c>
      <c r="G156" s="20">
        <v>1500</v>
      </c>
      <c r="H156" s="20" t="s">
        <v>131</v>
      </c>
      <c r="I156" s="20" t="str">
        <f t="shared" si="0"/>
        <v>WFLX-LNR-S-PoLM-1500-X</v>
      </c>
      <c r="J156" s="20" t="s">
        <v>86</v>
      </c>
      <c r="K156" s="20" t="s">
        <v>130</v>
      </c>
      <c r="L156" s="20" t="s">
        <v>95</v>
      </c>
      <c r="M156" s="20" t="s">
        <v>167</v>
      </c>
      <c r="N156" s="20">
        <v>1500</v>
      </c>
      <c r="O156" s="20" t="s">
        <v>47</v>
      </c>
      <c r="P156" s="20" t="s">
        <v>55</v>
      </c>
      <c r="Q156" s="33"/>
      <c r="R156" s="33"/>
      <c r="S156" s="33" t="s">
        <v>170</v>
      </c>
      <c r="T156" s="33">
        <f t="shared" ca="1" si="1"/>
        <v>42600</v>
      </c>
      <c r="U156" s="38">
        <f t="shared" ca="1" si="2"/>
        <v>38340</v>
      </c>
      <c r="V156" s="38">
        <f t="shared" ca="1" si="3"/>
        <v>36210</v>
      </c>
      <c r="W156" s="38">
        <f t="shared" ca="1" si="4"/>
        <v>34080</v>
      </c>
      <c r="X156" s="38">
        <f t="shared" ca="1" si="5"/>
        <v>29819.999999999996</v>
      </c>
      <c r="Y156" s="18"/>
    </row>
    <row r="157" spans="1:25" ht="30" x14ac:dyDescent="0.15">
      <c r="A157" s="18"/>
      <c r="B157" s="20" t="s">
        <v>58</v>
      </c>
      <c r="C157" s="20" t="s">
        <v>60</v>
      </c>
      <c r="D157" s="20" t="s">
        <v>61</v>
      </c>
      <c r="E157" s="20" t="s">
        <v>166</v>
      </c>
      <c r="F157" s="20" t="s">
        <v>117</v>
      </c>
      <c r="G157" s="20">
        <v>1500</v>
      </c>
      <c r="H157" s="20" t="s">
        <v>66</v>
      </c>
      <c r="I157" s="20" t="str">
        <f t="shared" si="0"/>
        <v>WFLX-LNR-S-LVM-1500-F</v>
      </c>
      <c r="J157" s="20" t="s">
        <v>86</v>
      </c>
      <c r="K157" s="20" t="s">
        <v>130</v>
      </c>
      <c r="L157" s="20" t="s">
        <v>95</v>
      </c>
      <c r="M157" s="20" t="s">
        <v>167</v>
      </c>
      <c r="N157" s="20">
        <v>1500</v>
      </c>
      <c r="O157" s="20" t="s">
        <v>157</v>
      </c>
      <c r="P157" s="20" t="s">
        <v>23</v>
      </c>
      <c r="Q157" s="33"/>
      <c r="R157" s="33"/>
      <c r="S157" s="33" t="s">
        <v>168</v>
      </c>
      <c r="T157" s="33">
        <f t="shared" ca="1" si="1"/>
        <v>53700</v>
      </c>
      <c r="U157" s="38">
        <f t="shared" ca="1" si="2"/>
        <v>48330</v>
      </c>
      <c r="V157" s="38">
        <f t="shared" ca="1" si="3"/>
        <v>45645</v>
      </c>
      <c r="W157" s="38">
        <f t="shared" ca="1" si="4"/>
        <v>42960</v>
      </c>
      <c r="X157" s="38">
        <f t="shared" ca="1" si="5"/>
        <v>37590</v>
      </c>
      <c r="Y157" s="18"/>
    </row>
    <row r="158" spans="1:25" ht="30" x14ac:dyDescent="0.15">
      <c r="A158" s="18"/>
      <c r="B158" s="20" t="s">
        <v>58</v>
      </c>
      <c r="C158" s="20" t="s">
        <v>60</v>
      </c>
      <c r="D158" s="20" t="s">
        <v>61</v>
      </c>
      <c r="E158" s="20" t="s">
        <v>166</v>
      </c>
      <c r="F158" s="20" t="s">
        <v>117</v>
      </c>
      <c r="G158" s="20">
        <v>1500</v>
      </c>
      <c r="H158" s="20" t="s">
        <v>116</v>
      </c>
      <c r="I158" s="20" t="str">
        <f t="shared" si="0"/>
        <v>WFLX-LNR-S-LVM-1500-G</v>
      </c>
      <c r="J158" s="20" t="s">
        <v>86</v>
      </c>
      <c r="K158" s="20" t="s">
        <v>130</v>
      </c>
      <c r="L158" s="20" t="s">
        <v>95</v>
      </c>
      <c r="M158" s="20" t="s">
        <v>167</v>
      </c>
      <c r="N158" s="20">
        <v>1500</v>
      </c>
      <c r="O158" s="20" t="s">
        <v>157</v>
      </c>
      <c r="P158" s="20" t="s">
        <v>42</v>
      </c>
      <c r="Q158" s="33"/>
      <c r="R158" s="33"/>
      <c r="S158" s="33" t="s">
        <v>169</v>
      </c>
      <c r="T158" s="33">
        <f t="shared" ca="1" si="1"/>
        <v>54600</v>
      </c>
      <c r="U158" s="38">
        <f t="shared" ca="1" si="2"/>
        <v>49140</v>
      </c>
      <c r="V158" s="38">
        <f t="shared" ca="1" si="3"/>
        <v>46410</v>
      </c>
      <c r="W158" s="38">
        <f t="shared" ca="1" si="4"/>
        <v>43680</v>
      </c>
      <c r="X158" s="38">
        <f t="shared" ca="1" si="5"/>
        <v>38220</v>
      </c>
      <c r="Y158" s="18"/>
    </row>
    <row r="159" spans="1:25" ht="30" x14ac:dyDescent="0.15">
      <c r="A159" s="18"/>
      <c r="B159" s="20" t="s">
        <v>58</v>
      </c>
      <c r="C159" s="20" t="s">
        <v>60</v>
      </c>
      <c r="D159" s="20" t="s">
        <v>61</v>
      </c>
      <c r="E159" s="20" t="s">
        <v>166</v>
      </c>
      <c r="F159" s="20" t="s">
        <v>117</v>
      </c>
      <c r="G159" s="20">
        <v>1500</v>
      </c>
      <c r="H159" s="20" t="s">
        <v>131</v>
      </c>
      <c r="I159" s="20" t="str">
        <f t="shared" si="0"/>
        <v>WFLX-LNR-S-LVM-1500-X</v>
      </c>
      <c r="J159" s="20" t="s">
        <v>86</v>
      </c>
      <c r="K159" s="20" t="s">
        <v>130</v>
      </c>
      <c r="L159" s="20" t="s">
        <v>95</v>
      </c>
      <c r="M159" s="20" t="s">
        <v>167</v>
      </c>
      <c r="N159" s="20">
        <v>1500</v>
      </c>
      <c r="O159" s="20" t="s">
        <v>157</v>
      </c>
      <c r="P159" s="20" t="s">
        <v>55</v>
      </c>
      <c r="Q159" s="33"/>
      <c r="R159" s="33"/>
      <c r="S159" s="33" t="s">
        <v>170</v>
      </c>
      <c r="T159" s="33">
        <f t="shared" ca="1" si="1"/>
        <v>48000</v>
      </c>
      <c r="U159" s="38">
        <f t="shared" ca="1" si="2"/>
        <v>43200</v>
      </c>
      <c r="V159" s="38">
        <f t="shared" ca="1" si="3"/>
        <v>40800</v>
      </c>
      <c r="W159" s="38">
        <f t="shared" ca="1" si="4"/>
        <v>38400</v>
      </c>
      <c r="X159" s="38">
        <f t="shared" ca="1" si="5"/>
        <v>33600</v>
      </c>
      <c r="Y159" s="18"/>
    </row>
    <row r="160" spans="1:25" ht="30" x14ac:dyDescent="0.15">
      <c r="A160" s="18"/>
      <c r="B160" s="20" t="s">
        <v>58</v>
      </c>
      <c r="C160" s="20" t="s">
        <v>60</v>
      </c>
      <c r="D160" s="20" t="s">
        <v>61</v>
      </c>
      <c r="E160" s="20" t="s">
        <v>166</v>
      </c>
      <c r="F160" s="20" t="s">
        <v>119</v>
      </c>
      <c r="G160" s="20">
        <v>1500</v>
      </c>
      <c r="H160" s="20" t="s">
        <v>66</v>
      </c>
      <c r="I160" s="20" t="str">
        <f t="shared" si="0"/>
        <v>WFLX-LNR-S-LVP-1500-F</v>
      </c>
      <c r="J160" s="20" t="s">
        <v>86</v>
      </c>
      <c r="K160" s="20" t="s">
        <v>130</v>
      </c>
      <c r="L160" s="20" t="s">
        <v>95</v>
      </c>
      <c r="M160" s="20" t="s">
        <v>167</v>
      </c>
      <c r="N160" s="20">
        <v>1500</v>
      </c>
      <c r="O160" s="20" t="s">
        <v>158</v>
      </c>
      <c r="P160" s="20" t="s">
        <v>23</v>
      </c>
      <c r="Q160" s="33"/>
      <c r="R160" s="33"/>
      <c r="S160" s="33" t="s">
        <v>168</v>
      </c>
      <c r="T160" s="33">
        <f t="shared" ca="1" si="1"/>
        <v>56400</v>
      </c>
      <c r="U160" s="38">
        <f t="shared" ca="1" si="2"/>
        <v>50760</v>
      </c>
      <c r="V160" s="38">
        <f t="shared" ca="1" si="3"/>
        <v>47940</v>
      </c>
      <c r="W160" s="38">
        <f t="shared" ca="1" si="4"/>
        <v>45120</v>
      </c>
      <c r="X160" s="38">
        <f t="shared" ca="1" si="5"/>
        <v>39480</v>
      </c>
      <c r="Y160" s="18"/>
    </row>
    <row r="161" spans="1:25" ht="30" x14ac:dyDescent="0.15">
      <c r="A161" s="18"/>
      <c r="B161" s="20" t="s">
        <v>58</v>
      </c>
      <c r="C161" s="20" t="s">
        <v>60</v>
      </c>
      <c r="D161" s="20" t="s">
        <v>61</v>
      </c>
      <c r="E161" s="20" t="s">
        <v>166</v>
      </c>
      <c r="F161" s="20" t="s">
        <v>119</v>
      </c>
      <c r="G161" s="20">
        <v>1500</v>
      </c>
      <c r="H161" s="20" t="s">
        <v>116</v>
      </c>
      <c r="I161" s="20" t="str">
        <f t="shared" si="0"/>
        <v>WFLX-LNR-S-LVP-1500-G</v>
      </c>
      <c r="J161" s="20" t="s">
        <v>86</v>
      </c>
      <c r="K161" s="20" t="s">
        <v>130</v>
      </c>
      <c r="L161" s="20" t="s">
        <v>95</v>
      </c>
      <c r="M161" s="20" t="s">
        <v>167</v>
      </c>
      <c r="N161" s="20">
        <v>1500</v>
      </c>
      <c r="O161" s="20" t="s">
        <v>158</v>
      </c>
      <c r="P161" s="20" t="s">
        <v>42</v>
      </c>
      <c r="Q161" s="33"/>
      <c r="R161" s="33"/>
      <c r="S161" s="33" t="s">
        <v>169</v>
      </c>
      <c r="T161" s="33">
        <f t="shared" ca="1" si="1"/>
        <v>57300</v>
      </c>
      <c r="U161" s="38">
        <f t="shared" ca="1" si="2"/>
        <v>51570</v>
      </c>
      <c r="V161" s="38">
        <f t="shared" ca="1" si="3"/>
        <v>48705</v>
      </c>
      <c r="W161" s="38">
        <f t="shared" ca="1" si="4"/>
        <v>45840</v>
      </c>
      <c r="X161" s="38">
        <f t="shared" ca="1" si="5"/>
        <v>40110</v>
      </c>
      <c r="Y161" s="18"/>
    </row>
    <row r="162" spans="1:25" ht="30" x14ac:dyDescent="0.15">
      <c r="A162" s="18"/>
      <c r="B162" s="20" t="s">
        <v>58</v>
      </c>
      <c r="C162" s="20" t="s">
        <v>60</v>
      </c>
      <c r="D162" s="20" t="s">
        <v>61</v>
      </c>
      <c r="E162" s="20" t="s">
        <v>166</v>
      </c>
      <c r="F162" s="20" t="s">
        <v>119</v>
      </c>
      <c r="G162" s="20">
        <v>1500</v>
      </c>
      <c r="H162" s="20" t="s">
        <v>131</v>
      </c>
      <c r="I162" s="20" t="str">
        <f t="shared" si="0"/>
        <v>WFLX-LNR-S-LVP-1500-X</v>
      </c>
      <c r="J162" s="20" t="s">
        <v>86</v>
      </c>
      <c r="K162" s="20" t="s">
        <v>130</v>
      </c>
      <c r="L162" s="20" t="s">
        <v>95</v>
      </c>
      <c r="M162" s="20" t="s">
        <v>167</v>
      </c>
      <c r="N162" s="20">
        <v>1500</v>
      </c>
      <c r="O162" s="20" t="s">
        <v>158</v>
      </c>
      <c r="P162" s="20" t="s">
        <v>55</v>
      </c>
      <c r="Q162" s="33"/>
      <c r="R162" s="33"/>
      <c r="S162" s="33" t="s">
        <v>170</v>
      </c>
      <c r="T162" s="33">
        <f t="shared" ca="1" si="1"/>
        <v>50700</v>
      </c>
      <c r="U162" s="38">
        <f t="shared" ca="1" si="2"/>
        <v>45630</v>
      </c>
      <c r="V162" s="38">
        <f t="shared" ca="1" si="3"/>
        <v>43095</v>
      </c>
      <c r="W162" s="38">
        <f t="shared" ca="1" si="4"/>
        <v>40560</v>
      </c>
      <c r="X162" s="38">
        <f t="shared" ca="1" si="5"/>
        <v>35490</v>
      </c>
      <c r="Y162" s="18"/>
    </row>
    <row r="163" spans="1:25" ht="30" x14ac:dyDescent="0.15">
      <c r="A163" s="18"/>
      <c r="B163" s="20" t="s">
        <v>58</v>
      </c>
      <c r="C163" s="20" t="s">
        <v>60</v>
      </c>
      <c r="D163" s="20" t="s">
        <v>61</v>
      </c>
      <c r="E163" s="20" t="s">
        <v>166</v>
      </c>
      <c r="F163" s="20" t="s">
        <v>125</v>
      </c>
      <c r="G163" s="20">
        <v>1500</v>
      </c>
      <c r="H163" s="20" t="s">
        <v>66</v>
      </c>
      <c r="I163" s="20" t="str">
        <f t="shared" si="0"/>
        <v>WFLX-LNR-S-MB-1500-F</v>
      </c>
      <c r="J163" s="20" t="s">
        <v>86</v>
      </c>
      <c r="K163" s="20" t="s">
        <v>130</v>
      </c>
      <c r="L163" s="20" t="s">
        <v>95</v>
      </c>
      <c r="M163" s="20" t="s">
        <v>167</v>
      </c>
      <c r="N163" s="20">
        <v>1500</v>
      </c>
      <c r="O163" s="20" t="s">
        <v>97</v>
      </c>
      <c r="P163" s="20" t="s">
        <v>23</v>
      </c>
      <c r="Q163" s="33"/>
      <c r="R163" s="33"/>
      <c r="S163" s="33" t="s">
        <v>168</v>
      </c>
      <c r="T163" s="33">
        <f t="shared" ca="1" si="1"/>
        <v>72000</v>
      </c>
      <c r="U163" s="38">
        <f t="shared" ca="1" si="2"/>
        <v>64800</v>
      </c>
      <c r="V163" s="38">
        <f t="shared" ca="1" si="3"/>
        <v>61200</v>
      </c>
      <c r="W163" s="38">
        <f t="shared" ca="1" si="4"/>
        <v>57600</v>
      </c>
      <c r="X163" s="38">
        <f t="shared" ca="1" si="5"/>
        <v>50400</v>
      </c>
      <c r="Y163" s="18"/>
    </row>
    <row r="164" spans="1:25" ht="30" x14ac:dyDescent="0.15">
      <c r="A164" s="18"/>
      <c r="B164" s="20" t="s">
        <v>58</v>
      </c>
      <c r="C164" s="20" t="s">
        <v>60</v>
      </c>
      <c r="D164" s="20" t="s">
        <v>61</v>
      </c>
      <c r="E164" s="20" t="s">
        <v>166</v>
      </c>
      <c r="F164" s="20" t="s">
        <v>125</v>
      </c>
      <c r="G164" s="20">
        <v>1500</v>
      </c>
      <c r="H164" s="20" t="s">
        <v>116</v>
      </c>
      <c r="I164" s="20" t="str">
        <f t="shared" si="0"/>
        <v>WFLX-LNR-S-MB-1500-G</v>
      </c>
      <c r="J164" s="20" t="s">
        <v>86</v>
      </c>
      <c r="K164" s="20" t="s">
        <v>130</v>
      </c>
      <c r="L164" s="20" t="s">
        <v>95</v>
      </c>
      <c r="M164" s="20" t="s">
        <v>167</v>
      </c>
      <c r="N164" s="20">
        <v>1500</v>
      </c>
      <c r="O164" s="20" t="s">
        <v>97</v>
      </c>
      <c r="P164" s="20" t="s">
        <v>42</v>
      </c>
      <c r="Q164" s="33"/>
      <c r="R164" s="33"/>
      <c r="S164" s="33" t="s">
        <v>169</v>
      </c>
      <c r="T164" s="33">
        <f t="shared" ca="1" si="1"/>
        <v>72800</v>
      </c>
      <c r="U164" s="38">
        <f t="shared" ca="1" si="2"/>
        <v>65520</v>
      </c>
      <c r="V164" s="38">
        <f t="shared" ca="1" si="3"/>
        <v>61880</v>
      </c>
      <c r="W164" s="38">
        <f t="shared" ca="1" si="4"/>
        <v>58240</v>
      </c>
      <c r="X164" s="38">
        <f t="shared" ca="1" si="5"/>
        <v>50960</v>
      </c>
      <c r="Y164" s="18"/>
    </row>
    <row r="165" spans="1:25" ht="30" x14ac:dyDescent="0.15">
      <c r="A165" s="18"/>
      <c r="B165" s="20" t="s">
        <v>58</v>
      </c>
      <c r="C165" s="20" t="s">
        <v>60</v>
      </c>
      <c r="D165" s="20" t="s">
        <v>61</v>
      </c>
      <c r="E165" s="20" t="s">
        <v>166</v>
      </c>
      <c r="F165" s="20" t="s">
        <v>125</v>
      </c>
      <c r="G165" s="20">
        <v>1500</v>
      </c>
      <c r="H165" s="20" t="s">
        <v>131</v>
      </c>
      <c r="I165" s="20" t="str">
        <f t="shared" si="0"/>
        <v>WFLX-LNR-S-MB-1500-X</v>
      </c>
      <c r="J165" s="20" t="s">
        <v>86</v>
      </c>
      <c r="K165" s="20" t="s">
        <v>130</v>
      </c>
      <c r="L165" s="20" t="s">
        <v>95</v>
      </c>
      <c r="M165" s="20" t="s">
        <v>167</v>
      </c>
      <c r="N165" s="20">
        <v>1500</v>
      </c>
      <c r="O165" s="20" t="s">
        <v>97</v>
      </c>
      <c r="P165" s="20" t="s">
        <v>55</v>
      </c>
      <c r="Q165" s="33"/>
      <c r="R165" s="33"/>
      <c r="S165" s="33" t="s">
        <v>170</v>
      </c>
      <c r="T165" s="33">
        <f t="shared" ca="1" si="1"/>
        <v>66200</v>
      </c>
      <c r="U165" s="38">
        <f t="shared" ca="1" si="2"/>
        <v>59580</v>
      </c>
      <c r="V165" s="38">
        <f t="shared" ca="1" si="3"/>
        <v>56270</v>
      </c>
      <c r="W165" s="38">
        <f t="shared" ca="1" si="4"/>
        <v>52960</v>
      </c>
      <c r="X165" s="38">
        <f t="shared" ca="1" si="5"/>
        <v>46340</v>
      </c>
      <c r="Y165" s="18"/>
    </row>
    <row r="166" spans="1:25" ht="16" x14ac:dyDescent="0.15">
      <c r="A166" s="18"/>
      <c r="B166" s="20" t="s">
        <v>58</v>
      </c>
      <c r="C166" s="20" t="s">
        <v>60</v>
      </c>
      <c r="D166" s="20" t="s">
        <v>171</v>
      </c>
      <c r="E166" s="20" t="s">
        <v>63</v>
      </c>
      <c r="F166" s="20" t="s">
        <v>65</v>
      </c>
      <c r="G166" s="20">
        <v>1500</v>
      </c>
      <c r="H166" s="20" t="s">
        <v>66</v>
      </c>
      <c r="I166" s="20" t="str">
        <f t="shared" si="0"/>
        <v>WFLX-LSHP-SH-PB-1500-F</v>
      </c>
      <c r="J166" s="20" t="s">
        <v>86</v>
      </c>
      <c r="K166" s="20" t="s">
        <v>130</v>
      </c>
      <c r="L166" s="20" t="s">
        <v>172</v>
      </c>
      <c r="M166" s="20" t="s">
        <v>173</v>
      </c>
      <c r="N166" s="20" t="s">
        <v>174</v>
      </c>
      <c r="O166" s="20" t="s">
        <v>11</v>
      </c>
      <c r="P166" s="20" t="s">
        <v>23</v>
      </c>
      <c r="Q166" s="33"/>
      <c r="R166" s="33"/>
      <c r="S166" s="33" t="s">
        <v>175</v>
      </c>
      <c r="T166" s="33">
        <f t="shared" ca="1" si="1"/>
        <v>29900</v>
      </c>
      <c r="U166" s="38">
        <f t="shared" ca="1" si="2"/>
        <v>26910</v>
      </c>
      <c r="V166" s="38">
        <f t="shared" ca="1" si="3"/>
        <v>25415</v>
      </c>
      <c r="W166" s="38">
        <f t="shared" ca="1" si="4"/>
        <v>23920</v>
      </c>
      <c r="X166" s="38">
        <f t="shared" ca="1" si="5"/>
        <v>20930</v>
      </c>
      <c r="Y166" s="18"/>
    </row>
    <row r="167" spans="1:25" ht="15" x14ac:dyDescent="0.15">
      <c r="A167" s="18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33"/>
      <c r="R167" s="33"/>
      <c r="S167" s="33"/>
      <c r="T167" s="33"/>
      <c r="U167" s="38"/>
      <c r="V167" s="38"/>
      <c r="W167" s="38"/>
      <c r="X167" s="38"/>
      <c r="Y167" s="18"/>
    </row>
    <row r="168" spans="1:25" ht="15" x14ac:dyDescent="0.15">
      <c r="A168" s="1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33"/>
      <c r="R168" s="33"/>
      <c r="S168" s="33"/>
      <c r="T168" s="33"/>
      <c r="U168" s="38"/>
      <c r="V168" s="38"/>
      <c r="W168" s="38"/>
      <c r="X168" s="38"/>
      <c r="Y168" s="18"/>
    </row>
    <row r="169" spans="1:25" ht="15" x14ac:dyDescent="0.15">
      <c r="A169" s="18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33"/>
      <c r="R169" s="33"/>
      <c r="S169" s="33"/>
      <c r="T169" s="33"/>
      <c r="U169" s="38"/>
      <c r="V169" s="38"/>
      <c r="W169" s="38"/>
      <c r="X169" s="38"/>
      <c r="Y169" s="18"/>
    </row>
    <row r="170" spans="1:25" ht="15" x14ac:dyDescent="0.15">
      <c r="A170" s="1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33"/>
      <c r="R170" s="33"/>
      <c r="S170" s="33"/>
      <c r="T170" s="33"/>
      <c r="U170" s="38"/>
      <c r="V170" s="38"/>
      <c r="W170" s="38"/>
      <c r="X170" s="38"/>
      <c r="Y170" s="18"/>
    </row>
    <row r="171" spans="1:25" ht="15" x14ac:dyDescent="0.15">
      <c r="A171" s="18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33"/>
      <c r="R171" s="33"/>
      <c r="S171" s="33"/>
      <c r="T171" s="33"/>
      <c r="U171" s="38"/>
      <c r="V171" s="38"/>
      <c r="W171" s="38"/>
      <c r="X171" s="38"/>
      <c r="Y171" s="18"/>
    </row>
    <row r="172" spans="1:25" ht="15" x14ac:dyDescent="0.15">
      <c r="A172" s="1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33"/>
      <c r="R172" s="33"/>
      <c r="S172" s="33"/>
      <c r="T172" s="33"/>
      <c r="U172" s="38"/>
      <c r="V172" s="38"/>
      <c r="W172" s="38"/>
      <c r="X172" s="38"/>
      <c r="Y172" s="18"/>
    </row>
    <row r="173" spans="1:25" ht="15" x14ac:dyDescent="0.15">
      <c r="A173" s="18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33"/>
      <c r="R173" s="33"/>
      <c r="S173" s="33"/>
      <c r="T173" s="33"/>
      <c r="U173" s="38"/>
      <c r="V173" s="38"/>
      <c r="W173" s="38"/>
      <c r="X173" s="38"/>
      <c r="Y173" s="18"/>
    </row>
    <row r="174" spans="1:25" ht="15" x14ac:dyDescent="0.15">
      <c r="A174" s="1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33"/>
      <c r="R174" s="33"/>
      <c r="S174" s="33"/>
      <c r="T174" s="33"/>
      <c r="U174" s="38"/>
      <c r="V174" s="38"/>
      <c r="W174" s="38"/>
      <c r="X174" s="38"/>
      <c r="Y174" s="18"/>
    </row>
    <row r="175" spans="1:25" ht="15" x14ac:dyDescent="0.15">
      <c r="A175" s="18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33"/>
      <c r="R175" s="33"/>
      <c r="S175" s="33"/>
      <c r="T175" s="33"/>
      <c r="U175" s="38"/>
      <c r="V175" s="38"/>
      <c r="W175" s="38"/>
      <c r="X175" s="38"/>
      <c r="Y175" s="18"/>
    </row>
    <row r="176" spans="1:25" ht="15" x14ac:dyDescent="0.15">
      <c r="A176" s="1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33"/>
      <c r="R176" s="33"/>
      <c r="S176" s="33"/>
      <c r="T176" s="33"/>
      <c r="U176" s="38"/>
      <c r="V176" s="38"/>
      <c r="W176" s="38"/>
      <c r="X176" s="38"/>
      <c r="Y176" s="18"/>
    </row>
    <row r="177" spans="1:25" ht="15" x14ac:dyDescent="0.15">
      <c r="A177" s="18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33"/>
      <c r="R177" s="33"/>
      <c r="S177" s="33"/>
      <c r="T177" s="33"/>
      <c r="U177" s="38"/>
      <c r="V177" s="38"/>
      <c r="W177" s="38"/>
      <c r="X177" s="38"/>
      <c r="Y177" s="18"/>
    </row>
    <row r="178" spans="1:25" ht="15" x14ac:dyDescent="0.15">
      <c r="A178" s="1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33"/>
      <c r="R178" s="33"/>
      <c r="S178" s="33"/>
      <c r="T178" s="33"/>
      <c r="U178" s="38"/>
      <c r="V178" s="38"/>
      <c r="W178" s="38"/>
      <c r="X178" s="38"/>
      <c r="Y178" s="18"/>
    </row>
    <row r="179" spans="1:25" ht="15" x14ac:dyDescent="0.15">
      <c r="A179" s="18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33"/>
      <c r="R179" s="33"/>
      <c r="S179" s="33"/>
      <c r="T179" s="33"/>
      <c r="U179" s="38"/>
      <c r="V179" s="38"/>
      <c r="W179" s="38"/>
      <c r="X179" s="38"/>
      <c r="Y179" s="18"/>
    </row>
    <row r="180" spans="1:25" ht="15" x14ac:dyDescent="0.15">
      <c r="A180" s="1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33"/>
      <c r="R180" s="33"/>
      <c r="S180" s="33"/>
      <c r="T180" s="33"/>
      <c r="U180" s="38"/>
      <c r="V180" s="38"/>
      <c r="W180" s="38"/>
      <c r="X180" s="38"/>
      <c r="Y180" s="18"/>
    </row>
    <row r="181" spans="1:25" ht="16" x14ac:dyDescent="0.15">
      <c r="A181" s="18"/>
      <c r="B181" s="20" t="s">
        <v>58</v>
      </c>
      <c r="C181" s="20" t="s">
        <v>60</v>
      </c>
      <c r="D181" s="20" t="s">
        <v>171</v>
      </c>
      <c r="E181" s="20" t="s">
        <v>63</v>
      </c>
      <c r="F181" s="20" t="s">
        <v>65</v>
      </c>
      <c r="G181" s="20">
        <v>1500</v>
      </c>
      <c r="H181" s="20" t="s">
        <v>116</v>
      </c>
      <c r="I181" s="20" t="str">
        <f t="shared" ref="I181:I182" si="7">CONCATENATE(B181,C181,"-",D181,"-",E181,"-",F181,"-",G181,"-",H181)</f>
        <v>WFLX-LSHP-SH-PB-1500-G</v>
      </c>
      <c r="J181" s="20" t="s">
        <v>86</v>
      </c>
      <c r="K181" s="20" t="s">
        <v>130</v>
      </c>
      <c r="L181" s="20" t="s">
        <v>172</v>
      </c>
      <c r="M181" s="20" t="s">
        <v>176</v>
      </c>
      <c r="N181" s="20" t="s">
        <v>177</v>
      </c>
      <c r="O181" s="20" t="s">
        <v>11</v>
      </c>
      <c r="P181" s="20" t="s">
        <v>42</v>
      </c>
      <c r="Q181" s="33"/>
      <c r="R181" s="33"/>
      <c r="S181" s="33" t="s">
        <v>178</v>
      </c>
      <c r="T181" s="33">
        <f t="shared" ref="T181:T215" ca="1" si="8">INDIRECT("'CALC FLX WST'!R"&amp;(ROW()-3)*7)</f>
        <v>55200</v>
      </c>
      <c r="U181" s="38">
        <f t="shared" ref="U181:U413" ca="1" si="9">T181*0.9</f>
        <v>49680</v>
      </c>
      <c r="V181" s="38">
        <f t="shared" ref="V181:V413" ca="1" si="10">T181*0.85</f>
        <v>46920</v>
      </c>
      <c r="W181" s="38">
        <f t="shared" ref="W181:W413" ca="1" si="11">T181*0.8</f>
        <v>44160</v>
      </c>
      <c r="X181" s="38">
        <f t="shared" ref="X181:X413" ca="1" si="12">T181*0.7</f>
        <v>38640</v>
      </c>
      <c r="Y181" s="18"/>
    </row>
    <row r="182" spans="1:25" ht="16" x14ac:dyDescent="0.15">
      <c r="A182" s="18"/>
      <c r="B182" s="20" t="s">
        <v>58</v>
      </c>
      <c r="C182" s="20" t="s">
        <v>60</v>
      </c>
      <c r="D182" s="20" t="s">
        <v>171</v>
      </c>
      <c r="E182" s="20" t="s">
        <v>63</v>
      </c>
      <c r="F182" s="20" t="s">
        <v>65</v>
      </c>
      <c r="G182" s="20">
        <v>1500</v>
      </c>
      <c r="H182" s="20" t="s">
        <v>131</v>
      </c>
      <c r="I182" s="20" t="str">
        <f t="shared" si="7"/>
        <v>WFLX-LSHP-SH-PB-1500-X</v>
      </c>
      <c r="J182" s="20" t="s">
        <v>86</v>
      </c>
      <c r="K182" s="20" t="s">
        <v>130</v>
      </c>
      <c r="L182" s="20" t="s">
        <v>172</v>
      </c>
      <c r="M182" s="20" t="s">
        <v>179</v>
      </c>
      <c r="N182" s="20" t="s">
        <v>180</v>
      </c>
      <c r="O182" s="20" t="s">
        <v>11</v>
      </c>
      <c r="P182" s="20" t="s">
        <v>55</v>
      </c>
      <c r="Q182" s="33"/>
      <c r="R182" s="33"/>
      <c r="S182" s="33" t="s">
        <v>181</v>
      </c>
      <c r="T182" s="33">
        <f t="shared" ca="1" si="8"/>
        <v>55600</v>
      </c>
      <c r="U182" s="38">
        <f t="shared" ca="1" si="9"/>
        <v>50040</v>
      </c>
      <c r="V182" s="38">
        <f t="shared" ca="1" si="10"/>
        <v>47260</v>
      </c>
      <c r="W182" s="38">
        <f t="shared" ca="1" si="11"/>
        <v>44480</v>
      </c>
      <c r="X182" s="38">
        <f t="shared" ca="1" si="12"/>
        <v>38920</v>
      </c>
      <c r="Y182" s="18"/>
    </row>
    <row r="183" spans="1:25" ht="16" x14ac:dyDescent="0.15">
      <c r="A183" s="18"/>
      <c r="B183" s="20" t="s">
        <v>58</v>
      </c>
      <c r="C183" s="20" t="s">
        <v>60</v>
      </c>
      <c r="D183" s="20" t="s">
        <v>171</v>
      </c>
      <c r="E183" s="20" t="s">
        <v>63</v>
      </c>
      <c r="F183" s="20" t="s">
        <v>112</v>
      </c>
      <c r="G183" s="20">
        <v>1500</v>
      </c>
      <c r="H183" s="20" t="s">
        <v>66</v>
      </c>
      <c r="I183" s="20"/>
      <c r="J183" s="20"/>
      <c r="K183" s="20"/>
      <c r="L183" s="20"/>
      <c r="M183" s="20" t="s">
        <v>182</v>
      </c>
      <c r="N183" s="20" t="s">
        <v>183</v>
      </c>
      <c r="O183" s="20" t="s">
        <v>11</v>
      </c>
      <c r="P183" s="20"/>
      <c r="Q183" s="33"/>
      <c r="R183" s="33"/>
      <c r="S183" s="33" t="s">
        <v>175</v>
      </c>
      <c r="T183" s="33">
        <f t="shared" ca="1" si="8"/>
        <v>52300</v>
      </c>
      <c r="U183" s="38">
        <f t="shared" ca="1" si="9"/>
        <v>47070</v>
      </c>
      <c r="V183" s="38">
        <f t="shared" ca="1" si="10"/>
        <v>44455</v>
      </c>
      <c r="W183" s="38">
        <f t="shared" ca="1" si="11"/>
        <v>41840</v>
      </c>
      <c r="X183" s="38">
        <f t="shared" ca="1" si="12"/>
        <v>36610</v>
      </c>
      <c r="Y183" s="18"/>
    </row>
    <row r="184" spans="1:25" ht="16" x14ac:dyDescent="0.15">
      <c r="A184" s="18"/>
      <c r="B184" s="20" t="s">
        <v>58</v>
      </c>
      <c r="C184" s="20" t="s">
        <v>60</v>
      </c>
      <c r="D184" s="20" t="s">
        <v>171</v>
      </c>
      <c r="E184" s="20" t="s">
        <v>63</v>
      </c>
      <c r="F184" s="20" t="s">
        <v>112</v>
      </c>
      <c r="G184" s="20">
        <v>1500</v>
      </c>
      <c r="H184" s="20" t="s">
        <v>116</v>
      </c>
      <c r="I184" s="20"/>
      <c r="J184" s="20"/>
      <c r="K184" s="20"/>
      <c r="L184" s="20"/>
      <c r="M184" s="20"/>
      <c r="N184" s="20"/>
      <c r="O184" s="20"/>
      <c r="P184" s="20"/>
      <c r="Q184" s="33"/>
      <c r="R184" s="33"/>
      <c r="S184" s="33" t="s">
        <v>178</v>
      </c>
      <c r="T184" s="33">
        <f t="shared" ca="1" si="8"/>
        <v>58000</v>
      </c>
      <c r="U184" s="38">
        <f t="shared" ca="1" si="9"/>
        <v>52200</v>
      </c>
      <c r="V184" s="38">
        <f t="shared" ca="1" si="10"/>
        <v>49300</v>
      </c>
      <c r="W184" s="38">
        <f t="shared" ca="1" si="11"/>
        <v>46400</v>
      </c>
      <c r="X184" s="38">
        <f t="shared" ca="1" si="12"/>
        <v>40600</v>
      </c>
      <c r="Y184" s="18"/>
    </row>
    <row r="185" spans="1:25" ht="16" x14ac:dyDescent="0.15">
      <c r="A185" s="18"/>
      <c r="B185" s="20" t="s">
        <v>58</v>
      </c>
      <c r="C185" s="20" t="s">
        <v>60</v>
      </c>
      <c r="D185" s="20" t="s">
        <v>171</v>
      </c>
      <c r="E185" s="20" t="s">
        <v>63</v>
      </c>
      <c r="F185" s="20" t="s">
        <v>112</v>
      </c>
      <c r="G185" s="20">
        <v>1500</v>
      </c>
      <c r="H185" s="20" t="s">
        <v>131</v>
      </c>
      <c r="I185" s="20"/>
      <c r="J185" s="20"/>
      <c r="K185" s="20"/>
      <c r="L185" s="20"/>
      <c r="M185" s="20"/>
      <c r="N185" s="20"/>
      <c r="O185" s="20"/>
      <c r="P185" s="20"/>
      <c r="Q185" s="33"/>
      <c r="R185" s="33"/>
      <c r="S185" s="33" t="s">
        <v>181</v>
      </c>
      <c r="T185" s="33">
        <f t="shared" ca="1" si="8"/>
        <v>58900</v>
      </c>
      <c r="U185" s="38">
        <f t="shared" ca="1" si="9"/>
        <v>53010</v>
      </c>
      <c r="V185" s="38">
        <f t="shared" ca="1" si="10"/>
        <v>50065</v>
      </c>
      <c r="W185" s="38">
        <f t="shared" ca="1" si="11"/>
        <v>47120</v>
      </c>
      <c r="X185" s="38">
        <f t="shared" ca="1" si="12"/>
        <v>41230</v>
      </c>
      <c r="Y185" s="18"/>
    </row>
    <row r="186" spans="1:25" ht="16" x14ac:dyDescent="0.15">
      <c r="A186" s="18"/>
      <c r="B186" s="20" t="s">
        <v>58</v>
      </c>
      <c r="C186" s="20" t="s">
        <v>60</v>
      </c>
      <c r="D186" s="20" t="s">
        <v>171</v>
      </c>
      <c r="E186" s="20" t="s">
        <v>63</v>
      </c>
      <c r="F186" s="20" t="s">
        <v>114</v>
      </c>
      <c r="G186" s="20">
        <v>1500</v>
      </c>
      <c r="H186" s="20" t="s">
        <v>66</v>
      </c>
      <c r="I186" s="20"/>
      <c r="J186" s="20"/>
      <c r="K186" s="20"/>
      <c r="L186" s="20"/>
      <c r="M186" s="20"/>
      <c r="N186" s="20"/>
      <c r="O186" s="20"/>
      <c r="P186" s="20"/>
      <c r="Q186" s="33"/>
      <c r="R186" s="33"/>
      <c r="S186" s="33" t="s">
        <v>175</v>
      </c>
      <c r="T186" s="33">
        <f t="shared" ca="1" si="8"/>
        <v>52300</v>
      </c>
      <c r="U186" s="38">
        <f t="shared" ca="1" si="9"/>
        <v>47070</v>
      </c>
      <c r="V186" s="38">
        <f t="shared" ca="1" si="10"/>
        <v>44455</v>
      </c>
      <c r="W186" s="38">
        <f t="shared" ca="1" si="11"/>
        <v>41840</v>
      </c>
      <c r="X186" s="38">
        <f t="shared" ca="1" si="12"/>
        <v>36610</v>
      </c>
      <c r="Y186" s="18"/>
    </row>
    <row r="187" spans="1:25" ht="16" x14ac:dyDescent="0.15">
      <c r="A187" s="18"/>
      <c r="B187" s="20" t="s">
        <v>58</v>
      </c>
      <c r="C187" s="20" t="s">
        <v>60</v>
      </c>
      <c r="D187" s="20" t="s">
        <v>171</v>
      </c>
      <c r="E187" s="20" t="s">
        <v>63</v>
      </c>
      <c r="F187" s="20" t="s">
        <v>114</v>
      </c>
      <c r="G187" s="20">
        <v>1500</v>
      </c>
      <c r="H187" s="20" t="s">
        <v>116</v>
      </c>
      <c r="I187" s="20"/>
      <c r="J187" s="20"/>
      <c r="K187" s="20"/>
      <c r="L187" s="20"/>
      <c r="M187" s="20"/>
      <c r="N187" s="20"/>
      <c r="O187" s="20"/>
      <c r="P187" s="20"/>
      <c r="Q187" s="33"/>
      <c r="R187" s="33"/>
      <c r="S187" s="33" t="s">
        <v>178</v>
      </c>
      <c r="T187" s="33">
        <f t="shared" ca="1" si="8"/>
        <v>60200</v>
      </c>
      <c r="U187" s="38">
        <f t="shared" ca="1" si="9"/>
        <v>54180</v>
      </c>
      <c r="V187" s="38">
        <f t="shared" ca="1" si="10"/>
        <v>51170</v>
      </c>
      <c r="W187" s="38">
        <f t="shared" ca="1" si="11"/>
        <v>48160</v>
      </c>
      <c r="X187" s="38">
        <f t="shared" ca="1" si="12"/>
        <v>42140</v>
      </c>
      <c r="Y187" s="18"/>
    </row>
    <row r="188" spans="1:25" ht="16" x14ac:dyDescent="0.15">
      <c r="A188" s="18"/>
      <c r="B188" s="20" t="s">
        <v>58</v>
      </c>
      <c r="C188" s="20" t="s">
        <v>60</v>
      </c>
      <c r="D188" s="20" t="s">
        <v>171</v>
      </c>
      <c r="E188" s="20" t="s">
        <v>63</v>
      </c>
      <c r="F188" s="20" t="s">
        <v>114</v>
      </c>
      <c r="G188" s="20">
        <v>1500</v>
      </c>
      <c r="H188" s="20" t="s">
        <v>131</v>
      </c>
      <c r="I188" s="20"/>
      <c r="J188" s="20"/>
      <c r="K188" s="20"/>
      <c r="L188" s="20"/>
      <c r="M188" s="20"/>
      <c r="N188" s="20"/>
      <c r="O188" s="20"/>
      <c r="P188" s="20"/>
      <c r="Q188" s="33"/>
      <c r="R188" s="33"/>
      <c r="S188" s="33" t="s">
        <v>181</v>
      </c>
      <c r="T188" s="33">
        <f t="shared" ca="1" si="8"/>
        <v>61000</v>
      </c>
      <c r="U188" s="38">
        <f t="shared" ca="1" si="9"/>
        <v>54900</v>
      </c>
      <c r="V188" s="38">
        <f t="shared" ca="1" si="10"/>
        <v>51850</v>
      </c>
      <c r="W188" s="38">
        <f t="shared" ca="1" si="11"/>
        <v>48800</v>
      </c>
      <c r="X188" s="38">
        <f t="shared" ca="1" si="12"/>
        <v>42700</v>
      </c>
      <c r="Y188" s="18"/>
    </row>
    <row r="189" spans="1:25" ht="16" x14ac:dyDescent="0.15">
      <c r="A189" s="18"/>
      <c r="B189" s="20" t="s">
        <v>58</v>
      </c>
      <c r="C189" s="20" t="s">
        <v>60</v>
      </c>
      <c r="D189" s="20" t="s">
        <v>171</v>
      </c>
      <c r="E189" s="20" t="s">
        <v>63</v>
      </c>
      <c r="F189" s="20" t="s">
        <v>117</v>
      </c>
      <c r="G189" s="20">
        <v>1500</v>
      </c>
      <c r="H189" s="20" t="s">
        <v>66</v>
      </c>
      <c r="I189" s="20"/>
      <c r="J189" s="20"/>
      <c r="K189" s="20"/>
      <c r="L189" s="20"/>
      <c r="M189" s="20"/>
      <c r="N189" s="20"/>
      <c r="O189" s="20"/>
      <c r="P189" s="20"/>
      <c r="Q189" s="33"/>
      <c r="R189" s="33"/>
      <c r="S189" s="33" t="s">
        <v>175</v>
      </c>
      <c r="T189" s="33">
        <f t="shared" ca="1" si="8"/>
        <v>54400</v>
      </c>
      <c r="U189" s="38">
        <f t="shared" ca="1" si="9"/>
        <v>48960</v>
      </c>
      <c r="V189" s="38">
        <f t="shared" ca="1" si="10"/>
        <v>46240</v>
      </c>
      <c r="W189" s="38">
        <f t="shared" ca="1" si="11"/>
        <v>43520</v>
      </c>
      <c r="X189" s="38">
        <f t="shared" ca="1" si="12"/>
        <v>38080</v>
      </c>
      <c r="Y189" s="18"/>
    </row>
    <row r="190" spans="1:25" ht="16" x14ac:dyDescent="0.15">
      <c r="A190" s="18"/>
      <c r="B190" s="20" t="s">
        <v>58</v>
      </c>
      <c r="C190" s="20" t="s">
        <v>60</v>
      </c>
      <c r="D190" s="20" t="s">
        <v>171</v>
      </c>
      <c r="E190" s="20" t="s">
        <v>63</v>
      </c>
      <c r="F190" s="20" t="s">
        <v>117</v>
      </c>
      <c r="G190" s="20">
        <v>1500</v>
      </c>
      <c r="H190" s="20" t="s">
        <v>116</v>
      </c>
      <c r="I190" s="20"/>
      <c r="J190" s="20"/>
      <c r="K190" s="20"/>
      <c r="L190" s="20"/>
      <c r="M190" s="20"/>
      <c r="N190" s="20"/>
      <c r="O190" s="20"/>
      <c r="P190" s="20"/>
      <c r="Q190" s="33"/>
      <c r="R190" s="33"/>
      <c r="S190" s="33" t="s">
        <v>178</v>
      </c>
      <c r="T190" s="33">
        <f t="shared" ca="1" si="8"/>
        <v>52100</v>
      </c>
      <c r="U190" s="38">
        <f t="shared" ca="1" si="9"/>
        <v>46890</v>
      </c>
      <c r="V190" s="38">
        <f t="shared" ca="1" si="10"/>
        <v>44285</v>
      </c>
      <c r="W190" s="38">
        <f t="shared" ca="1" si="11"/>
        <v>41680</v>
      </c>
      <c r="X190" s="38">
        <f t="shared" ca="1" si="12"/>
        <v>36470</v>
      </c>
      <c r="Y190" s="18"/>
    </row>
    <row r="191" spans="1:25" ht="16" x14ac:dyDescent="0.15">
      <c r="A191" s="18"/>
      <c r="B191" s="20" t="s">
        <v>58</v>
      </c>
      <c r="C191" s="20" t="s">
        <v>60</v>
      </c>
      <c r="D191" s="20" t="s">
        <v>171</v>
      </c>
      <c r="E191" s="20" t="s">
        <v>63</v>
      </c>
      <c r="F191" s="20" t="s">
        <v>117</v>
      </c>
      <c r="G191" s="20">
        <v>1500</v>
      </c>
      <c r="H191" s="20" t="s">
        <v>131</v>
      </c>
      <c r="I191" s="20"/>
      <c r="J191" s="20"/>
      <c r="K191" s="20"/>
      <c r="L191" s="20"/>
      <c r="M191" s="20"/>
      <c r="N191" s="20"/>
      <c r="O191" s="20"/>
      <c r="P191" s="20"/>
      <c r="Q191" s="33"/>
      <c r="R191" s="33"/>
      <c r="S191" s="33" t="s">
        <v>181</v>
      </c>
      <c r="T191" s="33">
        <f t="shared" ca="1" si="8"/>
        <v>52900</v>
      </c>
      <c r="U191" s="38">
        <f t="shared" ca="1" si="9"/>
        <v>47610</v>
      </c>
      <c r="V191" s="38">
        <f t="shared" ca="1" si="10"/>
        <v>44965</v>
      </c>
      <c r="W191" s="38">
        <f t="shared" ca="1" si="11"/>
        <v>42320</v>
      </c>
      <c r="X191" s="38">
        <f t="shared" ca="1" si="12"/>
        <v>37030</v>
      </c>
      <c r="Y191" s="18"/>
    </row>
    <row r="192" spans="1:25" ht="16" x14ac:dyDescent="0.15">
      <c r="A192" s="18"/>
      <c r="B192" s="20" t="s">
        <v>58</v>
      </c>
      <c r="C192" s="20" t="s">
        <v>60</v>
      </c>
      <c r="D192" s="20" t="s">
        <v>171</v>
      </c>
      <c r="E192" s="20" t="s">
        <v>63</v>
      </c>
      <c r="F192" s="20" t="s">
        <v>119</v>
      </c>
      <c r="G192" s="20">
        <v>1500</v>
      </c>
      <c r="H192" s="20" t="s">
        <v>66</v>
      </c>
      <c r="I192" s="20"/>
      <c r="J192" s="20"/>
      <c r="K192" s="20"/>
      <c r="L192" s="20"/>
      <c r="M192" s="20"/>
      <c r="N192" s="20"/>
      <c r="O192" s="20"/>
      <c r="P192" s="20"/>
      <c r="Q192" s="33"/>
      <c r="R192" s="33"/>
      <c r="S192" s="33" t="s">
        <v>175</v>
      </c>
      <c r="T192" s="33">
        <f t="shared" ca="1" si="8"/>
        <v>46300</v>
      </c>
      <c r="U192" s="38">
        <f t="shared" ca="1" si="9"/>
        <v>41670</v>
      </c>
      <c r="V192" s="38">
        <f t="shared" ca="1" si="10"/>
        <v>39355</v>
      </c>
      <c r="W192" s="38">
        <f t="shared" ca="1" si="11"/>
        <v>37040</v>
      </c>
      <c r="X192" s="38">
        <f t="shared" ca="1" si="12"/>
        <v>32409.999999999996</v>
      </c>
      <c r="Y192" s="18"/>
    </row>
    <row r="193" spans="1:25" ht="16" x14ac:dyDescent="0.15">
      <c r="A193" s="18"/>
      <c r="B193" s="20" t="s">
        <v>58</v>
      </c>
      <c r="C193" s="20" t="s">
        <v>60</v>
      </c>
      <c r="D193" s="20" t="s">
        <v>171</v>
      </c>
      <c r="E193" s="20" t="s">
        <v>63</v>
      </c>
      <c r="F193" s="20" t="s">
        <v>119</v>
      </c>
      <c r="G193" s="20">
        <v>1500</v>
      </c>
      <c r="H193" s="20" t="s">
        <v>116</v>
      </c>
      <c r="I193" s="20"/>
      <c r="J193" s="20"/>
      <c r="K193" s="20"/>
      <c r="L193" s="20"/>
      <c r="M193" s="20"/>
      <c r="N193" s="20"/>
      <c r="O193" s="20"/>
      <c r="P193" s="20"/>
      <c r="Q193" s="33"/>
      <c r="R193" s="33"/>
      <c r="S193" s="33" t="s">
        <v>178</v>
      </c>
      <c r="T193" s="33">
        <f t="shared" ca="1" si="8"/>
        <v>77700</v>
      </c>
      <c r="U193" s="38">
        <f t="shared" ca="1" si="9"/>
        <v>69930</v>
      </c>
      <c r="V193" s="38">
        <f t="shared" ca="1" si="10"/>
        <v>66045</v>
      </c>
      <c r="W193" s="38">
        <f t="shared" ca="1" si="11"/>
        <v>62160</v>
      </c>
      <c r="X193" s="38">
        <f t="shared" ca="1" si="12"/>
        <v>54390</v>
      </c>
      <c r="Y193" s="18"/>
    </row>
    <row r="194" spans="1:25" ht="16" x14ac:dyDescent="0.15">
      <c r="A194" s="18"/>
      <c r="B194" s="20" t="s">
        <v>58</v>
      </c>
      <c r="C194" s="20" t="s">
        <v>60</v>
      </c>
      <c r="D194" s="20" t="s">
        <v>171</v>
      </c>
      <c r="E194" s="20" t="s">
        <v>63</v>
      </c>
      <c r="F194" s="20" t="s">
        <v>119</v>
      </c>
      <c r="G194" s="20">
        <v>1500</v>
      </c>
      <c r="H194" s="20" t="s">
        <v>131</v>
      </c>
      <c r="I194" s="20"/>
      <c r="J194" s="20"/>
      <c r="K194" s="20"/>
      <c r="L194" s="20"/>
      <c r="M194" s="20"/>
      <c r="N194" s="20"/>
      <c r="O194" s="20"/>
      <c r="P194" s="20"/>
      <c r="Q194" s="33"/>
      <c r="R194" s="33"/>
      <c r="S194" s="33" t="s">
        <v>181</v>
      </c>
      <c r="T194" s="33">
        <f t="shared" ca="1" si="8"/>
        <v>78600</v>
      </c>
      <c r="U194" s="38">
        <f t="shared" ca="1" si="9"/>
        <v>70740</v>
      </c>
      <c r="V194" s="38">
        <f t="shared" ca="1" si="10"/>
        <v>66810</v>
      </c>
      <c r="W194" s="38">
        <f t="shared" ca="1" si="11"/>
        <v>62880</v>
      </c>
      <c r="X194" s="38">
        <f t="shared" ca="1" si="12"/>
        <v>55020</v>
      </c>
      <c r="Y194" s="18"/>
    </row>
    <row r="195" spans="1:25" ht="16" x14ac:dyDescent="0.15">
      <c r="A195" s="18"/>
      <c r="B195" s="20" t="s">
        <v>58</v>
      </c>
      <c r="C195" s="20" t="s">
        <v>60</v>
      </c>
      <c r="D195" s="20" t="s">
        <v>171</v>
      </c>
      <c r="E195" s="20" t="s">
        <v>63</v>
      </c>
      <c r="F195" s="20" t="s">
        <v>125</v>
      </c>
      <c r="G195" s="20">
        <v>1500</v>
      </c>
      <c r="H195" s="20" t="s">
        <v>66</v>
      </c>
      <c r="I195" s="20"/>
      <c r="J195" s="20"/>
      <c r="K195" s="20"/>
      <c r="L195" s="20"/>
      <c r="M195" s="20"/>
      <c r="N195" s="20"/>
      <c r="O195" s="20"/>
      <c r="P195" s="20"/>
      <c r="Q195" s="33"/>
      <c r="R195" s="33"/>
      <c r="S195" s="33" t="s">
        <v>175</v>
      </c>
      <c r="T195" s="33">
        <f t="shared" ca="1" si="8"/>
        <v>72000</v>
      </c>
      <c r="U195" s="38">
        <f t="shared" ca="1" si="9"/>
        <v>64800</v>
      </c>
      <c r="V195" s="38">
        <f t="shared" ca="1" si="10"/>
        <v>61200</v>
      </c>
      <c r="W195" s="38">
        <f t="shared" ca="1" si="11"/>
        <v>57600</v>
      </c>
      <c r="X195" s="38">
        <f t="shared" ca="1" si="12"/>
        <v>50400</v>
      </c>
      <c r="Y195" s="18"/>
    </row>
    <row r="196" spans="1:25" ht="16" x14ac:dyDescent="0.15">
      <c r="A196" s="18"/>
      <c r="B196" s="20" t="s">
        <v>58</v>
      </c>
      <c r="C196" s="20" t="s">
        <v>60</v>
      </c>
      <c r="D196" s="20" t="s">
        <v>171</v>
      </c>
      <c r="E196" s="20" t="s">
        <v>63</v>
      </c>
      <c r="F196" s="20" t="s">
        <v>125</v>
      </c>
      <c r="G196" s="20">
        <v>1500</v>
      </c>
      <c r="H196" s="20" t="s">
        <v>116</v>
      </c>
      <c r="I196" s="20"/>
      <c r="J196" s="20"/>
      <c r="K196" s="20"/>
      <c r="L196" s="20"/>
      <c r="M196" s="20"/>
      <c r="N196" s="20"/>
      <c r="O196" s="20"/>
      <c r="P196" s="20"/>
      <c r="Q196" s="33"/>
      <c r="R196" s="33"/>
      <c r="S196" s="33" t="s">
        <v>178</v>
      </c>
      <c r="T196" s="33">
        <f t="shared" ca="1" si="8"/>
        <v>80400</v>
      </c>
      <c r="U196" s="38">
        <f t="shared" ca="1" si="9"/>
        <v>72360</v>
      </c>
      <c r="V196" s="38">
        <f t="shared" ca="1" si="10"/>
        <v>68340</v>
      </c>
      <c r="W196" s="38">
        <f t="shared" ca="1" si="11"/>
        <v>64320</v>
      </c>
      <c r="X196" s="38">
        <f t="shared" ca="1" si="12"/>
        <v>56280</v>
      </c>
      <c r="Y196" s="18"/>
    </row>
    <row r="197" spans="1:25" ht="16" x14ac:dyDescent="0.15">
      <c r="A197" s="18"/>
      <c r="B197" s="20" t="s">
        <v>58</v>
      </c>
      <c r="C197" s="20" t="s">
        <v>60</v>
      </c>
      <c r="D197" s="20" t="s">
        <v>171</v>
      </c>
      <c r="E197" s="20" t="s">
        <v>63</v>
      </c>
      <c r="F197" s="20" t="s">
        <v>125</v>
      </c>
      <c r="G197" s="20">
        <v>1500</v>
      </c>
      <c r="H197" s="20" t="s">
        <v>131</v>
      </c>
      <c r="I197" s="20"/>
      <c r="J197" s="20"/>
      <c r="K197" s="20"/>
      <c r="L197" s="20"/>
      <c r="M197" s="20"/>
      <c r="N197" s="20"/>
      <c r="O197" s="20"/>
      <c r="P197" s="20"/>
      <c r="Q197" s="33"/>
      <c r="R197" s="33"/>
      <c r="S197" s="33" t="s">
        <v>181</v>
      </c>
      <c r="T197" s="33">
        <f t="shared" ca="1" si="8"/>
        <v>81300</v>
      </c>
      <c r="U197" s="38">
        <f t="shared" ca="1" si="9"/>
        <v>73170</v>
      </c>
      <c r="V197" s="38">
        <f t="shared" ca="1" si="10"/>
        <v>69105</v>
      </c>
      <c r="W197" s="38">
        <f t="shared" ca="1" si="11"/>
        <v>65040</v>
      </c>
      <c r="X197" s="38">
        <f t="shared" ca="1" si="12"/>
        <v>56910</v>
      </c>
      <c r="Y197" s="18"/>
    </row>
    <row r="198" spans="1:25" ht="16" x14ac:dyDescent="0.15">
      <c r="A198" s="18"/>
      <c r="B198" s="20" t="s">
        <v>58</v>
      </c>
      <c r="C198" s="20" t="s">
        <v>60</v>
      </c>
      <c r="D198" s="20" t="s">
        <v>171</v>
      </c>
      <c r="E198" s="20" t="s">
        <v>161</v>
      </c>
      <c r="F198" s="20" t="s">
        <v>65</v>
      </c>
      <c r="G198" s="20">
        <v>1500</v>
      </c>
      <c r="H198" s="20" t="s">
        <v>66</v>
      </c>
      <c r="I198" s="20" t="str">
        <f t="shared" ref="I198:I200" si="13">CONCATENATE(B198,C198,"-",D198,"-",E198,"-",F198,"-",G198,"-",H198)</f>
        <v>WFLX-LSHP-NSH-PB-1500-F</v>
      </c>
      <c r="J198" s="20" t="s">
        <v>86</v>
      </c>
      <c r="K198" s="20" t="s">
        <v>130</v>
      </c>
      <c r="L198" s="20" t="s">
        <v>172</v>
      </c>
      <c r="M198" s="20" t="s">
        <v>162</v>
      </c>
      <c r="N198" s="20">
        <v>1500</v>
      </c>
      <c r="O198" s="20" t="s">
        <v>11</v>
      </c>
      <c r="P198" s="20" t="s">
        <v>23</v>
      </c>
      <c r="Q198" s="33"/>
      <c r="R198" s="33"/>
      <c r="S198" s="33" t="s">
        <v>184</v>
      </c>
      <c r="T198" s="33">
        <f t="shared" ca="1" si="8"/>
        <v>74700</v>
      </c>
      <c r="U198" s="38">
        <f t="shared" ca="1" si="9"/>
        <v>67230</v>
      </c>
      <c r="V198" s="38">
        <f t="shared" ca="1" si="10"/>
        <v>63495</v>
      </c>
      <c r="W198" s="38">
        <f t="shared" ca="1" si="11"/>
        <v>59760</v>
      </c>
      <c r="X198" s="38">
        <f t="shared" ca="1" si="12"/>
        <v>52290</v>
      </c>
      <c r="Y198" s="18"/>
    </row>
    <row r="199" spans="1:25" ht="16" x14ac:dyDescent="0.15">
      <c r="A199" s="18"/>
      <c r="B199" s="20" t="s">
        <v>58</v>
      </c>
      <c r="C199" s="20" t="s">
        <v>60</v>
      </c>
      <c r="D199" s="20" t="s">
        <v>171</v>
      </c>
      <c r="E199" s="20" t="s">
        <v>161</v>
      </c>
      <c r="F199" s="20" t="s">
        <v>65</v>
      </c>
      <c r="G199" s="20">
        <v>1500</v>
      </c>
      <c r="H199" s="20" t="s">
        <v>116</v>
      </c>
      <c r="I199" s="20" t="str">
        <f t="shared" si="13"/>
        <v>WFLX-LSHP-NSH-PB-1500-G</v>
      </c>
      <c r="J199" s="20" t="s">
        <v>86</v>
      </c>
      <c r="K199" s="20" t="s">
        <v>130</v>
      </c>
      <c r="L199" s="20" t="s">
        <v>172</v>
      </c>
      <c r="M199" s="20" t="s">
        <v>162</v>
      </c>
      <c r="N199" s="20">
        <v>1500</v>
      </c>
      <c r="O199" s="20" t="s">
        <v>11</v>
      </c>
      <c r="P199" s="20" t="s">
        <v>42</v>
      </c>
      <c r="Q199" s="33"/>
      <c r="R199" s="33"/>
      <c r="S199" s="33" t="s">
        <v>185</v>
      </c>
      <c r="T199" s="33">
        <f t="shared" ca="1" si="8"/>
        <v>96000</v>
      </c>
      <c r="U199" s="38">
        <f t="shared" ca="1" si="9"/>
        <v>86400</v>
      </c>
      <c r="V199" s="38">
        <f t="shared" ca="1" si="10"/>
        <v>81600</v>
      </c>
      <c r="W199" s="38">
        <f t="shared" ca="1" si="11"/>
        <v>76800</v>
      </c>
      <c r="X199" s="38">
        <f t="shared" ca="1" si="12"/>
        <v>67200</v>
      </c>
      <c r="Y199" s="18"/>
    </row>
    <row r="200" spans="1:25" ht="16" x14ac:dyDescent="0.15">
      <c r="A200" s="18"/>
      <c r="B200" s="20" t="s">
        <v>58</v>
      </c>
      <c r="C200" s="20" t="s">
        <v>60</v>
      </c>
      <c r="D200" s="20" t="s">
        <v>171</v>
      </c>
      <c r="E200" s="20" t="s">
        <v>161</v>
      </c>
      <c r="F200" s="20" t="s">
        <v>65</v>
      </c>
      <c r="G200" s="20">
        <v>1500</v>
      </c>
      <c r="H200" s="20" t="s">
        <v>131</v>
      </c>
      <c r="I200" s="20" t="str">
        <f t="shared" si="13"/>
        <v>WFLX-LSHP-NSH-PB-1500-X</v>
      </c>
      <c r="J200" s="20" t="s">
        <v>86</v>
      </c>
      <c r="K200" s="20" t="s">
        <v>130</v>
      </c>
      <c r="L200" s="20" t="s">
        <v>172</v>
      </c>
      <c r="M200" s="20" t="s">
        <v>162</v>
      </c>
      <c r="N200" s="20">
        <v>1500</v>
      </c>
      <c r="O200" s="20" t="s">
        <v>11</v>
      </c>
      <c r="P200" s="20" t="s">
        <v>55</v>
      </c>
      <c r="Q200" s="33"/>
      <c r="R200" s="33"/>
      <c r="S200" s="33" t="s">
        <v>186</v>
      </c>
      <c r="T200" s="33">
        <f t="shared" ca="1" si="8"/>
        <v>96800</v>
      </c>
      <c r="U200" s="38">
        <f t="shared" ca="1" si="9"/>
        <v>87120</v>
      </c>
      <c r="V200" s="38">
        <f t="shared" ca="1" si="10"/>
        <v>82280</v>
      </c>
      <c r="W200" s="38">
        <f t="shared" ca="1" si="11"/>
        <v>77440</v>
      </c>
      <c r="X200" s="38">
        <f t="shared" ca="1" si="12"/>
        <v>67760</v>
      </c>
      <c r="Y200" s="18"/>
    </row>
    <row r="201" spans="1:25" ht="15" x14ac:dyDescent="0.15">
      <c r="A201" s="18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33"/>
      <c r="R201" s="33"/>
      <c r="S201" s="33" t="s">
        <v>184</v>
      </c>
      <c r="T201" s="33">
        <f t="shared" ca="1" si="8"/>
        <v>90200</v>
      </c>
      <c r="U201" s="38">
        <f t="shared" ca="1" si="9"/>
        <v>81180</v>
      </c>
      <c r="V201" s="38">
        <f t="shared" ca="1" si="10"/>
        <v>76670</v>
      </c>
      <c r="W201" s="38">
        <f t="shared" ca="1" si="11"/>
        <v>72160</v>
      </c>
      <c r="X201" s="38">
        <f t="shared" ca="1" si="12"/>
        <v>63139.999999999993</v>
      </c>
      <c r="Y201" s="18"/>
    </row>
    <row r="202" spans="1:25" ht="15" x14ac:dyDescent="0.15">
      <c r="A202" s="1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33"/>
      <c r="R202" s="33"/>
      <c r="S202" s="33" t="s">
        <v>185</v>
      </c>
      <c r="T202" s="33">
        <f t="shared" ca="1" si="8"/>
        <v>0</v>
      </c>
      <c r="U202" s="38">
        <f t="shared" ca="1" si="9"/>
        <v>0</v>
      </c>
      <c r="V202" s="38">
        <f t="shared" ca="1" si="10"/>
        <v>0</v>
      </c>
      <c r="W202" s="38">
        <f t="shared" ca="1" si="11"/>
        <v>0</v>
      </c>
      <c r="X202" s="38">
        <f t="shared" ca="1" si="12"/>
        <v>0</v>
      </c>
      <c r="Y202" s="18"/>
    </row>
    <row r="203" spans="1:25" ht="15" x14ac:dyDescent="0.15">
      <c r="A203" s="18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33"/>
      <c r="R203" s="33"/>
      <c r="S203" s="33" t="s">
        <v>186</v>
      </c>
      <c r="T203" s="33">
        <f t="shared" ca="1" si="8"/>
        <v>0</v>
      </c>
      <c r="U203" s="38">
        <f t="shared" ca="1" si="9"/>
        <v>0</v>
      </c>
      <c r="V203" s="38">
        <f t="shared" ca="1" si="10"/>
        <v>0</v>
      </c>
      <c r="W203" s="38">
        <f t="shared" ca="1" si="11"/>
        <v>0</v>
      </c>
      <c r="X203" s="38">
        <f t="shared" ca="1" si="12"/>
        <v>0</v>
      </c>
      <c r="Y203" s="18"/>
    </row>
    <row r="204" spans="1:25" ht="15" x14ac:dyDescent="0.15">
      <c r="A204" s="1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33"/>
      <c r="R204" s="33"/>
      <c r="S204" s="33" t="s">
        <v>184</v>
      </c>
      <c r="T204" s="33">
        <f t="shared" ca="1" si="8"/>
        <v>0</v>
      </c>
      <c r="U204" s="38">
        <f t="shared" ca="1" si="9"/>
        <v>0</v>
      </c>
      <c r="V204" s="38">
        <f t="shared" ca="1" si="10"/>
        <v>0</v>
      </c>
      <c r="W204" s="38">
        <f t="shared" ca="1" si="11"/>
        <v>0</v>
      </c>
      <c r="X204" s="38">
        <f t="shared" ca="1" si="12"/>
        <v>0</v>
      </c>
      <c r="Y204" s="18"/>
    </row>
    <row r="205" spans="1:25" ht="15" x14ac:dyDescent="0.15">
      <c r="A205" s="18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33"/>
      <c r="R205" s="33"/>
      <c r="S205" s="33" t="s">
        <v>185</v>
      </c>
      <c r="T205" s="33">
        <f t="shared" ca="1" si="8"/>
        <v>0</v>
      </c>
      <c r="U205" s="38">
        <f t="shared" ca="1" si="9"/>
        <v>0</v>
      </c>
      <c r="V205" s="38">
        <f t="shared" ca="1" si="10"/>
        <v>0</v>
      </c>
      <c r="W205" s="38">
        <f t="shared" ca="1" si="11"/>
        <v>0</v>
      </c>
      <c r="X205" s="38">
        <f t="shared" ca="1" si="12"/>
        <v>0</v>
      </c>
      <c r="Y205" s="18"/>
    </row>
    <row r="206" spans="1:25" ht="15" x14ac:dyDescent="0.15">
      <c r="A206" s="1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33"/>
      <c r="R206" s="33"/>
      <c r="S206" s="33" t="s">
        <v>186</v>
      </c>
      <c r="T206" s="33">
        <f t="shared" ca="1" si="8"/>
        <v>0</v>
      </c>
      <c r="U206" s="38">
        <f t="shared" ca="1" si="9"/>
        <v>0</v>
      </c>
      <c r="V206" s="38">
        <f t="shared" ca="1" si="10"/>
        <v>0</v>
      </c>
      <c r="W206" s="38">
        <f t="shared" ca="1" si="11"/>
        <v>0</v>
      </c>
      <c r="X206" s="38">
        <f t="shared" ca="1" si="12"/>
        <v>0</v>
      </c>
      <c r="Y206" s="18"/>
    </row>
    <row r="207" spans="1:25" ht="15" x14ac:dyDescent="0.15">
      <c r="A207" s="18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33"/>
      <c r="R207" s="33"/>
      <c r="S207" s="33" t="s">
        <v>184</v>
      </c>
      <c r="T207" s="33">
        <f t="shared" ca="1" si="8"/>
        <v>0</v>
      </c>
      <c r="U207" s="38">
        <f t="shared" ca="1" si="9"/>
        <v>0</v>
      </c>
      <c r="V207" s="38">
        <f t="shared" ca="1" si="10"/>
        <v>0</v>
      </c>
      <c r="W207" s="38">
        <f t="shared" ca="1" si="11"/>
        <v>0</v>
      </c>
      <c r="X207" s="38">
        <f t="shared" ca="1" si="12"/>
        <v>0</v>
      </c>
      <c r="Y207" s="18"/>
    </row>
    <row r="208" spans="1:25" ht="15" x14ac:dyDescent="0.15">
      <c r="A208" s="1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33"/>
      <c r="R208" s="33"/>
      <c r="S208" s="33" t="s">
        <v>185</v>
      </c>
      <c r="T208" s="33">
        <f t="shared" ca="1" si="8"/>
        <v>0</v>
      </c>
      <c r="U208" s="38">
        <f t="shared" ca="1" si="9"/>
        <v>0</v>
      </c>
      <c r="V208" s="38">
        <f t="shared" ca="1" si="10"/>
        <v>0</v>
      </c>
      <c r="W208" s="38">
        <f t="shared" ca="1" si="11"/>
        <v>0</v>
      </c>
      <c r="X208" s="38">
        <f t="shared" ca="1" si="12"/>
        <v>0</v>
      </c>
      <c r="Y208" s="18"/>
    </row>
    <row r="209" spans="1:25" ht="15" x14ac:dyDescent="0.15">
      <c r="A209" s="18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33"/>
      <c r="R209" s="33"/>
      <c r="S209" s="33" t="s">
        <v>186</v>
      </c>
      <c r="T209" s="33">
        <f t="shared" ca="1" si="8"/>
        <v>0</v>
      </c>
      <c r="U209" s="38">
        <f t="shared" ca="1" si="9"/>
        <v>0</v>
      </c>
      <c r="V209" s="38">
        <f t="shared" ca="1" si="10"/>
        <v>0</v>
      </c>
      <c r="W209" s="38">
        <f t="shared" ca="1" si="11"/>
        <v>0</v>
      </c>
      <c r="X209" s="38">
        <f t="shared" ca="1" si="12"/>
        <v>0</v>
      </c>
      <c r="Y209" s="18"/>
    </row>
    <row r="210" spans="1:25" ht="15" x14ac:dyDescent="0.15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33"/>
      <c r="R210" s="33"/>
      <c r="S210" s="33" t="s">
        <v>184</v>
      </c>
      <c r="T210" s="33">
        <f t="shared" ca="1" si="8"/>
        <v>0</v>
      </c>
      <c r="U210" s="38">
        <f t="shared" ca="1" si="9"/>
        <v>0</v>
      </c>
      <c r="V210" s="38">
        <f t="shared" ca="1" si="10"/>
        <v>0</v>
      </c>
      <c r="W210" s="38">
        <f t="shared" ca="1" si="11"/>
        <v>0</v>
      </c>
      <c r="X210" s="38">
        <f t="shared" ca="1" si="12"/>
        <v>0</v>
      </c>
      <c r="Y210" s="18"/>
    </row>
    <row r="211" spans="1:25" ht="15" x14ac:dyDescent="0.15">
      <c r="A211" s="18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33"/>
      <c r="R211" s="33"/>
      <c r="S211" s="33" t="s">
        <v>185</v>
      </c>
      <c r="T211" s="33">
        <f t="shared" ca="1" si="8"/>
        <v>0</v>
      </c>
      <c r="U211" s="38">
        <f t="shared" ca="1" si="9"/>
        <v>0</v>
      </c>
      <c r="V211" s="38">
        <f t="shared" ca="1" si="10"/>
        <v>0</v>
      </c>
      <c r="W211" s="38">
        <f t="shared" ca="1" si="11"/>
        <v>0</v>
      </c>
      <c r="X211" s="38">
        <f t="shared" ca="1" si="12"/>
        <v>0</v>
      </c>
      <c r="Y211" s="18"/>
    </row>
    <row r="212" spans="1:25" ht="15" x14ac:dyDescent="0.15">
      <c r="A212" s="18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33"/>
      <c r="R212" s="33"/>
      <c r="S212" s="33" t="s">
        <v>186</v>
      </c>
      <c r="T212" s="33">
        <f t="shared" ca="1" si="8"/>
        <v>0</v>
      </c>
      <c r="U212" s="38">
        <f t="shared" ca="1" si="9"/>
        <v>0</v>
      </c>
      <c r="V212" s="38">
        <f t="shared" ca="1" si="10"/>
        <v>0</v>
      </c>
      <c r="W212" s="38">
        <f t="shared" ca="1" si="11"/>
        <v>0</v>
      </c>
      <c r="X212" s="38">
        <f t="shared" ca="1" si="12"/>
        <v>0</v>
      </c>
      <c r="Y212" s="18"/>
    </row>
    <row r="213" spans="1:25" ht="15" x14ac:dyDescent="0.15">
      <c r="A213" s="18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33"/>
      <c r="R213" s="33"/>
      <c r="S213" s="33" t="s">
        <v>184</v>
      </c>
      <c r="T213" s="33">
        <f t="shared" ca="1" si="8"/>
        <v>0</v>
      </c>
      <c r="U213" s="38">
        <f t="shared" ca="1" si="9"/>
        <v>0</v>
      </c>
      <c r="V213" s="38">
        <f t="shared" ca="1" si="10"/>
        <v>0</v>
      </c>
      <c r="W213" s="38">
        <f t="shared" ca="1" si="11"/>
        <v>0</v>
      </c>
      <c r="X213" s="38">
        <f t="shared" ca="1" si="12"/>
        <v>0</v>
      </c>
      <c r="Y213" s="18"/>
    </row>
    <row r="214" spans="1:25" ht="15" x14ac:dyDescent="0.15">
      <c r="A214" s="18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33"/>
      <c r="R214" s="33"/>
      <c r="S214" s="33" t="s">
        <v>185</v>
      </c>
      <c r="T214" s="33">
        <f t="shared" ca="1" si="8"/>
        <v>0</v>
      </c>
      <c r="U214" s="38">
        <f t="shared" ca="1" si="9"/>
        <v>0</v>
      </c>
      <c r="V214" s="38">
        <f t="shared" ca="1" si="10"/>
        <v>0</v>
      </c>
      <c r="W214" s="38">
        <f t="shared" ca="1" si="11"/>
        <v>0</v>
      </c>
      <c r="X214" s="38">
        <f t="shared" ca="1" si="12"/>
        <v>0</v>
      </c>
      <c r="Y214" s="18"/>
    </row>
    <row r="215" spans="1:25" ht="15" x14ac:dyDescent="0.15">
      <c r="A215" s="18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33"/>
      <c r="R215" s="33"/>
      <c r="S215" s="33" t="s">
        <v>186</v>
      </c>
      <c r="T215" s="33">
        <f t="shared" ca="1" si="8"/>
        <v>0</v>
      </c>
      <c r="U215" s="38">
        <f t="shared" ca="1" si="9"/>
        <v>0</v>
      </c>
      <c r="V215" s="38">
        <f t="shared" ca="1" si="10"/>
        <v>0</v>
      </c>
      <c r="W215" s="38">
        <f t="shared" ca="1" si="11"/>
        <v>0</v>
      </c>
      <c r="X215" s="38">
        <f t="shared" ca="1" si="12"/>
        <v>0</v>
      </c>
      <c r="Y215" s="18"/>
    </row>
    <row r="216" spans="1:25" ht="16" x14ac:dyDescent="0.15">
      <c r="A216" s="18"/>
      <c r="B216" s="20" t="s">
        <v>58</v>
      </c>
      <c r="C216" s="20" t="s">
        <v>134</v>
      </c>
      <c r="D216" s="20" t="s">
        <v>61</v>
      </c>
      <c r="E216" s="20" t="s">
        <v>63</v>
      </c>
      <c r="F216" s="20" t="s">
        <v>65</v>
      </c>
      <c r="G216" s="20">
        <v>900</v>
      </c>
      <c r="H216" s="20" t="s">
        <v>66</v>
      </c>
      <c r="I216" s="20" t="str">
        <f t="shared" ref="I216:I413" si="14">CONCATENATE(B216,C216,"-",D216,"-",E216,"-",F216,"-",G216,"-",H216)</f>
        <v>WSTK-LNR-SH-PB-900-F</v>
      </c>
      <c r="J216" s="20" t="s">
        <v>86</v>
      </c>
      <c r="K216" s="20" t="s">
        <v>133</v>
      </c>
      <c r="L216" s="20" t="s">
        <v>95</v>
      </c>
      <c r="M216" s="20" t="s">
        <v>96</v>
      </c>
      <c r="N216" s="20">
        <v>900</v>
      </c>
      <c r="O216" s="20" t="s">
        <v>11</v>
      </c>
      <c r="P216" s="20" t="s">
        <v>23</v>
      </c>
      <c r="Q216" s="33"/>
      <c r="R216" s="33"/>
      <c r="S216" s="33"/>
      <c r="T216" s="33">
        <f t="shared" ref="T216:T413" ca="1" si="15">INDIRECT("'CALC STK WST'!R"&amp;(ROW()-201)*7)</f>
        <v>19800</v>
      </c>
      <c r="U216" s="38">
        <f t="shared" ca="1" si="9"/>
        <v>17820</v>
      </c>
      <c r="V216" s="38">
        <f t="shared" ca="1" si="10"/>
        <v>16830</v>
      </c>
      <c r="W216" s="38">
        <f t="shared" ca="1" si="11"/>
        <v>15840</v>
      </c>
      <c r="X216" s="38">
        <f t="shared" ca="1" si="12"/>
        <v>13860</v>
      </c>
      <c r="Y216" s="18"/>
    </row>
    <row r="217" spans="1:25" ht="16" x14ac:dyDescent="0.15">
      <c r="A217" s="18"/>
      <c r="B217" s="20" t="s">
        <v>58</v>
      </c>
      <c r="C217" s="20" t="s">
        <v>134</v>
      </c>
      <c r="D217" s="20" t="s">
        <v>61</v>
      </c>
      <c r="E217" s="20" t="s">
        <v>63</v>
      </c>
      <c r="F217" s="20" t="s">
        <v>65</v>
      </c>
      <c r="G217" s="20">
        <v>900</v>
      </c>
      <c r="H217" s="20" t="s">
        <v>116</v>
      </c>
      <c r="I217" s="20" t="str">
        <f t="shared" si="14"/>
        <v>WSTK-LNR-SH-PB-900-G</v>
      </c>
      <c r="J217" s="20" t="s">
        <v>86</v>
      </c>
      <c r="K217" s="20" t="s">
        <v>133</v>
      </c>
      <c r="L217" s="20" t="s">
        <v>95</v>
      </c>
      <c r="M217" s="20" t="s">
        <v>96</v>
      </c>
      <c r="N217" s="20">
        <v>900</v>
      </c>
      <c r="O217" s="20" t="s">
        <v>11</v>
      </c>
      <c r="P217" s="20" t="s">
        <v>42</v>
      </c>
      <c r="Q217" s="33"/>
      <c r="R217" s="33"/>
      <c r="S217" s="33"/>
      <c r="T217" s="33">
        <f t="shared" ca="1" si="15"/>
        <v>27800</v>
      </c>
      <c r="U217" s="38">
        <f t="shared" ca="1" si="9"/>
        <v>25020</v>
      </c>
      <c r="V217" s="38">
        <f t="shared" ca="1" si="10"/>
        <v>23630</v>
      </c>
      <c r="W217" s="38">
        <f t="shared" ca="1" si="11"/>
        <v>22240</v>
      </c>
      <c r="X217" s="38">
        <f t="shared" ca="1" si="12"/>
        <v>19460</v>
      </c>
      <c r="Y217" s="18"/>
    </row>
    <row r="218" spans="1:25" ht="16" x14ac:dyDescent="0.15">
      <c r="A218" s="18"/>
      <c r="B218" s="20" t="s">
        <v>58</v>
      </c>
      <c r="C218" s="20" t="s">
        <v>134</v>
      </c>
      <c r="D218" s="20" t="s">
        <v>61</v>
      </c>
      <c r="E218" s="20" t="s">
        <v>63</v>
      </c>
      <c r="F218" s="20" t="s">
        <v>65</v>
      </c>
      <c r="G218" s="20">
        <v>900</v>
      </c>
      <c r="H218" s="20" t="s">
        <v>131</v>
      </c>
      <c r="I218" s="20" t="str">
        <f t="shared" si="14"/>
        <v>WSTK-LNR-SH-PB-900-X</v>
      </c>
      <c r="J218" s="20" t="s">
        <v>86</v>
      </c>
      <c r="K218" s="20" t="s">
        <v>133</v>
      </c>
      <c r="L218" s="20" t="s">
        <v>95</v>
      </c>
      <c r="M218" s="20" t="s">
        <v>96</v>
      </c>
      <c r="N218" s="20">
        <v>900</v>
      </c>
      <c r="O218" s="20" t="s">
        <v>11</v>
      </c>
      <c r="P218" s="20" t="s">
        <v>55</v>
      </c>
      <c r="Q218" s="33"/>
      <c r="R218" s="33"/>
      <c r="S218" s="33"/>
      <c r="T218" s="33">
        <f t="shared" ca="1" si="15"/>
        <v>28000</v>
      </c>
      <c r="U218" s="38">
        <f t="shared" ca="1" si="9"/>
        <v>25200</v>
      </c>
      <c r="V218" s="38">
        <f t="shared" ca="1" si="10"/>
        <v>23800</v>
      </c>
      <c r="W218" s="38">
        <f t="shared" ca="1" si="11"/>
        <v>22400</v>
      </c>
      <c r="X218" s="38">
        <f t="shared" ca="1" si="12"/>
        <v>19600</v>
      </c>
      <c r="Y218" s="18"/>
    </row>
    <row r="219" spans="1:25" ht="16" x14ac:dyDescent="0.15">
      <c r="A219" s="18"/>
      <c r="B219" s="20" t="s">
        <v>58</v>
      </c>
      <c r="C219" s="20" t="s">
        <v>134</v>
      </c>
      <c r="D219" s="20" t="s">
        <v>61</v>
      </c>
      <c r="E219" s="20" t="s">
        <v>63</v>
      </c>
      <c r="F219" s="20" t="s">
        <v>112</v>
      </c>
      <c r="G219" s="20">
        <v>900</v>
      </c>
      <c r="H219" s="20" t="s">
        <v>66</v>
      </c>
      <c r="I219" s="20" t="str">
        <f t="shared" si="14"/>
        <v>WSTK-LNR-SH-PLM-900-F</v>
      </c>
      <c r="J219" s="20" t="s">
        <v>86</v>
      </c>
      <c r="K219" s="20" t="s">
        <v>133</v>
      </c>
      <c r="L219" s="20" t="s">
        <v>95</v>
      </c>
      <c r="M219" s="20" t="s">
        <v>96</v>
      </c>
      <c r="N219" s="20">
        <v>900</v>
      </c>
      <c r="O219" s="20" t="s">
        <v>31</v>
      </c>
      <c r="P219" s="20" t="s">
        <v>23</v>
      </c>
      <c r="Q219" s="33"/>
      <c r="R219" s="33"/>
      <c r="S219" s="33"/>
      <c r="T219" s="33">
        <f t="shared" ca="1" si="15"/>
        <v>26000</v>
      </c>
      <c r="U219" s="38">
        <f t="shared" ca="1" si="9"/>
        <v>23400</v>
      </c>
      <c r="V219" s="38">
        <f t="shared" ca="1" si="10"/>
        <v>22100</v>
      </c>
      <c r="W219" s="38">
        <f t="shared" ca="1" si="11"/>
        <v>20800</v>
      </c>
      <c r="X219" s="38">
        <f t="shared" ca="1" si="12"/>
        <v>18200</v>
      </c>
      <c r="Y219" s="18"/>
    </row>
    <row r="220" spans="1:25" ht="16" x14ac:dyDescent="0.15">
      <c r="A220" s="18"/>
      <c r="B220" s="20" t="s">
        <v>58</v>
      </c>
      <c r="C220" s="20" t="s">
        <v>134</v>
      </c>
      <c r="D220" s="20" t="s">
        <v>61</v>
      </c>
      <c r="E220" s="20" t="s">
        <v>63</v>
      </c>
      <c r="F220" s="20" t="s">
        <v>112</v>
      </c>
      <c r="G220" s="20">
        <v>900</v>
      </c>
      <c r="H220" s="20" t="s">
        <v>116</v>
      </c>
      <c r="I220" s="20" t="str">
        <f t="shared" si="14"/>
        <v>WSTK-LNR-SH-PLM-900-G</v>
      </c>
      <c r="J220" s="20" t="s">
        <v>86</v>
      </c>
      <c r="K220" s="20" t="s">
        <v>133</v>
      </c>
      <c r="L220" s="20" t="s">
        <v>95</v>
      </c>
      <c r="M220" s="20" t="s">
        <v>96</v>
      </c>
      <c r="N220" s="20">
        <v>900</v>
      </c>
      <c r="O220" s="20" t="s">
        <v>31</v>
      </c>
      <c r="P220" s="20" t="s">
        <v>42</v>
      </c>
      <c r="Q220" s="33"/>
      <c r="R220" s="33"/>
      <c r="S220" s="33"/>
      <c r="T220" s="33">
        <f t="shared" ca="1" si="15"/>
        <v>14400</v>
      </c>
      <c r="U220" s="38">
        <f t="shared" ca="1" si="9"/>
        <v>12960</v>
      </c>
      <c r="V220" s="38">
        <f t="shared" ca="1" si="10"/>
        <v>12240</v>
      </c>
      <c r="W220" s="38">
        <f t="shared" ca="1" si="11"/>
        <v>11520</v>
      </c>
      <c r="X220" s="38">
        <f t="shared" ca="1" si="12"/>
        <v>10080</v>
      </c>
      <c r="Y220" s="18"/>
    </row>
    <row r="221" spans="1:25" ht="16" x14ac:dyDescent="0.15">
      <c r="A221" s="18"/>
      <c r="B221" s="20" t="s">
        <v>58</v>
      </c>
      <c r="C221" s="20" t="s">
        <v>134</v>
      </c>
      <c r="D221" s="20" t="s">
        <v>61</v>
      </c>
      <c r="E221" s="20" t="s">
        <v>63</v>
      </c>
      <c r="F221" s="20" t="s">
        <v>112</v>
      </c>
      <c r="G221" s="20">
        <v>900</v>
      </c>
      <c r="H221" s="20" t="s">
        <v>131</v>
      </c>
      <c r="I221" s="20" t="str">
        <f t="shared" si="14"/>
        <v>WSTK-LNR-SH-PLM-900-X</v>
      </c>
      <c r="J221" s="20" t="s">
        <v>86</v>
      </c>
      <c r="K221" s="20" t="s">
        <v>133</v>
      </c>
      <c r="L221" s="20" t="s">
        <v>95</v>
      </c>
      <c r="M221" s="20" t="s">
        <v>96</v>
      </c>
      <c r="N221" s="20">
        <v>900</v>
      </c>
      <c r="O221" s="20" t="s">
        <v>31</v>
      </c>
      <c r="P221" s="20" t="s">
        <v>55</v>
      </c>
      <c r="Q221" s="33"/>
      <c r="R221" s="33"/>
      <c r="S221" s="33"/>
      <c r="T221" s="33">
        <f t="shared" ca="1" si="15"/>
        <v>14700</v>
      </c>
      <c r="U221" s="38">
        <f t="shared" ca="1" si="9"/>
        <v>13230</v>
      </c>
      <c r="V221" s="38">
        <f t="shared" ca="1" si="10"/>
        <v>12495</v>
      </c>
      <c r="W221" s="38">
        <f t="shared" ca="1" si="11"/>
        <v>11760</v>
      </c>
      <c r="X221" s="38">
        <f t="shared" ca="1" si="12"/>
        <v>10290</v>
      </c>
      <c r="Y221" s="18"/>
    </row>
    <row r="222" spans="1:25" ht="16" x14ac:dyDescent="0.15">
      <c r="A222" s="18"/>
      <c r="B222" s="20" t="s">
        <v>58</v>
      </c>
      <c r="C222" s="20" t="s">
        <v>134</v>
      </c>
      <c r="D222" s="20" t="s">
        <v>61</v>
      </c>
      <c r="E222" s="20" t="s">
        <v>63</v>
      </c>
      <c r="F222" s="20" t="s">
        <v>114</v>
      </c>
      <c r="G222" s="20">
        <v>900</v>
      </c>
      <c r="H222" s="20" t="s">
        <v>66</v>
      </c>
      <c r="I222" s="20" t="str">
        <f t="shared" si="14"/>
        <v>WSTK-LNR-SH-PoLM-900-F</v>
      </c>
      <c r="J222" s="20" t="s">
        <v>86</v>
      </c>
      <c r="K222" s="20" t="s">
        <v>133</v>
      </c>
      <c r="L222" s="20" t="s">
        <v>95</v>
      </c>
      <c r="M222" s="20" t="s">
        <v>96</v>
      </c>
      <c r="N222" s="20">
        <v>900</v>
      </c>
      <c r="O222" s="20" t="s">
        <v>47</v>
      </c>
      <c r="P222" s="20" t="s">
        <v>23</v>
      </c>
      <c r="Q222" s="33"/>
      <c r="R222" s="33"/>
      <c r="S222" s="33"/>
      <c r="T222" s="33">
        <f t="shared" ca="1" si="15"/>
        <v>12100</v>
      </c>
      <c r="U222" s="38">
        <f t="shared" ca="1" si="9"/>
        <v>10890</v>
      </c>
      <c r="V222" s="38">
        <f t="shared" ca="1" si="10"/>
        <v>10285</v>
      </c>
      <c r="W222" s="38">
        <f t="shared" ca="1" si="11"/>
        <v>9680</v>
      </c>
      <c r="X222" s="38">
        <f t="shared" ca="1" si="12"/>
        <v>8470</v>
      </c>
      <c r="Y222" s="18"/>
    </row>
    <row r="223" spans="1:25" ht="16" x14ac:dyDescent="0.15">
      <c r="A223" s="18"/>
      <c r="B223" s="20" t="s">
        <v>58</v>
      </c>
      <c r="C223" s="20" t="s">
        <v>134</v>
      </c>
      <c r="D223" s="20" t="s">
        <v>61</v>
      </c>
      <c r="E223" s="20" t="s">
        <v>63</v>
      </c>
      <c r="F223" s="20" t="s">
        <v>114</v>
      </c>
      <c r="G223" s="20">
        <v>900</v>
      </c>
      <c r="H223" s="20" t="s">
        <v>116</v>
      </c>
      <c r="I223" s="20" t="str">
        <f t="shared" si="14"/>
        <v>WSTK-LNR-SH-PoLM-900-G</v>
      </c>
      <c r="J223" s="20" t="s">
        <v>86</v>
      </c>
      <c r="K223" s="20" t="s">
        <v>133</v>
      </c>
      <c r="L223" s="20" t="s">
        <v>95</v>
      </c>
      <c r="M223" s="20" t="s">
        <v>96</v>
      </c>
      <c r="N223" s="20">
        <v>900</v>
      </c>
      <c r="O223" s="20" t="s">
        <v>47</v>
      </c>
      <c r="P223" s="20" t="s">
        <v>42</v>
      </c>
      <c r="Q223" s="33"/>
      <c r="R223" s="33"/>
      <c r="S223" s="33"/>
      <c r="T223" s="33">
        <f t="shared" ca="1" si="15"/>
        <v>15500</v>
      </c>
      <c r="U223" s="38">
        <f t="shared" ca="1" si="9"/>
        <v>13950</v>
      </c>
      <c r="V223" s="38">
        <f t="shared" ca="1" si="10"/>
        <v>13175</v>
      </c>
      <c r="W223" s="38">
        <f t="shared" ca="1" si="11"/>
        <v>12400</v>
      </c>
      <c r="X223" s="38">
        <f t="shared" ca="1" si="12"/>
        <v>10850</v>
      </c>
      <c r="Y223" s="18"/>
    </row>
    <row r="224" spans="1:25" ht="16" x14ac:dyDescent="0.15">
      <c r="A224" s="18"/>
      <c r="B224" s="20" t="s">
        <v>58</v>
      </c>
      <c r="C224" s="20" t="s">
        <v>134</v>
      </c>
      <c r="D224" s="20" t="s">
        <v>61</v>
      </c>
      <c r="E224" s="20" t="s">
        <v>63</v>
      </c>
      <c r="F224" s="20" t="s">
        <v>114</v>
      </c>
      <c r="G224" s="20">
        <v>900</v>
      </c>
      <c r="H224" s="20" t="s">
        <v>131</v>
      </c>
      <c r="I224" s="20" t="str">
        <f t="shared" si="14"/>
        <v>WSTK-LNR-SH-PoLM-900-X</v>
      </c>
      <c r="J224" s="20" t="s">
        <v>86</v>
      </c>
      <c r="K224" s="20" t="s">
        <v>133</v>
      </c>
      <c r="L224" s="20" t="s">
        <v>95</v>
      </c>
      <c r="M224" s="20" t="s">
        <v>96</v>
      </c>
      <c r="N224" s="20">
        <v>900</v>
      </c>
      <c r="O224" s="20" t="s">
        <v>47</v>
      </c>
      <c r="P224" s="20" t="s">
        <v>55</v>
      </c>
      <c r="Q224" s="33"/>
      <c r="R224" s="33"/>
      <c r="S224" s="33"/>
      <c r="T224" s="33">
        <f t="shared" ca="1" si="15"/>
        <v>15800</v>
      </c>
      <c r="U224" s="38">
        <f t="shared" ca="1" si="9"/>
        <v>14220</v>
      </c>
      <c r="V224" s="38">
        <f t="shared" ca="1" si="10"/>
        <v>13430</v>
      </c>
      <c r="W224" s="38">
        <f t="shared" ca="1" si="11"/>
        <v>12640</v>
      </c>
      <c r="X224" s="38">
        <f t="shared" ca="1" si="12"/>
        <v>11060</v>
      </c>
      <c r="Y224" s="18"/>
    </row>
    <row r="225" spans="1:25" ht="16" x14ac:dyDescent="0.15">
      <c r="A225" s="18"/>
      <c r="B225" s="20" t="s">
        <v>58</v>
      </c>
      <c r="C225" s="20" t="s">
        <v>134</v>
      </c>
      <c r="D225" s="20" t="s">
        <v>61</v>
      </c>
      <c r="E225" s="20" t="s">
        <v>63</v>
      </c>
      <c r="F225" s="20" t="s">
        <v>117</v>
      </c>
      <c r="G225" s="20">
        <v>900</v>
      </c>
      <c r="H225" s="20" t="s">
        <v>66</v>
      </c>
      <c r="I225" s="20" t="str">
        <f t="shared" si="14"/>
        <v>WSTK-LNR-SH-LVM-900-F</v>
      </c>
      <c r="J225" s="20" t="s">
        <v>86</v>
      </c>
      <c r="K225" s="20" t="s">
        <v>133</v>
      </c>
      <c r="L225" s="20" t="s">
        <v>95</v>
      </c>
      <c r="M225" s="20" t="s">
        <v>96</v>
      </c>
      <c r="N225" s="20">
        <v>900</v>
      </c>
      <c r="O225" s="20" t="s">
        <v>157</v>
      </c>
      <c r="P225" s="20" t="s">
        <v>23</v>
      </c>
      <c r="Q225" s="33"/>
      <c r="R225" s="33"/>
      <c r="S225" s="33"/>
      <c r="T225" s="33">
        <f t="shared" ca="1" si="15"/>
        <v>13200</v>
      </c>
      <c r="U225" s="38">
        <f t="shared" ca="1" si="9"/>
        <v>11880</v>
      </c>
      <c r="V225" s="38">
        <f t="shared" ca="1" si="10"/>
        <v>11220</v>
      </c>
      <c r="W225" s="38">
        <f t="shared" ca="1" si="11"/>
        <v>10560</v>
      </c>
      <c r="X225" s="38">
        <f t="shared" ca="1" si="12"/>
        <v>9240</v>
      </c>
      <c r="Y225" s="18"/>
    </row>
    <row r="226" spans="1:25" ht="16" x14ac:dyDescent="0.15">
      <c r="A226" s="18"/>
      <c r="B226" s="20" t="s">
        <v>58</v>
      </c>
      <c r="C226" s="20" t="s">
        <v>134</v>
      </c>
      <c r="D226" s="20" t="s">
        <v>61</v>
      </c>
      <c r="E226" s="20" t="s">
        <v>63</v>
      </c>
      <c r="F226" s="20" t="s">
        <v>117</v>
      </c>
      <c r="G226" s="20">
        <v>900</v>
      </c>
      <c r="H226" s="20" t="s">
        <v>116</v>
      </c>
      <c r="I226" s="20" t="str">
        <f t="shared" si="14"/>
        <v>WSTK-LNR-SH-LVM-900-G</v>
      </c>
      <c r="J226" s="20" t="s">
        <v>86</v>
      </c>
      <c r="K226" s="20" t="s">
        <v>133</v>
      </c>
      <c r="L226" s="20" t="s">
        <v>95</v>
      </c>
      <c r="M226" s="20" t="s">
        <v>96</v>
      </c>
      <c r="N226" s="20">
        <v>900</v>
      </c>
      <c r="O226" s="20" t="s">
        <v>157</v>
      </c>
      <c r="P226" s="20" t="s">
        <v>42</v>
      </c>
      <c r="Q226" s="33"/>
      <c r="R226" s="33"/>
      <c r="S226" s="33"/>
      <c r="T226" s="33">
        <f t="shared" ca="1" si="15"/>
        <v>22000</v>
      </c>
      <c r="U226" s="38">
        <f t="shared" ca="1" si="9"/>
        <v>19800</v>
      </c>
      <c r="V226" s="38">
        <f t="shared" ca="1" si="10"/>
        <v>18700</v>
      </c>
      <c r="W226" s="38">
        <f t="shared" ca="1" si="11"/>
        <v>17600</v>
      </c>
      <c r="X226" s="38">
        <f t="shared" ca="1" si="12"/>
        <v>15399.999999999998</v>
      </c>
      <c r="Y226" s="18"/>
    </row>
    <row r="227" spans="1:25" ht="16" x14ac:dyDescent="0.15">
      <c r="A227" s="18"/>
      <c r="B227" s="20" t="s">
        <v>58</v>
      </c>
      <c r="C227" s="20" t="s">
        <v>134</v>
      </c>
      <c r="D227" s="20" t="s">
        <v>61</v>
      </c>
      <c r="E227" s="20" t="s">
        <v>63</v>
      </c>
      <c r="F227" s="20" t="s">
        <v>117</v>
      </c>
      <c r="G227" s="20">
        <v>900</v>
      </c>
      <c r="H227" s="20" t="s">
        <v>131</v>
      </c>
      <c r="I227" s="20" t="str">
        <f t="shared" si="14"/>
        <v>WSTK-LNR-SH-LVM-900-X</v>
      </c>
      <c r="J227" s="20" t="s">
        <v>86</v>
      </c>
      <c r="K227" s="20" t="s">
        <v>133</v>
      </c>
      <c r="L227" s="20" t="s">
        <v>95</v>
      </c>
      <c r="M227" s="20" t="s">
        <v>96</v>
      </c>
      <c r="N227" s="20">
        <v>900</v>
      </c>
      <c r="O227" s="20" t="s">
        <v>157</v>
      </c>
      <c r="P227" s="20" t="s">
        <v>55</v>
      </c>
      <c r="Q227" s="33"/>
      <c r="R227" s="33"/>
      <c r="S227" s="33"/>
      <c r="T227" s="33">
        <f t="shared" ca="1" si="15"/>
        <v>22300</v>
      </c>
      <c r="U227" s="38">
        <f t="shared" ca="1" si="9"/>
        <v>20070</v>
      </c>
      <c r="V227" s="38">
        <f t="shared" ca="1" si="10"/>
        <v>18955</v>
      </c>
      <c r="W227" s="38">
        <f t="shared" ca="1" si="11"/>
        <v>17840</v>
      </c>
      <c r="X227" s="38">
        <f t="shared" ca="1" si="12"/>
        <v>15609.999999999998</v>
      </c>
      <c r="Y227" s="18"/>
    </row>
    <row r="228" spans="1:25" ht="16" x14ac:dyDescent="0.15">
      <c r="A228" s="18"/>
      <c r="B228" s="20" t="s">
        <v>58</v>
      </c>
      <c r="C228" s="20" t="s">
        <v>134</v>
      </c>
      <c r="D228" s="20" t="s">
        <v>61</v>
      </c>
      <c r="E228" s="20" t="s">
        <v>63</v>
      </c>
      <c r="F228" s="20" t="s">
        <v>119</v>
      </c>
      <c r="G228" s="20">
        <v>900</v>
      </c>
      <c r="H228" s="20" t="s">
        <v>66</v>
      </c>
      <c r="I228" s="20" t="str">
        <f t="shared" si="14"/>
        <v>WSTK-LNR-SH-LVP-900-F</v>
      </c>
      <c r="J228" s="20" t="s">
        <v>86</v>
      </c>
      <c r="K228" s="20" t="s">
        <v>133</v>
      </c>
      <c r="L228" s="20" t="s">
        <v>95</v>
      </c>
      <c r="M228" s="20" t="s">
        <v>96</v>
      </c>
      <c r="N228" s="20">
        <v>900</v>
      </c>
      <c r="O228" s="20" t="s">
        <v>158</v>
      </c>
      <c r="P228" s="20" t="s">
        <v>23</v>
      </c>
      <c r="Q228" s="33"/>
      <c r="R228" s="33"/>
      <c r="S228" s="33"/>
      <c r="T228" s="33">
        <f t="shared" ca="1" si="15"/>
        <v>19700</v>
      </c>
      <c r="U228" s="38">
        <f t="shared" ca="1" si="9"/>
        <v>17730</v>
      </c>
      <c r="V228" s="38">
        <f t="shared" ca="1" si="10"/>
        <v>16745</v>
      </c>
      <c r="W228" s="38">
        <f t="shared" ca="1" si="11"/>
        <v>15760</v>
      </c>
      <c r="X228" s="38">
        <f t="shared" ca="1" si="12"/>
        <v>13790</v>
      </c>
      <c r="Y228" s="18"/>
    </row>
    <row r="229" spans="1:25" ht="16" x14ac:dyDescent="0.15">
      <c r="A229" s="18"/>
      <c r="B229" s="20" t="s">
        <v>58</v>
      </c>
      <c r="C229" s="20" t="s">
        <v>134</v>
      </c>
      <c r="D229" s="20" t="s">
        <v>61</v>
      </c>
      <c r="E229" s="20" t="s">
        <v>63</v>
      </c>
      <c r="F229" s="20" t="s">
        <v>119</v>
      </c>
      <c r="G229" s="20">
        <v>900</v>
      </c>
      <c r="H229" s="20" t="s">
        <v>116</v>
      </c>
      <c r="I229" s="20" t="str">
        <f t="shared" si="14"/>
        <v>WSTK-LNR-SH-LVP-900-G</v>
      </c>
      <c r="J229" s="20" t="s">
        <v>86</v>
      </c>
      <c r="K229" s="20" t="s">
        <v>133</v>
      </c>
      <c r="L229" s="20" t="s">
        <v>95</v>
      </c>
      <c r="M229" s="20" t="s">
        <v>96</v>
      </c>
      <c r="N229" s="20">
        <v>900</v>
      </c>
      <c r="O229" s="20" t="s">
        <v>158</v>
      </c>
      <c r="P229" s="20" t="s">
        <v>42</v>
      </c>
      <c r="Q229" s="33"/>
      <c r="R229" s="33"/>
      <c r="S229" s="33"/>
      <c r="T229" s="33">
        <f t="shared" ca="1" si="15"/>
        <v>24900</v>
      </c>
      <c r="U229" s="38">
        <f t="shared" ca="1" si="9"/>
        <v>22410</v>
      </c>
      <c r="V229" s="38">
        <f t="shared" ca="1" si="10"/>
        <v>21165</v>
      </c>
      <c r="W229" s="38">
        <f t="shared" ca="1" si="11"/>
        <v>19920</v>
      </c>
      <c r="X229" s="38">
        <f t="shared" ca="1" si="12"/>
        <v>17430</v>
      </c>
      <c r="Y229" s="18"/>
    </row>
    <row r="230" spans="1:25" ht="16" x14ac:dyDescent="0.15">
      <c r="A230" s="18"/>
      <c r="B230" s="20" t="s">
        <v>58</v>
      </c>
      <c r="C230" s="20" t="s">
        <v>134</v>
      </c>
      <c r="D230" s="20" t="s">
        <v>61</v>
      </c>
      <c r="E230" s="20" t="s">
        <v>63</v>
      </c>
      <c r="F230" s="20" t="s">
        <v>119</v>
      </c>
      <c r="G230" s="20">
        <v>900</v>
      </c>
      <c r="H230" s="20" t="s">
        <v>131</v>
      </c>
      <c r="I230" s="20" t="str">
        <f t="shared" si="14"/>
        <v>WSTK-LNR-SH-LVP-900-X</v>
      </c>
      <c r="J230" s="20" t="s">
        <v>86</v>
      </c>
      <c r="K230" s="20" t="s">
        <v>133</v>
      </c>
      <c r="L230" s="20" t="s">
        <v>95</v>
      </c>
      <c r="M230" s="20" t="s">
        <v>96</v>
      </c>
      <c r="N230" s="20">
        <v>900</v>
      </c>
      <c r="O230" s="20" t="s">
        <v>158</v>
      </c>
      <c r="P230" s="20" t="s">
        <v>55</v>
      </c>
      <c r="Q230" s="33"/>
      <c r="R230" s="33"/>
      <c r="S230" s="33"/>
      <c r="T230" s="33">
        <f t="shared" ca="1" si="15"/>
        <v>25200</v>
      </c>
      <c r="U230" s="38">
        <f t="shared" ca="1" si="9"/>
        <v>22680</v>
      </c>
      <c r="V230" s="38">
        <f t="shared" ca="1" si="10"/>
        <v>21420</v>
      </c>
      <c r="W230" s="38">
        <f t="shared" ca="1" si="11"/>
        <v>20160</v>
      </c>
      <c r="X230" s="38">
        <f t="shared" ca="1" si="12"/>
        <v>17640</v>
      </c>
      <c r="Y230" s="18"/>
    </row>
    <row r="231" spans="1:25" ht="16" x14ac:dyDescent="0.15">
      <c r="A231" s="18"/>
      <c r="B231" s="20" t="s">
        <v>58</v>
      </c>
      <c r="C231" s="20" t="s">
        <v>134</v>
      </c>
      <c r="D231" s="20" t="s">
        <v>61</v>
      </c>
      <c r="E231" s="20" t="s">
        <v>63</v>
      </c>
      <c r="F231" s="20" t="s">
        <v>125</v>
      </c>
      <c r="G231" s="20">
        <v>900</v>
      </c>
      <c r="H231" s="20" t="s">
        <v>66</v>
      </c>
      <c r="I231" s="20" t="str">
        <f t="shared" si="14"/>
        <v>WSTK-LNR-SH-MB-900-F</v>
      </c>
      <c r="J231" s="20" t="s">
        <v>86</v>
      </c>
      <c r="K231" s="20" t="s">
        <v>133</v>
      </c>
      <c r="L231" s="20" t="s">
        <v>95</v>
      </c>
      <c r="M231" s="20" t="s">
        <v>96</v>
      </c>
      <c r="N231" s="20">
        <v>900</v>
      </c>
      <c r="O231" s="20" t="s">
        <v>97</v>
      </c>
      <c r="P231" s="20" t="s">
        <v>23</v>
      </c>
      <c r="Q231" s="33"/>
      <c r="R231" s="33"/>
      <c r="S231" s="33"/>
      <c r="T231" s="33">
        <f t="shared" ca="1" si="15"/>
        <v>22600</v>
      </c>
      <c r="U231" s="38">
        <f t="shared" ca="1" si="9"/>
        <v>20340</v>
      </c>
      <c r="V231" s="38">
        <f t="shared" ca="1" si="10"/>
        <v>19210</v>
      </c>
      <c r="W231" s="38">
        <f t="shared" ca="1" si="11"/>
        <v>18080</v>
      </c>
      <c r="X231" s="38">
        <f t="shared" ca="1" si="12"/>
        <v>15819.999999999998</v>
      </c>
      <c r="Y231" s="18"/>
    </row>
    <row r="232" spans="1:25" ht="16" x14ac:dyDescent="0.15">
      <c r="A232" s="18"/>
      <c r="B232" s="20" t="s">
        <v>58</v>
      </c>
      <c r="C232" s="20" t="s">
        <v>134</v>
      </c>
      <c r="D232" s="20" t="s">
        <v>61</v>
      </c>
      <c r="E232" s="20" t="s">
        <v>63</v>
      </c>
      <c r="F232" s="20" t="s">
        <v>125</v>
      </c>
      <c r="G232" s="20">
        <v>900</v>
      </c>
      <c r="H232" s="20" t="s">
        <v>116</v>
      </c>
      <c r="I232" s="20" t="str">
        <f t="shared" si="14"/>
        <v>WSTK-LNR-SH-MB-900-G</v>
      </c>
      <c r="J232" s="20" t="s">
        <v>86</v>
      </c>
      <c r="K232" s="20" t="s">
        <v>133</v>
      </c>
      <c r="L232" s="20" t="s">
        <v>95</v>
      </c>
      <c r="M232" s="20" t="s">
        <v>96</v>
      </c>
      <c r="N232" s="20">
        <v>900</v>
      </c>
      <c r="O232" s="20" t="s">
        <v>97</v>
      </c>
      <c r="P232" s="20" t="s">
        <v>42</v>
      </c>
      <c r="Q232" s="33"/>
      <c r="R232" s="33"/>
      <c r="S232" s="33"/>
      <c r="T232" s="33">
        <f t="shared" ca="1" si="15"/>
        <v>26300</v>
      </c>
      <c r="U232" s="38">
        <f t="shared" ca="1" si="9"/>
        <v>23670</v>
      </c>
      <c r="V232" s="38">
        <f t="shared" ca="1" si="10"/>
        <v>22355</v>
      </c>
      <c r="W232" s="38">
        <f t="shared" ca="1" si="11"/>
        <v>21040</v>
      </c>
      <c r="X232" s="38">
        <f t="shared" ca="1" si="12"/>
        <v>18410</v>
      </c>
      <c r="Y232" s="18"/>
    </row>
    <row r="233" spans="1:25" ht="16" x14ac:dyDescent="0.15">
      <c r="A233" s="18"/>
      <c r="B233" s="20" t="s">
        <v>58</v>
      </c>
      <c r="C233" s="20" t="s">
        <v>134</v>
      </c>
      <c r="D233" s="20" t="s">
        <v>61</v>
      </c>
      <c r="E233" s="20" t="s">
        <v>63</v>
      </c>
      <c r="F233" s="20" t="s">
        <v>125</v>
      </c>
      <c r="G233" s="20">
        <v>900</v>
      </c>
      <c r="H233" s="20" t="s">
        <v>131</v>
      </c>
      <c r="I233" s="20" t="str">
        <f t="shared" si="14"/>
        <v>WSTK-LNR-SH-MB-900-X</v>
      </c>
      <c r="J233" s="20" t="s">
        <v>86</v>
      </c>
      <c r="K233" s="20" t="s">
        <v>133</v>
      </c>
      <c r="L233" s="20" t="s">
        <v>95</v>
      </c>
      <c r="M233" s="20" t="s">
        <v>96</v>
      </c>
      <c r="N233" s="20">
        <v>900</v>
      </c>
      <c r="O233" s="20" t="s">
        <v>97</v>
      </c>
      <c r="P233" s="20" t="s">
        <v>55</v>
      </c>
      <c r="Q233" s="33"/>
      <c r="R233" s="33"/>
      <c r="S233" s="33"/>
      <c r="T233" s="33">
        <f t="shared" ca="1" si="15"/>
        <v>26600</v>
      </c>
      <c r="U233" s="38">
        <f t="shared" ca="1" si="9"/>
        <v>23940</v>
      </c>
      <c r="V233" s="38">
        <f t="shared" ca="1" si="10"/>
        <v>22610</v>
      </c>
      <c r="W233" s="38">
        <f t="shared" ca="1" si="11"/>
        <v>21280</v>
      </c>
      <c r="X233" s="38">
        <f t="shared" ca="1" si="12"/>
        <v>18620</v>
      </c>
      <c r="Y233" s="18"/>
    </row>
    <row r="234" spans="1:25" ht="16" x14ac:dyDescent="0.15">
      <c r="A234" s="18"/>
      <c r="B234" s="20" t="s">
        <v>58</v>
      </c>
      <c r="C234" s="20" t="s">
        <v>134</v>
      </c>
      <c r="D234" s="20" t="s">
        <v>61</v>
      </c>
      <c r="E234" s="20" t="s">
        <v>63</v>
      </c>
      <c r="F234" s="20" t="s">
        <v>65</v>
      </c>
      <c r="G234" s="20">
        <v>1200</v>
      </c>
      <c r="H234" s="20" t="s">
        <v>66</v>
      </c>
      <c r="I234" s="20" t="str">
        <f t="shared" si="14"/>
        <v>WSTK-LNR-SH-PB-1200-F</v>
      </c>
      <c r="J234" s="20" t="s">
        <v>86</v>
      </c>
      <c r="K234" s="20" t="s">
        <v>133</v>
      </c>
      <c r="L234" s="20" t="s">
        <v>95</v>
      </c>
      <c r="M234" s="20" t="s">
        <v>96</v>
      </c>
      <c r="N234" s="20">
        <v>1200</v>
      </c>
      <c r="O234" s="20" t="s">
        <v>11</v>
      </c>
      <c r="P234" s="20" t="s">
        <v>23</v>
      </c>
      <c r="Q234" s="33"/>
      <c r="R234" s="33"/>
      <c r="S234" s="33"/>
      <c r="T234" s="33">
        <f t="shared" ca="1" si="15"/>
        <v>24000</v>
      </c>
      <c r="U234" s="38">
        <f t="shared" ca="1" si="9"/>
        <v>21600</v>
      </c>
      <c r="V234" s="38">
        <f t="shared" ca="1" si="10"/>
        <v>20400</v>
      </c>
      <c r="W234" s="38">
        <f t="shared" ca="1" si="11"/>
        <v>19200</v>
      </c>
      <c r="X234" s="38">
        <f t="shared" ca="1" si="12"/>
        <v>16800</v>
      </c>
      <c r="Y234" s="18"/>
    </row>
    <row r="235" spans="1:25" ht="16" x14ac:dyDescent="0.15">
      <c r="A235" s="18"/>
      <c r="B235" s="20" t="s">
        <v>58</v>
      </c>
      <c r="C235" s="20" t="s">
        <v>134</v>
      </c>
      <c r="D235" s="20" t="s">
        <v>61</v>
      </c>
      <c r="E235" s="20" t="s">
        <v>63</v>
      </c>
      <c r="F235" s="20" t="s">
        <v>65</v>
      </c>
      <c r="G235" s="20">
        <v>1200</v>
      </c>
      <c r="H235" s="20" t="s">
        <v>116</v>
      </c>
      <c r="I235" s="20" t="str">
        <f t="shared" si="14"/>
        <v>WSTK-LNR-SH-PB-1200-G</v>
      </c>
      <c r="J235" s="20" t="s">
        <v>86</v>
      </c>
      <c r="K235" s="20" t="s">
        <v>133</v>
      </c>
      <c r="L235" s="20" t="s">
        <v>95</v>
      </c>
      <c r="M235" s="20" t="s">
        <v>96</v>
      </c>
      <c r="N235" s="20">
        <v>1200</v>
      </c>
      <c r="O235" s="20" t="s">
        <v>11</v>
      </c>
      <c r="P235" s="20" t="s">
        <v>42</v>
      </c>
      <c r="Q235" s="33"/>
      <c r="R235" s="33"/>
      <c r="S235" s="33"/>
      <c r="T235" s="33">
        <f t="shared" ca="1" si="15"/>
        <v>34600</v>
      </c>
      <c r="U235" s="38">
        <f t="shared" ca="1" si="9"/>
        <v>31140</v>
      </c>
      <c r="V235" s="38">
        <f t="shared" ca="1" si="10"/>
        <v>29410</v>
      </c>
      <c r="W235" s="38">
        <f t="shared" ca="1" si="11"/>
        <v>27680</v>
      </c>
      <c r="X235" s="38">
        <f t="shared" ca="1" si="12"/>
        <v>24220</v>
      </c>
      <c r="Y235" s="18"/>
    </row>
    <row r="236" spans="1:25" ht="16" x14ac:dyDescent="0.15">
      <c r="A236" s="18"/>
      <c r="B236" s="20" t="s">
        <v>58</v>
      </c>
      <c r="C236" s="20" t="s">
        <v>134</v>
      </c>
      <c r="D236" s="20" t="s">
        <v>61</v>
      </c>
      <c r="E236" s="20" t="s">
        <v>63</v>
      </c>
      <c r="F236" s="20" t="s">
        <v>65</v>
      </c>
      <c r="G236" s="20">
        <v>1200</v>
      </c>
      <c r="H236" s="20" t="s">
        <v>131</v>
      </c>
      <c r="I236" s="20" t="str">
        <f t="shared" si="14"/>
        <v>WSTK-LNR-SH-PB-1200-X</v>
      </c>
      <c r="J236" s="20" t="s">
        <v>86</v>
      </c>
      <c r="K236" s="20" t="s">
        <v>133</v>
      </c>
      <c r="L236" s="20" t="s">
        <v>95</v>
      </c>
      <c r="M236" s="20" t="s">
        <v>96</v>
      </c>
      <c r="N236" s="20">
        <v>1200</v>
      </c>
      <c r="O236" s="20" t="s">
        <v>11</v>
      </c>
      <c r="P236" s="20" t="s">
        <v>55</v>
      </c>
      <c r="Q236" s="33"/>
      <c r="R236" s="33"/>
      <c r="S236" s="33"/>
      <c r="T236" s="33">
        <f t="shared" ca="1" si="15"/>
        <v>34900</v>
      </c>
      <c r="U236" s="38">
        <f t="shared" ca="1" si="9"/>
        <v>31410</v>
      </c>
      <c r="V236" s="38">
        <f t="shared" ca="1" si="10"/>
        <v>29665</v>
      </c>
      <c r="W236" s="38">
        <f t="shared" ca="1" si="11"/>
        <v>27920</v>
      </c>
      <c r="X236" s="38">
        <f t="shared" ca="1" si="12"/>
        <v>24430</v>
      </c>
      <c r="Y236" s="18"/>
    </row>
    <row r="237" spans="1:25" ht="16" x14ac:dyDescent="0.15">
      <c r="A237" s="18"/>
      <c r="B237" s="20" t="s">
        <v>58</v>
      </c>
      <c r="C237" s="20" t="s">
        <v>134</v>
      </c>
      <c r="D237" s="20" t="s">
        <v>61</v>
      </c>
      <c r="E237" s="20" t="s">
        <v>63</v>
      </c>
      <c r="F237" s="20" t="s">
        <v>112</v>
      </c>
      <c r="G237" s="20">
        <v>1200</v>
      </c>
      <c r="H237" s="20" t="s">
        <v>66</v>
      </c>
      <c r="I237" s="20" t="str">
        <f t="shared" si="14"/>
        <v>WSTK-LNR-SH-PLM-1200-F</v>
      </c>
      <c r="J237" s="20" t="s">
        <v>86</v>
      </c>
      <c r="K237" s="20" t="s">
        <v>133</v>
      </c>
      <c r="L237" s="20" t="s">
        <v>95</v>
      </c>
      <c r="M237" s="20" t="s">
        <v>96</v>
      </c>
      <c r="N237" s="20">
        <v>1200</v>
      </c>
      <c r="O237" s="20" t="s">
        <v>31</v>
      </c>
      <c r="P237" s="20" t="s">
        <v>23</v>
      </c>
      <c r="Q237" s="33"/>
      <c r="R237" s="33"/>
      <c r="S237" s="33"/>
      <c r="T237" s="33">
        <f t="shared" ca="1" si="15"/>
        <v>32300</v>
      </c>
      <c r="U237" s="38">
        <f t="shared" ca="1" si="9"/>
        <v>29070</v>
      </c>
      <c r="V237" s="38">
        <f t="shared" ca="1" si="10"/>
        <v>27455</v>
      </c>
      <c r="W237" s="38">
        <f t="shared" ca="1" si="11"/>
        <v>25840</v>
      </c>
      <c r="X237" s="38">
        <f t="shared" ca="1" si="12"/>
        <v>22610</v>
      </c>
      <c r="Y237" s="18"/>
    </row>
    <row r="238" spans="1:25" ht="16" x14ac:dyDescent="0.15">
      <c r="A238" s="18"/>
      <c r="B238" s="20" t="s">
        <v>58</v>
      </c>
      <c r="C238" s="20" t="s">
        <v>134</v>
      </c>
      <c r="D238" s="20" t="s">
        <v>61</v>
      </c>
      <c r="E238" s="20" t="s">
        <v>63</v>
      </c>
      <c r="F238" s="20" t="s">
        <v>112</v>
      </c>
      <c r="G238" s="20">
        <v>1200</v>
      </c>
      <c r="H238" s="20" t="s">
        <v>116</v>
      </c>
      <c r="I238" s="20" t="str">
        <f t="shared" si="14"/>
        <v>WSTK-LNR-SH-PLM-1200-G</v>
      </c>
      <c r="J238" s="20" t="s">
        <v>86</v>
      </c>
      <c r="K238" s="20" t="s">
        <v>133</v>
      </c>
      <c r="L238" s="20" t="s">
        <v>95</v>
      </c>
      <c r="M238" s="20" t="s">
        <v>96</v>
      </c>
      <c r="N238" s="20">
        <v>1200</v>
      </c>
      <c r="O238" s="20" t="s">
        <v>31</v>
      </c>
      <c r="P238" s="20" t="s">
        <v>42</v>
      </c>
      <c r="Q238" s="33"/>
      <c r="R238" s="33"/>
      <c r="S238" s="33"/>
      <c r="T238" s="33">
        <f t="shared" ca="1" si="15"/>
        <v>16100</v>
      </c>
      <c r="U238" s="38">
        <f t="shared" ca="1" si="9"/>
        <v>14490</v>
      </c>
      <c r="V238" s="38">
        <f t="shared" ca="1" si="10"/>
        <v>13685</v>
      </c>
      <c r="W238" s="38">
        <f t="shared" ca="1" si="11"/>
        <v>12880</v>
      </c>
      <c r="X238" s="38">
        <f t="shared" ca="1" si="12"/>
        <v>11270</v>
      </c>
      <c r="Y238" s="18"/>
    </row>
    <row r="239" spans="1:25" ht="16" x14ac:dyDescent="0.15">
      <c r="A239" s="18"/>
      <c r="B239" s="20" t="s">
        <v>58</v>
      </c>
      <c r="C239" s="20" t="s">
        <v>134</v>
      </c>
      <c r="D239" s="20" t="s">
        <v>61</v>
      </c>
      <c r="E239" s="20" t="s">
        <v>63</v>
      </c>
      <c r="F239" s="20" t="s">
        <v>112</v>
      </c>
      <c r="G239" s="20">
        <v>1200</v>
      </c>
      <c r="H239" s="20" t="s">
        <v>131</v>
      </c>
      <c r="I239" s="20" t="str">
        <f t="shared" si="14"/>
        <v>WSTK-LNR-SH-PLM-1200-X</v>
      </c>
      <c r="J239" s="20" t="s">
        <v>86</v>
      </c>
      <c r="K239" s="20" t="s">
        <v>133</v>
      </c>
      <c r="L239" s="20" t="s">
        <v>95</v>
      </c>
      <c r="M239" s="20" t="s">
        <v>96</v>
      </c>
      <c r="N239" s="20">
        <v>1200</v>
      </c>
      <c r="O239" s="20" t="s">
        <v>31</v>
      </c>
      <c r="P239" s="20" t="s">
        <v>55</v>
      </c>
      <c r="Q239" s="33"/>
      <c r="R239" s="33"/>
      <c r="S239" s="33"/>
      <c r="T239" s="33">
        <f t="shared" ca="1" si="15"/>
        <v>16600</v>
      </c>
      <c r="U239" s="38">
        <f t="shared" ca="1" si="9"/>
        <v>14940</v>
      </c>
      <c r="V239" s="38">
        <f t="shared" ca="1" si="10"/>
        <v>14110</v>
      </c>
      <c r="W239" s="38">
        <f t="shared" ca="1" si="11"/>
        <v>13280</v>
      </c>
      <c r="X239" s="38">
        <f t="shared" ca="1" si="12"/>
        <v>11620</v>
      </c>
      <c r="Y239" s="18"/>
    </row>
    <row r="240" spans="1:25" ht="16" x14ac:dyDescent="0.15">
      <c r="A240" s="18"/>
      <c r="B240" s="20" t="s">
        <v>58</v>
      </c>
      <c r="C240" s="20" t="s">
        <v>134</v>
      </c>
      <c r="D240" s="20" t="s">
        <v>61</v>
      </c>
      <c r="E240" s="20" t="s">
        <v>63</v>
      </c>
      <c r="F240" s="20" t="s">
        <v>114</v>
      </c>
      <c r="G240" s="20">
        <v>1200</v>
      </c>
      <c r="H240" s="20" t="s">
        <v>66</v>
      </c>
      <c r="I240" s="20" t="str">
        <f t="shared" si="14"/>
        <v>WSTK-LNR-SH-PoLM-1200-F</v>
      </c>
      <c r="J240" s="20" t="s">
        <v>86</v>
      </c>
      <c r="K240" s="20" t="s">
        <v>133</v>
      </c>
      <c r="L240" s="20" t="s">
        <v>95</v>
      </c>
      <c r="M240" s="20" t="s">
        <v>96</v>
      </c>
      <c r="N240" s="20">
        <v>1200</v>
      </c>
      <c r="O240" s="20" t="s">
        <v>47</v>
      </c>
      <c r="P240" s="20" t="s">
        <v>23</v>
      </c>
      <c r="Q240" s="33"/>
      <c r="R240" s="33"/>
      <c r="S240" s="33"/>
      <c r="T240" s="33">
        <f t="shared" ca="1" si="15"/>
        <v>13300</v>
      </c>
      <c r="U240" s="38">
        <f t="shared" ca="1" si="9"/>
        <v>11970</v>
      </c>
      <c r="V240" s="38">
        <f t="shared" ca="1" si="10"/>
        <v>11305</v>
      </c>
      <c r="W240" s="38">
        <f t="shared" ca="1" si="11"/>
        <v>10640</v>
      </c>
      <c r="X240" s="38">
        <f t="shared" ca="1" si="12"/>
        <v>9310</v>
      </c>
      <c r="Y240" s="18"/>
    </row>
    <row r="241" spans="1:25" ht="16" x14ac:dyDescent="0.15">
      <c r="A241" s="18"/>
      <c r="B241" s="20" t="s">
        <v>58</v>
      </c>
      <c r="C241" s="20" t="s">
        <v>134</v>
      </c>
      <c r="D241" s="20" t="s">
        <v>61</v>
      </c>
      <c r="E241" s="20" t="s">
        <v>63</v>
      </c>
      <c r="F241" s="20" t="s">
        <v>114</v>
      </c>
      <c r="G241" s="20">
        <v>1200</v>
      </c>
      <c r="H241" s="20" t="s">
        <v>116</v>
      </c>
      <c r="I241" s="20" t="str">
        <f t="shared" si="14"/>
        <v>WSTK-LNR-SH-PoLM-1200-G</v>
      </c>
      <c r="J241" s="20" t="s">
        <v>86</v>
      </c>
      <c r="K241" s="20" t="s">
        <v>133</v>
      </c>
      <c r="L241" s="20" t="s">
        <v>95</v>
      </c>
      <c r="M241" s="20" t="s">
        <v>96</v>
      </c>
      <c r="N241" s="20">
        <v>1200</v>
      </c>
      <c r="O241" s="20" t="s">
        <v>47</v>
      </c>
      <c r="P241" s="20" t="s">
        <v>42</v>
      </c>
      <c r="Q241" s="33"/>
      <c r="R241" s="33"/>
      <c r="S241" s="33"/>
      <c r="T241" s="33">
        <f t="shared" ca="1" si="15"/>
        <v>17600</v>
      </c>
      <c r="U241" s="38">
        <f t="shared" ca="1" si="9"/>
        <v>15840</v>
      </c>
      <c r="V241" s="38">
        <f t="shared" ca="1" si="10"/>
        <v>14960</v>
      </c>
      <c r="W241" s="38">
        <f t="shared" ca="1" si="11"/>
        <v>14080</v>
      </c>
      <c r="X241" s="38">
        <f t="shared" ca="1" si="12"/>
        <v>12320</v>
      </c>
      <c r="Y241" s="18"/>
    </row>
    <row r="242" spans="1:25" ht="16" x14ac:dyDescent="0.15">
      <c r="A242" s="18"/>
      <c r="B242" s="20" t="s">
        <v>58</v>
      </c>
      <c r="C242" s="20" t="s">
        <v>134</v>
      </c>
      <c r="D242" s="20" t="s">
        <v>61</v>
      </c>
      <c r="E242" s="20" t="s">
        <v>63</v>
      </c>
      <c r="F242" s="20" t="s">
        <v>114</v>
      </c>
      <c r="G242" s="20">
        <v>1200</v>
      </c>
      <c r="H242" s="20" t="s">
        <v>131</v>
      </c>
      <c r="I242" s="20" t="str">
        <f t="shared" si="14"/>
        <v>WSTK-LNR-SH-PoLM-1200-X</v>
      </c>
      <c r="J242" s="20" t="s">
        <v>86</v>
      </c>
      <c r="K242" s="20" t="s">
        <v>133</v>
      </c>
      <c r="L242" s="20" t="s">
        <v>95</v>
      </c>
      <c r="M242" s="20" t="s">
        <v>96</v>
      </c>
      <c r="N242" s="20">
        <v>1200</v>
      </c>
      <c r="O242" s="20" t="s">
        <v>47</v>
      </c>
      <c r="P242" s="20" t="s">
        <v>55</v>
      </c>
      <c r="Q242" s="33"/>
      <c r="R242" s="33"/>
      <c r="S242" s="33"/>
      <c r="T242" s="33">
        <f t="shared" ca="1" si="15"/>
        <v>18000</v>
      </c>
      <c r="U242" s="38">
        <f t="shared" ca="1" si="9"/>
        <v>16200</v>
      </c>
      <c r="V242" s="38">
        <f t="shared" ca="1" si="10"/>
        <v>15300</v>
      </c>
      <c r="W242" s="38">
        <f t="shared" ca="1" si="11"/>
        <v>14400</v>
      </c>
      <c r="X242" s="38">
        <f t="shared" ca="1" si="12"/>
        <v>12600</v>
      </c>
      <c r="Y242" s="18"/>
    </row>
    <row r="243" spans="1:25" ht="16" x14ac:dyDescent="0.15">
      <c r="A243" s="18"/>
      <c r="B243" s="20" t="s">
        <v>58</v>
      </c>
      <c r="C243" s="20" t="s">
        <v>134</v>
      </c>
      <c r="D243" s="20" t="s">
        <v>61</v>
      </c>
      <c r="E243" s="20" t="s">
        <v>63</v>
      </c>
      <c r="F243" s="20" t="s">
        <v>117</v>
      </c>
      <c r="G243" s="20">
        <v>1200</v>
      </c>
      <c r="H243" s="20" t="s">
        <v>66</v>
      </c>
      <c r="I243" s="20" t="str">
        <f t="shared" si="14"/>
        <v>WSTK-LNR-SH-LVM-1200-F</v>
      </c>
      <c r="J243" s="20" t="s">
        <v>86</v>
      </c>
      <c r="K243" s="20" t="s">
        <v>133</v>
      </c>
      <c r="L243" s="20" t="s">
        <v>95</v>
      </c>
      <c r="M243" s="20" t="s">
        <v>96</v>
      </c>
      <c r="N243" s="20">
        <v>1200</v>
      </c>
      <c r="O243" s="20" t="s">
        <v>157</v>
      </c>
      <c r="P243" s="20" t="s">
        <v>23</v>
      </c>
      <c r="Q243" s="33"/>
      <c r="R243" s="33"/>
      <c r="S243" s="33"/>
      <c r="T243" s="33">
        <f t="shared" ca="1" si="15"/>
        <v>14700</v>
      </c>
      <c r="U243" s="38">
        <f t="shared" ca="1" si="9"/>
        <v>13230</v>
      </c>
      <c r="V243" s="38">
        <f t="shared" ca="1" si="10"/>
        <v>12495</v>
      </c>
      <c r="W243" s="38">
        <f t="shared" ca="1" si="11"/>
        <v>11760</v>
      </c>
      <c r="X243" s="38">
        <f t="shared" ca="1" si="12"/>
        <v>10290</v>
      </c>
      <c r="Y243" s="18"/>
    </row>
    <row r="244" spans="1:25" ht="16" x14ac:dyDescent="0.15">
      <c r="A244" s="18"/>
      <c r="B244" s="20" t="s">
        <v>58</v>
      </c>
      <c r="C244" s="20" t="s">
        <v>134</v>
      </c>
      <c r="D244" s="20" t="s">
        <v>61</v>
      </c>
      <c r="E244" s="20" t="s">
        <v>63</v>
      </c>
      <c r="F244" s="20" t="s">
        <v>117</v>
      </c>
      <c r="G244" s="20">
        <v>1200</v>
      </c>
      <c r="H244" s="20" t="s">
        <v>116</v>
      </c>
      <c r="I244" s="20" t="str">
        <f t="shared" si="14"/>
        <v>WSTK-LNR-SH-LVM-1200-G</v>
      </c>
      <c r="J244" s="20" t="s">
        <v>86</v>
      </c>
      <c r="K244" s="20" t="s">
        <v>133</v>
      </c>
      <c r="L244" s="20" t="s">
        <v>95</v>
      </c>
      <c r="M244" s="20" t="s">
        <v>96</v>
      </c>
      <c r="N244" s="20">
        <v>1200</v>
      </c>
      <c r="O244" s="20" t="s">
        <v>157</v>
      </c>
      <c r="P244" s="20" t="s">
        <v>42</v>
      </c>
      <c r="Q244" s="33"/>
      <c r="R244" s="33"/>
      <c r="S244" s="33"/>
      <c r="T244" s="33">
        <f t="shared" ca="1" si="15"/>
        <v>25700</v>
      </c>
      <c r="U244" s="38">
        <f t="shared" ca="1" si="9"/>
        <v>23130</v>
      </c>
      <c r="V244" s="38">
        <f t="shared" ca="1" si="10"/>
        <v>21845</v>
      </c>
      <c r="W244" s="38">
        <f t="shared" ca="1" si="11"/>
        <v>20560</v>
      </c>
      <c r="X244" s="38">
        <f t="shared" ca="1" si="12"/>
        <v>17990</v>
      </c>
      <c r="Y244" s="18"/>
    </row>
    <row r="245" spans="1:25" ht="16" x14ac:dyDescent="0.15">
      <c r="A245" s="18"/>
      <c r="B245" s="20" t="s">
        <v>58</v>
      </c>
      <c r="C245" s="20" t="s">
        <v>134</v>
      </c>
      <c r="D245" s="20" t="s">
        <v>61</v>
      </c>
      <c r="E245" s="20" t="s">
        <v>63</v>
      </c>
      <c r="F245" s="20" t="s">
        <v>117</v>
      </c>
      <c r="G245" s="20">
        <v>1200</v>
      </c>
      <c r="H245" s="20" t="s">
        <v>131</v>
      </c>
      <c r="I245" s="20" t="str">
        <f t="shared" si="14"/>
        <v>WSTK-LNR-SH-LVM-1200-X</v>
      </c>
      <c r="J245" s="20" t="s">
        <v>86</v>
      </c>
      <c r="K245" s="20" t="s">
        <v>133</v>
      </c>
      <c r="L245" s="20" t="s">
        <v>95</v>
      </c>
      <c r="M245" s="20" t="s">
        <v>96</v>
      </c>
      <c r="N245" s="20">
        <v>1200</v>
      </c>
      <c r="O245" s="20" t="s">
        <v>157</v>
      </c>
      <c r="P245" s="20" t="s">
        <v>55</v>
      </c>
      <c r="Q245" s="33"/>
      <c r="R245" s="33"/>
      <c r="S245" s="33"/>
      <c r="T245" s="33">
        <f t="shared" ca="1" si="15"/>
        <v>26100</v>
      </c>
      <c r="U245" s="38">
        <f t="shared" ca="1" si="9"/>
        <v>23490</v>
      </c>
      <c r="V245" s="38">
        <f t="shared" ca="1" si="10"/>
        <v>22185</v>
      </c>
      <c r="W245" s="38">
        <f t="shared" ca="1" si="11"/>
        <v>20880</v>
      </c>
      <c r="X245" s="38">
        <f t="shared" ca="1" si="12"/>
        <v>18270</v>
      </c>
      <c r="Y245" s="18"/>
    </row>
    <row r="246" spans="1:25" ht="16" x14ac:dyDescent="0.15">
      <c r="A246" s="18"/>
      <c r="B246" s="20" t="s">
        <v>58</v>
      </c>
      <c r="C246" s="20" t="s">
        <v>134</v>
      </c>
      <c r="D246" s="20" t="s">
        <v>61</v>
      </c>
      <c r="E246" s="20" t="s">
        <v>63</v>
      </c>
      <c r="F246" s="20" t="s">
        <v>119</v>
      </c>
      <c r="G246" s="20">
        <v>1200</v>
      </c>
      <c r="H246" s="20" t="s">
        <v>66</v>
      </c>
      <c r="I246" s="20" t="str">
        <f t="shared" si="14"/>
        <v>WSTK-LNR-SH-LVP-1200-F</v>
      </c>
      <c r="J246" s="20" t="s">
        <v>86</v>
      </c>
      <c r="K246" s="20" t="s">
        <v>133</v>
      </c>
      <c r="L246" s="20" t="s">
        <v>95</v>
      </c>
      <c r="M246" s="20" t="s">
        <v>96</v>
      </c>
      <c r="N246" s="20">
        <v>1200</v>
      </c>
      <c r="O246" s="20" t="s">
        <v>158</v>
      </c>
      <c r="P246" s="20" t="s">
        <v>23</v>
      </c>
      <c r="Q246" s="33"/>
      <c r="R246" s="33"/>
      <c r="S246" s="33"/>
      <c r="T246" s="33">
        <f t="shared" ca="1" si="15"/>
        <v>22800</v>
      </c>
      <c r="U246" s="38">
        <f t="shared" ca="1" si="9"/>
        <v>20520</v>
      </c>
      <c r="V246" s="38">
        <f t="shared" ca="1" si="10"/>
        <v>19380</v>
      </c>
      <c r="W246" s="38">
        <f t="shared" ca="1" si="11"/>
        <v>18240</v>
      </c>
      <c r="X246" s="38">
        <f t="shared" ca="1" si="12"/>
        <v>15959.999999999998</v>
      </c>
      <c r="Y246" s="18"/>
    </row>
    <row r="247" spans="1:25" ht="16" x14ac:dyDescent="0.15">
      <c r="A247" s="18"/>
      <c r="B247" s="20" t="s">
        <v>58</v>
      </c>
      <c r="C247" s="20" t="s">
        <v>134</v>
      </c>
      <c r="D247" s="20" t="s">
        <v>61</v>
      </c>
      <c r="E247" s="20" t="s">
        <v>63</v>
      </c>
      <c r="F247" s="20" t="s">
        <v>119</v>
      </c>
      <c r="G247" s="20">
        <v>1200</v>
      </c>
      <c r="H247" s="20" t="s">
        <v>116</v>
      </c>
      <c r="I247" s="20" t="str">
        <f t="shared" si="14"/>
        <v>WSTK-LNR-SH-LVP-1200-G</v>
      </c>
      <c r="J247" s="20" t="s">
        <v>86</v>
      </c>
      <c r="K247" s="20" t="s">
        <v>133</v>
      </c>
      <c r="L247" s="20" t="s">
        <v>95</v>
      </c>
      <c r="M247" s="20" t="s">
        <v>96</v>
      </c>
      <c r="N247" s="20">
        <v>1200</v>
      </c>
      <c r="O247" s="20" t="s">
        <v>158</v>
      </c>
      <c r="P247" s="20" t="s">
        <v>42</v>
      </c>
      <c r="Q247" s="33"/>
      <c r="R247" s="33"/>
      <c r="S247" s="33"/>
      <c r="T247" s="33">
        <f t="shared" ca="1" si="15"/>
        <v>29300</v>
      </c>
      <c r="U247" s="38">
        <f t="shared" ca="1" si="9"/>
        <v>26370</v>
      </c>
      <c r="V247" s="38">
        <f t="shared" ca="1" si="10"/>
        <v>24905</v>
      </c>
      <c r="W247" s="38">
        <f t="shared" ca="1" si="11"/>
        <v>23440</v>
      </c>
      <c r="X247" s="38">
        <f t="shared" ca="1" si="12"/>
        <v>20510</v>
      </c>
      <c r="Y247" s="18"/>
    </row>
    <row r="248" spans="1:25" ht="16" x14ac:dyDescent="0.15">
      <c r="A248" s="18"/>
      <c r="B248" s="20" t="s">
        <v>58</v>
      </c>
      <c r="C248" s="20" t="s">
        <v>134</v>
      </c>
      <c r="D248" s="20" t="s">
        <v>61</v>
      </c>
      <c r="E248" s="20" t="s">
        <v>63</v>
      </c>
      <c r="F248" s="20" t="s">
        <v>119</v>
      </c>
      <c r="G248" s="20">
        <v>1200</v>
      </c>
      <c r="H248" s="20" t="s">
        <v>131</v>
      </c>
      <c r="I248" s="20" t="str">
        <f t="shared" si="14"/>
        <v>WSTK-LNR-SH-LVP-1200-X</v>
      </c>
      <c r="J248" s="20" t="s">
        <v>86</v>
      </c>
      <c r="K248" s="20" t="s">
        <v>133</v>
      </c>
      <c r="L248" s="20" t="s">
        <v>95</v>
      </c>
      <c r="M248" s="20" t="s">
        <v>96</v>
      </c>
      <c r="N248" s="20">
        <v>1200</v>
      </c>
      <c r="O248" s="20" t="s">
        <v>158</v>
      </c>
      <c r="P248" s="20" t="s">
        <v>55</v>
      </c>
      <c r="Q248" s="33"/>
      <c r="R248" s="33"/>
      <c r="S248" s="33"/>
      <c r="T248" s="33">
        <f t="shared" ca="1" si="15"/>
        <v>29700</v>
      </c>
      <c r="U248" s="38">
        <f t="shared" ca="1" si="9"/>
        <v>26730</v>
      </c>
      <c r="V248" s="38">
        <f t="shared" ca="1" si="10"/>
        <v>25245</v>
      </c>
      <c r="W248" s="38">
        <f t="shared" ca="1" si="11"/>
        <v>23760</v>
      </c>
      <c r="X248" s="38">
        <f t="shared" ca="1" si="12"/>
        <v>20790</v>
      </c>
      <c r="Y248" s="18"/>
    </row>
    <row r="249" spans="1:25" ht="16" x14ac:dyDescent="0.15">
      <c r="A249" s="18"/>
      <c r="B249" s="20" t="s">
        <v>58</v>
      </c>
      <c r="C249" s="20" t="s">
        <v>134</v>
      </c>
      <c r="D249" s="20" t="s">
        <v>61</v>
      </c>
      <c r="E249" s="20" t="s">
        <v>63</v>
      </c>
      <c r="F249" s="20" t="s">
        <v>125</v>
      </c>
      <c r="G249" s="20">
        <v>1200</v>
      </c>
      <c r="H249" s="20" t="s">
        <v>66</v>
      </c>
      <c r="I249" s="20" t="str">
        <f t="shared" si="14"/>
        <v>WSTK-LNR-SH-MB-1200-F</v>
      </c>
      <c r="J249" s="20" t="s">
        <v>86</v>
      </c>
      <c r="K249" s="20" t="s">
        <v>133</v>
      </c>
      <c r="L249" s="20" t="s">
        <v>95</v>
      </c>
      <c r="M249" s="20" t="s">
        <v>96</v>
      </c>
      <c r="N249" s="20">
        <v>1200</v>
      </c>
      <c r="O249" s="20" t="s">
        <v>97</v>
      </c>
      <c r="P249" s="20" t="s">
        <v>23</v>
      </c>
      <c r="Q249" s="33"/>
      <c r="R249" s="33"/>
      <c r="S249" s="33"/>
      <c r="T249" s="33">
        <f t="shared" ca="1" si="15"/>
        <v>26400</v>
      </c>
      <c r="U249" s="38">
        <f t="shared" ca="1" si="9"/>
        <v>23760</v>
      </c>
      <c r="V249" s="38">
        <f t="shared" ca="1" si="10"/>
        <v>22440</v>
      </c>
      <c r="W249" s="38">
        <f t="shared" ca="1" si="11"/>
        <v>21120</v>
      </c>
      <c r="X249" s="38">
        <f t="shared" ca="1" si="12"/>
        <v>18480</v>
      </c>
      <c r="Y249" s="18"/>
    </row>
    <row r="250" spans="1:25" ht="16" x14ac:dyDescent="0.15">
      <c r="A250" s="18"/>
      <c r="B250" s="20" t="s">
        <v>58</v>
      </c>
      <c r="C250" s="20" t="s">
        <v>134</v>
      </c>
      <c r="D250" s="20" t="s">
        <v>61</v>
      </c>
      <c r="E250" s="20" t="s">
        <v>63</v>
      </c>
      <c r="F250" s="20" t="s">
        <v>125</v>
      </c>
      <c r="G250" s="20">
        <v>1200</v>
      </c>
      <c r="H250" s="20" t="s">
        <v>116</v>
      </c>
      <c r="I250" s="20" t="str">
        <f t="shared" si="14"/>
        <v>WSTK-LNR-SH-MB-1200-G</v>
      </c>
      <c r="J250" s="20" t="s">
        <v>86</v>
      </c>
      <c r="K250" s="20" t="s">
        <v>133</v>
      </c>
      <c r="L250" s="20" t="s">
        <v>95</v>
      </c>
      <c r="M250" s="20" t="s">
        <v>96</v>
      </c>
      <c r="N250" s="20">
        <v>1200</v>
      </c>
      <c r="O250" s="20" t="s">
        <v>97</v>
      </c>
      <c r="P250" s="20" t="s">
        <v>42</v>
      </c>
      <c r="Q250" s="33"/>
      <c r="R250" s="33"/>
      <c r="S250" s="33"/>
      <c r="T250" s="33">
        <f t="shared" ca="1" si="15"/>
        <v>31100</v>
      </c>
      <c r="U250" s="38">
        <f t="shared" ca="1" si="9"/>
        <v>27990</v>
      </c>
      <c r="V250" s="38">
        <f t="shared" ca="1" si="10"/>
        <v>26435</v>
      </c>
      <c r="W250" s="38">
        <f t="shared" ca="1" si="11"/>
        <v>24880</v>
      </c>
      <c r="X250" s="38">
        <f t="shared" ca="1" si="12"/>
        <v>21770</v>
      </c>
      <c r="Y250" s="18"/>
    </row>
    <row r="251" spans="1:25" ht="16" x14ac:dyDescent="0.15">
      <c r="A251" s="18"/>
      <c r="B251" s="20" t="s">
        <v>58</v>
      </c>
      <c r="C251" s="20" t="s">
        <v>134</v>
      </c>
      <c r="D251" s="20" t="s">
        <v>61</v>
      </c>
      <c r="E251" s="20" t="s">
        <v>63</v>
      </c>
      <c r="F251" s="20" t="s">
        <v>125</v>
      </c>
      <c r="G251" s="20">
        <v>1200</v>
      </c>
      <c r="H251" s="20" t="s">
        <v>131</v>
      </c>
      <c r="I251" s="20" t="str">
        <f t="shared" si="14"/>
        <v>WSTK-LNR-SH-MB-1200-X</v>
      </c>
      <c r="J251" s="20" t="s">
        <v>86</v>
      </c>
      <c r="K251" s="20" t="s">
        <v>133</v>
      </c>
      <c r="L251" s="20" t="s">
        <v>95</v>
      </c>
      <c r="M251" s="20" t="s">
        <v>96</v>
      </c>
      <c r="N251" s="20">
        <v>1200</v>
      </c>
      <c r="O251" s="20" t="s">
        <v>97</v>
      </c>
      <c r="P251" s="20" t="s">
        <v>55</v>
      </c>
      <c r="Q251" s="33"/>
      <c r="R251" s="33"/>
      <c r="S251" s="33"/>
      <c r="T251" s="33">
        <f t="shared" ca="1" si="15"/>
        <v>31500</v>
      </c>
      <c r="U251" s="38">
        <f t="shared" ca="1" si="9"/>
        <v>28350</v>
      </c>
      <c r="V251" s="38">
        <f t="shared" ca="1" si="10"/>
        <v>26775</v>
      </c>
      <c r="W251" s="38">
        <f t="shared" ca="1" si="11"/>
        <v>25200</v>
      </c>
      <c r="X251" s="38">
        <f t="shared" ca="1" si="12"/>
        <v>22050</v>
      </c>
      <c r="Y251" s="18"/>
    </row>
    <row r="252" spans="1:25" ht="16" x14ac:dyDescent="0.15">
      <c r="A252" s="18"/>
      <c r="B252" s="20" t="s">
        <v>58</v>
      </c>
      <c r="C252" s="20" t="s">
        <v>134</v>
      </c>
      <c r="D252" s="20" t="s">
        <v>61</v>
      </c>
      <c r="E252" s="20" t="s">
        <v>63</v>
      </c>
      <c r="F252" s="20" t="s">
        <v>65</v>
      </c>
      <c r="G252" s="20">
        <v>1500</v>
      </c>
      <c r="H252" s="20" t="s">
        <v>66</v>
      </c>
      <c r="I252" s="20" t="str">
        <f t="shared" si="14"/>
        <v>WSTK-LNR-SH-PB-1500-F</v>
      </c>
      <c r="J252" s="20" t="s">
        <v>86</v>
      </c>
      <c r="K252" s="20" t="s">
        <v>133</v>
      </c>
      <c r="L252" s="20" t="s">
        <v>95</v>
      </c>
      <c r="M252" s="20" t="s">
        <v>96</v>
      </c>
      <c r="N252" s="20">
        <v>1500</v>
      </c>
      <c r="O252" s="20" t="s">
        <v>11</v>
      </c>
      <c r="P252" s="20" t="s">
        <v>23</v>
      </c>
      <c r="Q252" s="33"/>
      <c r="R252" s="33"/>
      <c r="S252" s="33"/>
      <c r="T252" s="33">
        <f t="shared" ca="1" si="15"/>
        <v>28200</v>
      </c>
      <c r="U252" s="38">
        <f t="shared" ca="1" si="9"/>
        <v>25380</v>
      </c>
      <c r="V252" s="38">
        <f t="shared" ca="1" si="10"/>
        <v>23970</v>
      </c>
      <c r="W252" s="38">
        <f t="shared" ca="1" si="11"/>
        <v>22560</v>
      </c>
      <c r="X252" s="38">
        <f t="shared" ca="1" si="12"/>
        <v>19740</v>
      </c>
      <c r="Y252" s="18"/>
    </row>
    <row r="253" spans="1:25" ht="16" x14ac:dyDescent="0.15">
      <c r="A253" s="18"/>
      <c r="B253" s="20" t="s">
        <v>58</v>
      </c>
      <c r="C253" s="20" t="s">
        <v>134</v>
      </c>
      <c r="D253" s="20" t="s">
        <v>61</v>
      </c>
      <c r="E253" s="20" t="s">
        <v>63</v>
      </c>
      <c r="F253" s="20" t="s">
        <v>65</v>
      </c>
      <c r="G253" s="20">
        <v>1500</v>
      </c>
      <c r="H253" s="20" t="s">
        <v>116</v>
      </c>
      <c r="I253" s="20" t="str">
        <f t="shared" si="14"/>
        <v>WSTK-LNR-SH-PB-1500-G</v>
      </c>
      <c r="J253" s="20" t="s">
        <v>86</v>
      </c>
      <c r="K253" s="20" t="s">
        <v>133</v>
      </c>
      <c r="L253" s="20" t="s">
        <v>95</v>
      </c>
      <c r="M253" s="20" t="s">
        <v>96</v>
      </c>
      <c r="N253" s="20">
        <v>1500</v>
      </c>
      <c r="O253" s="20" t="s">
        <v>11</v>
      </c>
      <c r="P253" s="20" t="s">
        <v>42</v>
      </c>
      <c r="Q253" s="33"/>
      <c r="R253" s="33"/>
      <c r="S253" s="33"/>
      <c r="T253" s="33">
        <f t="shared" ca="1" si="15"/>
        <v>41400</v>
      </c>
      <c r="U253" s="38">
        <f t="shared" ca="1" si="9"/>
        <v>37260</v>
      </c>
      <c r="V253" s="38">
        <f t="shared" ca="1" si="10"/>
        <v>35190</v>
      </c>
      <c r="W253" s="38">
        <f t="shared" ca="1" si="11"/>
        <v>33120</v>
      </c>
      <c r="X253" s="38">
        <f t="shared" ca="1" si="12"/>
        <v>28979.999999999996</v>
      </c>
      <c r="Y253" s="18"/>
    </row>
    <row r="254" spans="1:25" ht="16" x14ac:dyDescent="0.15">
      <c r="A254" s="18"/>
      <c r="B254" s="20" t="s">
        <v>58</v>
      </c>
      <c r="C254" s="20" t="s">
        <v>134</v>
      </c>
      <c r="D254" s="20" t="s">
        <v>61</v>
      </c>
      <c r="E254" s="20" t="s">
        <v>63</v>
      </c>
      <c r="F254" s="20" t="s">
        <v>65</v>
      </c>
      <c r="G254" s="20">
        <v>1500</v>
      </c>
      <c r="H254" s="20" t="s">
        <v>131</v>
      </c>
      <c r="I254" s="20" t="str">
        <f t="shared" si="14"/>
        <v>WSTK-LNR-SH-PB-1500-X</v>
      </c>
      <c r="J254" s="20" t="s">
        <v>86</v>
      </c>
      <c r="K254" s="20" t="s">
        <v>133</v>
      </c>
      <c r="L254" s="20" t="s">
        <v>95</v>
      </c>
      <c r="M254" s="20" t="s">
        <v>96</v>
      </c>
      <c r="N254" s="20">
        <v>1500</v>
      </c>
      <c r="O254" s="20" t="s">
        <v>11</v>
      </c>
      <c r="P254" s="20" t="s">
        <v>55</v>
      </c>
      <c r="Q254" s="33"/>
      <c r="R254" s="33"/>
      <c r="S254" s="33"/>
      <c r="T254" s="33">
        <f t="shared" ca="1" si="15"/>
        <v>41800</v>
      </c>
      <c r="U254" s="38">
        <f t="shared" ca="1" si="9"/>
        <v>37620</v>
      </c>
      <c r="V254" s="38">
        <f t="shared" ca="1" si="10"/>
        <v>35530</v>
      </c>
      <c r="W254" s="38">
        <f t="shared" ca="1" si="11"/>
        <v>33440</v>
      </c>
      <c r="X254" s="38">
        <f t="shared" ca="1" si="12"/>
        <v>29259.999999999996</v>
      </c>
      <c r="Y254" s="18"/>
    </row>
    <row r="255" spans="1:25" ht="16" x14ac:dyDescent="0.15">
      <c r="A255" s="18"/>
      <c r="B255" s="20" t="s">
        <v>58</v>
      </c>
      <c r="C255" s="20" t="s">
        <v>134</v>
      </c>
      <c r="D255" s="20" t="s">
        <v>61</v>
      </c>
      <c r="E255" s="20" t="s">
        <v>63</v>
      </c>
      <c r="F255" s="20" t="s">
        <v>112</v>
      </c>
      <c r="G255" s="20">
        <v>1500</v>
      </c>
      <c r="H255" s="20" t="s">
        <v>66</v>
      </c>
      <c r="I255" s="20" t="str">
        <f t="shared" si="14"/>
        <v>WSTK-LNR-SH-PLM-1500-F</v>
      </c>
      <c r="J255" s="20" t="s">
        <v>86</v>
      </c>
      <c r="K255" s="20" t="s">
        <v>133</v>
      </c>
      <c r="L255" s="20" t="s">
        <v>95</v>
      </c>
      <c r="M255" s="20" t="s">
        <v>96</v>
      </c>
      <c r="N255" s="20">
        <v>1500</v>
      </c>
      <c r="O255" s="20" t="s">
        <v>31</v>
      </c>
      <c r="P255" s="20" t="s">
        <v>23</v>
      </c>
      <c r="Q255" s="33"/>
      <c r="R255" s="33"/>
      <c r="S255" s="33"/>
      <c r="T255" s="33">
        <f t="shared" ca="1" si="15"/>
        <v>38500</v>
      </c>
      <c r="U255" s="38">
        <f t="shared" ca="1" si="9"/>
        <v>34650</v>
      </c>
      <c r="V255" s="38">
        <f t="shared" ca="1" si="10"/>
        <v>32725</v>
      </c>
      <c r="W255" s="38">
        <f t="shared" ca="1" si="11"/>
        <v>30800</v>
      </c>
      <c r="X255" s="38">
        <f t="shared" ca="1" si="12"/>
        <v>26950</v>
      </c>
      <c r="Y255" s="18"/>
    </row>
    <row r="256" spans="1:25" ht="16" x14ac:dyDescent="0.15">
      <c r="A256" s="18"/>
      <c r="B256" s="20" t="s">
        <v>58</v>
      </c>
      <c r="C256" s="20" t="s">
        <v>134</v>
      </c>
      <c r="D256" s="20" t="s">
        <v>61</v>
      </c>
      <c r="E256" s="20" t="s">
        <v>63</v>
      </c>
      <c r="F256" s="20" t="s">
        <v>112</v>
      </c>
      <c r="G256" s="20">
        <v>1500</v>
      </c>
      <c r="H256" s="20" t="s">
        <v>116</v>
      </c>
      <c r="I256" s="20" t="str">
        <f t="shared" si="14"/>
        <v>WSTK-LNR-SH-PLM-1500-G</v>
      </c>
      <c r="J256" s="20" t="s">
        <v>86</v>
      </c>
      <c r="K256" s="20" t="s">
        <v>133</v>
      </c>
      <c r="L256" s="20" t="s">
        <v>95</v>
      </c>
      <c r="M256" s="20" t="s">
        <v>96</v>
      </c>
      <c r="N256" s="20">
        <v>1500</v>
      </c>
      <c r="O256" s="20" t="s">
        <v>31</v>
      </c>
      <c r="P256" s="20" t="s">
        <v>42</v>
      </c>
      <c r="Q256" s="33"/>
      <c r="R256" s="33"/>
      <c r="S256" s="33"/>
      <c r="T256" s="33">
        <f t="shared" ca="1" si="15"/>
        <v>20700</v>
      </c>
      <c r="U256" s="38">
        <f t="shared" ca="1" si="9"/>
        <v>18630</v>
      </c>
      <c r="V256" s="38">
        <f t="shared" ca="1" si="10"/>
        <v>17595</v>
      </c>
      <c r="W256" s="38">
        <f t="shared" ca="1" si="11"/>
        <v>16560</v>
      </c>
      <c r="X256" s="38">
        <f t="shared" ca="1" si="12"/>
        <v>14489.999999999998</v>
      </c>
      <c r="Y256" s="18"/>
    </row>
    <row r="257" spans="1:25" ht="16" x14ac:dyDescent="0.15">
      <c r="A257" s="18"/>
      <c r="B257" s="20" t="s">
        <v>58</v>
      </c>
      <c r="C257" s="20" t="s">
        <v>134</v>
      </c>
      <c r="D257" s="20" t="s">
        <v>61</v>
      </c>
      <c r="E257" s="20" t="s">
        <v>63</v>
      </c>
      <c r="F257" s="20" t="s">
        <v>112</v>
      </c>
      <c r="G257" s="20">
        <v>1500</v>
      </c>
      <c r="H257" s="20" t="s">
        <v>131</v>
      </c>
      <c r="I257" s="20" t="str">
        <f t="shared" si="14"/>
        <v>WSTK-LNR-SH-PLM-1500-X</v>
      </c>
      <c r="J257" s="20" t="s">
        <v>86</v>
      </c>
      <c r="K257" s="20" t="s">
        <v>133</v>
      </c>
      <c r="L257" s="20" t="s">
        <v>95</v>
      </c>
      <c r="M257" s="20" t="s">
        <v>96</v>
      </c>
      <c r="N257" s="20">
        <v>1500</v>
      </c>
      <c r="O257" s="20" t="s">
        <v>31</v>
      </c>
      <c r="P257" s="20" t="s">
        <v>55</v>
      </c>
      <c r="Q257" s="33"/>
      <c r="R257" s="33"/>
      <c r="S257" s="33"/>
      <c r="T257" s="33">
        <f t="shared" ca="1" si="15"/>
        <v>21200</v>
      </c>
      <c r="U257" s="38">
        <f t="shared" ca="1" si="9"/>
        <v>19080</v>
      </c>
      <c r="V257" s="38">
        <f t="shared" ca="1" si="10"/>
        <v>18020</v>
      </c>
      <c r="W257" s="38">
        <f t="shared" ca="1" si="11"/>
        <v>16960</v>
      </c>
      <c r="X257" s="38">
        <f t="shared" ca="1" si="12"/>
        <v>14839.999999999998</v>
      </c>
      <c r="Y257" s="18"/>
    </row>
    <row r="258" spans="1:25" ht="16" x14ac:dyDescent="0.15">
      <c r="A258" s="18"/>
      <c r="B258" s="20" t="s">
        <v>58</v>
      </c>
      <c r="C258" s="20" t="s">
        <v>134</v>
      </c>
      <c r="D258" s="20" t="s">
        <v>61</v>
      </c>
      <c r="E258" s="20" t="s">
        <v>63</v>
      </c>
      <c r="F258" s="20" t="s">
        <v>114</v>
      </c>
      <c r="G258" s="20">
        <v>1500</v>
      </c>
      <c r="H258" s="20" t="s">
        <v>66</v>
      </c>
      <c r="I258" s="20" t="str">
        <f t="shared" si="14"/>
        <v>WSTK-LNR-SH-PoLM-1500-F</v>
      </c>
      <c r="J258" s="20" t="s">
        <v>86</v>
      </c>
      <c r="K258" s="20" t="s">
        <v>133</v>
      </c>
      <c r="L258" s="20" t="s">
        <v>95</v>
      </c>
      <c r="M258" s="20" t="s">
        <v>96</v>
      </c>
      <c r="N258" s="20">
        <v>1500</v>
      </c>
      <c r="O258" s="20" t="s">
        <v>47</v>
      </c>
      <c r="P258" s="20" t="s">
        <v>23</v>
      </c>
      <c r="Q258" s="33"/>
      <c r="R258" s="33"/>
      <c r="S258" s="33"/>
      <c r="T258" s="33">
        <f t="shared" ca="1" si="15"/>
        <v>17200</v>
      </c>
      <c r="U258" s="38">
        <f t="shared" ca="1" si="9"/>
        <v>15480</v>
      </c>
      <c r="V258" s="38">
        <f t="shared" ca="1" si="10"/>
        <v>14620</v>
      </c>
      <c r="W258" s="38">
        <f t="shared" ca="1" si="11"/>
        <v>13760</v>
      </c>
      <c r="X258" s="38">
        <f t="shared" ca="1" si="12"/>
        <v>12040</v>
      </c>
      <c r="Y258" s="18"/>
    </row>
    <row r="259" spans="1:25" ht="16" x14ac:dyDescent="0.15">
      <c r="A259" s="18"/>
      <c r="B259" s="20" t="s">
        <v>58</v>
      </c>
      <c r="C259" s="20" t="s">
        <v>134</v>
      </c>
      <c r="D259" s="20" t="s">
        <v>61</v>
      </c>
      <c r="E259" s="20" t="s">
        <v>63</v>
      </c>
      <c r="F259" s="20" t="s">
        <v>114</v>
      </c>
      <c r="G259" s="20">
        <v>1500</v>
      </c>
      <c r="H259" s="20" t="s">
        <v>116</v>
      </c>
      <c r="I259" s="20" t="str">
        <f t="shared" si="14"/>
        <v>WSTK-LNR-SH-PoLM-1500-G</v>
      </c>
      <c r="J259" s="20" t="s">
        <v>86</v>
      </c>
      <c r="K259" s="20" t="s">
        <v>133</v>
      </c>
      <c r="L259" s="20" t="s">
        <v>95</v>
      </c>
      <c r="M259" s="20" t="s">
        <v>96</v>
      </c>
      <c r="N259" s="20">
        <v>1500</v>
      </c>
      <c r="O259" s="20" t="s">
        <v>47</v>
      </c>
      <c r="P259" s="20" t="s">
        <v>42</v>
      </c>
      <c r="Q259" s="33"/>
      <c r="R259" s="33"/>
      <c r="S259" s="33"/>
      <c r="T259" s="33">
        <f t="shared" ca="1" si="15"/>
        <v>22000</v>
      </c>
      <c r="U259" s="38">
        <f t="shared" ca="1" si="9"/>
        <v>19800</v>
      </c>
      <c r="V259" s="38">
        <f t="shared" ca="1" si="10"/>
        <v>18700</v>
      </c>
      <c r="W259" s="38">
        <f t="shared" ca="1" si="11"/>
        <v>17600</v>
      </c>
      <c r="X259" s="38">
        <f t="shared" ca="1" si="12"/>
        <v>15399.999999999998</v>
      </c>
      <c r="Y259" s="18"/>
    </row>
    <row r="260" spans="1:25" ht="16" x14ac:dyDescent="0.15">
      <c r="A260" s="18"/>
      <c r="B260" s="20" t="s">
        <v>58</v>
      </c>
      <c r="C260" s="20" t="s">
        <v>134</v>
      </c>
      <c r="D260" s="20" t="s">
        <v>61</v>
      </c>
      <c r="E260" s="20" t="s">
        <v>63</v>
      </c>
      <c r="F260" s="20" t="s">
        <v>114</v>
      </c>
      <c r="G260" s="20">
        <v>1500</v>
      </c>
      <c r="H260" s="20" t="s">
        <v>131</v>
      </c>
      <c r="I260" s="20" t="str">
        <f t="shared" si="14"/>
        <v>WSTK-LNR-SH-PoLM-1500-X</v>
      </c>
      <c r="J260" s="20" t="s">
        <v>86</v>
      </c>
      <c r="K260" s="20" t="s">
        <v>133</v>
      </c>
      <c r="L260" s="20" t="s">
        <v>95</v>
      </c>
      <c r="M260" s="20" t="s">
        <v>96</v>
      </c>
      <c r="N260" s="20">
        <v>1500</v>
      </c>
      <c r="O260" s="20" t="s">
        <v>47</v>
      </c>
      <c r="P260" s="20" t="s">
        <v>55</v>
      </c>
      <c r="Q260" s="33"/>
      <c r="R260" s="33"/>
      <c r="S260" s="33"/>
      <c r="T260" s="33">
        <f t="shared" ca="1" si="15"/>
        <v>22500</v>
      </c>
      <c r="U260" s="38">
        <f t="shared" ca="1" si="9"/>
        <v>20250</v>
      </c>
      <c r="V260" s="38">
        <f t="shared" ca="1" si="10"/>
        <v>19125</v>
      </c>
      <c r="W260" s="38">
        <f t="shared" ca="1" si="11"/>
        <v>18000</v>
      </c>
      <c r="X260" s="38">
        <f t="shared" ca="1" si="12"/>
        <v>15749.999999999998</v>
      </c>
      <c r="Y260" s="18"/>
    </row>
    <row r="261" spans="1:25" ht="16" x14ac:dyDescent="0.15">
      <c r="A261" s="18"/>
      <c r="B261" s="20" t="s">
        <v>58</v>
      </c>
      <c r="C261" s="20" t="s">
        <v>134</v>
      </c>
      <c r="D261" s="20" t="s">
        <v>61</v>
      </c>
      <c r="E261" s="20" t="s">
        <v>63</v>
      </c>
      <c r="F261" s="20" t="s">
        <v>117</v>
      </c>
      <c r="G261" s="20">
        <v>1500</v>
      </c>
      <c r="H261" s="20" t="s">
        <v>66</v>
      </c>
      <c r="I261" s="20" t="str">
        <f t="shared" si="14"/>
        <v>WSTK-LNR-SH-LVM-1500-F</v>
      </c>
      <c r="J261" s="20" t="s">
        <v>86</v>
      </c>
      <c r="K261" s="20" t="s">
        <v>133</v>
      </c>
      <c r="L261" s="20" t="s">
        <v>95</v>
      </c>
      <c r="M261" s="20" t="s">
        <v>96</v>
      </c>
      <c r="N261" s="20">
        <v>1500</v>
      </c>
      <c r="O261" s="20" t="s">
        <v>157</v>
      </c>
      <c r="P261" s="20" t="s">
        <v>23</v>
      </c>
      <c r="Q261" s="33"/>
      <c r="R261" s="33"/>
      <c r="S261" s="33"/>
      <c r="T261" s="33">
        <f t="shared" ca="1" si="15"/>
        <v>18500</v>
      </c>
      <c r="U261" s="38">
        <f t="shared" ca="1" si="9"/>
        <v>16650</v>
      </c>
      <c r="V261" s="38">
        <f t="shared" ca="1" si="10"/>
        <v>15725</v>
      </c>
      <c r="W261" s="38">
        <f t="shared" ca="1" si="11"/>
        <v>14800</v>
      </c>
      <c r="X261" s="38">
        <f t="shared" ca="1" si="12"/>
        <v>12950</v>
      </c>
      <c r="Y261" s="18"/>
    </row>
    <row r="262" spans="1:25" ht="16" x14ac:dyDescent="0.15">
      <c r="A262" s="18"/>
      <c r="B262" s="20" t="s">
        <v>58</v>
      </c>
      <c r="C262" s="20" t="s">
        <v>134</v>
      </c>
      <c r="D262" s="20" t="s">
        <v>61</v>
      </c>
      <c r="E262" s="20" t="s">
        <v>63</v>
      </c>
      <c r="F262" s="20" t="s">
        <v>117</v>
      </c>
      <c r="G262" s="20">
        <v>1500</v>
      </c>
      <c r="H262" s="20" t="s">
        <v>116</v>
      </c>
      <c r="I262" s="20" t="str">
        <f t="shared" si="14"/>
        <v>WSTK-LNR-SH-LVM-1500-G</v>
      </c>
      <c r="J262" s="20" t="s">
        <v>86</v>
      </c>
      <c r="K262" s="20" t="s">
        <v>133</v>
      </c>
      <c r="L262" s="20" t="s">
        <v>95</v>
      </c>
      <c r="M262" s="20" t="s">
        <v>96</v>
      </c>
      <c r="N262" s="20">
        <v>1500</v>
      </c>
      <c r="O262" s="20" t="s">
        <v>157</v>
      </c>
      <c r="P262" s="20" t="s">
        <v>42</v>
      </c>
      <c r="Q262" s="33"/>
      <c r="R262" s="33"/>
      <c r="S262" s="33"/>
      <c r="T262" s="33">
        <f t="shared" ca="1" si="15"/>
        <v>29300</v>
      </c>
      <c r="U262" s="38">
        <f t="shared" ca="1" si="9"/>
        <v>26370</v>
      </c>
      <c r="V262" s="38">
        <f t="shared" ca="1" si="10"/>
        <v>24905</v>
      </c>
      <c r="W262" s="38">
        <f t="shared" ca="1" si="11"/>
        <v>23440</v>
      </c>
      <c r="X262" s="38">
        <f t="shared" ca="1" si="12"/>
        <v>20510</v>
      </c>
      <c r="Y262" s="18"/>
    </row>
    <row r="263" spans="1:25" ht="16" x14ac:dyDescent="0.15">
      <c r="A263" s="18"/>
      <c r="B263" s="20" t="s">
        <v>58</v>
      </c>
      <c r="C263" s="20" t="s">
        <v>134</v>
      </c>
      <c r="D263" s="20" t="s">
        <v>61</v>
      </c>
      <c r="E263" s="20" t="s">
        <v>63</v>
      </c>
      <c r="F263" s="20" t="s">
        <v>117</v>
      </c>
      <c r="G263" s="20">
        <v>1500</v>
      </c>
      <c r="H263" s="20" t="s">
        <v>131</v>
      </c>
      <c r="I263" s="20" t="str">
        <f t="shared" si="14"/>
        <v>WSTK-LNR-SH-LVM-1500-X</v>
      </c>
      <c r="J263" s="20" t="s">
        <v>86</v>
      </c>
      <c r="K263" s="20" t="s">
        <v>133</v>
      </c>
      <c r="L263" s="20" t="s">
        <v>95</v>
      </c>
      <c r="M263" s="20" t="s">
        <v>96</v>
      </c>
      <c r="N263" s="20">
        <v>1500</v>
      </c>
      <c r="O263" s="20" t="s">
        <v>157</v>
      </c>
      <c r="P263" s="20" t="s">
        <v>55</v>
      </c>
      <c r="Q263" s="33"/>
      <c r="R263" s="33"/>
      <c r="S263" s="33"/>
      <c r="T263" s="33">
        <f t="shared" ca="1" si="15"/>
        <v>29800</v>
      </c>
      <c r="U263" s="38">
        <f t="shared" ca="1" si="9"/>
        <v>26820</v>
      </c>
      <c r="V263" s="38">
        <f t="shared" ca="1" si="10"/>
        <v>25330</v>
      </c>
      <c r="W263" s="38">
        <f t="shared" ca="1" si="11"/>
        <v>23840</v>
      </c>
      <c r="X263" s="38">
        <f t="shared" ca="1" si="12"/>
        <v>20860</v>
      </c>
      <c r="Y263" s="18"/>
    </row>
    <row r="264" spans="1:25" ht="16" x14ac:dyDescent="0.15">
      <c r="A264" s="18"/>
      <c r="B264" s="20" t="s">
        <v>58</v>
      </c>
      <c r="C264" s="20" t="s">
        <v>134</v>
      </c>
      <c r="D264" s="20" t="s">
        <v>61</v>
      </c>
      <c r="E264" s="20" t="s">
        <v>63</v>
      </c>
      <c r="F264" s="20" t="s">
        <v>119</v>
      </c>
      <c r="G264" s="20">
        <v>1500</v>
      </c>
      <c r="H264" s="20" t="s">
        <v>66</v>
      </c>
      <c r="I264" s="20" t="str">
        <f t="shared" si="14"/>
        <v>WSTK-LNR-SH-LVP-1500-F</v>
      </c>
      <c r="J264" s="20" t="s">
        <v>86</v>
      </c>
      <c r="K264" s="20" t="s">
        <v>133</v>
      </c>
      <c r="L264" s="20" t="s">
        <v>95</v>
      </c>
      <c r="M264" s="20" t="s">
        <v>96</v>
      </c>
      <c r="N264" s="20">
        <v>1500</v>
      </c>
      <c r="O264" s="20" t="s">
        <v>158</v>
      </c>
      <c r="P264" s="20" t="s">
        <v>23</v>
      </c>
      <c r="Q264" s="33"/>
      <c r="R264" s="33"/>
      <c r="S264" s="33"/>
      <c r="T264" s="33">
        <f t="shared" ca="1" si="15"/>
        <v>25800</v>
      </c>
      <c r="U264" s="38">
        <f t="shared" ca="1" si="9"/>
        <v>23220</v>
      </c>
      <c r="V264" s="38">
        <f t="shared" ca="1" si="10"/>
        <v>21930</v>
      </c>
      <c r="W264" s="38">
        <f t="shared" ca="1" si="11"/>
        <v>20640</v>
      </c>
      <c r="X264" s="38">
        <f t="shared" ca="1" si="12"/>
        <v>18060</v>
      </c>
      <c r="Y264" s="18"/>
    </row>
    <row r="265" spans="1:25" ht="16" x14ac:dyDescent="0.15">
      <c r="A265" s="18"/>
      <c r="B265" s="20" t="s">
        <v>58</v>
      </c>
      <c r="C265" s="20" t="s">
        <v>134</v>
      </c>
      <c r="D265" s="20" t="s">
        <v>61</v>
      </c>
      <c r="E265" s="20" t="s">
        <v>63</v>
      </c>
      <c r="F265" s="20" t="s">
        <v>119</v>
      </c>
      <c r="G265" s="20">
        <v>1500</v>
      </c>
      <c r="H265" s="20" t="s">
        <v>116</v>
      </c>
      <c r="I265" s="20" t="str">
        <f t="shared" si="14"/>
        <v>WSTK-LNR-SH-LVP-1500-G</v>
      </c>
      <c r="J265" s="20" t="s">
        <v>86</v>
      </c>
      <c r="K265" s="20" t="s">
        <v>133</v>
      </c>
      <c r="L265" s="20" t="s">
        <v>95</v>
      </c>
      <c r="M265" s="20" t="s">
        <v>96</v>
      </c>
      <c r="N265" s="20">
        <v>1500</v>
      </c>
      <c r="O265" s="20" t="s">
        <v>158</v>
      </c>
      <c r="P265" s="20" t="s">
        <v>42</v>
      </c>
      <c r="Q265" s="33"/>
      <c r="R265" s="33"/>
      <c r="S265" s="33"/>
      <c r="T265" s="33">
        <f t="shared" ca="1" si="15"/>
        <v>32500</v>
      </c>
      <c r="U265" s="38">
        <f t="shared" ca="1" si="9"/>
        <v>29250</v>
      </c>
      <c r="V265" s="38">
        <f t="shared" ca="1" si="10"/>
        <v>27625</v>
      </c>
      <c r="W265" s="38">
        <f t="shared" ca="1" si="11"/>
        <v>26000</v>
      </c>
      <c r="X265" s="38">
        <f t="shared" ca="1" si="12"/>
        <v>22750</v>
      </c>
      <c r="Y265" s="18"/>
    </row>
    <row r="266" spans="1:25" ht="16" x14ac:dyDescent="0.15">
      <c r="A266" s="18"/>
      <c r="B266" s="20" t="s">
        <v>58</v>
      </c>
      <c r="C266" s="20" t="s">
        <v>134</v>
      </c>
      <c r="D266" s="20" t="s">
        <v>61</v>
      </c>
      <c r="E266" s="20" t="s">
        <v>63</v>
      </c>
      <c r="F266" s="20" t="s">
        <v>119</v>
      </c>
      <c r="G266" s="20">
        <v>1500</v>
      </c>
      <c r="H266" s="20" t="s">
        <v>131</v>
      </c>
      <c r="I266" s="20" t="str">
        <f t="shared" si="14"/>
        <v>WSTK-LNR-SH-LVP-1500-X</v>
      </c>
      <c r="J266" s="20" t="s">
        <v>86</v>
      </c>
      <c r="K266" s="20" t="s">
        <v>133</v>
      </c>
      <c r="L266" s="20" t="s">
        <v>95</v>
      </c>
      <c r="M266" s="20" t="s">
        <v>96</v>
      </c>
      <c r="N266" s="20">
        <v>1500</v>
      </c>
      <c r="O266" s="20" t="s">
        <v>158</v>
      </c>
      <c r="P266" s="20" t="s">
        <v>55</v>
      </c>
      <c r="Q266" s="33"/>
      <c r="R266" s="33"/>
      <c r="S266" s="33"/>
      <c r="T266" s="33">
        <f t="shared" ca="1" si="15"/>
        <v>33000</v>
      </c>
      <c r="U266" s="38">
        <f t="shared" ca="1" si="9"/>
        <v>29700</v>
      </c>
      <c r="V266" s="38">
        <f t="shared" ca="1" si="10"/>
        <v>28050</v>
      </c>
      <c r="W266" s="38">
        <f t="shared" ca="1" si="11"/>
        <v>26400</v>
      </c>
      <c r="X266" s="38">
        <f t="shared" ca="1" si="12"/>
        <v>23100</v>
      </c>
      <c r="Y266" s="18"/>
    </row>
    <row r="267" spans="1:25" ht="16" x14ac:dyDescent="0.15">
      <c r="A267" s="18"/>
      <c r="B267" s="20" t="s">
        <v>58</v>
      </c>
      <c r="C267" s="20" t="s">
        <v>134</v>
      </c>
      <c r="D267" s="20" t="s">
        <v>61</v>
      </c>
      <c r="E267" s="20" t="s">
        <v>63</v>
      </c>
      <c r="F267" s="20" t="s">
        <v>125</v>
      </c>
      <c r="G267" s="20">
        <v>1500</v>
      </c>
      <c r="H267" s="20" t="s">
        <v>66</v>
      </c>
      <c r="I267" s="20" t="str">
        <f t="shared" si="14"/>
        <v>WSTK-LNR-SH-MB-1500-F</v>
      </c>
      <c r="J267" s="20" t="s">
        <v>86</v>
      </c>
      <c r="K267" s="20" t="s">
        <v>133</v>
      </c>
      <c r="L267" s="20" t="s">
        <v>95</v>
      </c>
      <c r="M267" s="20" t="s">
        <v>96</v>
      </c>
      <c r="N267" s="20">
        <v>1500</v>
      </c>
      <c r="O267" s="20" t="s">
        <v>97</v>
      </c>
      <c r="P267" s="20" t="s">
        <v>23</v>
      </c>
      <c r="Q267" s="33"/>
      <c r="R267" s="33"/>
      <c r="S267" s="33"/>
      <c r="T267" s="33">
        <f t="shared" ca="1" si="15"/>
        <v>29100</v>
      </c>
      <c r="U267" s="38">
        <f t="shared" ca="1" si="9"/>
        <v>26190</v>
      </c>
      <c r="V267" s="38">
        <f t="shared" ca="1" si="10"/>
        <v>24735</v>
      </c>
      <c r="W267" s="38">
        <f t="shared" ca="1" si="11"/>
        <v>23280</v>
      </c>
      <c r="X267" s="38">
        <f t="shared" ca="1" si="12"/>
        <v>20370</v>
      </c>
      <c r="Y267" s="18"/>
    </row>
    <row r="268" spans="1:25" ht="16" x14ac:dyDescent="0.15">
      <c r="A268" s="18"/>
      <c r="B268" s="20" t="s">
        <v>58</v>
      </c>
      <c r="C268" s="20" t="s">
        <v>134</v>
      </c>
      <c r="D268" s="20" t="s">
        <v>61</v>
      </c>
      <c r="E268" s="20" t="s">
        <v>63</v>
      </c>
      <c r="F268" s="20" t="s">
        <v>125</v>
      </c>
      <c r="G268" s="20">
        <v>1500</v>
      </c>
      <c r="H268" s="20" t="s">
        <v>116</v>
      </c>
      <c r="I268" s="20" t="str">
        <f t="shared" si="14"/>
        <v>WSTK-LNR-SH-MB-1500-G</v>
      </c>
      <c r="J268" s="20" t="s">
        <v>86</v>
      </c>
      <c r="K268" s="20" t="s">
        <v>133</v>
      </c>
      <c r="L268" s="20" t="s">
        <v>95</v>
      </c>
      <c r="M268" s="20" t="s">
        <v>96</v>
      </c>
      <c r="N268" s="20">
        <v>1500</v>
      </c>
      <c r="O268" s="20" t="s">
        <v>97</v>
      </c>
      <c r="P268" s="20" t="s">
        <v>42</v>
      </c>
      <c r="Q268" s="33"/>
      <c r="R268" s="33"/>
      <c r="S268" s="33"/>
      <c r="T268" s="33">
        <f t="shared" ca="1" si="15"/>
        <v>34100</v>
      </c>
      <c r="U268" s="38">
        <f t="shared" ca="1" si="9"/>
        <v>30690</v>
      </c>
      <c r="V268" s="38">
        <f t="shared" ca="1" si="10"/>
        <v>28985</v>
      </c>
      <c r="W268" s="38">
        <f t="shared" ca="1" si="11"/>
        <v>27280</v>
      </c>
      <c r="X268" s="38">
        <f t="shared" ca="1" si="12"/>
        <v>23870</v>
      </c>
      <c r="Y268" s="18"/>
    </row>
    <row r="269" spans="1:25" ht="16" x14ac:dyDescent="0.15">
      <c r="A269" s="18"/>
      <c r="B269" s="20" t="s">
        <v>58</v>
      </c>
      <c r="C269" s="20" t="s">
        <v>134</v>
      </c>
      <c r="D269" s="20" t="s">
        <v>61</v>
      </c>
      <c r="E269" s="20" t="s">
        <v>63</v>
      </c>
      <c r="F269" s="20" t="s">
        <v>125</v>
      </c>
      <c r="G269" s="20">
        <v>1500</v>
      </c>
      <c r="H269" s="20" t="s">
        <v>131</v>
      </c>
      <c r="I269" s="20" t="str">
        <f t="shared" si="14"/>
        <v>WSTK-LNR-SH-MB-1500-X</v>
      </c>
      <c r="J269" s="20" t="s">
        <v>86</v>
      </c>
      <c r="K269" s="20" t="s">
        <v>133</v>
      </c>
      <c r="L269" s="20" t="s">
        <v>95</v>
      </c>
      <c r="M269" s="20" t="s">
        <v>96</v>
      </c>
      <c r="N269" s="20">
        <v>1500</v>
      </c>
      <c r="O269" s="20" t="s">
        <v>97</v>
      </c>
      <c r="P269" s="20" t="s">
        <v>55</v>
      </c>
      <c r="Q269" s="33"/>
      <c r="R269" s="33"/>
      <c r="S269" s="33"/>
      <c r="T269" s="33">
        <f t="shared" ca="1" si="15"/>
        <v>34700</v>
      </c>
      <c r="U269" s="38">
        <f t="shared" ca="1" si="9"/>
        <v>31230</v>
      </c>
      <c r="V269" s="38">
        <f t="shared" ca="1" si="10"/>
        <v>29495</v>
      </c>
      <c r="W269" s="38">
        <f t="shared" ca="1" si="11"/>
        <v>27760</v>
      </c>
      <c r="X269" s="38">
        <f t="shared" ca="1" si="12"/>
        <v>24290</v>
      </c>
      <c r="Y269" s="18"/>
    </row>
    <row r="270" spans="1:25" ht="16" x14ac:dyDescent="0.15">
      <c r="A270" s="18"/>
      <c r="B270" s="20" t="s">
        <v>58</v>
      </c>
      <c r="C270" s="20" t="s">
        <v>134</v>
      </c>
      <c r="D270" s="20" t="s">
        <v>61</v>
      </c>
      <c r="E270" s="20" t="s">
        <v>161</v>
      </c>
      <c r="F270" s="20" t="s">
        <v>65</v>
      </c>
      <c r="G270" s="20">
        <v>900</v>
      </c>
      <c r="H270" s="20" t="s">
        <v>66</v>
      </c>
      <c r="I270" s="20" t="str">
        <f t="shared" si="14"/>
        <v>WSTK-LNR-NSH-PB-900-F</v>
      </c>
      <c r="J270" s="20" t="s">
        <v>86</v>
      </c>
      <c r="K270" s="20" t="s">
        <v>133</v>
      </c>
      <c r="L270" s="20" t="s">
        <v>95</v>
      </c>
      <c r="M270" s="20" t="s">
        <v>162</v>
      </c>
      <c r="N270" s="20">
        <v>900</v>
      </c>
      <c r="O270" s="20" t="s">
        <v>11</v>
      </c>
      <c r="P270" s="20" t="s">
        <v>23</v>
      </c>
      <c r="Q270" s="33"/>
      <c r="R270" s="33"/>
      <c r="S270" s="33"/>
      <c r="T270" s="33">
        <f t="shared" ca="1" si="15"/>
        <v>30700</v>
      </c>
      <c r="U270" s="38">
        <f t="shared" ca="1" si="9"/>
        <v>27630</v>
      </c>
      <c r="V270" s="38">
        <f t="shared" ca="1" si="10"/>
        <v>26095</v>
      </c>
      <c r="W270" s="38">
        <f t="shared" ca="1" si="11"/>
        <v>24560</v>
      </c>
      <c r="X270" s="38">
        <f t="shared" ca="1" si="12"/>
        <v>21490</v>
      </c>
      <c r="Y270" s="18"/>
    </row>
    <row r="271" spans="1:25" ht="16" x14ac:dyDescent="0.15">
      <c r="A271" s="18"/>
      <c r="B271" s="20" t="s">
        <v>58</v>
      </c>
      <c r="C271" s="20" t="s">
        <v>134</v>
      </c>
      <c r="D271" s="20" t="s">
        <v>61</v>
      </c>
      <c r="E271" s="20" t="s">
        <v>161</v>
      </c>
      <c r="F271" s="20" t="s">
        <v>65</v>
      </c>
      <c r="G271" s="20">
        <v>900</v>
      </c>
      <c r="H271" s="20" t="s">
        <v>116</v>
      </c>
      <c r="I271" s="20" t="str">
        <f t="shared" si="14"/>
        <v>WSTK-LNR-NSH-PB-900-G</v>
      </c>
      <c r="J271" s="20" t="s">
        <v>86</v>
      </c>
      <c r="K271" s="20" t="s">
        <v>133</v>
      </c>
      <c r="L271" s="20" t="s">
        <v>95</v>
      </c>
      <c r="M271" s="20" t="s">
        <v>162</v>
      </c>
      <c r="N271" s="20">
        <v>900</v>
      </c>
      <c r="O271" s="20" t="s">
        <v>11</v>
      </c>
      <c r="P271" s="20" t="s">
        <v>42</v>
      </c>
      <c r="Q271" s="33"/>
      <c r="R271" s="33"/>
      <c r="S271" s="33"/>
      <c r="T271" s="33">
        <f t="shared" ca="1" si="15"/>
        <v>43500</v>
      </c>
      <c r="U271" s="38">
        <f t="shared" ca="1" si="9"/>
        <v>39150</v>
      </c>
      <c r="V271" s="38">
        <f t="shared" ca="1" si="10"/>
        <v>36975</v>
      </c>
      <c r="W271" s="38">
        <f t="shared" ca="1" si="11"/>
        <v>34800</v>
      </c>
      <c r="X271" s="38">
        <f t="shared" ca="1" si="12"/>
        <v>30449.999999999996</v>
      </c>
      <c r="Y271" s="18"/>
    </row>
    <row r="272" spans="1:25" ht="16" x14ac:dyDescent="0.15">
      <c r="A272" s="18"/>
      <c r="B272" s="20" t="s">
        <v>58</v>
      </c>
      <c r="C272" s="20" t="s">
        <v>134</v>
      </c>
      <c r="D272" s="20" t="s">
        <v>61</v>
      </c>
      <c r="E272" s="20" t="s">
        <v>161</v>
      </c>
      <c r="F272" s="20" t="s">
        <v>65</v>
      </c>
      <c r="G272" s="20">
        <v>900</v>
      </c>
      <c r="H272" s="20" t="s">
        <v>131</v>
      </c>
      <c r="I272" s="20" t="str">
        <f t="shared" si="14"/>
        <v>WSTK-LNR-NSH-PB-900-X</v>
      </c>
      <c r="J272" s="20" t="s">
        <v>86</v>
      </c>
      <c r="K272" s="20" t="s">
        <v>133</v>
      </c>
      <c r="L272" s="20" t="s">
        <v>95</v>
      </c>
      <c r="M272" s="20" t="s">
        <v>162</v>
      </c>
      <c r="N272" s="20">
        <v>900</v>
      </c>
      <c r="O272" s="20" t="s">
        <v>11</v>
      </c>
      <c r="P272" s="20" t="s">
        <v>55</v>
      </c>
      <c r="Q272" s="33"/>
      <c r="R272" s="33"/>
      <c r="S272" s="33"/>
      <c r="T272" s="33">
        <f t="shared" ca="1" si="15"/>
        <v>44000</v>
      </c>
      <c r="U272" s="38">
        <f t="shared" ca="1" si="9"/>
        <v>39600</v>
      </c>
      <c r="V272" s="38">
        <f t="shared" ca="1" si="10"/>
        <v>37400</v>
      </c>
      <c r="W272" s="38">
        <f t="shared" ca="1" si="11"/>
        <v>35200</v>
      </c>
      <c r="X272" s="38">
        <f t="shared" ca="1" si="12"/>
        <v>30799.999999999996</v>
      </c>
      <c r="Y272" s="18"/>
    </row>
    <row r="273" spans="1:25" ht="16" x14ac:dyDescent="0.15">
      <c r="A273" s="18"/>
      <c r="B273" s="20" t="s">
        <v>58</v>
      </c>
      <c r="C273" s="20" t="s">
        <v>134</v>
      </c>
      <c r="D273" s="20" t="s">
        <v>61</v>
      </c>
      <c r="E273" s="20" t="s">
        <v>161</v>
      </c>
      <c r="F273" s="20" t="s">
        <v>112</v>
      </c>
      <c r="G273" s="20">
        <v>900</v>
      </c>
      <c r="H273" s="20" t="s">
        <v>66</v>
      </c>
      <c r="I273" s="20" t="str">
        <f t="shared" si="14"/>
        <v>WSTK-LNR-NSH-PLM-900-F</v>
      </c>
      <c r="J273" s="20" t="s">
        <v>86</v>
      </c>
      <c r="K273" s="20" t="s">
        <v>133</v>
      </c>
      <c r="L273" s="20" t="s">
        <v>95</v>
      </c>
      <c r="M273" s="20" t="s">
        <v>162</v>
      </c>
      <c r="N273" s="20">
        <v>900</v>
      </c>
      <c r="O273" s="20" t="s">
        <v>31</v>
      </c>
      <c r="P273" s="20" t="s">
        <v>23</v>
      </c>
      <c r="Q273" s="33"/>
      <c r="R273" s="33"/>
      <c r="S273" s="33"/>
      <c r="T273" s="33">
        <f t="shared" ca="1" si="15"/>
        <v>40000</v>
      </c>
      <c r="U273" s="38">
        <f t="shared" ca="1" si="9"/>
        <v>36000</v>
      </c>
      <c r="V273" s="38">
        <f t="shared" ca="1" si="10"/>
        <v>34000</v>
      </c>
      <c r="W273" s="38">
        <f t="shared" ca="1" si="11"/>
        <v>32000</v>
      </c>
      <c r="X273" s="38">
        <f t="shared" ca="1" si="12"/>
        <v>28000</v>
      </c>
      <c r="Y273" s="18"/>
    </row>
    <row r="274" spans="1:25" ht="16" x14ac:dyDescent="0.15">
      <c r="A274" s="18"/>
      <c r="B274" s="20" t="s">
        <v>58</v>
      </c>
      <c r="C274" s="20" t="s">
        <v>134</v>
      </c>
      <c r="D274" s="20" t="s">
        <v>61</v>
      </c>
      <c r="E274" s="20" t="s">
        <v>161</v>
      </c>
      <c r="F274" s="20" t="s">
        <v>112</v>
      </c>
      <c r="G274" s="20">
        <v>900</v>
      </c>
      <c r="H274" s="20" t="s">
        <v>116</v>
      </c>
      <c r="I274" s="20" t="str">
        <f t="shared" si="14"/>
        <v>WSTK-LNR-NSH-PLM-900-G</v>
      </c>
      <c r="J274" s="20" t="s">
        <v>86</v>
      </c>
      <c r="K274" s="20" t="s">
        <v>133</v>
      </c>
      <c r="L274" s="20" t="s">
        <v>95</v>
      </c>
      <c r="M274" s="20" t="s">
        <v>162</v>
      </c>
      <c r="N274" s="20">
        <v>900</v>
      </c>
      <c r="O274" s="20" t="s">
        <v>31</v>
      </c>
      <c r="P274" s="20" t="s">
        <v>42</v>
      </c>
      <c r="Q274" s="33"/>
      <c r="R274" s="33"/>
      <c r="S274" s="33"/>
      <c r="T274" s="33">
        <f t="shared" ca="1" si="15"/>
        <v>23900</v>
      </c>
      <c r="U274" s="38">
        <f t="shared" ca="1" si="9"/>
        <v>21510</v>
      </c>
      <c r="V274" s="38">
        <f t="shared" ca="1" si="10"/>
        <v>20315</v>
      </c>
      <c r="W274" s="38">
        <f t="shared" ca="1" si="11"/>
        <v>19120</v>
      </c>
      <c r="X274" s="38">
        <f t="shared" ca="1" si="12"/>
        <v>16730</v>
      </c>
      <c r="Y274" s="18"/>
    </row>
    <row r="275" spans="1:25" ht="16" x14ac:dyDescent="0.15">
      <c r="A275" s="18"/>
      <c r="B275" s="20" t="s">
        <v>58</v>
      </c>
      <c r="C275" s="20" t="s">
        <v>134</v>
      </c>
      <c r="D275" s="20" t="s">
        <v>61</v>
      </c>
      <c r="E275" s="20" t="s">
        <v>161</v>
      </c>
      <c r="F275" s="20" t="s">
        <v>112</v>
      </c>
      <c r="G275" s="20">
        <v>900</v>
      </c>
      <c r="H275" s="20" t="s">
        <v>131</v>
      </c>
      <c r="I275" s="20" t="str">
        <f t="shared" si="14"/>
        <v>WSTK-LNR-NSH-PLM-900-X</v>
      </c>
      <c r="J275" s="20" t="s">
        <v>86</v>
      </c>
      <c r="K275" s="20" t="s">
        <v>133</v>
      </c>
      <c r="L275" s="20" t="s">
        <v>95</v>
      </c>
      <c r="M275" s="20" t="s">
        <v>162</v>
      </c>
      <c r="N275" s="20">
        <v>900</v>
      </c>
      <c r="O275" s="20" t="s">
        <v>31</v>
      </c>
      <c r="P275" s="20" t="s">
        <v>55</v>
      </c>
      <c r="Q275" s="33"/>
      <c r="R275" s="33"/>
      <c r="S275" s="33"/>
      <c r="T275" s="33">
        <f t="shared" ca="1" si="15"/>
        <v>24500</v>
      </c>
      <c r="U275" s="38">
        <f t="shared" ca="1" si="9"/>
        <v>22050</v>
      </c>
      <c r="V275" s="38">
        <f t="shared" ca="1" si="10"/>
        <v>20825</v>
      </c>
      <c r="W275" s="38">
        <f t="shared" ca="1" si="11"/>
        <v>19600</v>
      </c>
      <c r="X275" s="38">
        <f t="shared" ca="1" si="12"/>
        <v>17150</v>
      </c>
      <c r="Y275" s="18"/>
    </row>
    <row r="276" spans="1:25" ht="16" x14ac:dyDescent="0.15">
      <c r="A276" s="18"/>
      <c r="B276" s="20" t="s">
        <v>58</v>
      </c>
      <c r="C276" s="20" t="s">
        <v>134</v>
      </c>
      <c r="D276" s="20" t="s">
        <v>61</v>
      </c>
      <c r="E276" s="20" t="s">
        <v>161</v>
      </c>
      <c r="F276" s="20" t="s">
        <v>114</v>
      </c>
      <c r="G276" s="20">
        <v>900</v>
      </c>
      <c r="H276" s="20" t="s">
        <v>66</v>
      </c>
      <c r="I276" s="20" t="str">
        <f t="shared" si="14"/>
        <v>WSTK-LNR-NSH-PoLM-900-F</v>
      </c>
      <c r="J276" s="20" t="s">
        <v>86</v>
      </c>
      <c r="K276" s="20" t="s">
        <v>133</v>
      </c>
      <c r="L276" s="20" t="s">
        <v>95</v>
      </c>
      <c r="M276" s="20" t="s">
        <v>162</v>
      </c>
      <c r="N276" s="20">
        <v>900</v>
      </c>
      <c r="O276" s="20" t="s">
        <v>47</v>
      </c>
      <c r="P276" s="20" t="s">
        <v>23</v>
      </c>
      <c r="Q276" s="33"/>
      <c r="R276" s="33"/>
      <c r="S276" s="33"/>
      <c r="T276" s="33">
        <f t="shared" ca="1" si="15"/>
        <v>19200</v>
      </c>
      <c r="U276" s="38">
        <f t="shared" ca="1" si="9"/>
        <v>17280</v>
      </c>
      <c r="V276" s="38">
        <f t="shared" ca="1" si="10"/>
        <v>16320</v>
      </c>
      <c r="W276" s="38">
        <f t="shared" ca="1" si="11"/>
        <v>15360</v>
      </c>
      <c r="X276" s="38">
        <f t="shared" ca="1" si="12"/>
        <v>13440</v>
      </c>
      <c r="Y276" s="18"/>
    </row>
    <row r="277" spans="1:25" ht="16" x14ac:dyDescent="0.15">
      <c r="A277" s="18"/>
      <c r="B277" s="20" t="s">
        <v>58</v>
      </c>
      <c r="C277" s="20" t="s">
        <v>134</v>
      </c>
      <c r="D277" s="20" t="s">
        <v>61</v>
      </c>
      <c r="E277" s="20" t="s">
        <v>161</v>
      </c>
      <c r="F277" s="20" t="s">
        <v>114</v>
      </c>
      <c r="G277" s="20">
        <v>900</v>
      </c>
      <c r="H277" s="20" t="s">
        <v>116</v>
      </c>
      <c r="I277" s="20" t="str">
        <f t="shared" si="14"/>
        <v>WSTK-LNR-NSH-PoLM-900-G</v>
      </c>
      <c r="J277" s="20" t="s">
        <v>86</v>
      </c>
      <c r="K277" s="20" t="s">
        <v>133</v>
      </c>
      <c r="L277" s="20" t="s">
        <v>95</v>
      </c>
      <c r="M277" s="20" t="s">
        <v>162</v>
      </c>
      <c r="N277" s="20">
        <v>900</v>
      </c>
      <c r="O277" s="20" t="s">
        <v>47</v>
      </c>
      <c r="P277" s="20" t="s">
        <v>42</v>
      </c>
      <c r="Q277" s="33"/>
      <c r="R277" s="33"/>
      <c r="S277" s="33"/>
      <c r="T277" s="33">
        <f t="shared" ca="1" si="15"/>
        <v>25600</v>
      </c>
      <c r="U277" s="38">
        <f t="shared" ca="1" si="9"/>
        <v>23040</v>
      </c>
      <c r="V277" s="38">
        <f t="shared" ca="1" si="10"/>
        <v>21760</v>
      </c>
      <c r="W277" s="38">
        <f t="shared" ca="1" si="11"/>
        <v>20480</v>
      </c>
      <c r="X277" s="38">
        <f t="shared" ca="1" si="12"/>
        <v>17920</v>
      </c>
      <c r="Y277" s="18"/>
    </row>
    <row r="278" spans="1:25" ht="16" x14ac:dyDescent="0.15">
      <c r="A278" s="18"/>
      <c r="B278" s="20" t="s">
        <v>58</v>
      </c>
      <c r="C278" s="20" t="s">
        <v>134</v>
      </c>
      <c r="D278" s="20" t="s">
        <v>61</v>
      </c>
      <c r="E278" s="20" t="s">
        <v>161</v>
      </c>
      <c r="F278" s="20" t="s">
        <v>114</v>
      </c>
      <c r="G278" s="20">
        <v>900</v>
      </c>
      <c r="H278" s="20" t="s">
        <v>131</v>
      </c>
      <c r="I278" s="20" t="str">
        <f t="shared" si="14"/>
        <v>WSTK-LNR-NSH-PoLM-900-X</v>
      </c>
      <c r="J278" s="20" t="s">
        <v>86</v>
      </c>
      <c r="K278" s="20" t="s">
        <v>133</v>
      </c>
      <c r="L278" s="20" t="s">
        <v>95</v>
      </c>
      <c r="M278" s="20" t="s">
        <v>162</v>
      </c>
      <c r="N278" s="20">
        <v>900</v>
      </c>
      <c r="O278" s="20" t="s">
        <v>47</v>
      </c>
      <c r="P278" s="20" t="s">
        <v>55</v>
      </c>
      <c r="Q278" s="33"/>
      <c r="R278" s="33"/>
      <c r="S278" s="33"/>
      <c r="T278" s="33">
        <f t="shared" ca="1" si="15"/>
        <v>26300</v>
      </c>
      <c r="U278" s="38">
        <f t="shared" ca="1" si="9"/>
        <v>23670</v>
      </c>
      <c r="V278" s="38">
        <f t="shared" ca="1" si="10"/>
        <v>22355</v>
      </c>
      <c r="W278" s="38">
        <f t="shared" ca="1" si="11"/>
        <v>21040</v>
      </c>
      <c r="X278" s="38">
        <f t="shared" ca="1" si="12"/>
        <v>18410</v>
      </c>
      <c r="Y278" s="18"/>
    </row>
    <row r="279" spans="1:25" ht="16" x14ac:dyDescent="0.15">
      <c r="A279" s="18"/>
      <c r="B279" s="20" t="s">
        <v>58</v>
      </c>
      <c r="C279" s="20" t="s">
        <v>134</v>
      </c>
      <c r="D279" s="20" t="s">
        <v>61</v>
      </c>
      <c r="E279" s="20" t="s">
        <v>161</v>
      </c>
      <c r="F279" s="20" t="s">
        <v>117</v>
      </c>
      <c r="G279" s="20">
        <v>900</v>
      </c>
      <c r="H279" s="20" t="s">
        <v>66</v>
      </c>
      <c r="I279" s="20" t="str">
        <f t="shared" si="14"/>
        <v>WSTK-LNR-NSH-LVM-900-F</v>
      </c>
      <c r="J279" s="20" t="s">
        <v>86</v>
      </c>
      <c r="K279" s="20" t="s">
        <v>133</v>
      </c>
      <c r="L279" s="20" t="s">
        <v>95</v>
      </c>
      <c r="M279" s="20" t="s">
        <v>162</v>
      </c>
      <c r="N279" s="20">
        <v>900</v>
      </c>
      <c r="O279" s="20" t="s">
        <v>157</v>
      </c>
      <c r="P279" s="20" t="s">
        <v>23</v>
      </c>
      <c r="Q279" s="33"/>
      <c r="R279" s="33"/>
      <c r="S279" s="33"/>
      <c r="T279" s="33">
        <f t="shared" ca="1" si="15"/>
        <v>21000</v>
      </c>
      <c r="U279" s="38">
        <f t="shared" ca="1" si="9"/>
        <v>18900</v>
      </c>
      <c r="V279" s="38">
        <f t="shared" ca="1" si="10"/>
        <v>17850</v>
      </c>
      <c r="W279" s="38">
        <f t="shared" ca="1" si="11"/>
        <v>16800</v>
      </c>
      <c r="X279" s="38">
        <f t="shared" ca="1" si="12"/>
        <v>14699.999999999998</v>
      </c>
      <c r="Y279" s="18"/>
    </row>
    <row r="280" spans="1:25" ht="16" x14ac:dyDescent="0.15">
      <c r="A280" s="18"/>
      <c r="B280" s="20" t="s">
        <v>58</v>
      </c>
      <c r="C280" s="20" t="s">
        <v>134</v>
      </c>
      <c r="D280" s="20" t="s">
        <v>61</v>
      </c>
      <c r="E280" s="20" t="s">
        <v>161</v>
      </c>
      <c r="F280" s="20" t="s">
        <v>117</v>
      </c>
      <c r="G280" s="20">
        <v>900</v>
      </c>
      <c r="H280" s="20" t="s">
        <v>116</v>
      </c>
      <c r="I280" s="20" t="str">
        <f t="shared" si="14"/>
        <v>WSTK-LNR-NSH-LVM-900-G</v>
      </c>
      <c r="J280" s="20" t="s">
        <v>86</v>
      </c>
      <c r="K280" s="20" t="s">
        <v>133</v>
      </c>
      <c r="L280" s="20" t="s">
        <v>95</v>
      </c>
      <c r="M280" s="20" t="s">
        <v>162</v>
      </c>
      <c r="N280" s="20">
        <v>900</v>
      </c>
      <c r="O280" s="20" t="s">
        <v>157</v>
      </c>
      <c r="P280" s="20" t="s">
        <v>42</v>
      </c>
      <c r="Q280" s="33"/>
      <c r="R280" s="33"/>
      <c r="S280" s="33"/>
      <c r="T280" s="33">
        <f t="shared" ca="1" si="15"/>
        <v>35300</v>
      </c>
      <c r="U280" s="38">
        <f t="shared" ca="1" si="9"/>
        <v>31770</v>
      </c>
      <c r="V280" s="38">
        <f t="shared" ca="1" si="10"/>
        <v>30005</v>
      </c>
      <c r="W280" s="38">
        <f t="shared" ca="1" si="11"/>
        <v>28240</v>
      </c>
      <c r="X280" s="38">
        <f t="shared" ca="1" si="12"/>
        <v>24710</v>
      </c>
      <c r="Y280" s="18"/>
    </row>
    <row r="281" spans="1:25" ht="16" x14ac:dyDescent="0.15">
      <c r="A281" s="18"/>
      <c r="B281" s="20" t="s">
        <v>58</v>
      </c>
      <c r="C281" s="20" t="s">
        <v>134</v>
      </c>
      <c r="D281" s="20" t="s">
        <v>61</v>
      </c>
      <c r="E281" s="20" t="s">
        <v>161</v>
      </c>
      <c r="F281" s="20" t="s">
        <v>117</v>
      </c>
      <c r="G281" s="20">
        <v>900</v>
      </c>
      <c r="H281" s="20" t="s">
        <v>131</v>
      </c>
      <c r="I281" s="20" t="str">
        <f t="shared" si="14"/>
        <v>WSTK-LNR-NSH-LVM-900-X</v>
      </c>
      <c r="J281" s="20" t="s">
        <v>86</v>
      </c>
      <c r="K281" s="20" t="s">
        <v>133</v>
      </c>
      <c r="L281" s="20" t="s">
        <v>95</v>
      </c>
      <c r="M281" s="20" t="s">
        <v>162</v>
      </c>
      <c r="N281" s="20">
        <v>900</v>
      </c>
      <c r="O281" s="20" t="s">
        <v>157</v>
      </c>
      <c r="P281" s="20" t="s">
        <v>55</v>
      </c>
      <c r="Q281" s="33"/>
      <c r="R281" s="33"/>
      <c r="S281" s="33"/>
      <c r="T281" s="33">
        <f t="shared" ca="1" si="15"/>
        <v>36000</v>
      </c>
      <c r="U281" s="38">
        <f t="shared" ca="1" si="9"/>
        <v>32400</v>
      </c>
      <c r="V281" s="38">
        <f t="shared" ca="1" si="10"/>
        <v>30600</v>
      </c>
      <c r="W281" s="38">
        <f t="shared" ca="1" si="11"/>
        <v>28800</v>
      </c>
      <c r="X281" s="38">
        <f t="shared" ca="1" si="12"/>
        <v>25200</v>
      </c>
      <c r="Y281" s="18"/>
    </row>
    <row r="282" spans="1:25" ht="16" x14ac:dyDescent="0.15">
      <c r="A282" s="18"/>
      <c r="B282" s="20" t="s">
        <v>58</v>
      </c>
      <c r="C282" s="20" t="s">
        <v>134</v>
      </c>
      <c r="D282" s="20" t="s">
        <v>61</v>
      </c>
      <c r="E282" s="20" t="s">
        <v>161</v>
      </c>
      <c r="F282" s="20" t="s">
        <v>119</v>
      </c>
      <c r="G282" s="20">
        <v>900</v>
      </c>
      <c r="H282" s="20" t="s">
        <v>66</v>
      </c>
      <c r="I282" s="20" t="str">
        <f t="shared" si="14"/>
        <v>WSTK-LNR-NSH-LVP-900-F</v>
      </c>
      <c r="J282" s="20" t="s">
        <v>86</v>
      </c>
      <c r="K282" s="20" t="s">
        <v>133</v>
      </c>
      <c r="L282" s="20" t="s">
        <v>95</v>
      </c>
      <c r="M282" s="20" t="s">
        <v>162</v>
      </c>
      <c r="N282" s="20">
        <v>900</v>
      </c>
      <c r="O282" s="20" t="s">
        <v>158</v>
      </c>
      <c r="P282" s="20" t="s">
        <v>23</v>
      </c>
      <c r="Q282" s="33"/>
      <c r="R282" s="33"/>
      <c r="S282" s="33"/>
      <c r="T282" s="33">
        <f t="shared" ca="1" si="15"/>
        <v>30700</v>
      </c>
      <c r="U282" s="38">
        <f t="shared" ca="1" si="9"/>
        <v>27630</v>
      </c>
      <c r="V282" s="38">
        <f t="shared" ca="1" si="10"/>
        <v>26095</v>
      </c>
      <c r="W282" s="38">
        <f t="shared" ca="1" si="11"/>
        <v>24560</v>
      </c>
      <c r="X282" s="38">
        <f t="shared" ca="1" si="12"/>
        <v>21490</v>
      </c>
      <c r="Y282" s="18"/>
    </row>
    <row r="283" spans="1:25" ht="16" x14ac:dyDescent="0.15">
      <c r="A283" s="18"/>
      <c r="B283" s="20" t="s">
        <v>58</v>
      </c>
      <c r="C283" s="20" t="s">
        <v>134</v>
      </c>
      <c r="D283" s="20" t="s">
        <v>61</v>
      </c>
      <c r="E283" s="20" t="s">
        <v>161</v>
      </c>
      <c r="F283" s="20" t="s">
        <v>119</v>
      </c>
      <c r="G283" s="20">
        <v>900</v>
      </c>
      <c r="H283" s="20" t="s">
        <v>116</v>
      </c>
      <c r="I283" s="20" t="str">
        <f t="shared" si="14"/>
        <v>WSTK-LNR-NSH-LVP-900-G</v>
      </c>
      <c r="J283" s="20" t="s">
        <v>86</v>
      </c>
      <c r="K283" s="20" t="s">
        <v>133</v>
      </c>
      <c r="L283" s="20" t="s">
        <v>95</v>
      </c>
      <c r="M283" s="20" t="s">
        <v>162</v>
      </c>
      <c r="N283" s="20">
        <v>900</v>
      </c>
      <c r="O283" s="20" t="s">
        <v>158</v>
      </c>
      <c r="P283" s="20" t="s">
        <v>42</v>
      </c>
      <c r="Q283" s="33"/>
      <c r="R283" s="33"/>
      <c r="S283" s="33"/>
      <c r="T283" s="33">
        <f t="shared" ca="1" si="15"/>
        <v>39600</v>
      </c>
      <c r="U283" s="38">
        <f t="shared" ca="1" si="9"/>
        <v>35640</v>
      </c>
      <c r="V283" s="38">
        <f t="shared" ca="1" si="10"/>
        <v>33660</v>
      </c>
      <c r="W283" s="38">
        <f t="shared" ca="1" si="11"/>
        <v>31680</v>
      </c>
      <c r="X283" s="38">
        <f t="shared" ca="1" si="12"/>
        <v>27720</v>
      </c>
      <c r="Y283" s="18"/>
    </row>
    <row r="284" spans="1:25" ht="16" x14ac:dyDescent="0.15">
      <c r="A284" s="18"/>
      <c r="B284" s="20" t="s">
        <v>58</v>
      </c>
      <c r="C284" s="20" t="s">
        <v>134</v>
      </c>
      <c r="D284" s="20" t="s">
        <v>61</v>
      </c>
      <c r="E284" s="20" t="s">
        <v>161</v>
      </c>
      <c r="F284" s="20" t="s">
        <v>119</v>
      </c>
      <c r="G284" s="20">
        <v>900</v>
      </c>
      <c r="H284" s="20" t="s">
        <v>131</v>
      </c>
      <c r="I284" s="20" t="str">
        <f t="shared" si="14"/>
        <v>WSTK-LNR-NSH-LVP-900-X</v>
      </c>
      <c r="J284" s="20" t="s">
        <v>86</v>
      </c>
      <c r="K284" s="20" t="s">
        <v>133</v>
      </c>
      <c r="L284" s="20" t="s">
        <v>95</v>
      </c>
      <c r="M284" s="20" t="s">
        <v>162</v>
      </c>
      <c r="N284" s="20">
        <v>900</v>
      </c>
      <c r="O284" s="20" t="s">
        <v>158</v>
      </c>
      <c r="P284" s="20" t="s">
        <v>55</v>
      </c>
      <c r="Q284" s="33"/>
      <c r="R284" s="33"/>
      <c r="S284" s="33"/>
      <c r="T284" s="33">
        <f t="shared" ca="1" si="15"/>
        <v>40300</v>
      </c>
      <c r="U284" s="38">
        <f t="shared" ca="1" si="9"/>
        <v>36270</v>
      </c>
      <c r="V284" s="38">
        <f t="shared" ca="1" si="10"/>
        <v>34255</v>
      </c>
      <c r="W284" s="38">
        <f t="shared" ca="1" si="11"/>
        <v>32240</v>
      </c>
      <c r="X284" s="38">
        <f t="shared" ca="1" si="12"/>
        <v>28210</v>
      </c>
      <c r="Y284" s="18"/>
    </row>
    <row r="285" spans="1:25" ht="16" x14ac:dyDescent="0.15">
      <c r="A285" s="18"/>
      <c r="B285" s="20" t="s">
        <v>58</v>
      </c>
      <c r="C285" s="20" t="s">
        <v>134</v>
      </c>
      <c r="D285" s="20" t="s">
        <v>61</v>
      </c>
      <c r="E285" s="20" t="s">
        <v>161</v>
      </c>
      <c r="F285" s="20" t="s">
        <v>125</v>
      </c>
      <c r="G285" s="20">
        <v>900</v>
      </c>
      <c r="H285" s="20" t="s">
        <v>66</v>
      </c>
      <c r="I285" s="20" t="str">
        <f t="shared" si="14"/>
        <v>WSTK-LNR-NSH-MB-900-F</v>
      </c>
      <c r="J285" s="20" t="s">
        <v>86</v>
      </c>
      <c r="K285" s="20" t="s">
        <v>133</v>
      </c>
      <c r="L285" s="20" t="s">
        <v>95</v>
      </c>
      <c r="M285" s="20" t="s">
        <v>162</v>
      </c>
      <c r="N285" s="20">
        <v>900</v>
      </c>
      <c r="O285" s="20" t="s">
        <v>97</v>
      </c>
      <c r="P285" s="20" t="s">
        <v>23</v>
      </c>
      <c r="Q285" s="33"/>
      <c r="R285" s="33"/>
      <c r="S285" s="33"/>
      <c r="T285" s="33">
        <f t="shared" ca="1" si="15"/>
        <v>35000</v>
      </c>
      <c r="U285" s="38">
        <f t="shared" ca="1" si="9"/>
        <v>31500</v>
      </c>
      <c r="V285" s="38">
        <f t="shared" ca="1" si="10"/>
        <v>29750</v>
      </c>
      <c r="W285" s="38">
        <f t="shared" ca="1" si="11"/>
        <v>28000</v>
      </c>
      <c r="X285" s="38">
        <f t="shared" ca="1" si="12"/>
        <v>24500</v>
      </c>
      <c r="Y285" s="18"/>
    </row>
    <row r="286" spans="1:25" ht="16" x14ac:dyDescent="0.15">
      <c r="A286" s="18"/>
      <c r="B286" s="20" t="s">
        <v>58</v>
      </c>
      <c r="C286" s="20" t="s">
        <v>134</v>
      </c>
      <c r="D286" s="20" t="s">
        <v>61</v>
      </c>
      <c r="E286" s="20" t="s">
        <v>161</v>
      </c>
      <c r="F286" s="20" t="s">
        <v>125</v>
      </c>
      <c r="G286" s="20">
        <v>900</v>
      </c>
      <c r="H286" s="20" t="s">
        <v>116</v>
      </c>
      <c r="I286" s="20" t="str">
        <f t="shared" si="14"/>
        <v>WSTK-LNR-NSH-MB-900-G</v>
      </c>
      <c r="J286" s="20" t="s">
        <v>86</v>
      </c>
      <c r="K286" s="20" t="s">
        <v>133</v>
      </c>
      <c r="L286" s="20" t="s">
        <v>95</v>
      </c>
      <c r="M286" s="20" t="s">
        <v>162</v>
      </c>
      <c r="N286" s="20">
        <v>900</v>
      </c>
      <c r="O286" s="20" t="s">
        <v>97</v>
      </c>
      <c r="P286" s="20" t="s">
        <v>42</v>
      </c>
      <c r="Q286" s="33"/>
      <c r="R286" s="33"/>
      <c r="S286" s="33"/>
      <c r="T286" s="33">
        <f t="shared" ca="1" si="15"/>
        <v>41800</v>
      </c>
      <c r="U286" s="38">
        <f t="shared" ca="1" si="9"/>
        <v>37620</v>
      </c>
      <c r="V286" s="38">
        <f t="shared" ca="1" si="10"/>
        <v>35530</v>
      </c>
      <c r="W286" s="38">
        <f t="shared" ca="1" si="11"/>
        <v>33440</v>
      </c>
      <c r="X286" s="38">
        <f t="shared" ca="1" si="12"/>
        <v>29259.999999999996</v>
      </c>
      <c r="Y286" s="18"/>
    </row>
    <row r="287" spans="1:25" ht="16" x14ac:dyDescent="0.15">
      <c r="A287" s="18"/>
      <c r="B287" s="20" t="s">
        <v>58</v>
      </c>
      <c r="C287" s="20" t="s">
        <v>134</v>
      </c>
      <c r="D287" s="20" t="s">
        <v>61</v>
      </c>
      <c r="E287" s="20" t="s">
        <v>161</v>
      </c>
      <c r="F287" s="20" t="s">
        <v>125</v>
      </c>
      <c r="G287" s="20">
        <v>900</v>
      </c>
      <c r="H287" s="20" t="s">
        <v>131</v>
      </c>
      <c r="I287" s="20" t="str">
        <f t="shared" si="14"/>
        <v>WSTK-LNR-NSH-MB-900-X</v>
      </c>
      <c r="J287" s="20" t="s">
        <v>86</v>
      </c>
      <c r="K287" s="20" t="s">
        <v>133</v>
      </c>
      <c r="L287" s="20" t="s">
        <v>95</v>
      </c>
      <c r="M287" s="20" t="s">
        <v>162</v>
      </c>
      <c r="N287" s="20">
        <v>900</v>
      </c>
      <c r="O287" s="20" t="s">
        <v>97</v>
      </c>
      <c r="P287" s="20" t="s">
        <v>55</v>
      </c>
      <c r="Q287" s="33"/>
      <c r="R287" s="33"/>
      <c r="S287" s="33"/>
      <c r="T287" s="33">
        <f t="shared" ca="1" si="15"/>
        <v>42400</v>
      </c>
      <c r="U287" s="38">
        <f t="shared" ca="1" si="9"/>
        <v>38160</v>
      </c>
      <c r="V287" s="38">
        <f t="shared" ca="1" si="10"/>
        <v>36040</v>
      </c>
      <c r="W287" s="38">
        <f t="shared" ca="1" si="11"/>
        <v>33920</v>
      </c>
      <c r="X287" s="38">
        <f t="shared" ca="1" si="12"/>
        <v>29679.999999999996</v>
      </c>
      <c r="Y287" s="18"/>
    </row>
    <row r="288" spans="1:25" ht="16" x14ac:dyDescent="0.15">
      <c r="A288" s="18"/>
      <c r="B288" s="20" t="s">
        <v>58</v>
      </c>
      <c r="C288" s="20" t="s">
        <v>134</v>
      </c>
      <c r="D288" s="20" t="s">
        <v>61</v>
      </c>
      <c r="E288" s="20" t="s">
        <v>161</v>
      </c>
      <c r="F288" s="20" t="s">
        <v>65</v>
      </c>
      <c r="G288" s="20">
        <v>1200</v>
      </c>
      <c r="H288" s="20" t="s">
        <v>66</v>
      </c>
      <c r="I288" s="20" t="str">
        <f t="shared" si="14"/>
        <v>WSTK-LNR-NSH-PB-1200-F</v>
      </c>
      <c r="J288" s="20" t="s">
        <v>86</v>
      </c>
      <c r="K288" s="20" t="s">
        <v>133</v>
      </c>
      <c r="L288" s="20" t="s">
        <v>95</v>
      </c>
      <c r="M288" s="20" t="s">
        <v>162</v>
      </c>
      <c r="N288" s="20">
        <v>1200</v>
      </c>
      <c r="O288" s="20" t="s">
        <v>11</v>
      </c>
      <c r="P288" s="20" t="s">
        <v>23</v>
      </c>
      <c r="Q288" s="33"/>
      <c r="R288" s="33"/>
      <c r="S288" s="33"/>
      <c r="T288" s="33">
        <f t="shared" ca="1" si="15"/>
        <v>37200</v>
      </c>
      <c r="U288" s="38">
        <f t="shared" ca="1" si="9"/>
        <v>33480</v>
      </c>
      <c r="V288" s="38">
        <f t="shared" ca="1" si="10"/>
        <v>31620</v>
      </c>
      <c r="W288" s="38">
        <f t="shared" ca="1" si="11"/>
        <v>29760</v>
      </c>
      <c r="X288" s="38">
        <f t="shared" ca="1" si="12"/>
        <v>26040</v>
      </c>
      <c r="Y288" s="18"/>
    </row>
    <row r="289" spans="1:25" ht="16" x14ac:dyDescent="0.15">
      <c r="A289" s="18"/>
      <c r="B289" s="20" t="s">
        <v>58</v>
      </c>
      <c r="C289" s="20" t="s">
        <v>134</v>
      </c>
      <c r="D289" s="20" t="s">
        <v>61</v>
      </c>
      <c r="E289" s="20" t="s">
        <v>161</v>
      </c>
      <c r="F289" s="20" t="s">
        <v>65</v>
      </c>
      <c r="G289" s="20">
        <v>1200</v>
      </c>
      <c r="H289" s="20" t="s">
        <v>116</v>
      </c>
      <c r="I289" s="20" t="str">
        <f t="shared" si="14"/>
        <v>WSTK-LNR-NSH-PB-1200-G</v>
      </c>
      <c r="J289" s="20" t="s">
        <v>86</v>
      </c>
      <c r="K289" s="20" t="s">
        <v>133</v>
      </c>
      <c r="L289" s="20" t="s">
        <v>95</v>
      </c>
      <c r="M289" s="20" t="s">
        <v>162</v>
      </c>
      <c r="N289" s="20">
        <v>1200</v>
      </c>
      <c r="O289" s="20" t="s">
        <v>11</v>
      </c>
      <c r="P289" s="20" t="s">
        <v>42</v>
      </c>
      <c r="Q289" s="33"/>
      <c r="R289" s="33"/>
      <c r="S289" s="33"/>
      <c r="T289" s="33">
        <f t="shared" ca="1" si="15"/>
        <v>54200</v>
      </c>
      <c r="U289" s="38">
        <f t="shared" ca="1" si="9"/>
        <v>48780</v>
      </c>
      <c r="V289" s="38">
        <f t="shared" ca="1" si="10"/>
        <v>46070</v>
      </c>
      <c r="W289" s="38">
        <f t="shared" ca="1" si="11"/>
        <v>43360</v>
      </c>
      <c r="X289" s="38">
        <f t="shared" ca="1" si="12"/>
        <v>37940</v>
      </c>
      <c r="Y289" s="18"/>
    </row>
    <row r="290" spans="1:25" ht="16" x14ac:dyDescent="0.15">
      <c r="A290" s="18"/>
      <c r="B290" s="20" t="s">
        <v>58</v>
      </c>
      <c r="C290" s="20" t="s">
        <v>134</v>
      </c>
      <c r="D290" s="20" t="s">
        <v>61</v>
      </c>
      <c r="E290" s="20" t="s">
        <v>161</v>
      </c>
      <c r="F290" s="20" t="s">
        <v>65</v>
      </c>
      <c r="G290" s="20">
        <v>1200</v>
      </c>
      <c r="H290" s="20" t="s">
        <v>131</v>
      </c>
      <c r="I290" s="20" t="str">
        <f t="shared" si="14"/>
        <v>WSTK-LNR-NSH-PB-1200-X</v>
      </c>
      <c r="J290" s="20" t="s">
        <v>86</v>
      </c>
      <c r="K290" s="20" t="s">
        <v>133</v>
      </c>
      <c r="L290" s="20" t="s">
        <v>95</v>
      </c>
      <c r="M290" s="20" t="s">
        <v>162</v>
      </c>
      <c r="N290" s="20">
        <v>1200</v>
      </c>
      <c r="O290" s="20" t="s">
        <v>11</v>
      </c>
      <c r="P290" s="20" t="s">
        <v>55</v>
      </c>
      <c r="Q290" s="33"/>
      <c r="R290" s="33"/>
      <c r="S290" s="33"/>
      <c r="T290" s="33">
        <f t="shared" ca="1" si="15"/>
        <v>54900</v>
      </c>
      <c r="U290" s="38">
        <f t="shared" ca="1" si="9"/>
        <v>49410</v>
      </c>
      <c r="V290" s="38">
        <f t="shared" ca="1" si="10"/>
        <v>46665</v>
      </c>
      <c r="W290" s="38">
        <f t="shared" ca="1" si="11"/>
        <v>43920</v>
      </c>
      <c r="X290" s="38">
        <f t="shared" ca="1" si="12"/>
        <v>38430</v>
      </c>
      <c r="Y290" s="18"/>
    </row>
    <row r="291" spans="1:25" ht="16" x14ac:dyDescent="0.15">
      <c r="A291" s="18"/>
      <c r="B291" s="20" t="s">
        <v>58</v>
      </c>
      <c r="C291" s="20" t="s">
        <v>134</v>
      </c>
      <c r="D291" s="20" t="s">
        <v>61</v>
      </c>
      <c r="E291" s="20" t="s">
        <v>161</v>
      </c>
      <c r="F291" s="20" t="s">
        <v>112</v>
      </c>
      <c r="G291" s="20">
        <v>1200</v>
      </c>
      <c r="H291" s="20" t="s">
        <v>66</v>
      </c>
      <c r="I291" s="20" t="str">
        <f t="shared" si="14"/>
        <v>WSTK-LNR-NSH-PLM-1200-F</v>
      </c>
      <c r="J291" s="20" t="s">
        <v>86</v>
      </c>
      <c r="K291" s="20" t="s">
        <v>133</v>
      </c>
      <c r="L291" s="20" t="s">
        <v>95</v>
      </c>
      <c r="M291" s="20" t="s">
        <v>162</v>
      </c>
      <c r="N291" s="20">
        <v>1200</v>
      </c>
      <c r="O291" s="20" t="s">
        <v>31</v>
      </c>
      <c r="P291" s="20" t="s">
        <v>23</v>
      </c>
      <c r="Q291" s="33"/>
      <c r="R291" s="33"/>
      <c r="S291" s="33"/>
      <c r="T291" s="33">
        <f t="shared" ca="1" si="15"/>
        <v>49600</v>
      </c>
      <c r="U291" s="38">
        <f t="shared" ca="1" si="9"/>
        <v>44640</v>
      </c>
      <c r="V291" s="38">
        <f t="shared" ca="1" si="10"/>
        <v>42160</v>
      </c>
      <c r="W291" s="38">
        <f t="shared" ca="1" si="11"/>
        <v>39680</v>
      </c>
      <c r="X291" s="38">
        <f t="shared" ca="1" si="12"/>
        <v>34720</v>
      </c>
      <c r="Y291" s="18"/>
    </row>
    <row r="292" spans="1:25" ht="16" x14ac:dyDescent="0.15">
      <c r="A292" s="18"/>
      <c r="B292" s="20" t="s">
        <v>58</v>
      </c>
      <c r="C292" s="20" t="s">
        <v>134</v>
      </c>
      <c r="D292" s="20" t="s">
        <v>61</v>
      </c>
      <c r="E292" s="20" t="s">
        <v>161</v>
      </c>
      <c r="F292" s="20" t="s">
        <v>112</v>
      </c>
      <c r="G292" s="20">
        <v>1200</v>
      </c>
      <c r="H292" s="20" t="s">
        <v>116</v>
      </c>
      <c r="I292" s="20" t="str">
        <f t="shared" si="14"/>
        <v>WSTK-LNR-NSH-PLM-1200-G</v>
      </c>
      <c r="J292" s="20" t="s">
        <v>86</v>
      </c>
      <c r="K292" s="20" t="s">
        <v>133</v>
      </c>
      <c r="L292" s="20" t="s">
        <v>95</v>
      </c>
      <c r="M292" s="20" t="s">
        <v>162</v>
      </c>
      <c r="N292" s="20">
        <v>1200</v>
      </c>
      <c r="O292" s="20" t="s">
        <v>31</v>
      </c>
      <c r="P292" s="20" t="s">
        <v>42</v>
      </c>
      <c r="Q292" s="33"/>
      <c r="R292" s="33"/>
      <c r="S292" s="33"/>
      <c r="T292" s="33">
        <f t="shared" ca="1" si="15"/>
        <v>27000</v>
      </c>
      <c r="U292" s="38">
        <f t="shared" ca="1" si="9"/>
        <v>24300</v>
      </c>
      <c r="V292" s="38">
        <f t="shared" ca="1" si="10"/>
        <v>22950</v>
      </c>
      <c r="W292" s="38">
        <f t="shared" ca="1" si="11"/>
        <v>21600</v>
      </c>
      <c r="X292" s="38">
        <f t="shared" ca="1" si="12"/>
        <v>18900</v>
      </c>
      <c r="Y292" s="18"/>
    </row>
    <row r="293" spans="1:25" ht="16" x14ac:dyDescent="0.15">
      <c r="A293" s="18"/>
      <c r="B293" s="20" t="s">
        <v>58</v>
      </c>
      <c r="C293" s="20" t="s">
        <v>134</v>
      </c>
      <c r="D293" s="20" t="s">
        <v>61</v>
      </c>
      <c r="E293" s="20" t="s">
        <v>161</v>
      </c>
      <c r="F293" s="20" t="s">
        <v>112</v>
      </c>
      <c r="G293" s="20">
        <v>1200</v>
      </c>
      <c r="H293" s="20" t="s">
        <v>131</v>
      </c>
      <c r="I293" s="20" t="str">
        <f t="shared" si="14"/>
        <v>WSTK-LNR-NSH-PLM-1200-X</v>
      </c>
      <c r="J293" s="20" t="s">
        <v>86</v>
      </c>
      <c r="K293" s="20" t="s">
        <v>133</v>
      </c>
      <c r="L293" s="20" t="s">
        <v>95</v>
      </c>
      <c r="M293" s="20" t="s">
        <v>162</v>
      </c>
      <c r="N293" s="20">
        <v>1200</v>
      </c>
      <c r="O293" s="20" t="s">
        <v>31</v>
      </c>
      <c r="P293" s="20" t="s">
        <v>55</v>
      </c>
      <c r="Q293" s="33"/>
      <c r="R293" s="33"/>
      <c r="S293" s="33"/>
      <c r="T293" s="33">
        <f t="shared" ca="1" si="15"/>
        <v>27800</v>
      </c>
      <c r="U293" s="38">
        <f t="shared" ca="1" si="9"/>
        <v>25020</v>
      </c>
      <c r="V293" s="38">
        <f t="shared" ca="1" si="10"/>
        <v>23630</v>
      </c>
      <c r="W293" s="38">
        <f t="shared" ca="1" si="11"/>
        <v>22240</v>
      </c>
      <c r="X293" s="38">
        <f t="shared" ca="1" si="12"/>
        <v>19460</v>
      </c>
      <c r="Y293" s="18"/>
    </row>
    <row r="294" spans="1:25" ht="16" x14ac:dyDescent="0.15">
      <c r="A294" s="18"/>
      <c r="B294" s="20" t="s">
        <v>58</v>
      </c>
      <c r="C294" s="20" t="s">
        <v>134</v>
      </c>
      <c r="D294" s="20" t="s">
        <v>61</v>
      </c>
      <c r="E294" s="20" t="s">
        <v>161</v>
      </c>
      <c r="F294" s="20" t="s">
        <v>114</v>
      </c>
      <c r="G294" s="20">
        <v>1200</v>
      </c>
      <c r="H294" s="20" t="s">
        <v>66</v>
      </c>
      <c r="I294" s="20" t="str">
        <f t="shared" si="14"/>
        <v>WSTK-LNR-NSH-PoLM-1200-F</v>
      </c>
      <c r="J294" s="20" t="s">
        <v>86</v>
      </c>
      <c r="K294" s="20" t="s">
        <v>133</v>
      </c>
      <c r="L294" s="20" t="s">
        <v>95</v>
      </c>
      <c r="M294" s="20" t="s">
        <v>162</v>
      </c>
      <c r="N294" s="20">
        <v>1200</v>
      </c>
      <c r="O294" s="20" t="s">
        <v>47</v>
      </c>
      <c r="P294" s="20" t="s">
        <v>23</v>
      </c>
      <c r="Q294" s="33"/>
      <c r="R294" s="33"/>
      <c r="S294" s="33"/>
      <c r="T294" s="33">
        <f t="shared" ca="1" si="15"/>
        <v>21200</v>
      </c>
      <c r="U294" s="38">
        <f t="shared" ca="1" si="9"/>
        <v>19080</v>
      </c>
      <c r="V294" s="38">
        <f t="shared" ca="1" si="10"/>
        <v>18020</v>
      </c>
      <c r="W294" s="38">
        <f t="shared" ca="1" si="11"/>
        <v>16960</v>
      </c>
      <c r="X294" s="38">
        <f t="shared" ca="1" si="12"/>
        <v>14839.999999999998</v>
      </c>
      <c r="Y294" s="18"/>
    </row>
    <row r="295" spans="1:25" ht="16" x14ac:dyDescent="0.15">
      <c r="A295" s="18"/>
      <c r="B295" s="20" t="s">
        <v>58</v>
      </c>
      <c r="C295" s="20" t="s">
        <v>134</v>
      </c>
      <c r="D295" s="20" t="s">
        <v>61</v>
      </c>
      <c r="E295" s="20" t="s">
        <v>161</v>
      </c>
      <c r="F295" s="20" t="s">
        <v>114</v>
      </c>
      <c r="G295" s="20">
        <v>1200</v>
      </c>
      <c r="H295" s="20" t="s">
        <v>116</v>
      </c>
      <c r="I295" s="20" t="str">
        <f t="shared" si="14"/>
        <v>WSTK-LNR-NSH-PoLM-1200-G</v>
      </c>
      <c r="J295" s="20" t="s">
        <v>86</v>
      </c>
      <c r="K295" s="20" t="s">
        <v>133</v>
      </c>
      <c r="L295" s="20" t="s">
        <v>95</v>
      </c>
      <c r="M295" s="20" t="s">
        <v>162</v>
      </c>
      <c r="N295" s="20">
        <v>1200</v>
      </c>
      <c r="O295" s="20" t="s">
        <v>47</v>
      </c>
      <c r="P295" s="20" t="s">
        <v>42</v>
      </c>
      <c r="Q295" s="33"/>
      <c r="R295" s="33"/>
      <c r="S295" s="33"/>
      <c r="T295" s="33">
        <f t="shared" ca="1" si="15"/>
        <v>29200</v>
      </c>
      <c r="U295" s="38">
        <f t="shared" ca="1" si="9"/>
        <v>26280</v>
      </c>
      <c r="V295" s="38">
        <f t="shared" ca="1" si="10"/>
        <v>24820</v>
      </c>
      <c r="W295" s="38">
        <f t="shared" ca="1" si="11"/>
        <v>23360</v>
      </c>
      <c r="X295" s="38">
        <f t="shared" ca="1" si="12"/>
        <v>20440</v>
      </c>
      <c r="Y295" s="18"/>
    </row>
    <row r="296" spans="1:25" ht="16" x14ac:dyDescent="0.15">
      <c r="A296" s="18"/>
      <c r="B296" s="20" t="s">
        <v>58</v>
      </c>
      <c r="C296" s="20" t="s">
        <v>134</v>
      </c>
      <c r="D296" s="20" t="s">
        <v>61</v>
      </c>
      <c r="E296" s="20" t="s">
        <v>161</v>
      </c>
      <c r="F296" s="20" t="s">
        <v>114</v>
      </c>
      <c r="G296" s="20">
        <v>1200</v>
      </c>
      <c r="H296" s="20" t="s">
        <v>131</v>
      </c>
      <c r="I296" s="20" t="str">
        <f t="shared" si="14"/>
        <v>WSTK-LNR-NSH-PoLM-1200-X</v>
      </c>
      <c r="J296" s="20" t="s">
        <v>86</v>
      </c>
      <c r="K296" s="20" t="s">
        <v>133</v>
      </c>
      <c r="L296" s="20" t="s">
        <v>95</v>
      </c>
      <c r="M296" s="20" t="s">
        <v>162</v>
      </c>
      <c r="N296" s="20">
        <v>1200</v>
      </c>
      <c r="O296" s="20" t="s">
        <v>47</v>
      </c>
      <c r="P296" s="20" t="s">
        <v>55</v>
      </c>
      <c r="Q296" s="33"/>
      <c r="R296" s="33"/>
      <c r="S296" s="33"/>
      <c r="T296" s="33">
        <f t="shared" ca="1" si="15"/>
        <v>30000</v>
      </c>
      <c r="U296" s="38">
        <f t="shared" ca="1" si="9"/>
        <v>27000</v>
      </c>
      <c r="V296" s="38">
        <f t="shared" ca="1" si="10"/>
        <v>25500</v>
      </c>
      <c r="W296" s="38">
        <f t="shared" ca="1" si="11"/>
        <v>24000</v>
      </c>
      <c r="X296" s="38">
        <f t="shared" ca="1" si="12"/>
        <v>21000</v>
      </c>
      <c r="Y296" s="18"/>
    </row>
    <row r="297" spans="1:25" ht="16" x14ac:dyDescent="0.15">
      <c r="A297" s="18"/>
      <c r="B297" s="20" t="s">
        <v>58</v>
      </c>
      <c r="C297" s="20" t="s">
        <v>134</v>
      </c>
      <c r="D297" s="20" t="s">
        <v>61</v>
      </c>
      <c r="E297" s="20" t="s">
        <v>161</v>
      </c>
      <c r="F297" s="20" t="s">
        <v>117</v>
      </c>
      <c r="G297" s="20">
        <v>1200</v>
      </c>
      <c r="H297" s="20" t="s">
        <v>66</v>
      </c>
      <c r="I297" s="20" t="str">
        <f t="shared" si="14"/>
        <v>WSTK-LNR-NSH-LVM-1200-F</v>
      </c>
      <c r="J297" s="20" t="s">
        <v>86</v>
      </c>
      <c r="K297" s="20" t="s">
        <v>133</v>
      </c>
      <c r="L297" s="20" t="s">
        <v>95</v>
      </c>
      <c r="M297" s="20" t="s">
        <v>162</v>
      </c>
      <c r="N297" s="20">
        <v>1200</v>
      </c>
      <c r="O297" s="20" t="s">
        <v>157</v>
      </c>
      <c r="P297" s="20" t="s">
        <v>23</v>
      </c>
      <c r="Q297" s="33"/>
      <c r="R297" s="33"/>
      <c r="S297" s="33"/>
      <c r="T297" s="33">
        <f t="shared" ca="1" si="15"/>
        <v>23400</v>
      </c>
      <c r="U297" s="38">
        <f t="shared" ca="1" si="9"/>
        <v>21060</v>
      </c>
      <c r="V297" s="38">
        <f t="shared" ca="1" si="10"/>
        <v>19890</v>
      </c>
      <c r="W297" s="38">
        <f t="shared" ca="1" si="11"/>
        <v>18720</v>
      </c>
      <c r="X297" s="38">
        <f t="shared" ca="1" si="12"/>
        <v>16379.999999999998</v>
      </c>
      <c r="Y297" s="18"/>
    </row>
    <row r="298" spans="1:25" ht="16" x14ac:dyDescent="0.15">
      <c r="A298" s="18"/>
      <c r="B298" s="20" t="s">
        <v>58</v>
      </c>
      <c r="C298" s="20" t="s">
        <v>134</v>
      </c>
      <c r="D298" s="20" t="s">
        <v>61</v>
      </c>
      <c r="E298" s="20" t="s">
        <v>161</v>
      </c>
      <c r="F298" s="20" t="s">
        <v>117</v>
      </c>
      <c r="G298" s="20">
        <v>1200</v>
      </c>
      <c r="H298" s="20" t="s">
        <v>116</v>
      </c>
      <c r="I298" s="20" t="str">
        <f t="shared" si="14"/>
        <v>WSTK-LNR-NSH-LVM-1200-G</v>
      </c>
      <c r="J298" s="20" t="s">
        <v>86</v>
      </c>
      <c r="K298" s="20" t="s">
        <v>133</v>
      </c>
      <c r="L298" s="20" t="s">
        <v>95</v>
      </c>
      <c r="M298" s="20" t="s">
        <v>162</v>
      </c>
      <c r="N298" s="20">
        <v>1200</v>
      </c>
      <c r="O298" s="20" t="s">
        <v>157</v>
      </c>
      <c r="P298" s="20" t="s">
        <v>42</v>
      </c>
      <c r="Q298" s="33"/>
      <c r="R298" s="33"/>
      <c r="S298" s="33"/>
      <c r="T298" s="33">
        <f t="shared" ca="1" si="15"/>
        <v>41300</v>
      </c>
      <c r="U298" s="38">
        <f t="shared" ca="1" si="9"/>
        <v>37170</v>
      </c>
      <c r="V298" s="38">
        <f t="shared" ca="1" si="10"/>
        <v>35105</v>
      </c>
      <c r="W298" s="38">
        <f t="shared" ca="1" si="11"/>
        <v>33040</v>
      </c>
      <c r="X298" s="38">
        <f t="shared" ca="1" si="12"/>
        <v>28909.999999999996</v>
      </c>
      <c r="Y298" s="18"/>
    </row>
    <row r="299" spans="1:25" ht="16" x14ac:dyDescent="0.15">
      <c r="A299" s="18"/>
      <c r="B299" s="20" t="s">
        <v>58</v>
      </c>
      <c r="C299" s="20" t="s">
        <v>134</v>
      </c>
      <c r="D299" s="20" t="s">
        <v>61</v>
      </c>
      <c r="E299" s="20" t="s">
        <v>161</v>
      </c>
      <c r="F299" s="20" t="s">
        <v>117</v>
      </c>
      <c r="G299" s="20">
        <v>1200</v>
      </c>
      <c r="H299" s="20" t="s">
        <v>131</v>
      </c>
      <c r="I299" s="20" t="str">
        <f t="shared" si="14"/>
        <v>WSTK-LNR-NSH-LVM-1200-X</v>
      </c>
      <c r="J299" s="20" t="s">
        <v>86</v>
      </c>
      <c r="K299" s="20" t="s">
        <v>133</v>
      </c>
      <c r="L299" s="20" t="s">
        <v>95</v>
      </c>
      <c r="M299" s="20" t="s">
        <v>162</v>
      </c>
      <c r="N299" s="20">
        <v>1200</v>
      </c>
      <c r="O299" s="20" t="s">
        <v>157</v>
      </c>
      <c r="P299" s="20" t="s">
        <v>55</v>
      </c>
      <c r="Q299" s="33"/>
      <c r="R299" s="33"/>
      <c r="S299" s="33"/>
      <c r="T299" s="33">
        <f t="shared" ca="1" si="15"/>
        <v>42100</v>
      </c>
      <c r="U299" s="38">
        <f t="shared" ca="1" si="9"/>
        <v>37890</v>
      </c>
      <c r="V299" s="38">
        <f t="shared" ca="1" si="10"/>
        <v>35785</v>
      </c>
      <c r="W299" s="38">
        <f t="shared" ca="1" si="11"/>
        <v>33680</v>
      </c>
      <c r="X299" s="38">
        <f t="shared" ca="1" si="12"/>
        <v>29469.999999999996</v>
      </c>
      <c r="Y299" s="18"/>
    </row>
    <row r="300" spans="1:25" ht="16" x14ac:dyDescent="0.15">
      <c r="A300" s="18"/>
      <c r="B300" s="20" t="s">
        <v>58</v>
      </c>
      <c r="C300" s="20" t="s">
        <v>134</v>
      </c>
      <c r="D300" s="20" t="s">
        <v>61</v>
      </c>
      <c r="E300" s="20" t="s">
        <v>161</v>
      </c>
      <c r="F300" s="20" t="s">
        <v>119</v>
      </c>
      <c r="G300" s="20">
        <v>1200</v>
      </c>
      <c r="H300" s="20" t="s">
        <v>66</v>
      </c>
      <c r="I300" s="20" t="str">
        <f t="shared" si="14"/>
        <v>WSTK-LNR-NSH-LVP-1200-F</v>
      </c>
      <c r="J300" s="20" t="s">
        <v>86</v>
      </c>
      <c r="K300" s="20" t="s">
        <v>133</v>
      </c>
      <c r="L300" s="20" t="s">
        <v>95</v>
      </c>
      <c r="M300" s="20" t="s">
        <v>162</v>
      </c>
      <c r="N300" s="20">
        <v>1200</v>
      </c>
      <c r="O300" s="20" t="s">
        <v>158</v>
      </c>
      <c r="P300" s="20" t="s">
        <v>23</v>
      </c>
      <c r="Q300" s="33"/>
      <c r="R300" s="33"/>
      <c r="S300" s="33"/>
      <c r="T300" s="33">
        <f t="shared" ca="1" si="15"/>
        <v>35500</v>
      </c>
      <c r="U300" s="38">
        <f t="shared" ca="1" si="9"/>
        <v>31950</v>
      </c>
      <c r="V300" s="38">
        <f t="shared" ca="1" si="10"/>
        <v>30175</v>
      </c>
      <c r="W300" s="38">
        <f t="shared" ca="1" si="11"/>
        <v>28400</v>
      </c>
      <c r="X300" s="38">
        <f t="shared" ca="1" si="12"/>
        <v>24850</v>
      </c>
      <c r="Y300" s="18"/>
    </row>
    <row r="301" spans="1:25" ht="16" x14ac:dyDescent="0.15">
      <c r="A301" s="18"/>
      <c r="B301" s="20" t="s">
        <v>58</v>
      </c>
      <c r="C301" s="20" t="s">
        <v>134</v>
      </c>
      <c r="D301" s="20" t="s">
        <v>61</v>
      </c>
      <c r="E301" s="20" t="s">
        <v>161</v>
      </c>
      <c r="F301" s="20" t="s">
        <v>119</v>
      </c>
      <c r="G301" s="20">
        <v>1200</v>
      </c>
      <c r="H301" s="20" t="s">
        <v>116</v>
      </c>
      <c r="I301" s="20" t="str">
        <f t="shared" si="14"/>
        <v>WSTK-LNR-NSH-LVP-1200-G</v>
      </c>
      <c r="J301" s="20" t="s">
        <v>86</v>
      </c>
      <c r="K301" s="20" t="s">
        <v>133</v>
      </c>
      <c r="L301" s="20" t="s">
        <v>95</v>
      </c>
      <c r="M301" s="20" t="s">
        <v>162</v>
      </c>
      <c r="N301" s="20">
        <v>1200</v>
      </c>
      <c r="O301" s="20" t="s">
        <v>158</v>
      </c>
      <c r="P301" s="20" t="s">
        <v>42</v>
      </c>
      <c r="Q301" s="33"/>
      <c r="R301" s="33"/>
      <c r="S301" s="33"/>
      <c r="T301" s="33">
        <f t="shared" ca="1" si="15"/>
        <v>46700</v>
      </c>
      <c r="U301" s="38">
        <f t="shared" ca="1" si="9"/>
        <v>42030</v>
      </c>
      <c r="V301" s="38">
        <f t="shared" ca="1" si="10"/>
        <v>39695</v>
      </c>
      <c r="W301" s="38">
        <f t="shared" ca="1" si="11"/>
        <v>37360</v>
      </c>
      <c r="X301" s="38">
        <f t="shared" ca="1" si="12"/>
        <v>32689.999999999996</v>
      </c>
      <c r="Y301" s="18"/>
    </row>
    <row r="302" spans="1:25" ht="16" x14ac:dyDescent="0.15">
      <c r="A302" s="18"/>
      <c r="B302" s="20" t="s">
        <v>58</v>
      </c>
      <c r="C302" s="20" t="s">
        <v>134</v>
      </c>
      <c r="D302" s="20" t="s">
        <v>61</v>
      </c>
      <c r="E302" s="20" t="s">
        <v>161</v>
      </c>
      <c r="F302" s="20" t="s">
        <v>119</v>
      </c>
      <c r="G302" s="20">
        <v>1200</v>
      </c>
      <c r="H302" s="20" t="s">
        <v>131</v>
      </c>
      <c r="I302" s="20" t="str">
        <f t="shared" si="14"/>
        <v>WSTK-LNR-NSH-LVP-1200-X</v>
      </c>
      <c r="J302" s="20" t="s">
        <v>86</v>
      </c>
      <c r="K302" s="20" t="s">
        <v>133</v>
      </c>
      <c r="L302" s="20" t="s">
        <v>95</v>
      </c>
      <c r="M302" s="20" t="s">
        <v>162</v>
      </c>
      <c r="N302" s="20">
        <v>1200</v>
      </c>
      <c r="O302" s="20" t="s">
        <v>158</v>
      </c>
      <c r="P302" s="20" t="s">
        <v>55</v>
      </c>
      <c r="Q302" s="33"/>
      <c r="R302" s="33"/>
      <c r="S302" s="33"/>
      <c r="T302" s="33">
        <f t="shared" ca="1" si="15"/>
        <v>47500</v>
      </c>
      <c r="U302" s="38">
        <f t="shared" ca="1" si="9"/>
        <v>42750</v>
      </c>
      <c r="V302" s="38">
        <f t="shared" ca="1" si="10"/>
        <v>40375</v>
      </c>
      <c r="W302" s="38">
        <f t="shared" ca="1" si="11"/>
        <v>38000</v>
      </c>
      <c r="X302" s="38">
        <f t="shared" ca="1" si="12"/>
        <v>33250</v>
      </c>
      <c r="Y302" s="18"/>
    </row>
    <row r="303" spans="1:25" ht="16" x14ac:dyDescent="0.15">
      <c r="A303" s="18"/>
      <c r="B303" s="20" t="s">
        <v>58</v>
      </c>
      <c r="C303" s="20" t="s">
        <v>134</v>
      </c>
      <c r="D303" s="20" t="s">
        <v>61</v>
      </c>
      <c r="E303" s="20" t="s">
        <v>161</v>
      </c>
      <c r="F303" s="20" t="s">
        <v>125</v>
      </c>
      <c r="G303" s="20">
        <v>1200</v>
      </c>
      <c r="H303" s="20" t="s">
        <v>66</v>
      </c>
      <c r="I303" s="20" t="str">
        <f t="shared" si="14"/>
        <v>WSTK-LNR-NSH-MB-1200-F</v>
      </c>
      <c r="J303" s="20" t="s">
        <v>86</v>
      </c>
      <c r="K303" s="20" t="s">
        <v>133</v>
      </c>
      <c r="L303" s="20" t="s">
        <v>95</v>
      </c>
      <c r="M303" s="20" t="s">
        <v>162</v>
      </c>
      <c r="N303" s="20">
        <v>1200</v>
      </c>
      <c r="O303" s="20" t="s">
        <v>97</v>
      </c>
      <c r="P303" s="20" t="s">
        <v>23</v>
      </c>
      <c r="Q303" s="33"/>
      <c r="R303" s="33"/>
      <c r="S303" s="33"/>
      <c r="T303" s="33">
        <f t="shared" ca="1" si="15"/>
        <v>40900</v>
      </c>
      <c r="U303" s="38">
        <f t="shared" ca="1" si="9"/>
        <v>36810</v>
      </c>
      <c r="V303" s="38">
        <f t="shared" ca="1" si="10"/>
        <v>34765</v>
      </c>
      <c r="W303" s="38">
        <f t="shared" ca="1" si="11"/>
        <v>32720</v>
      </c>
      <c r="X303" s="38">
        <f t="shared" ca="1" si="12"/>
        <v>28630</v>
      </c>
      <c r="Y303" s="18"/>
    </row>
    <row r="304" spans="1:25" ht="16" x14ac:dyDescent="0.15">
      <c r="A304" s="18"/>
      <c r="B304" s="20" t="s">
        <v>58</v>
      </c>
      <c r="C304" s="20" t="s">
        <v>134</v>
      </c>
      <c r="D304" s="20" t="s">
        <v>61</v>
      </c>
      <c r="E304" s="20" t="s">
        <v>161</v>
      </c>
      <c r="F304" s="20" t="s">
        <v>125</v>
      </c>
      <c r="G304" s="20">
        <v>1200</v>
      </c>
      <c r="H304" s="20" t="s">
        <v>116</v>
      </c>
      <c r="I304" s="20" t="str">
        <f t="shared" si="14"/>
        <v>WSTK-LNR-NSH-MB-1200-G</v>
      </c>
      <c r="J304" s="20" t="s">
        <v>86</v>
      </c>
      <c r="K304" s="20" t="s">
        <v>133</v>
      </c>
      <c r="L304" s="20" t="s">
        <v>95</v>
      </c>
      <c r="M304" s="20" t="s">
        <v>162</v>
      </c>
      <c r="N304" s="20">
        <v>1200</v>
      </c>
      <c r="O304" s="20" t="s">
        <v>97</v>
      </c>
      <c r="P304" s="20" t="s">
        <v>42</v>
      </c>
      <c r="Q304" s="33"/>
      <c r="R304" s="33"/>
      <c r="S304" s="33"/>
      <c r="T304" s="33">
        <f t="shared" ca="1" si="15"/>
        <v>49400</v>
      </c>
      <c r="U304" s="38">
        <f t="shared" ca="1" si="9"/>
        <v>44460</v>
      </c>
      <c r="V304" s="38">
        <f t="shared" ca="1" si="10"/>
        <v>41990</v>
      </c>
      <c r="W304" s="38">
        <f t="shared" ca="1" si="11"/>
        <v>39520</v>
      </c>
      <c r="X304" s="38">
        <f t="shared" ca="1" si="12"/>
        <v>34580</v>
      </c>
      <c r="Y304" s="18"/>
    </row>
    <row r="305" spans="1:25" ht="16" x14ac:dyDescent="0.15">
      <c r="A305" s="18"/>
      <c r="B305" s="20" t="s">
        <v>58</v>
      </c>
      <c r="C305" s="20" t="s">
        <v>134</v>
      </c>
      <c r="D305" s="20" t="s">
        <v>61</v>
      </c>
      <c r="E305" s="20" t="s">
        <v>161</v>
      </c>
      <c r="F305" s="20" t="s">
        <v>125</v>
      </c>
      <c r="G305" s="20">
        <v>1200</v>
      </c>
      <c r="H305" s="20" t="s">
        <v>131</v>
      </c>
      <c r="I305" s="20" t="str">
        <f t="shared" si="14"/>
        <v>WSTK-LNR-NSH-MB-1200-X</v>
      </c>
      <c r="J305" s="20" t="s">
        <v>86</v>
      </c>
      <c r="K305" s="20" t="s">
        <v>133</v>
      </c>
      <c r="L305" s="20" t="s">
        <v>95</v>
      </c>
      <c r="M305" s="20" t="s">
        <v>162</v>
      </c>
      <c r="N305" s="20">
        <v>1200</v>
      </c>
      <c r="O305" s="20" t="s">
        <v>97</v>
      </c>
      <c r="P305" s="20" t="s">
        <v>55</v>
      </c>
      <c r="Q305" s="33"/>
      <c r="R305" s="33"/>
      <c r="S305" s="33"/>
      <c r="T305" s="33">
        <f t="shared" ca="1" si="15"/>
        <v>50200</v>
      </c>
      <c r="U305" s="38">
        <f t="shared" ca="1" si="9"/>
        <v>45180</v>
      </c>
      <c r="V305" s="38">
        <f t="shared" ca="1" si="10"/>
        <v>42670</v>
      </c>
      <c r="W305" s="38">
        <f t="shared" ca="1" si="11"/>
        <v>40160</v>
      </c>
      <c r="X305" s="38">
        <f t="shared" ca="1" si="12"/>
        <v>35140</v>
      </c>
      <c r="Y305" s="18"/>
    </row>
    <row r="306" spans="1:25" ht="16" x14ac:dyDescent="0.15">
      <c r="A306" s="18"/>
      <c r="B306" s="20" t="s">
        <v>58</v>
      </c>
      <c r="C306" s="20" t="s">
        <v>134</v>
      </c>
      <c r="D306" s="20" t="s">
        <v>61</v>
      </c>
      <c r="E306" s="20" t="s">
        <v>161</v>
      </c>
      <c r="F306" s="20" t="s">
        <v>65</v>
      </c>
      <c r="G306" s="20">
        <v>1500</v>
      </c>
      <c r="H306" s="20" t="s">
        <v>66</v>
      </c>
      <c r="I306" s="20" t="str">
        <f t="shared" si="14"/>
        <v>WSTK-LNR-NSH-PB-1500-F</v>
      </c>
      <c r="J306" s="20" t="s">
        <v>86</v>
      </c>
      <c r="K306" s="20" t="s">
        <v>133</v>
      </c>
      <c r="L306" s="20" t="s">
        <v>95</v>
      </c>
      <c r="M306" s="20" t="s">
        <v>162</v>
      </c>
      <c r="N306" s="20">
        <v>1500</v>
      </c>
      <c r="O306" s="20" t="s">
        <v>11</v>
      </c>
      <c r="P306" s="20" t="s">
        <v>23</v>
      </c>
      <c r="Q306" s="33"/>
      <c r="R306" s="33"/>
      <c r="S306" s="33"/>
      <c r="T306" s="33">
        <f t="shared" ca="1" si="15"/>
        <v>43600</v>
      </c>
      <c r="U306" s="38">
        <f t="shared" ca="1" si="9"/>
        <v>39240</v>
      </c>
      <c r="V306" s="38">
        <f t="shared" ca="1" si="10"/>
        <v>37060</v>
      </c>
      <c r="W306" s="38">
        <f t="shared" ca="1" si="11"/>
        <v>34880</v>
      </c>
      <c r="X306" s="38">
        <f t="shared" ca="1" si="12"/>
        <v>30519.999999999996</v>
      </c>
      <c r="Y306" s="18"/>
    </row>
    <row r="307" spans="1:25" ht="16" x14ac:dyDescent="0.15">
      <c r="A307" s="18"/>
      <c r="B307" s="20" t="s">
        <v>58</v>
      </c>
      <c r="C307" s="20" t="s">
        <v>134</v>
      </c>
      <c r="D307" s="20" t="s">
        <v>61</v>
      </c>
      <c r="E307" s="20" t="s">
        <v>161</v>
      </c>
      <c r="F307" s="20" t="s">
        <v>65</v>
      </c>
      <c r="G307" s="20">
        <v>1500</v>
      </c>
      <c r="H307" s="20" t="s">
        <v>116</v>
      </c>
      <c r="I307" s="20" t="str">
        <f t="shared" si="14"/>
        <v>WSTK-LNR-NSH-PB-1500-G</v>
      </c>
      <c r="J307" s="20" t="s">
        <v>86</v>
      </c>
      <c r="K307" s="20" t="s">
        <v>133</v>
      </c>
      <c r="L307" s="20" t="s">
        <v>95</v>
      </c>
      <c r="M307" s="20" t="s">
        <v>162</v>
      </c>
      <c r="N307" s="20">
        <v>1500</v>
      </c>
      <c r="O307" s="20" t="s">
        <v>11</v>
      </c>
      <c r="P307" s="20" t="s">
        <v>42</v>
      </c>
      <c r="Q307" s="33"/>
      <c r="R307" s="33"/>
      <c r="S307" s="33"/>
      <c r="T307" s="33">
        <f t="shared" ca="1" si="15"/>
        <v>64900</v>
      </c>
      <c r="U307" s="38">
        <f t="shared" ca="1" si="9"/>
        <v>58410</v>
      </c>
      <c r="V307" s="38">
        <f t="shared" ca="1" si="10"/>
        <v>55165</v>
      </c>
      <c r="W307" s="38">
        <f t="shared" ca="1" si="11"/>
        <v>51920</v>
      </c>
      <c r="X307" s="38">
        <f t="shared" ca="1" si="12"/>
        <v>45430</v>
      </c>
      <c r="Y307" s="18"/>
    </row>
    <row r="308" spans="1:25" ht="16" x14ac:dyDescent="0.15">
      <c r="A308" s="18"/>
      <c r="B308" s="20" t="s">
        <v>58</v>
      </c>
      <c r="C308" s="20" t="s">
        <v>134</v>
      </c>
      <c r="D308" s="20" t="s">
        <v>61</v>
      </c>
      <c r="E308" s="20" t="s">
        <v>161</v>
      </c>
      <c r="F308" s="20" t="s">
        <v>65</v>
      </c>
      <c r="G308" s="20">
        <v>1500</v>
      </c>
      <c r="H308" s="20" t="s">
        <v>131</v>
      </c>
      <c r="I308" s="20" t="str">
        <f t="shared" si="14"/>
        <v>WSTK-LNR-NSH-PB-1500-X</v>
      </c>
      <c r="J308" s="20" t="s">
        <v>86</v>
      </c>
      <c r="K308" s="20" t="s">
        <v>133</v>
      </c>
      <c r="L308" s="20" t="s">
        <v>95</v>
      </c>
      <c r="M308" s="20" t="s">
        <v>162</v>
      </c>
      <c r="N308" s="20">
        <v>1500</v>
      </c>
      <c r="O308" s="20" t="s">
        <v>11</v>
      </c>
      <c r="P308" s="20" t="s">
        <v>55</v>
      </c>
      <c r="Q308" s="33"/>
      <c r="R308" s="33"/>
      <c r="S308" s="33"/>
      <c r="T308" s="33">
        <f t="shared" ca="1" si="15"/>
        <v>65800</v>
      </c>
      <c r="U308" s="38">
        <f t="shared" ca="1" si="9"/>
        <v>59220</v>
      </c>
      <c r="V308" s="38">
        <f t="shared" ca="1" si="10"/>
        <v>55930</v>
      </c>
      <c r="W308" s="38">
        <f t="shared" ca="1" si="11"/>
        <v>52640</v>
      </c>
      <c r="X308" s="38">
        <f t="shared" ca="1" si="12"/>
        <v>46060</v>
      </c>
      <c r="Y308" s="18"/>
    </row>
    <row r="309" spans="1:25" ht="16" x14ac:dyDescent="0.15">
      <c r="A309" s="18"/>
      <c r="B309" s="20" t="s">
        <v>58</v>
      </c>
      <c r="C309" s="20" t="s">
        <v>134</v>
      </c>
      <c r="D309" s="20" t="s">
        <v>61</v>
      </c>
      <c r="E309" s="20" t="s">
        <v>161</v>
      </c>
      <c r="F309" s="20" t="s">
        <v>112</v>
      </c>
      <c r="G309" s="20">
        <v>1500</v>
      </c>
      <c r="H309" s="20" t="s">
        <v>66</v>
      </c>
      <c r="I309" s="20" t="str">
        <f t="shared" si="14"/>
        <v>WSTK-LNR-NSH-PLM-1500-F</v>
      </c>
      <c r="J309" s="20" t="s">
        <v>86</v>
      </c>
      <c r="K309" s="20" t="s">
        <v>133</v>
      </c>
      <c r="L309" s="20" t="s">
        <v>95</v>
      </c>
      <c r="M309" s="20" t="s">
        <v>162</v>
      </c>
      <c r="N309" s="20">
        <v>1500</v>
      </c>
      <c r="O309" s="20" t="s">
        <v>31</v>
      </c>
      <c r="P309" s="20" t="s">
        <v>23</v>
      </c>
      <c r="Q309" s="33"/>
      <c r="R309" s="33"/>
      <c r="S309" s="33"/>
      <c r="T309" s="33">
        <f t="shared" ca="1" si="15"/>
        <v>59200</v>
      </c>
      <c r="U309" s="38">
        <f t="shared" ca="1" si="9"/>
        <v>53280</v>
      </c>
      <c r="V309" s="38">
        <f t="shared" ca="1" si="10"/>
        <v>50320</v>
      </c>
      <c r="W309" s="38">
        <f t="shared" ca="1" si="11"/>
        <v>47360</v>
      </c>
      <c r="X309" s="38">
        <f t="shared" ca="1" si="12"/>
        <v>41440</v>
      </c>
      <c r="Y309" s="18"/>
    </row>
    <row r="310" spans="1:25" ht="16" x14ac:dyDescent="0.15">
      <c r="A310" s="18"/>
      <c r="B310" s="20" t="s">
        <v>58</v>
      </c>
      <c r="C310" s="20" t="s">
        <v>134</v>
      </c>
      <c r="D310" s="20" t="s">
        <v>61</v>
      </c>
      <c r="E310" s="20" t="s">
        <v>161</v>
      </c>
      <c r="F310" s="20" t="s">
        <v>112</v>
      </c>
      <c r="G310" s="20">
        <v>1500</v>
      </c>
      <c r="H310" s="20" t="s">
        <v>116</v>
      </c>
      <c r="I310" s="20" t="str">
        <f t="shared" si="14"/>
        <v>WSTK-LNR-NSH-PLM-1500-G</v>
      </c>
      <c r="J310" s="20" t="s">
        <v>86</v>
      </c>
      <c r="K310" s="20" t="s">
        <v>133</v>
      </c>
      <c r="L310" s="20" t="s">
        <v>95</v>
      </c>
      <c r="M310" s="20" t="s">
        <v>162</v>
      </c>
      <c r="N310" s="20">
        <v>1500</v>
      </c>
      <c r="O310" s="20" t="s">
        <v>31</v>
      </c>
      <c r="P310" s="20" t="s">
        <v>42</v>
      </c>
      <c r="Q310" s="33"/>
      <c r="R310" s="33"/>
      <c r="S310" s="33"/>
      <c r="T310" s="33">
        <f t="shared" ca="1" si="15"/>
        <v>35700</v>
      </c>
      <c r="U310" s="38">
        <f t="shared" ca="1" si="9"/>
        <v>32130</v>
      </c>
      <c r="V310" s="38">
        <f t="shared" ca="1" si="10"/>
        <v>30345</v>
      </c>
      <c r="W310" s="38">
        <f t="shared" ca="1" si="11"/>
        <v>28560</v>
      </c>
      <c r="X310" s="38">
        <f t="shared" ca="1" si="12"/>
        <v>24990</v>
      </c>
      <c r="Y310" s="18"/>
    </row>
    <row r="311" spans="1:25" ht="16" x14ac:dyDescent="0.15">
      <c r="A311" s="18"/>
      <c r="B311" s="20" t="s">
        <v>58</v>
      </c>
      <c r="C311" s="20" t="s">
        <v>134</v>
      </c>
      <c r="D311" s="20" t="s">
        <v>61</v>
      </c>
      <c r="E311" s="20" t="s">
        <v>161</v>
      </c>
      <c r="F311" s="20" t="s">
        <v>112</v>
      </c>
      <c r="G311" s="20">
        <v>1500</v>
      </c>
      <c r="H311" s="20" t="s">
        <v>131</v>
      </c>
      <c r="I311" s="20" t="str">
        <f t="shared" si="14"/>
        <v>WSTK-LNR-NSH-PLM-1500-X</v>
      </c>
      <c r="J311" s="20" t="s">
        <v>86</v>
      </c>
      <c r="K311" s="20" t="s">
        <v>133</v>
      </c>
      <c r="L311" s="20" t="s">
        <v>95</v>
      </c>
      <c r="M311" s="20" t="s">
        <v>162</v>
      </c>
      <c r="N311" s="20">
        <v>1500</v>
      </c>
      <c r="O311" s="20" t="s">
        <v>31</v>
      </c>
      <c r="P311" s="20" t="s">
        <v>55</v>
      </c>
      <c r="Q311" s="33"/>
      <c r="R311" s="33"/>
      <c r="S311" s="33"/>
      <c r="T311" s="33">
        <f t="shared" ca="1" si="15"/>
        <v>36200</v>
      </c>
      <c r="U311" s="38">
        <f t="shared" ca="1" si="9"/>
        <v>32580</v>
      </c>
      <c r="V311" s="38">
        <f t="shared" ca="1" si="10"/>
        <v>30770</v>
      </c>
      <c r="W311" s="38">
        <f t="shared" ca="1" si="11"/>
        <v>28960</v>
      </c>
      <c r="X311" s="38">
        <f t="shared" ca="1" si="12"/>
        <v>25340</v>
      </c>
      <c r="Y311" s="18"/>
    </row>
    <row r="312" spans="1:25" ht="16" x14ac:dyDescent="0.15">
      <c r="A312" s="18"/>
      <c r="B312" s="20" t="s">
        <v>58</v>
      </c>
      <c r="C312" s="20" t="s">
        <v>134</v>
      </c>
      <c r="D312" s="20" t="s">
        <v>61</v>
      </c>
      <c r="E312" s="20" t="s">
        <v>161</v>
      </c>
      <c r="F312" s="20" t="s">
        <v>114</v>
      </c>
      <c r="G312" s="20">
        <v>1500</v>
      </c>
      <c r="H312" s="20" t="s">
        <v>66</v>
      </c>
      <c r="I312" s="20" t="str">
        <f t="shared" si="14"/>
        <v>WSTK-LNR-NSH-PoLM-1500-F</v>
      </c>
      <c r="J312" s="20" t="s">
        <v>86</v>
      </c>
      <c r="K312" s="20" t="s">
        <v>133</v>
      </c>
      <c r="L312" s="20" t="s">
        <v>95</v>
      </c>
      <c r="M312" s="20" t="s">
        <v>162</v>
      </c>
      <c r="N312" s="20">
        <v>1500</v>
      </c>
      <c r="O312" s="20" t="s">
        <v>47</v>
      </c>
      <c r="P312" s="20" t="s">
        <v>23</v>
      </c>
      <c r="Q312" s="33"/>
      <c r="R312" s="33"/>
      <c r="S312" s="33"/>
      <c r="T312" s="33">
        <f t="shared" ca="1" si="15"/>
        <v>32300</v>
      </c>
      <c r="U312" s="38">
        <f t="shared" ca="1" si="9"/>
        <v>29070</v>
      </c>
      <c r="V312" s="38">
        <f t="shared" ca="1" si="10"/>
        <v>27455</v>
      </c>
      <c r="W312" s="38">
        <f t="shared" ca="1" si="11"/>
        <v>25840</v>
      </c>
      <c r="X312" s="38">
        <f t="shared" ca="1" si="12"/>
        <v>22610</v>
      </c>
      <c r="Y312" s="18"/>
    </row>
    <row r="313" spans="1:25" ht="16" x14ac:dyDescent="0.15">
      <c r="A313" s="18"/>
      <c r="B313" s="20" t="s">
        <v>58</v>
      </c>
      <c r="C313" s="20" t="s">
        <v>134</v>
      </c>
      <c r="D313" s="20" t="s">
        <v>61</v>
      </c>
      <c r="E313" s="20" t="s">
        <v>161</v>
      </c>
      <c r="F313" s="20" t="s">
        <v>114</v>
      </c>
      <c r="G313" s="20">
        <v>1500</v>
      </c>
      <c r="H313" s="20" t="s">
        <v>116</v>
      </c>
      <c r="I313" s="20" t="str">
        <f t="shared" si="14"/>
        <v>WSTK-LNR-NSH-PoLM-1500-G</v>
      </c>
      <c r="J313" s="20" t="s">
        <v>86</v>
      </c>
      <c r="K313" s="20" t="s">
        <v>133</v>
      </c>
      <c r="L313" s="20" t="s">
        <v>95</v>
      </c>
      <c r="M313" s="20" t="s">
        <v>162</v>
      </c>
      <c r="N313" s="20">
        <v>1500</v>
      </c>
      <c r="O313" s="20" t="s">
        <v>47</v>
      </c>
      <c r="P313" s="20" t="s">
        <v>42</v>
      </c>
      <c r="Q313" s="33"/>
      <c r="R313" s="33"/>
      <c r="S313" s="33"/>
      <c r="T313" s="33">
        <f t="shared" ca="1" si="15"/>
        <v>32200</v>
      </c>
      <c r="U313" s="38">
        <f t="shared" ca="1" si="9"/>
        <v>28980</v>
      </c>
      <c r="V313" s="38">
        <f t="shared" ca="1" si="10"/>
        <v>27370</v>
      </c>
      <c r="W313" s="38">
        <f t="shared" ca="1" si="11"/>
        <v>25760</v>
      </c>
      <c r="X313" s="38">
        <f t="shared" ca="1" si="12"/>
        <v>22540</v>
      </c>
      <c r="Y313" s="18"/>
    </row>
    <row r="314" spans="1:25" ht="16" x14ac:dyDescent="0.15">
      <c r="A314" s="18"/>
      <c r="B314" s="20" t="s">
        <v>58</v>
      </c>
      <c r="C314" s="20" t="s">
        <v>134</v>
      </c>
      <c r="D314" s="20" t="s">
        <v>61</v>
      </c>
      <c r="E314" s="20" t="s">
        <v>161</v>
      </c>
      <c r="F314" s="20" t="s">
        <v>114</v>
      </c>
      <c r="G314" s="20">
        <v>1500</v>
      </c>
      <c r="H314" s="20" t="s">
        <v>131</v>
      </c>
      <c r="I314" s="20" t="str">
        <f t="shared" si="14"/>
        <v>WSTK-LNR-NSH-PoLM-1500-X</v>
      </c>
      <c r="J314" s="20" t="s">
        <v>86</v>
      </c>
      <c r="K314" s="20" t="s">
        <v>133</v>
      </c>
      <c r="L314" s="20" t="s">
        <v>95</v>
      </c>
      <c r="M314" s="20" t="s">
        <v>162</v>
      </c>
      <c r="N314" s="20">
        <v>1500</v>
      </c>
      <c r="O314" s="20" t="s">
        <v>47</v>
      </c>
      <c r="P314" s="20" t="s">
        <v>55</v>
      </c>
      <c r="Q314" s="33"/>
      <c r="R314" s="33"/>
      <c r="S314" s="33"/>
      <c r="T314" s="33">
        <f t="shared" ca="1" si="15"/>
        <v>37500</v>
      </c>
      <c r="U314" s="38">
        <f t="shared" ca="1" si="9"/>
        <v>33750</v>
      </c>
      <c r="V314" s="38">
        <f t="shared" ca="1" si="10"/>
        <v>31875</v>
      </c>
      <c r="W314" s="38">
        <f t="shared" ca="1" si="11"/>
        <v>30000</v>
      </c>
      <c r="X314" s="38">
        <f t="shared" ca="1" si="12"/>
        <v>26250</v>
      </c>
      <c r="Y314" s="18"/>
    </row>
    <row r="315" spans="1:25" ht="16" x14ac:dyDescent="0.15">
      <c r="A315" s="18"/>
      <c r="B315" s="20" t="s">
        <v>58</v>
      </c>
      <c r="C315" s="20" t="s">
        <v>134</v>
      </c>
      <c r="D315" s="20" t="s">
        <v>61</v>
      </c>
      <c r="E315" s="20" t="s">
        <v>161</v>
      </c>
      <c r="F315" s="20" t="s">
        <v>117</v>
      </c>
      <c r="G315" s="20">
        <v>1500</v>
      </c>
      <c r="H315" s="20" t="s">
        <v>66</v>
      </c>
      <c r="I315" s="20" t="str">
        <f t="shared" si="14"/>
        <v>WSTK-LNR-NSH-LVM-1500-F</v>
      </c>
      <c r="J315" s="20" t="s">
        <v>86</v>
      </c>
      <c r="K315" s="20" t="s">
        <v>133</v>
      </c>
      <c r="L315" s="20" t="s">
        <v>95</v>
      </c>
      <c r="M315" s="20" t="s">
        <v>162</v>
      </c>
      <c r="N315" s="20">
        <v>1500</v>
      </c>
      <c r="O315" s="20" t="s">
        <v>157</v>
      </c>
      <c r="P315" s="20" t="s">
        <v>23</v>
      </c>
      <c r="Q315" s="33"/>
      <c r="R315" s="33"/>
      <c r="S315" s="33"/>
      <c r="T315" s="33">
        <f t="shared" ca="1" si="15"/>
        <v>33600</v>
      </c>
      <c r="U315" s="38">
        <f t="shared" ca="1" si="9"/>
        <v>30240</v>
      </c>
      <c r="V315" s="38">
        <f t="shared" ca="1" si="10"/>
        <v>28560</v>
      </c>
      <c r="W315" s="38">
        <f t="shared" ca="1" si="11"/>
        <v>26880</v>
      </c>
      <c r="X315" s="38">
        <f t="shared" ca="1" si="12"/>
        <v>23520</v>
      </c>
      <c r="Y315" s="18"/>
    </row>
    <row r="316" spans="1:25" ht="16" x14ac:dyDescent="0.15">
      <c r="A316" s="18"/>
      <c r="B316" s="20" t="s">
        <v>58</v>
      </c>
      <c r="C316" s="20" t="s">
        <v>134</v>
      </c>
      <c r="D316" s="20" t="s">
        <v>61</v>
      </c>
      <c r="E316" s="20" t="s">
        <v>161</v>
      </c>
      <c r="F316" s="20" t="s">
        <v>117</v>
      </c>
      <c r="G316" s="20">
        <v>1500</v>
      </c>
      <c r="H316" s="20" t="s">
        <v>116</v>
      </c>
      <c r="I316" s="20" t="str">
        <f t="shared" si="14"/>
        <v>WSTK-LNR-NSH-LVM-1500-G</v>
      </c>
      <c r="J316" s="20" t="s">
        <v>86</v>
      </c>
      <c r="K316" s="20" t="s">
        <v>133</v>
      </c>
      <c r="L316" s="20" t="s">
        <v>95</v>
      </c>
      <c r="M316" s="20" t="s">
        <v>162</v>
      </c>
      <c r="N316" s="20">
        <v>1500</v>
      </c>
      <c r="O316" s="20" t="s">
        <v>157</v>
      </c>
      <c r="P316" s="20" t="s">
        <v>42</v>
      </c>
      <c r="Q316" s="33"/>
      <c r="R316" s="33"/>
      <c r="S316" s="33"/>
      <c r="T316" s="33">
        <f t="shared" ca="1" si="15"/>
        <v>32200</v>
      </c>
      <c r="U316" s="38">
        <f t="shared" ca="1" si="9"/>
        <v>28980</v>
      </c>
      <c r="V316" s="38">
        <f t="shared" ca="1" si="10"/>
        <v>27370</v>
      </c>
      <c r="W316" s="38">
        <f t="shared" ca="1" si="11"/>
        <v>25760</v>
      </c>
      <c r="X316" s="38">
        <f t="shared" ca="1" si="12"/>
        <v>22540</v>
      </c>
      <c r="Y316" s="18"/>
    </row>
    <row r="317" spans="1:25" ht="16" x14ac:dyDescent="0.15">
      <c r="A317" s="18"/>
      <c r="B317" s="20" t="s">
        <v>58</v>
      </c>
      <c r="C317" s="20" t="s">
        <v>134</v>
      </c>
      <c r="D317" s="20" t="s">
        <v>61</v>
      </c>
      <c r="E317" s="20" t="s">
        <v>161</v>
      </c>
      <c r="F317" s="20" t="s">
        <v>117</v>
      </c>
      <c r="G317" s="20">
        <v>1500</v>
      </c>
      <c r="H317" s="20" t="s">
        <v>131</v>
      </c>
      <c r="I317" s="20" t="str">
        <f t="shared" si="14"/>
        <v>WSTK-LNR-NSH-LVM-1500-X</v>
      </c>
      <c r="J317" s="20" t="s">
        <v>86</v>
      </c>
      <c r="K317" s="20" t="s">
        <v>133</v>
      </c>
      <c r="L317" s="20" t="s">
        <v>95</v>
      </c>
      <c r="M317" s="20" t="s">
        <v>162</v>
      </c>
      <c r="N317" s="20">
        <v>1500</v>
      </c>
      <c r="O317" s="20" t="s">
        <v>157</v>
      </c>
      <c r="P317" s="20" t="s">
        <v>55</v>
      </c>
      <c r="Q317" s="33"/>
      <c r="R317" s="33"/>
      <c r="S317" s="33"/>
      <c r="T317" s="33">
        <f t="shared" ca="1" si="15"/>
        <v>32700</v>
      </c>
      <c r="U317" s="38">
        <f t="shared" ca="1" si="9"/>
        <v>29430</v>
      </c>
      <c r="V317" s="38">
        <f t="shared" ca="1" si="10"/>
        <v>27795</v>
      </c>
      <c r="W317" s="38">
        <f t="shared" ca="1" si="11"/>
        <v>26160</v>
      </c>
      <c r="X317" s="38">
        <f t="shared" ca="1" si="12"/>
        <v>22890</v>
      </c>
      <c r="Y317" s="18"/>
    </row>
    <row r="318" spans="1:25" ht="16" x14ac:dyDescent="0.15">
      <c r="A318" s="18"/>
      <c r="B318" s="20" t="s">
        <v>58</v>
      </c>
      <c r="C318" s="20" t="s">
        <v>134</v>
      </c>
      <c r="D318" s="20" t="s">
        <v>61</v>
      </c>
      <c r="E318" s="20" t="s">
        <v>161</v>
      </c>
      <c r="F318" s="20" t="s">
        <v>119</v>
      </c>
      <c r="G318" s="20">
        <v>1500</v>
      </c>
      <c r="H318" s="20" t="s">
        <v>66</v>
      </c>
      <c r="I318" s="20" t="str">
        <f t="shared" si="14"/>
        <v>WSTK-LNR-NSH-LVP-1500-F</v>
      </c>
      <c r="J318" s="20" t="s">
        <v>86</v>
      </c>
      <c r="K318" s="20" t="s">
        <v>133</v>
      </c>
      <c r="L318" s="20" t="s">
        <v>95</v>
      </c>
      <c r="M318" s="20" t="s">
        <v>162</v>
      </c>
      <c r="N318" s="20">
        <v>1500</v>
      </c>
      <c r="O318" s="20" t="s">
        <v>158</v>
      </c>
      <c r="P318" s="20" t="s">
        <v>23</v>
      </c>
      <c r="Q318" s="33"/>
      <c r="R318" s="33"/>
      <c r="S318" s="33"/>
      <c r="T318" s="33">
        <f t="shared" ca="1" si="15"/>
        <v>40900</v>
      </c>
      <c r="U318" s="38">
        <f t="shared" ca="1" si="9"/>
        <v>36810</v>
      </c>
      <c r="V318" s="38">
        <f t="shared" ca="1" si="10"/>
        <v>34765</v>
      </c>
      <c r="W318" s="38">
        <f t="shared" ca="1" si="11"/>
        <v>32720</v>
      </c>
      <c r="X318" s="38">
        <f t="shared" ca="1" si="12"/>
        <v>28630</v>
      </c>
      <c r="Y318" s="18"/>
    </row>
    <row r="319" spans="1:25" ht="16" x14ac:dyDescent="0.15">
      <c r="A319" s="18"/>
      <c r="B319" s="20" t="s">
        <v>58</v>
      </c>
      <c r="C319" s="20" t="s">
        <v>134</v>
      </c>
      <c r="D319" s="20" t="s">
        <v>61</v>
      </c>
      <c r="E319" s="20" t="s">
        <v>161</v>
      </c>
      <c r="F319" s="20" t="s">
        <v>119</v>
      </c>
      <c r="G319" s="20">
        <v>1500</v>
      </c>
      <c r="H319" s="20" t="s">
        <v>116</v>
      </c>
      <c r="I319" s="20" t="str">
        <f t="shared" si="14"/>
        <v>WSTK-LNR-NSH-LVP-1500-G</v>
      </c>
      <c r="J319" s="20" t="s">
        <v>86</v>
      </c>
      <c r="K319" s="20" t="s">
        <v>133</v>
      </c>
      <c r="L319" s="20" t="s">
        <v>95</v>
      </c>
      <c r="M319" s="20" t="s">
        <v>162</v>
      </c>
      <c r="N319" s="20">
        <v>1500</v>
      </c>
      <c r="O319" s="20" t="s">
        <v>158</v>
      </c>
      <c r="P319" s="20" t="s">
        <v>42</v>
      </c>
      <c r="Q319" s="33"/>
      <c r="R319" s="33"/>
      <c r="S319" s="33"/>
      <c r="T319" s="33">
        <f t="shared" ca="1" si="15"/>
        <v>47600</v>
      </c>
      <c r="U319" s="38">
        <f t="shared" ca="1" si="9"/>
        <v>42840</v>
      </c>
      <c r="V319" s="38">
        <f t="shared" ca="1" si="10"/>
        <v>40460</v>
      </c>
      <c r="W319" s="38">
        <f t="shared" ca="1" si="11"/>
        <v>38080</v>
      </c>
      <c r="X319" s="38">
        <f t="shared" ca="1" si="12"/>
        <v>33320</v>
      </c>
      <c r="Y319" s="18"/>
    </row>
    <row r="320" spans="1:25" ht="16" x14ac:dyDescent="0.15">
      <c r="A320" s="18"/>
      <c r="B320" s="20" t="s">
        <v>58</v>
      </c>
      <c r="C320" s="20" t="s">
        <v>134</v>
      </c>
      <c r="D320" s="20" t="s">
        <v>61</v>
      </c>
      <c r="E320" s="20" t="s">
        <v>161</v>
      </c>
      <c r="F320" s="20" t="s">
        <v>119</v>
      </c>
      <c r="G320" s="20">
        <v>1500</v>
      </c>
      <c r="H320" s="20" t="s">
        <v>131</v>
      </c>
      <c r="I320" s="20" t="str">
        <f t="shared" si="14"/>
        <v>WSTK-LNR-NSH-LVP-1500-X</v>
      </c>
      <c r="J320" s="20" t="s">
        <v>86</v>
      </c>
      <c r="K320" s="20" t="s">
        <v>133</v>
      </c>
      <c r="L320" s="20" t="s">
        <v>95</v>
      </c>
      <c r="M320" s="20" t="s">
        <v>162</v>
      </c>
      <c r="N320" s="20">
        <v>1500</v>
      </c>
      <c r="O320" s="20" t="s">
        <v>158</v>
      </c>
      <c r="P320" s="20" t="s">
        <v>55</v>
      </c>
      <c r="Q320" s="33"/>
      <c r="R320" s="33"/>
      <c r="S320" s="33"/>
      <c r="T320" s="33">
        <f t="shared" ca="1" si="15"/>
        <v>48100</v>
      </c>
      <c r="U320" s="38">
        <f t="shared" ca="1" si="9"/>
        <v>43290</v>
      </c>
      <c r="V320" s="38">
        <f t="shared" ca="1" si="10"/>
        <v>40885</v>
      </c>
      <c r="W320" s="38">
        <f t="shared" ca="1" si="11"/>
        <v>38480</v>
      </c>
      <c r="X320" s="38">
        <f t="shared" ca="1" si="12"/>
        <v>33670</v>
      </c>
      <c r="Y320" s="18"/>
    </row>
    <row r="321" spans="1:25" ht="16" x14ac:dyDescent="0.15">
      <c r="A321" s="18"/>
      <c r="B321" s="20" t="s">
        <v>58</v>
      </c>
      <c r="C321" s="20" t="s">
        <v>134</v>
      </c>
      <c r="D321" s="20" t="s">
        <v>61</v>
      </c>
      <c r="E321" s="20" t="s">
        <v>161</v>
      </c>
      <c r="F321" s="20" t="s">
        <v>125</v>
      </c>
      <c r="G321" s="20">
        <v>1500</v>
      </c>
      <c r="H321" s="20" t="s">
        <v>66</v>
      </c>
      <c r="I321" s="20" t="str">
        <f t="shared" si="14"/>
        <v>WSTK-LNR-NSH-MB-1500-F</v>
      </c>
      <c r="J321" s="20" t="s">
        <v>86</v>
      </c>
      <c r="K321" s="20" t="s">
        <v>133</v>
      </c>
      <c r="L321" s="20" t="s">
        <v>95</v>
      </c>
      <c r="M321" s="20" t="s">
        <v>162</v>
      </c>
      <c r="N321" s="20">
        <v>1500</v>
      </c>
      <c r="O321" s="20" t="s">
        <v>97</v>
      </c>
      <c r="P321" s="20" t="s">
        <v>23</v>
      </c>
      <c r="Q321" s="33"/>
      <c r="R321" s="33"/>
      <c r="S321" s="33"/>
      <c r="T321" s="33">
        <f t="shared" ca="1" si="15"/>
        <v>44100</v>
      </c>
      <c r="U321" s="38">
        <f t="shared" ca="1" si="9"/>
        <v>39690</v>
      </c>
      <c r="V321" s="38">
        <f t="shared" ca="1" si="10"/>
        <v>37485</v>
      </c>
      <c r="W321" s="38">
        <f t="shared" ca="1" si="11"/>
        <v>35280</v>
      </c>
      <c r="X321" s="38">
        <f t="shared" ca="1" si="12"/>
        <v>30869.999999999996</v>
      </c>
      <c r="Y321" s="18"/>
    </row>
    <row r="322" spans="1:25" ht="16" x14ac:dyDescent="0.15">
      <c r="A322" s="18"/>
      <c r="B322" s="20" t="s">
        <v>58</v>
      </c>
      <c r="C322" s="20" t="s">
        <v>134</v>
      </c>
      <c r="D322" s="20" t="s">
        <v>61</v>
      </c>
      <c r="E322" s="20" t="s">
        <v>161</v>
      </c>
      <c r="F322" s="20" t="s">
        <v>125</v>
      </c>
      <c r="G322" s="20">
        <v>1500</v>
      </c>
      <c r="H322" s="20" t="s">
        <v>116</v>
      </c>
      <c r="I322" s="20" t="str">
        <f t="shared" si="14"/>
        <v>WSTK-LNR-NSH-MB-1500-G</v>
      </c>
      <c r="J322" s="20" t="s">
        <v>86</v>
      </c>
      <c r="K322" s="20" t="s">
        <v>133</v>
      </c>
      <c r="L322" s="20" t="s">
        <v>95</v>
      </c>
      <c r="M322" s="20" t="s">
        <v>162</v>
      </c>
      <c r="N322" s="20">
        <v>1500</v>
      </c>
      <c r="O322" s="20" t="s">
        <v>97</v>
      </c>
      <c r="P322" s="20" t="s">
        <v>42</v>
      </c>
      <c r="Q322" s="33"/>
      <c r="R322" s="33"/>
      <c r="S322" s="33"/>
      <c r="T322" s="33">
        <f t="shared" ca="1" si="15"/>
        <v>49200</v>
      </c>
      <c r="U322" s="38">
        <f t="shared" ca="1" si="9"/>
        <v>44280</v>
      </c>
      <c r="V322" s="38">
        <f t="shared" ca="1" si="10"/>
        <v>41820</v>
      </c>
      <c r="W322" s="38">
        <f t="shared" ca="1" si="11"/>
        <v>39360</v>
      </c>
      <c r="X322" s="38">
        <f t="shared" ca="1" si="12"/>
        <v>34440</v>
      </c>
      <c r="Y322" s="18"/>
    </row>
    <row r="323" spans="1:25" ht="16" x14ac:dyDescent="0.15">
      <c r="A323" s="18"/>
      <c r="B323" s="20" t="s">
        <v>58</v>
      </c>
      <c r="C323" s="20" t="s">
        <v>134</v>
      </c>
      <c r="D323" s="20" t="s">
        <v>61</v>
      </c>
      <c r="E323" s="20" t="s">
        <v>161</v>
      </c>
      <c r="F323" s="20" t="s">
        <v>125</v>
      </c>
      <c r="G323" s="20">
        <v>1500</v>
      </c>
      <c r="H323" s="20" t="s">
        <v>131</v>
      </c>
      <c r="I323" s="20" t="str">
        <f t="shared" si="14"/>
        <v>WSTK-LNR-NSH-MB-1500-X</v>
      </c>
      <c r="J323" s="20" t="s">
        <v>86</v>
      </c>
      <c r="K323" s="20" t="s">
        <v>133</v>
      </c>
      <c r="L323" s="20" t="s">
        <v>95</v>
      </c>
      <c r="M323" s="20" t="s">
        <v>162</v>
      </c>
      <c r="N323" s="20">
        <v>1500</v>
      </c>
      <c r="O323" s="20" t="s">
        <v>97</v>
      </c>
      <c r="P323" s="20" t="s">
        <v>55</v>
      </c>
      <c r="Q323" s="33"/>
      <c r="R323" s="33"/>
      <c r="S323" s="33"/>
      <c r="T323" s="33">
        <f t="shared" ca="1" si="15"/>
        <v>49700</v>
      </c>
      <c r="U323" s="38">
        <f t="shared" ca="1" si="9"/>
        <v>44730</v>
      </c>
      <c r="V323" s="38">
        <f t="shared" ca="1" si="10"/>
        <v>42245</v>
      </c>
      <c r="W323" s="38">
        <f t="shared" ca="1" si="11"/>
        <v>39760</v>
      </c>
      <c r="X323" s="38">
        <f t="shared" ca="1" si="12"/>
        <v>34790</v>
      </c>
      <c r="Y323" s="18"/>
    </row>
    <row r="324" spans="1:25" ht="16" x14ac:dyDescent="0.15">
      <c r="A324" s="18"/>
      <c r="B324" s="20" t="s">
        <v>58</v>
      </c>
      <c r="C324" s="20" t="s">
        <v>134</v>
      </c>
      <c r="D324" s="20" t="s">
        <v>61</v>
      </c>
      <c r="E324" s="20" t="s">
        <v>166</v>
      </c>
      <c r="F324" s="20" t="s">
        <v>65</v>
      </c>
      <c r="G324" s="20">
        <v>900</v>
      </c>
      <c r="H324" s="20" t="s">
        <v>66</v>
      </c>
      <c r="I324" s="20" t="str">
        <f t="shared" si="14"/>
        <v>WSTK-LNR-S-PB-900-F</v>
      </c>
      <c r="J324" s="20" t="s">
        <v>86</v>
      </c>
      <c r="K324" s="20" t="s">
        <v>133</v>
      </c>
      <c r="L324" s="20" t="s">
        <v>95</v>
      </c>
      <c r="M324" s="20" t="s">
        <v>167</v>
      </c>
      <c r="N324" s="20">
        <v>900</v>
      </c>
      <c r="O324" s="20" t="s">
        <v>11</v>
      </c>
      <c r="P324" s="20" t="s">
        <v>23</v>
      </c>
      <c r="Q324" s="33"/>
      <c r="R324" s="33"/>
      <c r="S324" s="33"/>
      <c r="T324" s="33">
        <f t="shared" ca="1" si="15"/>
        <v>45700</v>
      </c>
      <c r="U324" s="38">
        <f t="shared" ca="1" si="9"/>
        <v>41130</v>
      </c>
      <c r="V324" s="38">
        <f t="shared" ca="1" si="10"/>
        <v>38845</v>
      </c>
      <c r="W324" s="38">
        <f t="shared" ca="1" si="11"/>
        <v>36560</v>
      </c>
      <c r="X324" s="38">
        <f t="shared" ca="1" si="12"/>
        <v>31989.999999999996</v>
      </c>
      <c r="Y324" s="18"/>
    </row>
    <row r="325" spans="1:25" ht="16" x14ac:dyDescent="0.15">
      <c r="A325" s="18"/>
      <c r="B325" s="20" t="s">
        <v>58</v>
      </c>
      <c r="C325" s="20" t="s">
        <v>134</v>
      </c>
      <c r="D325" s="20" t="s">
        <v>61</v>
      </c>
      <c r="E325" s="20" t="s">
        <v>166</v>
      </c>
      <c r="F325" s="20" t="s">
        <v>65</v>
      </c>
      <c r="G325" s="20">
        <v>900</v>
      </c>
      <c r="H325" s="20" t="s">
        <v>116</v>
      </c>
      <c r="I325" s="20" t="str">
        <f t="shared" si="14"/>
        <v>WSTK-LNR-S-PB-900-G</v>
      </c>
      <c r="J325" s="20" t="s">
        <v>86</v>
      </c>
      <c r="K325" s="20" t="s">
        <v>133</v>
      </c>
      <c r="L325" s="20" t="s">
        <v>95</v>
      </c>
      <c r="M325" s="20" t="s">
        <v>167</v>
      </c>
      <c r="N325" s="20">
        <v>900</v>
      </c>
      <c r="O325" s="20" t="s">
        <v>11</v>
      </c>
      <c r="P325" s="20" t="s">
        <v>42</v>
      </c>
      <c r="Q325" s="33"/>
      <c r="R325" s="33"/>
      <c r="S325" s="33"/>
      <c r="T325" s="33">
        <f t="shared" ca="1" si="15"/>
        <v>58500</v>
      </c>
      <c r="U325" s="38">
        <f t="shared" ca="1" si="9"/>
        <v>52650</v>
      </c>
      <c r="V325" s="38">
        <f t="shared" ca="1" si="10"/>
        <v>49725</v>
      </c>
      <c r="W325" s="38">
        <f t="shared" ca="1" si="11"/>
        <v>46800</v>
      </c>
      <c r="X325" s="38">
        <f t="shared" ca="1" si="12"/>
        <v>40950</v>
      </c>
      <c r="Y325" s="18"/>
    </row>
    <row r="326" spans="1:25" ht="16" x14ac:dyDescent="0.15">
      <c r="A326" s="18"/>
      <c r="B326" s="20" t="s">
        <v>58</v>
      </c>
      <c r="C326" s="20" t="s">
        <v>134</v>
      </c>
      <c r="D326" s="20" t="s">
        <v>61</v>
      </c>
      <c r="E326" s="20" t="s">
        <v>166</v>
      </c>
      <c r="F326" s="20" t="s">
        <v>65</v>
      </c>
      <c r="G326" s="20">
        <v>900</v>
      </c>
      <c r="H326" s="20" t="s">
        <v>131</v>
      </c>
      <c r="I326" s="20" t="str">
        <f t="shared" si="14"/>
        <v>WSTK-LNR-S-PB-900-X</v>
      </c>
      <c r="J326" s="20" t="s">
        <v>86</v>
      </c>
      <c r="K326" s="20" t="s">
        <v>133</v>
      </c>
      <c r="L326" s="20" t="s">
        <v>95</v>
      </c>
      <c r="M326" s="20" t="s">
        <v>167</v>
      </c>
      <c r="N326" s="20">
        <v>900</v>
      </c>
      <c r="O326" s="20" t="s">
        <v>11</v>
      </c>
      <c r="P326" s="20" t="s">
        <v>55</v>
      </c>
      <c r="Q326" s="33"/>
      <c r="R326" s="33"/>
      <c r="S326" s="33"/>
      <c r="T326" s="33">
        <f t="shared" ca="1" si="15"/>
        <v>59000</v>
      </c>
      <c r="U326" s="38">
        <f t="shared" ca="1" si="9"/>
        <v>53100</v>
      </c>
      <c r="V326" s="38">
        <f t="shared" ca="1" si="10"/>
        <v>50150</v>
      </c>
      <c r="W326" s="38">
        <f t="shared" ca="1" si="11"/>
        <v>47200</v>
      </c>
      <c r="X326" s="38">
        <f t="shared" ca="1" si="12"/>
        <v>41300</v>
      </c>
      <c r="Y326" s="18"/>
    </row>
    <row r="327" spans="1:25" ht="16" x14ac:dyDescent="0.15">
      <c r="A327" s="18"/>
      <c r="B327" s="20" t="s">
        <v>58</v>
      </c>
      <c r="C327" s="20" t="s">
        <v>134</v>
      </c>
      <c r="D327" s="20" t="s">
        <v>61</v>
      </c>
      <c r="E327" s="20" t="s">
        <v>166</v>
      </c>
      <c r="F327" s="20" t="s">
        <v>112</v>
      </c>
      <c r="G327" s="20">
        <v>900</v>
      </c>
      <c r="H327" s="20" t="s">
        <v>66</v>
      </c>
      <c r="I327" s="20" t="str">
        <f t="shared" si="14"/>
        <v>WSTK-LNR-S-PLM-900-F</v>
      </c>
      <c r="J327" s="20" t="s">
        <v>86</v>
      </c>
      <c r="K327" s="20" t="s">
        <v>133</v>
      </c>
      <c r="L327" s="20" t="s">
        <v>95</v>
      </c>
      <c r="M327" s="20" t="s">
        <v>167</v>
      </c>
      <c r="N327" s="20">
        <v>900</v>
      </c>
      <c r="O327" s="20" t="s">
        <v>31</v>
      </c>
      <c r="P327" s="20" t="s">
        <v>23</v>
      </c>
      <c r="Q327" s="33"/>
      <c r="R327" s="33"/>
      <c r="S327" s="33"/>
      <c r="T327" s="33">
        <f t="shared" ca="1" si="15"/>
        <v>55000</v>
      </c>
      <c r="U327" s="38">
        <f t="shared" ca="1" si="9"/>
        <v>49500</v>
      </c>
      <c r="V327" s="38">
        <f t="shared" ca="1" si="10"/>
        <v>46750</v>
      </c>
      <c r="W327" s="38">
        <f t="shared" ca="1" si="11"/>
        <v>44000</v>
      </c>
      <c r="X327" s="38">
        <f t="shared" ca="1" si="12"/>
        <v>38500</v>
      </c>
      <c r="Y327" s="18"/>
    </row>
    <row r="328" spans="1:25" ht="16" x14ac:dyDescent="0.15">
      <c r="A328" s="18"/>
      <c r="B328" s="20" t="s">
        <v>58</v>
      </c>
      <c r="C328" s="20" t="s">
        <v>134</v>
      </c>
      <c r="D328" s="20" t="s">
        <v>61</v>
      </c>
      <c r="E328" s="20" t="s">
        <v>166</v>
      </c>
      <c r="F328" s="20" t="s">
        <v>112</v>
      </c>
      <c r="G328" s="20">
        <v>900</v>
      </c>
      <c r="H328" s="20" t="s">
        <v>116</v>
      </c>
      <c r="I328" s="20" t="str">
        <f t="shared" si="14"/>
        <v>WSTK-LNR-S-PLM-900-G</v>
      </c>
      <c r="J328" s="20" t="s">
        <v>86</v>
      </c>
      <c r="K328" s="20" t="s">
        <v>133</v>
      </c>
      <c r="L328" s="20" t="s">
        <v>95</v>
      </c>
      <c r="M328" s="20" t="s">
        <v>167</v>
      </c>
      <c r="N328" s="20">
        <v>900</v>
      </c>
      <c r="O328" s="20" t="s">
        <v>31</v>
      </c>
      <c r="P328" s="20" t="s">
        <v>42</v>
      </c>
      <c r="Q328" s="33"/>
      <c r="R328" s="33"/>
      <c r="S328" s="33"/>
      <c r="T328" s="33">
        <f t="shared" ca="1" si="15"/>
        <v>38900</v>
      </c>
      <c r="U328" s="38">
        <f t="shared" ca="1" si="9"/>
        <v>35010</v>
      </c>
      <c r="V328" s="38">
        <f t="shared" ca="1" si="10"/>
        <v>33065</v>
      </c>
      <c r="W328" s="38">
        <f t="shared" ca="1" si="11"/>
        <v>31120</v>
      </c>
      <c r="X328" s="38">
        <f t="shared" ca="1" si="12"/>
        <v>27230</v>
      </c>
      <c r="Y328" s="18"/>
    </row>
    <row r="329" spans="1:25" ht="16" x14ac:dyDescent="0.15">
      <c r="A329" s="18"/>
      <c r="B329" s="20" t="s">
        <v>58</v>
      </c>
      <c r="C329" s="20" t="s">
        <v>134</v>
      </c>
      <c r="D329" s="20" t="s">
        <v>61</v>
      </c>
      <c r="E329" s="20" t="s">
        <v>166</v>
      </c>
      <c r="F329" s="20" t="s">
        <v>112</v>
      </c>
      <c r="G329" s="20">
        <v>900</v>
      </c>
      <c r="H329" s="20" t="s">
        <v>131</v>
      </c>
      <c r="I329" s="20" t="str">
        <f t="shared" si="14"/>
        <v>WSTK-LNR-S-PLM-900-X</v>
      </c>
      <c r="J329" s="20" t="s">
        <v>86</v>
      </c>
      <c r="K329" s="20" t="s">
        <v>133</v>
      </c>
      <c r="L329" s="20" t="s">
        <v>95</v>
      </c>
      <c r="M329" s="20" t="s">
        <v>167</v>
      </c>
      <c r="N329" s="20">
        <v>900</v>
      </c>
      <c r="O329" s="20" t="s">
        <v>31</v>
      </c>
      <c r="P329" s="20" t="s">
        <v>55</v>
      </c>
      <c r="Q329" s="33"/>
      <c r="R329" s="33"/>
      <c r="S329" s="33"/>
      <c r="T329" s="33">
        <f t="shared" ca="1" si="15"/>
        <v>39500</v>
      </c>
      <c r="U329" s="38">
        <f t="shared" ca="1" si="9"/>
        <v>35550</v>
      </c>
      <c r="V329" s="38">
        <f t="shared" ca="1" si="10"/>
        <v>33575</v>
      </c>
      <c r="W329" s="38">
        <f t="shared" ca="1" si="11"/>
        <v>31600</v>
      </c>
      <c r="X329" s="38">
        <f t="shared" ca="1" si="12"/>
        <v>27650</v>
      </c>
      <c r="Y329" s="18"/>
    </row>
    <row r="330" spans="1:25" ht="16" x14ac:dyDescent="0.15">
      <c r="A330" s="18"/>
      <c r="B330" s="20" t="s">
        <v>58</v>
      </c>
      <c r="C330" s="20" t="s">
        <v>134</v>
      </c>
      <c r="D330" s="20" t="s">
        <v>61</v>
      </c>
      <c r="E330" s="20" t="s">
        <v>166</v>
      </c>
      <c r="F330" s="20" t="s">
        <v>114</v>
      </c>
      <c r="G330" s="20">
        <v>900</v>
      </c>
      <c r="H330" s="20" t="s">
        <v>66</v>
      </c>
      <c r="I330" s="20" t="str">
        <f t="shared" si="14"/>
        <v>WSTK-LNR-S-PoLM-900-F</v>
      </c>
      <c r="J330" s="20" t="s">
        <v>86</v>
      </c>
      <c r="K330" s="20" t="s">
        <v>133</v>
      </c>
      <c r="L330" s="20" t="s">
        <v>95</v>
      </c>
      <c r="M330" s="20" t="s">
        <v>167</v>
      </c>
      <c r="N330" s="20">
        <v>900</v>
      </c>
      <c r="O330" s="20" t="s">
        <v>47</v>
      </c>
      <c r="P330" s="20" t="s">
        <v>23</v>
      </c>
      <c r="Q330" s="33"/>
      <c r="R330" s="33"/>
      <c r="S330" s="33"/>
      <c r="T330" s="33">
        <f t="shared" ca="1" si="15"/>
        <v>34300</v>
      </c>
      <c r="U330" s="38">
        <f t="shared" ca="1" si="9"/>
        <v>30870</v>
      </c>
      <c r="V330" s="38">
        <f t="shared" ca="1" si="10"/>
        <v>29155</v>
      </c>
      <c r="W330" s="38">
        <f t="shared" ca="1" si="11"/>
        <v>27440</v>
      </c>
      <c r="X330" s="38">
        <f t="shared" ca="1" si="12"/>
        <v>24010</v>
      </c>
      <c r="Y330" s="18"/>
    </row>
    <row r="331" spans="1:25" ht="16" x14ac:dyDescent="0.15">
      <c r="A331" s="18"/>
      <c r="B331" s="20" t="s">
        <v>58</v>
      </c>
      <c r="C331" s="20" t="s">
        <v>134</v>
      </c>
      <c r="D331" s="20" t="s">
        <v>61</v>
      </c>
      <c r="E331" s="20" t="s">
        <v>166</v>
      </c>
      <c r="F331" s="20" t="s">
        <v>114</v>
      </c>
      <c r="G331" s="20">
        <v>900</v>
      </c>
      <c r="H331" s="20" t="s">
        <v>116</v>
      </c>
      <c r="I331" s="20" t="str">
        <f t="shared" si="14"/>
        <v>WSTK-LNR-S-PoLM-900-G</v>
      </c>
      <c r="J331" s="20" t="s">
        <v>86</v>
      </c>
      <c r="K331" s="20" t="s">
        <v>133</v>
      </c>
      <c r="L331" s="20" t="s">
        <v>95</v>
      </c>
      <c r="M331" s="20" t="s">
        <v>167</v>
      </c>
      <c r="N331" s="20">
        <v>900</v>
      </c>
      <c r="O331" s="20" t="s">
        <v>47</v>
      </c>
      <c r="P331" s="20" t="s">
        <v>42</v>
      </c>
      <c r="Q331" s="33"/>
      <c r="R331" s="33"/>
      <c r="S331" s="33"/>
      <c r="T331" s="33">
        <f t="shared" ca="1" si="15"/>
        <v>40600</v>
      </c>
      <c r="U331" s="38">
        <f t="shared" ca="1" si="9"/>
        <v>36540</v>
      </c>
      <c r="V331" s="38">
        <f t="shared" ca="1" si="10"/>
        <v>34510</v>
      </c>
      <c r="W331" s="38">
        <f t="shared" ca="1" si="11"/>
        <v>32480</v>
      </c>
      <c r="X331" s="38">
        <f t="shared" ca="1" si="12"/>
        <v>28420</v>
      </c>
      <c r="Y331" s="18"/>
    </row>
    <row r="332" spans="1:25" ht="16" x14ac:dyDescent="0.15">
      <c r="A332" s="18"/>
      <c r="B332" s="20" t="s">
        <v>58</v>
      </c>
      <c r="C332" s="20" t="s">
        <v>134</v>
      </c>
      <c r="D332" s="20" t="s">
        <v>61</v>
      </c>
      <c r="E332" s="20" t="s">
        <v>166</v>
      </c>
      <c r="F332" s="20" t="s">
        <v>114</v>
      </c>
      <c r="G332" s="20">
        <v>900</v>
      </c>
      <c r="H332" s="20" t="s">
        <v>131</v>
      </c>
      <c r="I332" s="20" t="str">
        <f t="shared" si="14"/>
        <v>WSTK-LNR-S-PoLM-900-X</v>
      </c>
      <c r="J332" s="20" t="s">
        <v>86</v>
      </c>
      <c r="K332" s="20" t="s">
        <v>133</v>
      </c>
      <c r="L332" s="20" t="s">
        <v>95</v>
      </c>
      <c r="M332" s="20" t="s">
        <v>167</v>
      </c>
      <c r="N332" s="20">
        <v>900</v>
      </c>
      <c r="O332" s="20" t="s">
        <v>47</v>
      </c>
      <c r="P332" s="20" t="s">
        <v>55</v>
      </c>
      <c r="Q332" s="33"/>
      <c r="R332" s="33"/>
      <c r="S332" s="33"/>
      <c r="T332" s="33">
        <f t="shared" ca="1" si="15"/>
        <v>41300</v>
      </c>
      <c r="U332" s="38">
        <f t="shared" ca="1" si="9"/>
        <v>37170</v>
      </c>
      <c r="V332" s="38">
        <f t="shared" ca="1" si="10"/>
        <v>35105</v>
      </c>
      <c r="W332" s="38">
        <f t="shared" ca="1" si="11"/>
        <v>33040</v>
      </c>
      <c r="X332" s="38">
        <f t="shared" ca="1" si="12"/>
        <v>28909.999999999996</v>
      </c>
      <c r="Y332" s="18"/>
    </row>
    <row r="333" spans="1:25" ht="16" x14ac:dyDescent="0.15">
      <c r="A333" s="18"/>
      <c r="B333" s="20" t="s">
        <v>58</v>
      </c>
      <c r="C333" s="20" t="s">
        <v>134</v>
      </c>
      <c r="D333" s="20" t="s">
        <v>61</v>
      </c>
      <c r="E333" s="20" t="s">
        <v>166</v>
      </c>
      <c r="F333" s="20" t="s">
        <v>117</v>
      </c>
      <c r="G333" s="20">
        <v>900</v>
      </c>
      <c r="H333" s="20" t="s">
        <v>66</v>
      </c>
      <c r="I333" s="20" t="str">
        <f t="shared" si="14"/>
        <v>WSTK-LNR-S-LVM-900-F</v>
      </c>
      <c r="J333" s="20" t="s">
        <v>86</v>
      </c>
      <c r="K333" s="20" t="s">
        <v>133</v>
      </c>
      <c r="L333" s="20" t="s">
        <v>95</v>
      </c>
      <c r="M333" s="20" t="s">
        <v>167</v>
      </c>
      <c r="N333" s="20">
        <v>900</v>
      </c>
      <c r="O333" s="20" t="s">
        <v>157</v>
      </c>
      <c r="P333" s="20" t="s">
        <v>23</v>
      </c>
      <c r="Q333" s="33"/>
      <c r="R333" s="33"/>
      <c r="S333" s="33"/>
      <c r="T333" s="33">
        <f t="shared" ca="1" si="15"/>
        <v>36000</v>
      </c>
      <c r="U333" s="38">
        <f t="shared" ca="1" si="9"/>
        <v>32400</v>
      </c>
      <c r="V333" s="38">
        <f t="shared" ca="1" si="10"/>
        <v>30600</v>
      </c>
      <c r="W333" s="38">
        <f t="shared" ca="1" si="11"/>
        <v>28800</v>
      </c>
      <c r="X333" s="38">
        <f t="shared" ca="1" si="12"/>
        <v>25200</v>
      </c>
      <c r="Y333" s="18"/>
    </row>
    <row r="334" spans="1:25" ht="16" x14ac:dyDescent="0.15">
      <c r="A334" s="18"/>
      <c r="B334" s="20" t="s">
        <v>58</v>
      </c>
      <c r="C334" s="20" t="s">
        <v>134</v>
      </c>
      <c r="D334" s="20" t="s">
        <v>61</v>
      </c>
      <c r="E334" s="20" t="s">
        <v>166</v>
      </c>
      <c r="F334" s="20" t="s">
        <v>117</v>
      </c>
      <c r="G334" s="20">
        <v>900</v>
      </c>
      <c r="H334" s="20" t="s">
        <v>116</v>
      </c>
      <c r="I334" s="20" t="str">
        <f t="shared" si="14"/>
        <v>WSTK-LNR-S-LVM-900-G</v>
      </c>
      <c r="J334" s="20" t="s">
        <v>86</v>
      </c>
      <c r="K334" s="20" t="s">
        <v>133</v>
      </c>
      <c r="L334" s="20" t="s">
        <v>95</v>
      </c>
      <c r="M334" s="20" t="s">
        <v>167</v>
      </c>
      <c r="N334" s="20">
        <v>900</v>
      </c>
      <c r="O334" s="20" t="s">
        <v>157</v>
      </c>
      <c r="P334" s="20" t="s">
        <v>42</v>
      </c>
      <c r="Q334" s="33"/>
      <c r="R334" s="33"/>
      <c r="S334" s="33"/>
      <c r="T334" s="33">
        <f t="shared" ca="1" si="15"/>
        <v>50300</v>
      </c>
      <c r="U334" s="38">
        <f t="shared" ca="1" si="9"/>
        <v>45270</v>
      </c>
      <c r="V334" s="38">
        <f t="shared" ca="1" si="10"/>
        <v>42755</v>
      </c>
      <c r="W334" s="38">
        <f t="shared" ca="1" si="11"/>
        <v>40240</v>
      </c>
      <c r="X334" s="38">
        <f t="shared" ca="1" si="12"/>
        <v>35210</v>
      </c>
      <c r="Y334" s="18"/>
    </row>
    <row r="335" spans="1:25" ht="16" x14ac:dyDescent="0.15">
      <c r="A335" s="18"/>
      <c r="B335" s="20" t="s">
        <v>58</v>
      </c>
      <c r="C335" s="20" t="s">
        <v>134</v>
      </c>
      <c r="D335" s="20" t="s">
        <v>61</v>
      </c>
      <c r="E335" s="20" t="s">
        <v>166</v>
      </c>
      <c r="F335" s="20" t="s">
        <v>117</v>
      </c>
      <c r="G335" s="20">
        <v>900</v>
      </c>
      <c r="H335" s="20" t="s">
        <v>131</v>
      </c>
      <c r="I335" s="20" t="str">
        <f t="shared" si="14"/>
        <v>WSTK-LNR-S-LVM-900-X</v>
      </c>
      <c r="J335" s="20" t="s">
        <v>86</v>
      </c>
      <c r="K335" s="20" t="s">
        <v>133</v>
      </c>
      <c r="L335" s="20" t="s">
        <v>95</v>
      </c>
      <c r="M335" s="20" t="s">
        <v>167</v>
      </c>
      <c r="N335" s="20">
        <v>900</v>
      </c>
      <c r="O335" s="20" t="s">
        <v>157</v>
      </c>
      <c r="P335" s="20" t="s">
        <v>55</v>
      </c>
      <c r="Q335" s="33"/>
      <c r="R335" s="33"/>
      <c r="S335" s="33"/>
      <c r="T335" s="33">
        <f t="shared" ca="1" si="15"/>
        <v>51000</v>
      </c>
      <c r="U335" s="38">
        <f t="shared" ca="1" si="9"/>
        <v>45900</v>
      </c>
      <c r="V335" s="38">
        <f t="shared" ca="1" si="10"/>
        <v>43350</v>
      </c>
      <c r="W335" s="38">
        <f t="shared" ca="1" si="11"/>
        <v>40800</v>
      </c>
      <c r="X335" s="38">
        <f t="shared" ca="1" si="12"/>
        <v>35700</v>
      </c>
      <c r="Y335" s="18"/>
    </row>
    <row r="336" spans="1:25" ht="16" x14ac:dyDescent="0.15">
      <c r="A336" s="18"/>
      <c r="B336" s="20" t="s">
        <v>58</v>
      </c>
      <c r="C336" s="20" t="s">
        <v>134</v>
      </c>
      <c r="D336" s="20" t="s">
        <v>61</v>
      </c>
      <c r="E336" s="20" t="s">
        <v>166</v>
      </c>
      <c r="F336" s="20" t="s">
        <v>119</v>
      </c>
      <c r="G336" s="20">
        <v>900</v>
      </c>
      <c r="H336" s="20" t="s">
        <v>66</v>
      </c>
      <c r="I336" s="20" t="str">
        <f t="shared" si="14"/>
        <v>WSTK-LNR-S-LVP-900-F</v>
      </c>
      <c r="J336" s="20" t="s">
        <v>86</v>
      </c>
      <c r="K336" s="20" t="s">
        <v>133</v>
      </c>
      <c r="L336" s="20" t="s">
        <v>95</v>
      </c>
      <c r="M336" s="20" t="s">
        <v>167</v>
      </c>
      <c r="N336" s="20">
        <v>900</v>
      </c>
      <c r="O336" s="20" t="s">
        <v>158</v>
      </c>
      <c r="P336" s="20" t="s">
        <v>23</v>
      </c>
      <c r="Q336" s="33"/>
      <c r="R336" s="33"/>
      <c r="S336" s="33"/>
      <c r="T336" s="33">
        <f t="shared" ca="1" si="15"/>
        <v>45700</v>
      </c>
      <c r="U336" s="38">
        <f t="shared" ca="1" si="9"/>
        <v>41130</v>
      </c>
      <c r="V336" s="38">
        <f t="shared" ca="1" si="10"/>
        <v>38845</v>
      </c>
      <c r="W336" s="38">
        <f t="shared" ca="1" si="11"/>
        <v>36560</v>
      </c>
      <c r="X336" s="38">
        <f t="shared" ca="1" si="12"/>
        <v>31989.999999999996</v>
      </c>
      <c r="Y336" s="18"/>
    </row>
    <row r="337" spans="1:25" ht="16" x14ac:dyDescent="0.15">
      <c r="A337" s="18"/>
      <c r="B337" s="20" t="s">
        <v>58</v>
      </c>
      <c r="C337" s="20" t="s">
        <v>134</v>
      </c>
      <c r="D337" s="20" t="s">
        <v>61</v>
      </c>
      <c r="E337" s="20" t="s">
        <v>166</v>
      </c>
      <c r="F337" s="20" t="s">
        <v>119</v>
      </c>
      <c r="G337" s="20">
        <v>900</v>
      </c>
      <c r="H337" s="20" t="s">
        <v>116</v>
      </c>
      <c r="I337" s="20" t="str">
        <f t="shared" si="14"/>
        <v>WSTK-LNR-S-LVP-900-G</v>
      </c>
      <c r="J337" s="20" t="s">
        <v>86</v>
      </c>
      <c r="K337" s="20" t="s">
        <v>133</v>
      </c>
      <c r="L337" s="20" t="s">
        <v>95</v>
      </c>
      <c r="M337" s="20" t="s">
        <v>167</v>
      </c>
      <c r="N337" s="20">
        <v>900</v>
      </c>
      <c r="O337" s="20" t="s">
        <v>158</v>
      </c>
      <c r="P337" s="20" t="s">
        <v>42</v>
      </c>
      <c r="Q337" s="33"/>
      <c r="R337" s="33"/>
      <c r="S337" s="33"/>
      <c r="T337" s="33">
        <f t="shared" ca="1" si="15"/>
        <v>54600</v>
      </c>
      <c r="U337" s="38">
        <f t="shared" ca="1" si="9"/>
        <v>49140</v>
      </c>
      <c r="V337" s="38">
        <f t="shared" ca="1" si="10"/>
        <v>46410</v>
      </c>
      <c r="W337" s="38">
        <f t="shared" ca="1" si="11"/>
        <v>43680</v>
      </c>
      <c r="X337" s="38">
        <f t="shared" ca="1" si="12"/>
        <v>38220</v>
      </c>
      <c r="Y337" s="18"/>
    </row>
    <row r="338" spans="1:25" ht="16" x14ac:dyDescent="0.15">
      <c r="A338" s="18"/>
      <c r="B338" s="20" t="s">
        <v>58</v>
      </c>
      <c r="C338" s="20" t="s">
        <v>134</v>
      </c>
      <c r="D338" s="20" t="s">
        <v>61</v>
      </c>
      <c r="E338" s="20" t="s">
        <v>166</v>
      </c>
      <c r="F338" s="20" t="s">
        <v>119</v>
      </c>
      <c r="G338" s="20">
        <v>900</v>
      </c>
      <c r="H338" s="20" t="s">
        <v>131</v>
      </c>
      <c r="I338" s="20" t="str">
        <f t="shared" si="14"/>
        <v>WSTK-LNR-S-LVP-900-X</v>
      </c>
      <c r="J338" s="20" t="s">
        <v>86</v>
      </c>
      <c r="K338" s="20" t="s">
        <v>133</v>
      </c>
      <c r="L338" s="20" t="s">
        <v>95</v>
      </c>
      <c r="M338" s="20" t="s">
        <v>167</v>
      </c>
      <c r="N338" s="20">
        <v>900</v>
      </c>
      <c r="O338" s="20" t="s">
        <v>158</v>
      </c>
      <c r="P338" s="20" t="s">
        <v>55</v>
      </c>
      <c r="Q338" s="33"/>
      <c r="R338" s="33"/>
      <c r="S338" s="33"/>
      <c r="T338" s="33">
        <f t="shared" ca="1" si="15"/>
        <v>55300</v>
      </c>
      <c r="U338" s="38">
        <f t="shared" ca="1" si="9"/>
        <v>49770</v>
      </c>
      <c r="V338" s="38">
        <f t="shared" ca="1" si="10"/>
        <v>47005</v>
      </c>
      <c r="W338" s="38">
        <f t="shared" ca="1" si="11"/>
        <v>44240</v>
      </c>
      <c r="X338" s="38">
        <f t="shared" ca="1" si="12"/>
        <v>38710</v>
      </c>
      <c r="Y338" s="18"/>
    </row>
    <row r="339" spans="1:25" ht="16" x14ac:dyDescent="0.15">
      <c r="A339" s="18"/>
      <c r="B339" s="20" t="s">
        <v>58</v>
      </c>
      <c r="C339" s="20" t="s">
        <v>134</v>
      </c>
      <c r="D339" s="20" t="s">
        <v>61</v>
      </c>
      <c r="E339" s="20" t="s">
        <v>166</v>
      </c>
      <c r="F339" s="20" t="s">
        <v>125</v>
      </c>
      <c r="G339" s="20">
        <v>900</v>
      </c>
      <c r="H339" s="20" t="s">
        <v>66</v>
      </c>
      <c r="I339" s="20" t="str">
        <f t="shared" si="14"/>
        <v>WSTK-LNR-S-MB-900-F</v>
      </c>
      <c r="J339" s="20" t="s">
        <v>86</v>
      </c>
      <c r="K339" s="20" t="s">
        <v>133</v>
      </c>
      <c r="L339" s="20" t="s">
        <v>95</v>
      </c>
      <c r="M339" s="20" t="s">
        <v>167</v>
      </c>
      <c r="N339" s="20">
        <v>900</v>
      </c>
      <c r="O339" s="20" t="s">
        <v>97</v>
      </c>
      <c r="P339" s="20" t="s">
        <v>23</v>
      </c>
      <c r="Q339" s="33"/>
      <c r="R339" s="33"/>
      <c r="S339" s="33"/>
      <c r="T339" s="33">
        <f t="shared" ca="1" si="15"/>
        <v>50000</v>
      </c>
      <c r="U339" s="38">
        <f t="shared" ca="1" si="9"/>
        <v>45000</v>
      </c>
      <c r="V339" s="38">
        <f t="shared" ca="1" si="10"/>
        <v>42500</v>
      </c>
      <c r="W339" s="38">
        <f t="shared" ca="1" si="11"/>
        <v>40000</v>
      </c>
      <c r="X339" s="38">
        <f t="shared" ca="1" si="12"/>
        <v>35000</v>
      </c>
      <c r="Y339" s="18"/>
    </row>
    <row r="340" spans="1:25" ht="16" x14ac:dyDescent="0.15">
      <c r="A340" s="18"/>
      <c r="B340" s="20" t="s">
        <v>58</v>
      </c>
      <c r="C340" s="20" t="s">
        <v>134</v>
      </c>
      <c r="D340" s="20" t="s">
        <v>61</v>
      </c>
      <c r="E340" s="20" t="s">
        <v>166</v>
      </c>
      <c r="F340" s="20" t="s">
        <v>125</v>
      </c>
      <c r="G340" s="20">
        <v>900</v>
      </c>
      <c r="H340" s="20" t="s">
        <v>116</v>
      </c>
      <c r="I340" s="20" t="str">
        <f t="shared" si="14"/>
        <v>WSTK-LNR-S-MB-900-G</v>
      </c>
      <c r="J340" s="20" t="s">
        <v>86</v>
      </c>
      <c r="K340" s="20" t="s">
        <v>133</v>
      </c>
      <c r="L340" s="20" t="s">
        <v>95</v>
      </c>
      <c r="M340" s="20" t="s">
        <v>167</v>
      </c>
      <c r="N340" s="20">
        <v>900</v>
      </c>
      <c r="O340" s="20" t="s">
        <v>97</v>
      </c>
      <c r="P340" s="20" t="s">
        <v>42</v>
      </c>
      <c r="Q340" s="33"/>
      <c r="R340" s="33"/>
      <c r="S340" s="33"/>
      <c r="T340" s="33">
        <f t="shared" ca="1" si="15"/>
        <v>56800</v>
      </c>
      <c r="U340" s="38">
        <f t="shared" ca="1" si="9"/>
        <v>51120</v>
      </c>
      <c r="V340" s="38">
        <f t="shared" ca="1" si="10"/>
        <v>48280</v>
      </c>
      <c r="W340" s="38">
        <f t="shared" ca="1" si="11"/>
        <v>45440</v>
      </c>
      <c r="X340" s="38">
        <f t="shared" ca="1" si="12"/>
        <v>39760</v>
      </c>
      <c r="Y340" s="18"/>
    </row>
    <row r="341" spans="1:25" ht="16" x14ac:dyDescent="0.15">
      <c r="A341" s="18"/>
      <c r="B341" s="20" t="s">
        <v>58</v>
      </c>
      <c r="C341" s="20" t="s">
        <v>134</v>
      </c>
      <c r="D341" s="20" t="s">
        <v>61</v>
      </c>
      <c r="E341" s="20" t="s">
        <v>166</v>
      </c>
      <c r="F341" s="20" t="s">
        <v>125</v>
      </c>
      <c r="G341" s="20">
        <v>900</v>
      </c>
      <c r="H341" s="20" t="s">
        <v>131</v>
      </c>
      <c r="I341" s="20" t="str">
        <f t="shared" si="14"/>
        <v>WSTK-LNR-S-MB-900-X</v>
      </c>
      <c r="J341" s="20" t="s">
        <v>86</v>
      </c>
      <c r="K341" s="20" t="s">
        <v>133</v>
      </c>
      <c r="L341" s="20" t="s">
        <v>95</v>
      </c>
      <c r="M341" s="20" t="s">
        <v>167</v>
      </c>
      <c r="N341" s="20">
        <v>900</v>
      </c>
      <c r="O341" s="20" t="s">
        <v>97</v>
      </c>
      <c r="P341" s="20" t="s">
        <v>55</v>
      </c>
      <c r="Q341" s="33"/>
      <c r="R341" s="33"/>
      <c r="S341" s="33"/>
      <c r="T341" s="33">
        <f t="shared" ca="1" si="15"/>
        <v>57500</v>
      </c>
      <c r="U341" s="38">
        <f t="shared" ca="1" si="9"/>
        <v>51750</v>
      </c>
      <c r="V341" s="38">
        <f t="shared" ca="1" si="10"/>
        <v>48875</v>
      </c>
      <c r="W341" s="38">
        <f t="shared" ca="1" si="11"/>
        <v>46000</v>
      </c>
      <c r="X341" s="38">
        <f t="shared" ca="1" si="12"/>
        <v>40250</v>
      </c>
      <c r="Y341" s="18"/>
    </row>
    <row r="342" spans="1:25" ht="16" x14ac:dyDescent="0.15">
      <c r="A342" s="18"/>
      <c r="B342" s="20" t="s">
        <v>58</v>
      </c>
      <c r="C342" s="20" t="s">
        <v>134</v>
      </c>
      <c r="D342" s="20" t="s">
        <v>61</v>
      </c>
      <c r="E342" s="20" t="s">
        <v>166</v>
      </c>
      <c r="F342" s="20" t="s">
        <v>65</v>
      </c>
      <c r="G342" s="20">
        <v>1200</v>
      </c>
      <c r="H342" s="20" t="s">
        <v>66</v>
      </c>
      <c r="I342" s="20" t="str">
        <f t="shared" si="14"/>
        <v>WSTK-LNR-S-PB-1200-F</v>
      </c>
      <c r="J342" s="20" t="s">
        <v>86</v>
      </c>
      <c r="K342" s="20" t="s">
        <v>133</v>
      </c>
      <c r="L342" s="20" t="s">
        <v>95</v>
      </c>
      <c r="M342" s="20" t="s">
        <v>167</v>
      </c>
      <c r="N342" s="20">
        <v>1200</v>
      </c>
      <c r="O342" s="20" t="s">
        <v>11</v>
      </c>
      <c r="P342" s="20" t="s">
        <v>23</v>
      </c>
      <c r="Q342" s="33"/>
      <c r="R342" s="33"/>
      <c r="S342" s="33"/>
      <c r="T342" s="33">
        <f t="shared" ca="1" si="15"/>
        <v>52200</v>
      </c>
      <c r="U342" s="38">
        <f t="shared" ca="1" si="9"/>
        <v>46980</v>
      </c>
      <c r="V342" s="38">
        <f t="shared" ca="1" si="10"/>
        <v>44370</v>
      </c>
      <c r="W342" s="38">
        <f t="shared" ca="1" si="11"/>
        <v>41760</v>
      </c>
      <c r="X342" s="38">
        <f t="shared" ca="1" si="12"/>
        <v>36540</v>
      </c>
      <c r="Y342" s="18"/>
    </row>
    <row r="343" spans="1:25" ht="16" x14ac:dyDescent="0.15">
      <c r="A343" s="18"/>
      <c r="B343" s="20" t="s">
        <v>58</v>
      </c>
      <c r="C343" s="20" t="s">
        <v>134</v>
      </c>
      <c r="D343" s="20" t="s">
        <v>61</v>
      </c>
      <c r="E343" s="20" t="s">
        <v>166</v>
      </c>
      <c r="F343" s="20" t="s">
        <v>65</v>
      </c>
      <c r="G343" s="20">
        <v>1200</v>
      </c>
      <c r="H343" s="20" t="s">
        <v>116</v>
      </c>
      <c r="I343" s="20" t="str">
        <f t="shared" si="14"/>
        <v>WSTK-LNR-S-PB-1200-G</v>
      </c>
      <c r="J343" s="20" t="s">
        <v>86</v>
      </c>
      <c r="K343" s="20" t="s">
        <v>133</v>
      </c>
      <c r="L343" s="20" t="s">
        <v>95</v>
      </c>
      <c r="M343" s="20" t="s">
        <v>167</v>
      </c>
      <c r="N343" s="20">
        <v>1200</v>
      </c>
      <c r="O343" s="20" t="s">
        <v>11</v>
      </c>
      <c r="P343" s="20" t="s">
        <v>42</v>
      </c>
      <c r="Q343" s="33"/>
      <c r="R343" s="33"/>
      <c r="S343" s="33"/>
      <c r="T343" s="33">
        <f t="shared" ca="1" si="15"/>
        <v>69200</v>
      </c>
      <c r="U343" s="38">
        <f t="shared" ca="1" si="9"/>
        <v>62280</v>
      </c>
      <c r="V343" s="38">
        <f t="shared" ca="1" si="10"/>
        <v>58820</v>
      </c>
      <c r="W343" s="38">
        <f t="shared" ca="1" si="11"/>
        <v>55360</v>
      </c>
      <c r="X343" s="38">
        <f t="shared" ca="1" si="12"/>
        <v>48440</v>
      </c>
      <c r="Y343" s="18"/>
    </row>
    <row r="344" spans="1:25" ht="16" x14ac:dyDescent="0.15">
      <c r="A344" s="18"/>
      <c r="B344" s="20" t="s">
        <v>58</v>
      </c>
      <c r="C344" s="20" t="s">
        <v>134</v>
      </c>
      <c r="D344" s="20" t="s">
        <v>61</v>
      </c>
      <c r="E344" s="20" t="s">
        <v>166</v>
      </c>
      <c r="F344" s="20" t="s">
        <v>65</v>
      </c>
      <c r="G344" s="20">
        <v>1200</v>
      </c>
      <c r="H344" s="20" t="s">
        <v>131</v>
      </c>
      <c r="I344" s="20" t="str">
        <f t="shared" si="14"/>
        <v>WSTK-LNR-S-PB-1200-X</v>
      </c>
      <c r="J344" s="20" t="s">
        <v>86</v>
      </c>
      <c r="K344" s="20" t="s">
        <v>133</v>
      </c>
      <c r="L344" s="20" t="s">
        <v>95</v>
      </c>
      <c r="M344" s="20" t="s">
        <v>167</v>
      </c>
      <c r="N344" s="20">
        <v>1200</v>
      </c>
      <c r="O344" s="20" t="s">
        <v>11</v>
      </c>
      <c r="P344" s="20" t="s">
        <v>55</v>
      </c>
      <c r="Q344" s="33"/>
      <c r="R344" s="33"/>
      <c r="S344" s="33"/>
      <c r="T344" s="33">
        <f t="shared" ca="1" si="15"/>
        <v>69900</v>
      </c>
      <c r="U344" s="38">
        <f t="shared" ca="1" si="9"/>
        <v>62910</v>
      </c>
      <c r="V344" s="38">
        <f t="shared" ca="1" si="10"/>
        <v>59415</v>
      </c>
      <c r="W344" s="38">
        <f t="shared" ca="1" si="11"/>
        <v>55920</v>
      </c>
      <c r="X344" s="38">
        <f t="shared" ca="1" si="12"/>
        <v>48930</v>
      </c>
      <c r="Y344" s="18"/>
    </row>
    <row r="345" spans="1:25" ht="16" x14ac:dyDescent="0.15">
      <c r="A345" s="18"/>
      <c r="B345" s="20" t="s">
        <v>58</v>
      </c>
      <c r="C345" s="20" t="s">
        <v>134</v>
      </c>
      <c r="D345" s="20" t="s">
        <v>61</v>
      </c>
      <c r="E345" s="20" t="s">
        <v>166</v>
      </c>
      <c r="F345" s="20" t="s">
        <v>112</v>
      </c>
      <c r="G345" s="20">
        <v>1200</v>
      </c>
      <c r="H345" s="20" t="s">
        <v>66</v>
      </c>
      <c r="I345" s="20" t="str">
        <f t="shared" si="14"/>
        <v>WSTK-LNR-S-PLM-1200-F</v>
      </c>
      <c r="J345" s="20" t="s">
        <v>86</v>
      </c>
      <c r="K345" s="20" t="s">
        <v>133</v>
      </c>
      <c r="L345" s="20" t="s">
        <v>95</v>
      </c>
      <c r="M345" s="20" t="s">
        <v>167</v>
      </c>
      <c r="N345" s="20">
        <v>1200</v>
      </c>
      <c r="O345" s="20" t="s">
        <v>31</v>
      </c>
      <c r="P345" s="20" t="s">
        <v>23</v>
      </c>
      <c r="Q345" s="33"/>
      <c r="R345" s="33"/>
      <c r="S345" s="33"/>
      <c r="T345" s="33">
        <f t="shared" ca="1" si="15"/>
        <v>64600</v>
      </c>
      <c r="U345" s="38">
        <f t="shared" ca="1" si="9"/>
        <v>58140</v>
      </c>
      <c r="V345" s="38">
        <f t="shared" ca="1" si="10"/>
        <v>54910</v>
      </c>
      <c r="W345" s="38">
        <f t="shared" ca="1" si="11"/>
        <v>51680</v>
      </c>
      <c r="X345" s="38">
        <f t="shared" ca="1" si="12"/>
        <v>45220</v>
      </c>
      <c r="Y345" s="18"/>
    </row>
    <row r="346" spans="1:25" ht="16" x14ac:dyDescent="0.15">
      <c r="A346" s="18"/>
      <c r="B346" s="20" t="s">
        <v>58</v>
      </c>
      <c r="C346" s="20" t="s">
        <v>134</v>
      </c>
      <c r="D346" s="20" t="s">
        <v>61</v>
      </c>
      <c r="E346" s="20" t="s">
        <v>166</v>
      </c>
      <c r="F346" s="20" t="s">
        <v>112</v>
      </c>
      <c r="G346" s="20">
        <v>1200</v>
      </c>
      <c r="H346" s="20" t="s">
        <v>116</v>
      </c>
      <c r="I346" s="20" t="str">
        <f t="shared" si="14"/>
        <v>WSTK-LNR-S-PLM-1200-G</v>
      </c>
      <c r="J346" s="20" t="s">
        <v>86</v>
      </c>
      <c r="K346" s="20" t="s">
        <v>133</v>
      </c>
      <c r="L346" s="20" t="s">
        <v>95</v>
      </c>
      <c r="M346" s="20" t="s">
        <v>167</v>
      </c>
      <c r="N346" s="20">
        <v>1200</v>
      </c>
      <c r="O346" s="20" t="s">
        <v>31</v>
      </c>
      <c r="P346" s="20" t="s">
        <v>42</v>
      </c>
      <c r="Q346" s="33"/>
      <c r="R346" s="33"/>
      <c r="S346" s="33"/>
      <c r="T346" s="33">
        <f t="shared" ca="1" si="15"/>
        <v>42000</v>
      </c>
      <c r="U346" s="38">
        <f t="shared" ca="1" si="9"/>
        <v>37800</v>
      </c>
      <c r="V346" s="38">
        <f t="shared" ca="1" si="10"/>
        <v>35700</v>
      </c>
      <c r="W346" s="38">
        <f t="shared" ca="1" si="11"/>
        <v>33600</v>
      </c>
      <c r="X346" s="38">
        <f t="shared" ca="1" si="12"/>
        <v>29399.999999999996</v>
      </c>
      <c r="Y346" s="18"/>
    </row>
    <row r="347" spans="1:25" ht="16" x14ac:dyDescent="0.15">
      <c r="A347" s="18"/>
      <c r="B347" s="20" t="s">
        <v>58</v>
      </c>
      <c r="C347" s="20" t="s">
        <v>134</v>
      </c>
      <c r="D347" s="20" t="s">
        <v>61</v>
      </c>
      <c r="E347" s="20" t="s">
        <v>166</v>
      </c>
      <c r="F347" s="20" t="s">
        <v>112</v>
      </c>
      <c r="G347" s="20">
        <v>1200</v>
      </c>
      <c r="H347" s="20" t="s">
        <v>131</v>
      </c>
      <c r="I347" s="20" t="str">
        <f t="shared" si="14"/>
        <v>WSTK-LNR-S-PLM-1200-X</v>
      </c>
      <c r="J347" s="20" t="s">
        <v>86</v>
      </c>
      <c r="K347" s="20" t="s">
        <v>133</v>
      </c>
      <c r="L347" s="20" t="s">
        <v>95</v>
      </c>
      <c r="M347" s="20" t="s">
        <v>167</v>
      </c>
      <c r="N347" s="20">
        <v>1200</v>
      </c>
      <c r="O347" s="20" t="s">
        <v>31</v>
      </c>
      <c r="P347" s="20" t="s">
        <v>55</v>
      </c>
      <c r="Q347" s="33"/>
      <c r="R347" s="33"/>
      <c r="S347" s="33"/>
      <c r="T347" s="33">
        <f t="shared" ca="1" si="15"/>
        <v>42900</v>
      </c>
      <c r="U347" s="38">
        <f t="shared" ca="1" si="9"/>
        <v>38610</v>
      </c>
      <c r="V347" s="38">
        <f t="shared" ca="1" si="10"/>
        <v>36465</v>
      </c>
      <c r="W347" s="38">
        <f t="shared" ca="1" si="11"/>
        <v>34320</v>
      </c>
      <c r="X347" s="38">
        <f t="shared" ca="1" si="12"/>
        <v>30029.999999999996</v>
      </c>
      <c r="Y347" s="18"/>
    </row>
    <row r="348" spans="1:25" ht="16" x14ac:dyDescent="0.15">
      <c r="A348" s="18"/>
      <c r="B348" s="20" t="s">
        <v>58</v>
      </c>
      <c r="C348" s="20" t="s">
        <v>134</v>
      </c>
      <c r="D348" s="20" t="s">
        <v>61</v>
      </c>
      <c r="E348" s="20" t="s">
        <v>166</v>
      </c>
      <c r="F348" s="20" t="s">
        <v>114</v>
      </c>
      <c r="G348" s="20">
        <v>1200</v>
      </c>
      <c r="H348" s="20" t="s">
        <v>66</v>
      </c>
      <c r="I348" s="20" t="str">
        <f t="shared" si="14"/>
        <v>WSTK-LNR-S-PoLM-1200-F</v>
      </c>
      <c r="J348" s="20" t="s">
        <v>86</v>
      </c>
      <c r="K348" s="20" t="s">
        <v>133</v>
      </c>
      <c r="L348" s="20" t="s">
        <v>95</v>
      </c>
      <c r="M348" s="20" t="s">
        <v>167</v>
      </c>
      <c r="N348" s="20">
        <v>1200</v>
      </c>
      <c r="O348" s="20" t="s">
        <v>47</v>
      </c>
      <c r="P348" s="20" t="s">
        <v>23</v>
      </c>
      <c r="Q348" s="33"/>
      <c r="R348" s="33"/>
      <c r="S348" s="33"/>
      <c r="T348" s="33">
        <f t="shared" ca="1" si="15"/>
        <v>36300</v>
      </c>
      <c r="U348" s="38">
        <f t="shared" ca="1" si="9"/>
        <v>32670</v>
      </c>
      <c r="V348" s="38">
        <f t="shared" ca="1" si="10"/>
        <v>30855</v>
      </c>
      <c r="W348" s="38">
        <f t="shared" ca="1" si="11"/>
        <v>29040</v>
      </c>
      <c r="X348" s="38">
        <f t="shared" ca="1" si="12"/>
        <v>25410</v>
      </c>
      <c r="Y348" s="18"/>
    </row>
    <row r="349" spans="1:25" ht="16" x14ac:dyDescent="0.15">
      <c r="A349" s="18"/>
      <c r="B349" s="20" t="s">
        <v>58</v>
      </c>
      <c r="C349" s="20" t="s">
        <v>134</v>
      </c>
      <c r="D349" s="20" t="s">
        <v>61</v>
      </c>
      <c r="E349" s="20" t="s">
        <v>166</v>
      </c>
      <c r="F349" s="20" t="s">
        <v>114</v>
      </c>
      <c r="G349" s="20">
        <v>1200</v>
      </c>
      <c r="H349" s="20" t="s">
        <v>116</v>
      </c>
      <c r="I349" s="20" t="str">
        <f t="shared" si="14"/>
        <v>WSTK-LNR-S-PoLM-1200-G</v>
      </c>
      <c r="J349" s="20" t="s">
        <v>86</v>
      </c>
      <c r="K349" s="20" t="s">
        <v>133</v>
      </c>
      <c r="L349" s="20" t="s">
        <v>95</v>
      </c>
      <c r="M349" s="20" t="s">
        <v>167</v>
      </c>
      <c r="N349" s="20">
        <v>1200</v>
      </c>
      <c r="O349" s="20" t="s">
        <v>47</v>
      </c>
      <c r="P349" s="20" t="s">
        <v>42</v>
      </c>
      <c r="Q349" s="33"/>
      <c r="R349" s="33"/>
      <c r="S349" s="33"/>
      <c r="T349" s="33">
        <f t="shared" ca="1" si="15"/>
        <v>44200</v>
      </c>
      <c r="U349" s="38">
        <f t="shared" ca="1" si="9"/>
        <v>39780</v>
      </c>
      <c r="V349" s="38">
        <f t="shared" ca="1" si="10"/>
        <v>37570</v>
      </c>
      <c r="W349" s="38">
        <f t="shared" ca="1" si="11"/>
        <v>35360</v>
      </c>
      <c r="X349" s="38">
        <f t="shared" ca="1" si="12"/>
        <v>30939.999999999996</v>
      </c>
      <c r="Y349" s="18"/>
    </row>
    <row r="350" spans="1:25" ht="16" x14ac:dyDescent="0.15">
      <c r="A350" s="18"/>
      <c r="B350" s="20" t="s">
        <v>58</v>
      </c>
      <c r="C350" s="20" t="s">
        <v>134</v>
      </c>
      <c r="D350" s="20" t="s">
        <v>61</v>
      </c>
      <c r="E350" s="20" t="s">
        <v>166</v>
      </c>
      <c r="F350" s="20" t="s">
        <v>114</v>
      </c>
      <c r="G350" s="20">
        <v>1200</v>
      </c>
      <c r="H350" s="20" t="s">
        <v>131</v>
      </c>
      <c r="I350" s="20" t="str">
        <f t="shared" si="14"/>
        <v>WSTK-LNR-S-PoLM-1200-X</v>
      </c>
      <c r="J350" s="20" t="s">
        <v>86</v>
      </c>
      <c r="K350" s="20" t="s">
        <v>133</v>
      </c>
      <c r="L350" s="20" t="s">
        <v>95</v>
      </c>
      <c r="M350" s="20" t="s">
        <v>167</v>
      </c>
      <c r="N350" s="20">
        <v>1200</v>
      </c>
      <c r="O350" s="20" t="s">
        <v>47</v>
      </c>
      <c r="P350" s="20" t="s">
        <v>55</v>
      </c>
      <c r="Q350" s="33"/>
      <c r="R350" s="33"/>
      <c r="S350" s="33"/>
      <c r="T350" s="33">
        <f t="shared" ca="1" si="15"/>
        <v>45000</v>
      </c>
      <c r="U350" s="38">
        <f t="shared" ca="1" si="9"/>
        <v>40500</v>
      </c>
      <c r="V350" s="38">
        <f t="shared" ca="1" si="10"/>
        <v>38250</v>
      </c>
      <c r="W350" s="38">
        <f t="shared" ca="1" si="11"/>
        <v>36000</v>
      </c>
      <c r="X350" s="38">
        <f t="shared" ca="1" si="12"/>
        <v>31499.999999999996</v>
      </c>
      <c r="Y350" s="18"/>
    </row>
    <row r="351" spans="1:25" ht="16" x14ac:dyDescent="0.15">
      <c r="A351" s="18"/>
      <c r="B351" s="20" t="s">
        <v>58</v>
      </c>
      <c r="C351" s="20" t="s">
        <v>134</v>
      </c>
      <c r="D351" s="20" t="s">
        <v>61</v>
      </c>
      <c r="E351" s="20" t="s">
        <v>166</v>
      </c>
      <c r="F351" s="20" t="s">
        <v>117</v>
      </c>
      <c r="G351" s="20">
        <v>1200</v>
      </c>
      <c r="H351" s="20" t="s">
        <v>66</v>
      </c>
      <c r="I351" s="20" t="str">
        <f t="shared" si="14"/>
        <v>WSTK-LNR-S-LVM-1200-F</v>
      </c>
      <c r="J351" s="20" t="s">
        <v>86</v>
      </c>
      <c r="K351" s="20" t="s">
        <v>133</v>
      </c>
      <c r="L351" s="20" t="s">
        <v>95</v>
      </c>
      <c r="M351" s="20" t="s">
        <v>167</v>
      </c>
      <c r="N351" s="20">
        <v>1200</v>
      </c>
      <c r="O351" s="20" t="s">
        <v>157</v>
      </c>
      <c r="P351" s="20" t="s">
        <v>23</v>
      </c>
      <c r="Q351" s="33"/>
      <c r="R351" s="33"/>
      <c r="S351" s="33"/>
      <c r="T351" s="33">
        <f t="shared" ca="1" si="15"/>
        <v>38400</v>
      </c>
      <c r="U351" s="38">
        <f t="shared" ca="1" si="9"/>
        <v>34560</v>
      </c>
      <c r="V351" s="38">
        <f t="shared" ca="1" si="10"/>
        <v>32640</v>
      </c>
      <c r="W351" s="38">
        <f t="shared" ca="1" si="11"/>
        <v>30720</v>
      </c>
      <c r="X351" s="38">
        <f t="shared" ca="1" si="12"/>
        <v>26880</v>
      </c>
      <c r="Y351" s="18"/>
    </row>
    <row r="352" spans="1:25" ht="16" x14ac:dyDescent="0.15">
      <c r="A352" s="18"/>
      <c r="B352" s="20" t="s">
        <v>58</v>
      </c>
      <c r="C352" s="20" t="s">
        <v>134</v>
      </c>
      <c r="D352" s="20" t="s">
        <v>61</v>
      </c>
      <c r="E352" s="20" t="s">
        <v>166</v>
      </c>
      <c r="F352" s="20" t="s">
        <v>117</v>
      </c>
      <c r="G352" s="20">
        <v>1200</v>
      </c>
      <c r="H352" s="20" t="s">
        <v>116</v>
      </c>
      <c r="I352" s="20" t="str">
        <f t="shared" si="14"/>
        <v>WSTK-LNR-S-LVM-1200-G</v>
      </c>
      <c r="J352" s="20" t="s">
        <v>86</v>
      </c>
      <c r="K352" s="20" t="s">
        <v>133</v>
      </c>
      <c r="L352" s="20" t="s">
        <v>95</v>
      </c>
      <c r="M352" s="20" t="s">
        <v>167</v>
      </c>
      <c r="N352" s="20">
        <v>1200</v>
      </c>
      <c r="O352" s="20" t="s">
        <v>157</v>
      </c>
      <c r="P352" s="20" t="s">
        <v>42</v>
      </c>
      <c r="Q352" s="33"/>
      <c r="R352" s="33"/>
      <c r="S352" s="33"/>
      <c r="T352" s="33">
        <f t="shared" ca="1" si="15"/>
        <v>56300</v>
      </c>
      <c r="U352" s="38">
        <f t="shared" ca="1" si="9"/>
        <v>50670</v>
      </c>
      <c r="V352" s="38">
        <f t="shared" ca="1" si="10"/>
        <v>47855</v>
      </c>
      <c r="W352" s="38">
        <f t="shared" ca="1" si="11"/>
        <v>45040</v>
      </c>
      <c r="X352" s="38">
        <f t="shared" ca="1" si="12"/>
        <v>39410</v>
      </c>
      <c r="Y352" s="18"/>
    </row>
    <row r="353" spans="1:25" ht="16" x14ac:dyDescent="0.15">
      <c r="A353" s="18"/>
      <c r="B353" s="20" t="s">
        <v>58</v>
      </c>
      <c r="C353" s="20" t="s">
        <v>134</v>
      </c>
      <c r="D353" s="20" t="s">
        <v>61</v>
      </c>
      <c r="E353" s="20" t="s">
        <v>166</v>
      </c>
      <c r="F353" s="20" t="s">
        <v>117</v>
      </c>
      <c r="G353" s="20">
        <v>1200</v>
      </c>
      <c r="H353" s="20" t="s">
        <v>131</v>
      </c>
      <c r="I353" s="20" t="str">
        <f t="shared" si="14"/>
        <v>WSTK-LNR-S-LVM-1200-X</v>
      </c>
      <c r="J353" s="20" t="s">
        <v>86</v>
      </c>
      <c r="K353" s="20" t="s">
        <v>133</v>
      </c>
      <c r="L353" s="20" t="s">
        <v>95</v>
      </c>
      <c r="M353" s="20" t="s">
        <v>167</v>
      </c>
      <c r="N353" s="20">
        <v>1200</v>
      </c>
      <c r="O353" s="20" t="s">
        <v>157</v>
      </c>
      <c r="P353" s="20" t="s">
        <v>55</v>
      </c>
      <c r="Q353" s="33"/>
      <c r="R353" s="33"/>
      <c r="S353" s="33"/>
      <c r="T353" s="33">
        <f t="shared" ca="1" si="15"/>
        <v>57200</v>
      </c>
      <c r="U353" s="38">
        <f t="shared" ca="1" si="9"/>
        <v>51480</v>
      </c>
      <c r="V353" s="38">
        <f t="shared" ca="1" si="10"/>
        <v>48620</v>
      </c>
      <c r="W353" s="38">
        <f t="shared" ca="1" si="11"/>
        <v>45760</v>
      </c>
      <c r="X353" s="38">
        <f t="shared" ca="1" si="12"/>
        <v>40040</v>
      </c>
      <c r="Y353" s="18"/>
    </row>
    <row r="354" spans="1:25" ht="16" x14ac:dyDescent="0.15">
      <c r="A354" s="18"/>
      <c r="B354" s="20" t="s">
        <v>58</v>
      </c>
      <c r="C354" s="20" t="s">
        <v>134</v>
      </c>
      <c r="D354" s="20" t="s">
        <v>61</v>
      </c>
      <c r="E354" s="20" t="s">
        <v>166</v>
      </c>
      <c r="F354" s="20" t="s">
        <v>119</v>
      </c>
      <c r="G354" s="20">
        <v>1200</v>
      </c>
      <c r="H354" s="20" t="s">
        <v>66</v>
      </c>
      <c r="I354" s="20" t="str">
        <f t="shared" si="14"/>
        <v>WSTK-LNR-S-LVP-1200-F</v>
      </c>
      <c r="J354" s="20" t="s">
        <v>86</v>
      </c>
      <c r="K354" s="20" t="s">
        <v>133</v>
      </c>
      <c r="L354" s="20" t="s">
        <v>95</v>
      </c>
      <c r="M354" s="20" t="s">
        <v>167</v>
      </c>
      <c r="N354" s="20">
        <v>1200</v>
      </c>
      <c r="O354" s="20" t="s">
        <v>158</v>
      </c>
      <c r="P354" s="20" t="s">
        <v>23</v>
      </c>
      <c r="Q354" s="33"/>
      <c r="R354" s="33"/>
      <c r="S354" s="33"/>
      <c r="T354" s="33">
        <f t="shared" ca="1" si="15"/>
        <v>50600</v>
      </c>
      <c r="U354" s="38">
        <f t="shared" ca="1" si="9"/>
        <v>45540</v>
      </c>
      <c r="V354" s="38">
        <f t="shared" ca="1" si="10"/>
        <v>43010</v>
      </c>
      <c r="W354" s="38">
        <f t="shared" ca="1" si="11"/>
        <v>40480</v>
      </c>
      <c r="X354" s="38">
        <f t="shared" ca="1" si="12"/>
        <v>35420</v>
      </c>
      <c r="Y354" s="18"/>
    </row>
    <row r="355" spans="1:25" ht="16" x14ac:dyDescent="0.15">
      <c r="A355" s="18"/>
      <c r="B355" s="20" t="s">
        <v>58</v>
      </c>
      <c r="C355" s="20" t="s">
        <v>134</v>
      </c>
      <c r="D355" s="20" t="s">
        <v>61</v>
      </c>
      <c r="E355" s="20" t="s">
        <v>166</v>
      </c>
      <c r="F355" s="20" t="s">
        <v>119</v>
      </c>
      <c r="G355" s="20">
        <v>1200</v>
      </c>
      <c r="H355" s="20" t="s">
        <v>116</v>
      </c>
      <c r="I355" s="20" t="str">
        <f t="shared" si="14"/>
        <v>WSTK-LNR-S-LVP-1200-G</v>
      </c>
      <c r="J355" s="20" t="s">
        <v>86</v>
      </c>
      <c r="K355" s="20" t="s">
        <v>133</v>
      </c>
      <c r="L355" s="20" t="s">
        <v>95</v>
      </c>
      <c r="M355" s="20" t="s">
        <v>167</v>
      </c>
      <c r="N355" s="20">
        <v>1200</v>
      </c>
      <c r="O355" s="20" t="s">
        <v>158</v>
      </c>
      <c r="P355" s="20" t="s">
        <v>42</v>
      </c>
      <c r="Q355" s="33"/>
      <c r="R355" s="33"/>
      <c r="S355" s="33"/>
      <c r="T355" s="33">
        <f t="shared" ca="1" si="15"/>
        <v>61700</v>
      </c>
      <c r="U355" s="38">
        <f t="shared" ca="1" si="9"/>
        <v>55530</v>
      </c>
      <c r="V355" s="38">
        <f t="shared" ca="1" si="10"/>
        <v>52445</v>
      </c>
      <c r="W355" s="38">
        <f t="shared" ca="1" si="11"/>
        <v>49360</v>
      </c>
      <c r="X355" s="38">
        <f t="shared" ca="1" si="12"/>
        <v>43190</v>
      </c>
      <c r="Y355" s="18"/>
    </row>
    <row r="356" spans="1:25" ht="16" x14ac:dyDescent="0.15">
      <c r="A356" s="18"/>
      <c r="B356" s="20" t="s">
        <v>58</v>
      </c>
      <c r="C356" s="20" t="s">
        <v>134</v>
      </c>
      <c r="D356" s="20" t="s">
        <v>61</v>
      </c>
      <c r="E356" s="20" t="s">
        <v>166</v>
      </c>
      <c r="F356" s="20" t="s">
        <v>119</v>
      </c>
      <c r="G356" s="20">
        <v>1200</v>
      </c>
      <c r="H356" s="20" t="s">
        <v>131</v>
      </c>
      <c r="I356" s="20" t="str">
        <f t="shared" si="14"/>
        <v>WSTK-LNR-S-LVP-1200-X</v>
      </c>
      <c r="J356" s="20" t="s">
        <v>86</v>
      </c>
      <c r="K356" s="20" t="s">
        <v>133</v>
      </c>
      <c r="L356" s="20" t="s">
        <v>95</v>
      </c>
      <c r="M356" s="20" t="s">
        <v>167</v>
      </c>
      <c r="N356" s="20">
        <v>1200</v>
      </c>
      <c r="O356" s="20" t="s">
        <v>158</v>
      </c>
      <c r="P356" s="20" t="s">
        <v>55</v>
      </c>
      <c r="Q356" s="33"/>
      <c r="R356" s="33"/>
      <c r="S356" s="33"/>
      <c r="T356" s="33">
        <f t="shared" ca="1" si="15"/>
        <v>62600</v>
      </c>
      <c r="U356" s="38">
        <f t="shared" ca="1" si="9"/>
        <v>56340</v>
      </c>
      <c r="V356" s="38">
        <f t="shared" ca="1" si="10"/>
        <v>53210</v>
      </c>
      <c r="W356" s="38">
        <f t="shared" ca="1" si="11"/>
        <v>50080</v>
      </c>
      <c r="X356" s="38">
        <f t="shared" ca="1" si="12"/>
        <v>43820</v>
      </c>
      <c r="Y356" s="18"/>
    </row>
    <row r="357" spans="1:25" ht="16" x14ac:dyDescent="0.15">
      <c r="A357" s="18"/>
      <c r="B357" s="20" t="s">
        <v>58</v>
      </c>
      <c r="C357" s="20" t="s">
        <v>134</v>
      </c>
      <c r="D357" s="20" t="s">
        <v>61</v>
      </c>
      <c r="E357" s="20" t="s">
        <v>166</v>
      </c>
      <c r="F357" s="20" t="s">
        <v>125</v>
      </c>
      <c r="G357" s="20">
        <v>1200</v>
      </c>
      <c r="H357" s="20" t="s">
        <v>66</v>
      </c>
      <c r="I357" s="20" t="str">
        <f t="shared" si="14"/>
        <v>WSTK-LNR-S-MB-1200-F</v>
      </c>
      <c r="J357" s="20" t="s">
        <v>86</v>
      </c>
      <c r="K357" s="20" t="s">
        <v>133</v>
      </c>
      <c r="L357" s="20" t="s">
        <v>95</v>
      </c>
      <c r="M357" s="20" t="s">
        <v>167</v>
      </c>
      <c r="N357" s="20">
        <v>1200</v>
      </c>
      <c r="O357" s="20" t="s">
        <v>97</v>
      </c>
      <c r="P357" s="20" t="s">
        <v>23</v>
      </c>
      <c r="Q357" s="33"/>
      <c r="R357" s="33"/>
      <c r="S357" s="33"/>
      <c r="T357" s="33">
        <f t="shared" ca="1" si="15"/>
        <v>56000</v>
      </c>
      <c r="U357" s="38">
        <f t="shared" ca="1" si="9"/>
        <v>50400</v>
      </c>
      <c r="V357" s="38">
        <f t="shared" ca="1" si="10"/>
        <v>47600</v>
      </c>
      <c r="W357" s="38">
        <f t="shared" ca="1" si="11"/>
        <v>44800</v>
      </c>
      <c r="X357" s="38">
        <f t="shared" ca="1" si="12"/>
        <v>39200</v>
      </c>
      <c r="Y357" s="18"/>
    </row>
    <row r="358" spans="1:25" ht="16" x14ac:dyDescent="0.15">
      <c r="A358" s="18"/>
      <c r="B358" s="20" t="s">
        <v>58</v>
      </c>
      <c r="C358" s="20" t="s">
        <v>134</v>
      </c>
      <c r="D358" s="20" t="s">
        <v>61</v>
      </c>
      <c r="E358" s="20" t="s">
        <v>166</v>
      </c>
      <c r="F358" s="20" t="s">
        <v>125</v>
      </c>
      <c r="G358" s="20">
        <v>1200</v>
      </c>
      <c r="H358" s="20" t="s">
        <v>116</v>
      </c>
      <c r="I358" s="20" t="str">
        <f t="shared" si="14"/>
        <v>WSTK-LNR-S-MB-1200-G</v>
      </c>
      <c r="J358" s="20" t="s">
        <v>86</v>
      </c>
      <c r="K358" s="20" t="s">
        <v>133</v>
      </c>
      <c r="L358" s="20" t="s">
        <v>95</v>
      </c>
      <c r="M358" s="20" t="s">
        <v>167</v>
      </c>
      <c r="N358" s="20">
        <v>1200</v>
      </c>
      <c r="O358" s="20" t="s">
        <v>97</v>
      </c>
      <c r="P358" s="20" t="s">
        <v>42</v>
      </c>
      <c r="Q358" s="33"/>
      <c r="R358" s="33"/>
      <c r="S358" s="33"/>
      <c r="T358" s="33">
        <f t="shared" ca="1" si="15"/>
        <v>64400</v>
      </c>
      <c r="U358" s="38">
        <f t="shared" ca="1" si="9"/>
        <v>57960</v>
      </c>
      <c r="V358" s="38">
        <f t="shared" ca="1" si="10"/>
        <v>54740</v>
      </c>
      <c r="W358" s="38">
        <f t="shared" ca="1" si="11"/>
        <v>51520</v>
      </c>
      <c r="X358" s="38">
        <f t="shared" ca="1" si="12"/>
        <v>45080</v>
      </c>
      <c r="Y358" s="18"/>
    </row>
    <row r="359" spans="1:25" ht="16" x14ac:dyDescent="0.15">
      <c r="A359" s="18"/>
      <c r="B359" s="20" t="s">
        <v>58</v>
      </c>
      <c r="C359" s="20" t="s">
        <v>134</v>
      </c>
      <c r="D359" s="20" t="s">
        <v>61</v>
      </c>
      <c r="E359" s="20" t="s">
        <v>166</v>
      </c>
      <c r="F359" s="20" t="s">
        <v>125</v>
      </c>
      <c r="G359" s="20">
        <v>1200</v>
      </c>
      <c r="H359" s="20" t="s">
        <v>131</v>
      </c>
      <c r="I359" s="20" t="str">
        <f t="shared" si="14"/>
        <v>WSTK-LNR-S-MB-1200-X</v>
      </c>
      <c r="J359" s="20" t="s">
        <v>86</v>
      </c>
      <c r="K359" s="20" t="s">
        <v>133</v>
      </c>
      <c r="L359" s="20" t="s">
        <v>95</v>
      </c>
      <c r="M359" s="20" t="s">
        <v>167</v>
      </c>
      <c r="N359" s="20">
        <v>1200</v>
      </c>
      <c r="O359" s="20" t="s">
        <v>97</v>
      </c>
      <c r="P359" s="20" t="s">
        <v>55</v>
      </c>
      <c r="Q359" s="33"/>
      <c r="R359" s="33"/>
      <c r="S359" s="33"/>
      <c r="T359" s="33">
        <f t="shared" ca="1" si="15"/>
        <v>65300</v>
      </c>
      <c r="U359" s="38">
        <f t="shared" ca="1" si="9"/>
        <v>58770</v>
      </c>
      <c r="V359" s="38">
        <f t="shared" ca="1" si="10"/>
        <v>55505</v>
      </c>
      <c r="W359" s="38">
        <f t="shared" ca="1" si="11"/>
        <v>52240</v>
      </c>
      <c r="X359" s="38">
        <f t="shared" ca="1" si="12"/>
        <v>45710</v>
      </c>
      <c r="Y359" s="18"/>
    </row>
    <row r="360" spans="1:25" ht="16" x14ac:dyDescent="0.15">
      <c r="A360" s="18"/>
      <c r="B360" s="20" t="s">
        <v>58</v>
      </c>
      <c r="C360" s="20" t="s">
        <v>134</v>
      </c>
      <c r="D360" s="20" t="s">
        <v>61</v>
      </c>
      <c r="E360" s="20" t="s">
        <v>166</v>
      </c>
      <c r="F360" s="20" t="s">
        <v>65</v>
      </c>
      <c r="G360" s="20">
        <v>1500</v>
      </c>
      <c r="H360" s="20" t="s">
        <v>66</v>
      </c>
      <c r="I360" s="20" t="str">
        <f t="shared" si="14"/>
        <v>WSTK-LNR-S-PB-1500-F</v>
      </c>
      <c r="J360" s="20" t="s">
        <v>86</v>
      </c>
      <c r="K360" s="20" t="s">
        <v>133</v>
      </c>
      <c r="L360" s="20" t="s">
        <v>95</v>
      </c>
      <c r="M360" s="20" t="s">
        <v>167</v>
      </c>
      <c r="N360" s="20">
        <v>1500</v>
      </c>
      <c r="O360" s="20" t="s">
        <v>11</v>
      </c>
      <c r="P360" s="20" t="s">
        <v>23</v>
      </c>
      <c r="Q360" s="33"/>
      <c r="R360" s="33"/>
      <c r="S360" s="33"/>
      <c r="T360" s="33">
        <f t="shared" ca="1" si="15"/>
        <v>58700</v>
      </c>
      <c r="U360" s="38">
        <f t="shared" ca="1" si="9"/>
        <v>52830</v>
      </c>
      <c r="V360" s="38">
        <f t="shared" ca="1" si="10"/>
        <v>49895</v>
      </c>
      <c r="W360" s="38">
        <f t="shared" ca="1" si="11"/>
        <v>46960</v>
      </c>
      <c r="X360" s="38">
        <f t="shared" ca="1" si="12"/>
        <v>41090</v>
      </c>
      <c r="Y360" s="18"/>
    </row>
    <row r="361" spans="1:25" ht="16" x14ac:dyDescent="0.15">
      <c r="A361" s="18"/>
      <c r="B361" s="20" t="s">
        <v>58</v>
      </c>
      <c r="C361" s="20" t="s">
        <v>134</v>
      </c>
      <c r="D361" s="20" t="s">
        <v>61</v>
      </c>
      <c r="E361" s="20" t="s">
        <v>166</v>
      </c>
      <c r="F361" s="20" t="s">
        <v>65</v>
      </c>
      <c r="G361" s="20">
        <v>1500</v>
      </c>
      <c r="H361" s="20" t="s">
        <v>116</v>
      </c>
      <c r="I361" s="20" t="str">
        <f t="shared" si="14"/>
        <v>WSTK-LNR-S-PB-1500-G</v>
      </c>
      <c r="J361" s="20" t="s">
        <v>86</v>
      </c>
      <c r="K361" s="20" t="s">
        <v>133</v>
      </c>
      <c r="L361" s="20" t="s">
        <v>95</v>
      </c>
      <c r="M361" s="20" t="s">
        <v>167</v>
      </c>
      <c r="N361" s="20">
        <v>1500</v>
      </c>
      <c r="O361" s="20" t="s">
        <v>11</v>
      </c>
      <c r="P361" s="20" t="s">
        <v>42</v>
      </c>
      <c r="Q361" s="33"/>
      <c r="R361" s="33"/>
      <c r="S361" s="33"/>
      <c r="T361" s="33">
        <f t="shared" ca="1" si="15"/>
        <v>80000</v>
      </c>
      <c r="U361" s="38">
        <f t="shared" ca="1" si="9"/>
        <v>72000</v>
      </c>
      <c r="V361" s="38">
        <f t="shared" ca="1" si="10"/>
        <v>68000</v>
      </c>
      <c r="W361" s="38">
        <f t="shared" ca="1" si="11"/>
        <v>64000</v>
      </c>
      <c r="X361" s="38">
        <f t="shared" ca="1" si="12"/>
        <v>56000</v>
      </c>
      <c r="Y361" s="18"/>
    </row>
    <row r="362" spans="1:25" ht="16" x14ac:dyDescent="0.15">
      <c r="A362" s="18"/>
      <c r="B362" s="20" t="s">
        <v>58</v>
      </c>
      <c r="C362" s="20" t="s">
        <v>134</v>
      </c>
      <c r="D362" s="20" t="s">
        <v>61</v>
      </c>
      <c r="E362" s="20" t="s">
        <v>166</v>
      </c>
      <c r="F362" s="20" t="s">
        <v>65</v>
      </c>
      <c r="G362" s="20">
        <v>1500</v>
      </c>
      <c r="H362" s="20" t="s">
        <v>131</v>
      </c>
      <c r="I362" s="20" t="str">
        <f t="shared" si="14"/>
        <v>WSTK-LNR-S-PB-1500-X</v>
      </c>
      <c r="J362" s="20" t="s">
        <v>86</v>
      </c>
      <c r="K362" s="20" t="s">
        <v>133</v>
      </c>
      <c r="L362" s="20" t="s">
        <v>95</v>
      </c>
      <c r="M362" s="20" t="s">
        <v>167</v>
      </c>
      <c r="N362" s="20">
        <v>1500</v>
      </c>
      <c r="O362" s="20" t="s">
        <v>11</v>
      </c>
      <c r="P362" s="20" t="s">
        <v>55</v>
      </c>
      <c r="Q362" s="33"/>
      <c r="R362" s="33"/>
      <c r="S362" s="33"/>
      <c r="T362" s="33">
        <f t="shared" ca="1" si="15"/>
        <v>80800</v>
      </c>
      <c r="U362" s="38">
        <f t="shared" ca="1" si="9"/>
        <v>72720</v>
      </c>
      <c r="V362" s="38">
        <f t="shared" ca="1" si="10"/>
        <v>68680</v>
      </c>
      <c r="W362" s="38">
        <f t="shared" ca="1" si="11"/>
        <v>64640</v>
      </c>
      <c r="X362" s="38">
        <f t="shared" ca="1" si="12"/>
        <v>56560</v>
      </c>
      <c r="Y362" s="18"/>
    </row>
    <row r="363" spans="1:25" ht="16" x14ac:dyDescent="0.15">
      <c r="A363" s="18"/>
      <c r="B363" s="20" t="s">
        <v>58</v>
      </c>
      <c r="C363" s="20" t="s">
        <v>134</v>
      </c>
      <c r="D363" s="20" t="s">
        <v>61</v>
      </c>
      <c r="E363" s="20" t="s">
        <v>166</v>
      </c>
      <c r="F363" s="20" t="s">
        <v>112</v>
      </c>
      <c r="G363" s="20">
        <v>1500</v>
      </c>
      <c r="H363" s="20" t="s">
        <v>66</v>
      </c>
      <c r="I363" s="20" t="str">
        <f t="shared" si="14"/>
        <v>WSTK-LNR-S-PLM-1500-F</v>
      </c>
      <c r="J363" s="20" t="s">
        <v>86</v>
      </c>
      <c r="K363" s="20" t="s">
        <v>133</v>
      </c>
      <c r="L363" s="20" t="s">
        <v>95</v>
      </c>
      <c r="M363" s="20" t="s">
        <v>167</v>
      </c>
      <c r="N363" s="20">
        <v>1500</v>
      </c>
      <c r="O363" s="20" t="s">
        <v>31</v>
      </c>
      <c r="P363" s="20" t="s">
        <v>23</v>
      </c>
      <c r="Q363" s="33"/>
      <c r="R363" s="33"/>
      <c r="S363" s="33"/>
      <c r="T363" s="33">
        <f t="shared" ca="1" si="15"/>
        <v>74200</v>
      </c>
      <c r="U363" s="38">
        <f t="shared" ca="1" si="9"/>
        <v>66780</v>
      </c>
      <c r="V363" s="38">
        <f t="shared" ca="1" si="10"/>
        <v>63070</v>
      </c>
      <c r="W363" s="38">
        <f t="shared" ca="1" si="11"/>
        <v>59360</v>
      </c>
      <c r="X363" s="38">
        <f t="shared" ca="1" si="12"/>
        <v>51940</v>
      </c>
      <c r="Y363" s="18"/>
    </row>
    <row r="364" spans="1:25" ht="16" x14ac:dyDescent="0.15">
      <c r="A364" s="18"/>
      <c r="B364" s="20" t="s">
        <v>58</v>
      </c>
      <c r="C364" s="20" t="s">
        <v>134</v>
      </c>
      <c r="D364" s="20" t="s">
        <v>61</v>
      </c>
      <c r="E364" s="20" t="s">
        <v>166</v>
      </c>
      <c r="F364" s="20" t="s">
        <v>112</v>
      </c>
      <c r="G364" s="20">
        <v>1500</v>
      </c>
      <c r="H364" s="20" t="s">
        <v>116</v>
      </c>
      <c r="I364" s="20" t="str">
        <f t="shared" si="14"/>
        <v>WSTK-LNR-S-PLM-1500-G</v>
      </c>
      <c r="J364" s="20" t="s">
        <v>86</v>
      </c>
      <c r="K364" s="20" t="s">
        <v>133</v>
      </c>
      <c r="L364" s="20" t="s">
        <v>95</v>
      </c>
      <c r="M364" s="20" t="s">
        <v>167</v>
      </c>
      <c r="N364" s="20">
        <v>1500</v>
      </c>
      <c r="O364" s="20" t="s">
        <v>31</v>
      </c>
      <c r="P364" s="20" t="s">
        <v>42</v>
      </c>
      <c r="Q364" s="33"/>
      <c r="R364" s="33"/>
      <c r="S364" s="33"/>
      <c r="T364" s="33">
        <f t="shared" ca="1" si="15"/>
        <v>32000</v>
      </c>
      <c r="U364" s="38">
        <f t="shared" ca="1" si="9"/>
        <v>28800</v>
      </c>
      <c r="V364" s="38">
        <f t="shared" ca="1" si="10"/>
        <v>27200</v>
      </c>
      <c r="W364" s="38">
        <f t="shared" ca="1" si="11"/>
        <v>25600</v>
      </c>
      <c r="X364" s="38">
        <f t="shared" ca="1" si="12"/>
        <v>22400</v>
      </c>
      <c r="Y364" s="18"/>
    </row>
    <row r="365" spans="1:25" ht="16" x14ac:dyDescent="0.15">
      <c r="A365" s="18"/>
      <c r="B365" s="20" t="s">
        <v>58</v>
      </c>
      <c r="C365" s="20" t="s">
        <v>134</v>
      </c>
      <c r="D365" s="20" t="s">
        <v>61</v>
      </c>
      <c r="E365" s="20" t="s">
        <v>166</v>
      </c>
      <c r="F365" s="20" t="s">
        <v>112</v>
      </c>
      <c r="G365" s="20">
        <v>1500</v>
      </c>
      <c r="H365" s="20" t="s">
        <v>131</v>
      </c>
      <c r="I365" s="20" t="str">
        <f t="shared" si="14"/>
        <v>WSTK-LNR-S-PLM-1500-X</v>
      </c>
      <c r="J365" s="20" t="s">
        <v>86</v>
      </c>
      <c r="K365" s="20" t="s">
        <v>133</v>
      </c>
      <c r="L365" s="20" t="s">
        <v>95</v>
      </c>
      <c r="M365" s="20" t="s">
        <v>167</v>
      </c>
      <c r="N365" s="20">
        <v>1500</v>
      </c>
      <c r="O365" s="20" t="s">
        <v>31</v>
      </c>
      <c r="P365" s="20" t="s">
        <v>55</v>
      </c>
      <c r="Q365" s="33"/>
      <c r="R365" s="33"/>
      <c r="S365" s="33"/>
      <c r="T365" s="33">
        <f t="shared" ca="1" si="15"/>
        <v>32400</v>
      </c>
      <c r="U365" s="38">
        <f t="shared" ca="1" si="9"/>
        <v>29160</v>
      </c>
      <c r="V365" s="38">
        <f t="shared" ca="1" si="10"/>
        <v>27540</v>
      </c>
      <c r="W365" s="38">
        <f t="shared" ca="1" si="11"/>
        <v>25920</v>
      </c>
      <c r="X365" s="38">
        <f t="shared" ca="1" si="12"/>
        <v>22680</v>
      </c>
      <c r="Y365" s="18"/>
    </row>
    <row r="366" spans="1:25" ht="16" x14ac:dyDescent="0.15">
      <c r="A366" s="18"/>
      <c r="B366" s="20" t="s">
        <v>58</v>
      </c>
      <c r="C366" s="20" t="s">
        <v>134</v>
      </c>
      <c r="D366" s="20" t="s">
        <v>61</v>
      </c>
      <c r="E366" s="20" t="s">
        <v>166</v>
      </c>
      <c r="F366" s="20" t="s">
        <v>114</v>
      </c>
      <c r="G366" s="20">
        <v>1500</v>
      </c>
      <c r="H366" s="20" t="s">
        <v>66</v>
      </c>
      <c r="I366" s="20" t="str">
        <f t="shared" si="14"/>
        <v>WSTK-LNR-S-PoLM-1500-F</v>
      </c>
      <c r="J366" s="20" t="s">
        <v>86</v>
      </c>
      <c r="K366" s="20" t="s">
        <v>133</v>
      </c>
      <c r="L366" s="20" t="s">
        <v>95</v>
      </c>
      <c r="M366" s="20" t="s">
        <v>167</v>
      </c>
      <c r="N366" s="20">
        <v>1500</v>
      </c>
      <c r="O366" s="20" t="s">
        <v>47</v>
      </c>
      <c r="P366" s="20" t="s">
        <v>23</v>
      </c>
      <c r="Q366" s="33"/>
      <c r="R366" s="33"/>
      <c r="S366" s="33"/>
      <c r="T366" s="33">
        <f t="shared" ca="1" si="15"/>
        <v>29100</v>
      </c>
      <c r="U366" s="38">
        <f t="shared" ca="1" si="9"/>
        <v>26190</v>
      </c>
      <c r="V366" s="38">
        <f t="shared" ca="1" si="10"/>
        <v>24735</v>
      </c>
      <c r="W366" s="38">
        <f t="shared" ca="1" si="11"/>
        <v>23280</v>
      </c>
      <c r="X366" s="38">
        <f t="shared" ca="1" si="12"/>
        <v>20370</v>
      </c>
      <c r="Y366" s="18"/>
    </row>
    <row r="367" spans="1:25" ht="16" x14ac:dyDescent="0.15">
      <c r="A367" s="18"/>
      <c r="B367" s="20" t="s">
        <v>58</v>
      </c>
      <c r="C367" s="20" t="s">
        <v>134</v>
      </c>
      <c r="D367" s="20" t="s">
        <v>61</v>
      </c>
      <c r="E367" s="20" t="s">
        <v>166</v>
      </c>
      <c r="F367" s="20" t="s">
        <v>114</v>
      </c>
      <c r="G367" s="20">
        <v>1500</v>
      </c>
      <c r="H367" s="20" t="s">
        <v>116</v>
      </c>
      <c r="I367" s="20" t="str">
        <f t="shared" si="14"/>
        <v>WSTK-LNR-S-PoLM-1500-G</v>
      </c>
      <c r="J367" s="20" t="s">
        <v>86</v>
      </c>
      <c r="K367" s="20" t="s">
        <v>133</v>
      </c>
      <c r="L367" s="20" t="s">
        <v>95</v>
      </c>
      <c r="M367" s="20" t="s">
        <v>167</v>
      </c>
      <c r="N367" s="20">
        <v>1500</v>
      </c>
      <c r="O367" s="20" t="s">
        <v>47</v>
      </c>
      <c r="P367" s="20" t="s">
        <v>42</v>
      </c>
      <c r="Q367" s="33"/>
      <c r="R367" s="33"/>
      <c r="S367" s="33"/>
      <c r="T367" s="33">
        <f t="shared" ca="1" si="15"/>
        <v>33400</v>
      </c>
      <c r="U367" s="38">
        <f t="shared" ca="1" si="9"/>
        <v>30060</v>
      </c>
      <c r="V367" s="38">
        <f t="shared" ca="1" si="10"/>
        <v>28390</v>
      </c>
      <c r="W367" s="38">
        <f t="shared" ca="1" si="11"/>
        <v>26720</v>
      </c>
      <c r="X367" s="38">
        <f t="shared" ca="1" si="12"/>
        <v>23380</v>
      </c>
      <c r="Y367" s="18"/>
    </row>
    <row r="368" spans="1:25" ht="16" x14ac:dyDescent="0.15">
      <c r="A368" s="18"/>
      <c r="B368" s="20" t="s">
        <v>58</v>
      </c>
      <c r="C368" s="20" t="s">
        <v>134</v>
      </c>
      <c r="D368" s="20" t="s">
        <v>61</v>
      </c>
      <c r="E368" s="20" t="s">
        <v>166</v>
      </c>
      <c r="F368" s="20" t="s">
        <v>114</v>
      </c>
      <c r="G368" s="20">
        <v>1500</v>
      </c>
      <c r="H368" s="20" t="s">
        <v>131</v>
      </c>
      <c r="I368" s="20" t="str">
        <f t="shared" si="14"/>
        <v>WSTK-LNR-S-PoLM-1500-X</v>
      </c>
      <c r="J368" s="20" t="s">
        <v>86</v>
      </c>
      <c r="K368" s="20" t="s">
        <v>133</v>
      </c>
      <c r="L368" s="20" t="s">
        <v>95</v>
      </c>
      <c r="M368" s="20" t="s">
        <v>167</v>
      </c>
      <c r="N368" s="20">
        <v>1500</v>
      </c>
      <c r="O368" s="20" t="s">
        <v>47</v>
      </c>
      <c r="P368" s="20" t="s">
        <v>55</v>
      </c>
      <c r="Q368" s="33"/>
      <c r="R368" s="33"/>
      <c r="S368" s="33"/>
      <c r="T368" s="33">
        <f t="shared" ca="1" si="15"/>
        <v>33800</v>
      </c>
      <c r="U368" s="38">
        <f t="shared" ca="1" si="9"/>
        <v>30420</v>
      </c>
      <c r="V368" s="38">
        <f t="shared" ca="1" si="10"/>
        <v>28730</v>
      </c>
      <c r="W368" s="38">
        <f t="shared" ca="1" si="11"/>
        <v>27040</v>
      </c>
      <c r="X368" s="38">
        <f t="shared" ca="1" si="12"/>
        <v>23660</v>
      </c>
      <c r="Y368" s="18"/>
    </row>
    <row r="369" spans="1:25" ht="16" x14ac:dyDescent="0.15">
      <c r="A369" s="18"/>
      <c r="B369" s="20" t="s">
        <v>58</v>
      </c>
      <c r="C369" s="20" t="s">
        <v>134</v>
      </c>
      <c r="D369" s="20" t="s">
        <v>61</v>
      </c>
      <c r="E369" s="20" t="s">
        <v>166</v>
      </c>
      <c r="F369" s="20" t="s">
        <v>117</v>
      </c>
      <c r="G369" s="20">
        <v>1500</v>
      </c>
      <c r="H369" s="20" t="s">
        <v>66</v>
      </c>
      <c r="I369" s="20" t="str">
        <f t="shared" si="14"/>
        <v>WSTK-LNR-S-LVM-1500-F</v>
      </c>
      <c r="J369" s="20" t="s">
        <v>86</v>
      </c>
      <c r="K369" s="20" t="s">
        <v>133</v>
      </c>
      <c r="L369" s="20" t="s">
        <v>95</v>
      </c>
      <c r="M369" s="20" t="s">
        <v>167</v>
      </c>
      <c r="N369" s="20">
        <v>1500</v>
      </c>
      <c r="O369" s="20" t="s">
        <v>157</v>
      </c>
      <c r="P369" s="20" t="s">
        <v>23</v>
      </c>
      <c r="Q369" s="33"/>
      <c r="R369" s="33"/>
      <c r="S369" s="33"/>
      <c r="T369" s="33">
        <f t="shared" ca="1" si="15"/>
        <v>30500</v>
      </c>
      <c r="U369" s="38">
        <f t="shared" ca="1" si="9"/>
        <v>27450</v>
      </c>
      <c r="V369" s="38">
        <f t="shared" ca="1" si="10"/>
        <v>25925</v>
      </c>
      <c r="W369" s="38">
        <f t="shared" ca="1" si="11"/>
        <v>24400</v>
      </c>
      <c r="X369" s="38">
        <f t="shared" ca="1" si="12"/>
        <v>21350</v>
      </c>
      <c r="Y369" s="18"/>
    </row>
    <row r="370" spans="1:25" ht="16" x14ac:dyDescent="0.15">
      <c r="A370" s="18"/>
      <c r="B370" s="20" t="s">
        <v>58</v>
      </c>
      <c r="C370" s="20" t="s">
        <v>134</v>
      </c>
      <c r="D370" s="20" t="s">
        <v>61</v>
      </c>
      <c r="E370" s="20" t="s">
        <v>166</v>
      </c>
      <c r="F370" s="20" t="s">
        <v>117</v>
      </c>
      <c r="G370" s="20">
        <v>1500</v>
      </c>
      <c r="H370" s="20" t="s">
        <v>116</v>
      </c>
      <c r="I370" s="20" t="str">
        <f t="shared" si="14"/>
        <v>WSTK-LNR-S-LVM-1500-G</v>
      </c>
      <c r="J370" s="20" t="s">
        <v>86</v>
      </c>
      <c r="K370" s="20" t="s">
        <v>133</v>
      </c>
      <c r="L370" s="20" t="s">
        <v>95</v>
      </c>
      <c r="M370" s="20" t="s">
        <v>167</v>
      </c>
      <c r="N370" s="20">
        <v>1500</v>
      </c>
      <c r="O370" s="20" t="s">
        <v>157</v>
      </c>
      <c r="P370" s="20" t="s">
        <v>42</v>
      </c>
      <c r="Q370" s="33"/>
      <c r="R370" s="33"/>
      <c r="S370" s="33"/>
      <c r="T370" s="33">
        <f t="shared" ca="1" si="15"/>
        <v>28000</v>
      </c>
      <c r="U370" s="38">
        <f t="shared" ca="1" si="9"/>
        <v>25200</v>
      </c>
      <c r="V370" s="38">
        <f t="shared" ca="1" si="10"/>
        <v>23800</v>
      </c>
      <c r="W370" s="38">
        <f t="shared" ca="1" si="11"/>
        <v>22400</v>
      </c>
      <c r="X370" s="38">
        <f t="shared" ca="1" si="12"/>
        <v>19600</v>
      </c>
      <c r="Y370" s="18"/>
    </row>
    <row r="371" spans="1:25" ht="16" x14ac:dyDescent="0.15">
      <c r="A371" s="18"/>
      <c r="B371" s="20" t="s">
        <v>58</v>
      </c>
      <c r="C371" s="20" t="s">
        <v>134</v>
      </c>
      <c r="D371" s="20" t="s">
        <v>61</v>
      </c>
      <c r="E371" s="20" t="s">
        <v>166</v>
      </c>
      <c r="F371" s="20" t="s">
        <v>117</v>
      </c>
      <c r="G371" s="20">
        <v>1500</v>
      </c>
      <c r="H371" s="20" t="s">
        <v>131</v>
      </c>
      <c r="I371" s="20" t="str">
        <f t="shared" si="14"/>
        <v>WSTK-LNR-S-LVM-1500-X</v>
      </c>
      <c r="J371" s="20" t="s">
        <v>86</v>
      </c>
      <c r="K371" s="20" t="s">
        <v>133</v>
      </c>
      <c r="L371" s="20" t="s">
        <v>95</v>
      </c>
      <c r="M371" s="20" t="s">
        <v>167</v>
      </c>
      <c r="N371" s="20">
        <v>1500</v>
      </c>
      <c r="O371" s="20" t="s">
        <v>157</v>
      </c>
      <c r="P371" s="20" t="s">
        <v>55</v>
      </c>
      <c r="Q371" s="33"/>
      <c r="R371" s="33"/>
      <c r="S371" s="33"/>
      <c r="T371" s="33">
        <f t="shared" ca="1" si="15"/>
        <v>28400</v>
      </c>
      <c r="U371" s="38">
        <f t="shared" ca="1" si="9"/>
        <v>25560</v>
      </c>
      <c r="V371" s="38">
        <f t="shared" ca="1" si="10"/>
        <v>24140</v>
      </c>
      <c r="W371" s="38">
        <f t="shared" ca="1" si="11"/>
        <v>22720</v>
      </c>
      <c r="X371" s="38">
        <f t="shared" ca="1" si="12"/>
        <v>19880</v>
      </c>
      <c r="Y371" s="18"/>
    </row>
    <row r="372" spans="1:25" ht="16" x14ac:dyDescent="0.15">
      <c r="A372" s="18"/>
      <c r="B372" s="20" t="s">
        <v>58</v>
      </c>
      <c r="C372" s="20" t="s">
        <v>134</v>
      </c>
      <c r="D372" s="20" t="s">
        <v>61</v>
      </c>
      <c r="E372" s="20" t="s">
        <v>166</v>
      </c>
      <c r="F372" s="20" t="s">
        <v>119</v>
      </c>
      <c r="G372" s="20">
        <v>1500</v>
      </c>
      <c r="H372" s="20" t="s">
        <v>66</v>
      </c>
      <c r="I372" s="20" t="str">
        <f t="shared" si="14"/>
        <v>WSTK-LNR-S-LVP-1500-F</v>
      </c>
      <c r="J372" s="20" t="s">
        <v>86</v>
      </c>
      <c r="K372" s="20" t="s">
        <v>133</v>
      </c>
      <c r="L372" s="20" t="s">
        <v>95</v>
      </c>
      <c r="M372" s="20" t="s">
        <v>167</v>
      </c>
      <c r="N372" s="20">
        <v>1500</v>
      </c>
      <c r="O372" s="20" t="s">
        <v>158</v>
      </c>
      <c r="P372" s="20" t="s">
        <v>23</v>
      </c>
      <c r="Q372" s="33"/>
      <c r="R372" s="33"/>
      <c r="S372" s="33"/>
      <c r="T372" s="33">
        <f t="shared" ca="1" si="15"/>
        <v>38600</v>
      </c>
      <c r="U372" s="38">
        <f t="shared" ca="1" si="9"/>
        <v>34740</v>
      </c>
      <c r="V372" s="38">
        <f t="shared" ca="1" si="10"/>
        <v>32810</v>
      </c>
      <c r="W372" s="38">
        <f t="shared" ca="1" si="11"/>
        <v>30880</v>
      </c>
      <c r="X372" s="38">
        <f t="shared" ca="1" si="12"/>
        <v>27020</v>
      </c>
      <c r="Y372" s="18"/>
    </row>
    <row r="373" spans="1:25" ht="16" x14ac:dyDescent="0.15">
      <c r="A373" s="18"/>
      <c r="B373" s="20" t="s">
        <v>58</v>
      </c>
      <c r="C373" s="20" t="s">
        <v>134</v>
      </c>
      <c r="D373" s="20" t="s">
        <v>61</v>
      </c>
      <c r="E373" s="20" t="s">
        <v>166</v>
      </c>
      <c r="F373" s="20" t="s">
        <v>119</v>
      </c>
      <c r="G373" s="20">
        <v>1500</v>
      </c>
      <c r="H373" s="20" t="s">
        <v>116</v>
      </c>
      <c r="I373" s="20" t="str">
        <f t="shared" si="14"/>
        <v>WSTK-LNR-S-LVP-1500-G</v>
      </c>
      <c r="J373" s="20" t="s">
        <v>86</v>
      </c>
      <c r="K373" s="20" t="s">
        <v>133</v>
      </c>
      <c r="L373" s="20" t="s">
        <v>95</v>
      </c>
      <c r="M373" s="20" t="s">
        <v>167</v>
      </c>
      <c r="N373" s="20">
        <v>1500</v>
      </c>
      <c r="O373" s="20" t="s">
        <v>158</v>
      </c>
      <c r="P373" s="20" t="s">
        <v>42</v>
      </c>
      <c r="Q373" s="33"/>
      <c r="R373" s="33"/>
      <c r="S373" s="33"/>
      <c r="T373" s="33">
        <f t="shared" ca="1" si="15"/>
        <v>45100</v>
      </c>
      <c r="U373" s="38">
        <f t="shared" ca="1" si="9"/>
        <v>40590</v>
      </c>
      <c r="V373" s="38">
        <f t="shared" ca="1" si="10"/>
        <v>38335</v>
      </c>
      <c r="W373" s="38">
        <f t="shared" ca="1" si="11"/>
        <v>36080</v>
      </c>
      <c r="X373" s="38">
        <f t="shared" ca="1" si="12"/>
        <v>31569.999999999996</v>
      </c>
      <c r="Y373" s="18"/>
    </row>
    <row r="374" spans="1:25" ht="16" x14ac:dyDescent="0.15">
      <c r="A374" s="18"/>
      <c r="B374" s="20" t="s">
        <v>58</v>
      </c>
      <c r="C374" s="20" t="s">
        <v>134</v>
      </c>
      <c r="D374" s="20" t="s">
        <v>61</v>
      </c>
      <c r="E374" s="20" t="s">
        <v>166</v>
      </c>
      <c r="F374" s="20" t="s">
        <v>119</v>
      </c>
      <c r="G374" s="20">
        <v>1500</v>
      </c>
      <c r="H374" s="20" t="s">
        <v>131</v>
      </c>
      <c r="I374" s="20" t="str">
        <f t="shared" si="14"/>
        <v>WSTK-LNR-S-LVP-1500-X</v>
      </c>
      <c r="J374" s="20" t="s">
        <v>86</v>
      </c>
      <c r="K374" s="20" t="s">
        <v>133</v>
      </c>
      <c r="L374" s="20" t="s">
        <v>95</v>
      </c>
      <c r="M374" s="20" t="s">
        <v>167</v>
      </c>
      <c r="N374" s="20">
        <v>1500</v>
      </c>
      <c r="O374" s="20" t="s">
        <v>158</v>
      </c>
      <c r="P374" s="20" t="s">
        <v>55</v>
      </c>
      <c r="Q374" s="33"/>
      <c r="R374" s="33"/>
      <c r="S374" s="33"/>
      <c r="T374" s="33">
        <f t="shared" ca="1" si="15"/>
        <v>45500</v>
      </c>
      <c r="U374" s="38">
        <f t="shared" ca="1" si="9"/>
        <v>40950</v>
      </c>
      <c r="V374" s="38">
        <f t="shared" ca="1" si="10"/>
        <v>38675</v>
      </c>
      <c r="W374" s="38">
        <f t="shared" ca="1" si="11"/>
        <v>36400</v>
      </c>
      <c r="X374" s="38">
        <f t="shared" ca="1" si="12"/>
        <v>31849.999999999996</v>
      </c>
      <c r="Y374" s="18"/>
    </row>
    <row r="375" spans="1:25" ht="16" x14ac:dyDescent="0.15">
      <c r="A375" s="18"/>
      <c r="B375" s="20" t="s">
        <v>58</v>
      </c>
      <c r="C375" s="20" t="s">
        <v>134</v>
      </c>
      <c r="D375" s="20" t="s">
        <v>61</v>
      </c>
      <c r="E375" s="20" t="s">
        <v>166</v>
      </c>
      <c r="F375" s="20" t="s">
        <v>125</v>
      </c>
      <c r="G375" s="20">
        <v>1500</v>
      </c>
      <c r="H375" s="20" t="s">
        <v>66</v>
      </c>
      <c r="I375" s="20" t="str">
        <f t="shared" si="14"/>
        <v>WSTK-LNR-S-MB-1500-F</v>
      </c>
      <c r="J375" s="20" t="s">
        <v>86</v>
      </c>
      <c r="K375" s="20" t="s">
        <v>133</v>
      </c>
      <c r="L375" s="20" t="s">
        <v>95</v>
      </c>
      <c r="M375" s="20" t="s">
        <v>167</v>
      </c>
      <c r="N375" s="20">
        <v>1500</v>
      </c>
      <c r="O375" s="20" t="s">
        <v>97</v>
      </c>
      <c r="P375" s="20" t="s">
        <v>23</v>
      </c>
      <c r="Q375" s="33"/>
      <c r="R375" s="33"/>
      <c r="S375" s="33"/>
      <c r="T375" s="33">
        <f t="shared" ca="1" si="15"/>
        <v>42200</v>
      </c>
      <c r="U375" s="38">
        <f t="shared" ca="1" si="9"/>
        <v>37980</v>
      </c>
      <c r="V375" s="38">
        <f t="shared" ca="1" si="10"/>
        <v>35870</v>
      </c>
      <c r="W375" s="38">
        <f t="shared" ca="1" si="11"/>
        <v>33760</v>
      </c>
      <c r="X375" s="38">
        <f t="shared" ca="1" si="12"/>
        <v>29539.999999999996</v>
      </c>
      <c r="Y375" s="18"/>
    </row>
    <row r="376" spans="1:25" ht="16" x14ac:dyDescent="0.15">
      <c r="A376" s="18"/>
      <c r="B376" s="20" t="s">
        <v>58</v>
      </c>
      <c r="C376" s="20" t="s">
        <v>134</v>
      </c>
      <c r="D376" s="20" t="s">
        <v>61</v>
      </c>
      <c r="E376" s="20" t="s">
        <v>166</v>
      </c>
      <c r="F376" s="20" t="s">
        <v>125</v>
      </c>
      <c r="G376" s="20">
        <v>1500</v>
      </c>
      <c r="H376" s="20" t="s">
        <v>116</v>
      </c>
      <c r="I376" s="20" t="str">
        <f t="shared" si="14"/>
        <v>WSTK-LNR-S-MB-1500-G</v>
      </c>
      <c r="J376" s="20" t="s">
        <v>86</v>
      </c>
      <c r="K376" s="20" t="s">
        <v>133</v>
      </c>
      <c r="L376" s="20" t="s">
        <v>95</v>
      </c>
      <c r="M376" s="20" t="s">
        <v>167</v>
      </c>
      <c r="N376" s="20">
        <v>1500</v>
      </c>
      <c r="O376" s="20" t="s">
        <v>97</v>
      </c>
      <c r="P376" s="20" t="s">
        <v>42</v>
      </c>
      <c r="Q376" s="33"/>
      <c r="R376" s="33"/>
      <c r="S376" s="33"/>
      <c r="T376" s="33">
        <f t="shared" ca="1" si="15"/>
        <v>46900</v>
      </c>
      <c r="U376" s="38">
        <f t="shared" ca="1" si="9"/>
        <v>42210</v>
      </c>
      <c r="V376" s="38">
        <f t="shared" ca="1" si="10"/>
        <v>39865</v>
      </c>
      <c r="W376" s="38">
        <f t="shared" ca="1" si="11"/>
        <v>37520</v>
      </c>
      <c r="X376" s="38">
        <f t="shared" ca="1" si="12"/>
        <v>32830</v>
      </c>
      <c r="Y376" s="18"/>
    </row>
    <row r="377" spans="1:25" ht="16" x14ac:dyDescent="0.15">
      <c r="A377" s="18"/>
      <c r="B377" s="20" t="s">
        <v>58</v>
      </c>
      <c r="C377" s="20" t="s">
        <v>134</v>
      </c>
      <c r="D377" s="20" t="s">
        <v>61</v>
      </c>
      <c r="E377" s="20" t="s">
        <v>166</v>
      </c>
      <c r="F377" s="20" t="s">
        <v>125</v>
      </c>
      <c r="G377" s="20">
        <v>1500</v>
      </c>
      <c r="H377" s="20" t="s">
        <v>131</v>
      </c>
      <c r="I377" s="20" t="str">
        <f t="shared" si="14"/>
        <v>WSTK-LNR-S-MB-1500-X</v>
      </c>
      <c r="J377" s="20" t="s">
        <v>86</v>
      </c>
      <c r="K377" s="20" t="s">
        <v>133</v>
      </c>
      <c r="L377" s="20" t="s">
        <v>95</v>
      </c>
      <c r="M377" s="20" t="s">
        <v>167</v>
      </c>
      <c r="N377" s="20">
        <v>1500</v>
      </c>
      <c r="O377" s="20" t="s">
        <v>97</v>
      </c>
      <c r="P377" s="20" t="s">
        <v>55</v>
      </c>
      <c r="Q377" s="33"/>
      <c r="R377" s="33"/>
      <c r="S377" s="33"/>
      <c r="T377" s="33">
        <f t="shared" ca="1" si="15"/>
        <v>47300</v>
      </c>
      <c r="U377" s="38">
        <f t="shared" ca="1" si="9"/>
        <v>42570</v>
      </c>
      <c r="V377" s="38">
        <f t="shared" ca="1" si="10"/>
        <v>40205</v>
      </c>
      <c r="W377" s="38">
        <f t="shared" ca="1" si="11"/>
        <v>37840</v>
      </c>
      <c r="X377" s="38">
        <f t="shared" ca="1" si="12"/>
        <v>33110</v>
      </c>
      <c r="Y377" s="18"/>
    </row>
    <row r="378" spans="1:25" ht="16" x14ac:dyDescent="0.15">
      <c r="A378" s="18"/>
      <c r="B378" s="20" t="s">
        <v>58</v>
      </c>
      <c r="C378" s="20" t="s">
        <v>134</v>
      </c>
      <c r="D378" s="20" t="s">
        <v>171</v>
      </c>
      <c r="E378" s="20" t="s">
        <v>63</v>
      </c>
      <c r="F378" s="20" t="s">
        <v>65</v>
      </c>
      <c r="G378" s="20">
        <v>1500</v>
      </c>
      <c r="H378" s="20" t="s">
        <v>66</v>
      </c>
      <c r="I378" s="20" t="str">
        <f t="shared" si="14"/>
        <v>WSTK-LSHP-SH-PB-1500-F</v>
      </c>
      <c r="J378" s="20" t="s">
        <v>86</v>
      </c>
      <c r="K378" s="20" t="s">
        <v>133</v>
      </c>
      <c r="L378" s="20" t="s">
        <v>189</v>
      </c>
      <c r="M378" s="20" t="s">
        <v>96</v>
      </c>
      <c r="N378" s="20">
        <v>1500</v>
      </c>
      <c r="O378" s="20" t="s">
        <v>11</v>
      </c>
      <c r="P378" s="20" t="s">
        <v>23</v>
      </c>
      <c r="Q378" s="33"/>
      <c r="R378" s="33"/>
      <c r="S378" s="33"/>
      <c r="T378" s="33">
        <f t="shared" ca="1" si="15"/>
        <v>44000</v>
      </c>
      <c r="U378" s="38">
        <f t="shared" ca="1" si="9"/>
        <v>39600</v>
      </c>
      <c r="V378" s="38">
        <f t="shared" ca="1" si="10"/>
        <v>37400</v>
      </c>
      <c r="W378" s="38">
        <f t="shared" ca="1" si="11"/>
        <v>35200</v>
      </c>
      <c r="X378" s="38">
        <f t="shared" ca="1" si="12"/>
        <v>30799.999999999996</v>
      </c>
      <c r="Y378" s="18"/>
    </row>
    <row r="379" spans="1:25" ht="16" x14ac:dyDescent="0.15">
      <c r="A379" s="18"/>
      <c r="B379" s="20" t="s">
        <v>58</v>
      </c>
      <c r="C379" s="20" t="s">
        <v>134</v>
      </c>
      <c r="D379" s="20" t="s">
        <v>171</v>
      </c>
      <c r="E379" s="20" t="s">
        <v>63</v>
      </c>
      <c r="F379" s="20" t="s">
        <v>65</v>
      </c>
      <c r="G379" s="20">
        <v>1500</v>
      </c>
      <c r="H379" s="20" t="s">
        <v>116</v>
      </c>
      <c r="I379" s="20" t="str">
        <f t="shared" si="14"/>
        <v>WSTK-LSHP-SH-PB-1500-G</v>
      </c>
      <c r="J379" s="20" t="s">
        <v>86</v>
      </c>
      <c r="K379" s="20" t="s">
        <v>133</v>
      </c>
      <c r="L379" s="20" t="s">
        <v>189</v>
      </c>
      <c r="M379" s="20" t="s">
        <v>96</v>
      </c>
      <c r="N379" s="20">
        <v>1500</v>
      </c>
      <c r="O379" s="20" t="s">
        <v>11</v>
      </c>
      <c r="P379" s="20" t="s">
        <v>42</v>
      </c>
      <c r="Q379" s="33"/>
      <c r="R379" s="33"/>
      <c r="S379" s="33"/>
      <c r="T379" s="33">
        <f t="shared" ca="1" si="15"/>
        <v>57300</v>
      </c>
      <c r="U379" s="38">
        <f t="shared" ca="1" si="9"/>
        <v>51570</v>
      </c>
      <c r="V379" s="38">
        <f t="shared" ca="1" si="10"/>
        <v>48705</v>
      </c>
      <c r="W379" s="38">
        <f t="shared" ca="1" si="11"/>
        <v>45840</v>
      </c>
      <c r="X379" s="38">
        <f t="shared" ca="1" si="12"/>
        <v>40110</v>
      </c>
      <c r="Y379" s="18"/>
    </row>
    <row r="380" spans="1:25" ht="16" x14ac:dyDescent="0.15">
      <c r="A380" s="18"/>
      <c r="B380" s="20" t="s">
        <v>58</v>
      </c>
      <c r="C380" s="20" t="s">
        <v>134</v>
      </c>
      <c r="D380" s="20" t="s">
        <v>171</v>
      </c>
      <c r="E380" s="20" t="s">
        <v>63</v>
      </c>
      <c r="F380" s="20" t="s">
        <v>65</v>
      </c>
      <c r="G380" s="20">
        <v>1500</v>
      </c>
      <c r="H380" s="20" t="s">
        <v>131</v>
      </c>
      <c r="I380" s="20" t="str">
        <f t="shared" si="14"/>
        <v>WSTK-LSHP-SH-PB-1500-X</v>
      </c>
      <c r="J380" s="20" t="s">
        <v>86</v>
      </c>
      <c r="K380" s="20" t="s">
        <v>133</v>
      </c>
      <c r="L380" s="20" t="s">
        <v>189</v>
      </c>
      <c r="M380" s="20" t="s">
        <v>96</v>
      </c>
      <c r="N380" s="20">
        <v>1500</v>
      </c>
      <c r="O380" s="20" t="s">
        <v>11</v>
      </c>
      <c r="P380" s="20" t="s">
        <v>55</v>
      </c>
      <c r="Q380" s="33"/>
      <c r="R380" s="33"/>
      <c r="S380" s="33"/>
      <c r="T380" s="33">
        <f t="shared" ca="1" si="15"/>
        <v>57700</v>
      </c>
      <c r="U380" s="38">
        <f t="shared" ca="1" si="9"/>
        <v>51930</v>
      </c>
      <c r="V380" s="38">
        <f t="shared" ca="1" si="10"/>
        <v>49045</v>
      </c>
      <c r="W380" s="38">
        <f t="shared" ca="1" si="11"/>
        <v>46160</v>
      </c>
      <c r="X380" s="38">
        <f t="shared" ca="1" si="12"/>
        <v>40390</v>
      </c>
      <c r="Y380" s="18"/>
    </row>
    <row r="381" spans="1:25" ht="16" x14ac:dyDescent="0.15">
      <c r="A381" s="18"/>
      <c r="B381" s="20" t="s">
        <v>58</v>
      </c>
      <c r="C381" s="20" t="s">
        <v>134</v>
      </c>
      <c r="D381" s="20" t="s">
        <v>171</v>
      </c>
      <c r="E381" s="20" t="s">
        <v>63</v>
      </c>
      <c r="F381" s="20" t="s">
        <v>112</v>
      </c>
      <c r="G381" s="20">
        <v>1500</v>
      </c>
      <c r="H381" s="20" t="s">
        <v>66</v>
      </c>
      <c r="I381" s="20" t="str">
        <f t="shared" si="14"/>
        <v>WSTK-LSHP-SH-PLM-1500-F</v>
      </c>
      <c r="J381" s="20" t="s">
        <v>86</v>
      </c>
      <c r="K381" s="20" t="s">
        <v>133</v>
      </c>
      <c r="L381" s="20" t="s">
        <v>189</v>
      </c>
      <c r="M381" s="20" t="s">
        <v>96</v>
      </c>
      <c r="N381" s="20">
        <v>1500</v>
      </c>
      <c r="O381" s="20" t="s">
        <v>31</v>
      </c>
      <c r="P381" s="20" t="s">
        <v>23</v>
      </c>
      <c r="Q381" s="33"/>
      <c r="R381" s="33"/>
      <c r="S381" s="33"/>
      <c r="T381" s="33">
        <f t="shared" ca="1" si="15"/>
        <v>54400</v>
      </c>
      <c r="U381" s="38">
        <f t="shared" ca="1" si="9"/>
        <v>48960</v>
      </c>
      <c r="V381" s="38">
        <f t="shared" ca="1" si="10"/>
        <v>46240</v>
      </c>
      <c r="W381" s="38">
        <f t="shared" ca="1" si="11"/>
        <v>43520</v>
      </c>
      <c r="X381" s="38">
        <f t="shared" ca="1" si="12"/>
        <v>38080</v>
      </c>
      <c r="Y381" s="18"/>
    </row>
    <row r="382" spans="1:25" ht="16" x14ac:dyDescent="0.15">
      <c r="A382" s="18"/>
      <c r="B382" s="20" t="s">
        <v>58</v>
      </c>
      <c r="C382" s="20" t="s">
        <v>134</v>
      </c>
      <c r="D382" s="20" t="s">
        <v>171</v>
      </c>
      <c r="E382" s="20" t="s">
        <v>63</v>
      </c>
      <c r="F382" s="20" t="s">
        <v>112</v>
      </c>
      <c r="G382" s="20">
        <v>1500</v>
      </c>
      <c r="H382" s="20" t="s">
        <v>116</v>
      </c>
      <c r="I382" s="20" t="str">
        <f t="shared" si="14"/>
        <v>WSTK-LSHP-SH-PLM-1500-G</v>
      </c>
      <c r="J382" s="20" t="s">
        <v>86</v>
      </c>
      <c r="K382" s="20" t="s">
        <v>133</v>
      </c>
      <c r="L382" s="20" t="s">
        <v>189</v>
      </c>
      <c r="M382" s="20" t="s">
        <v>96</v>
      </c>
      <c r="N382" s="20">
        <v>1500</v>
      </c>
      <c r="O382" s="20" t="s">
        <v>31</v>
      </c>
      <c r="P382" s="20" t="s">
        <v>42</v>
      </c>
      <c r="Q382" s="33"/>
      <c r="R382" s="33"/>
      <c r="S382" s="33"/>
      <c r="T382" s="33">
        <f t="shared" ca="1" si="15"/>
        <v>66000</v>
      </c>
      <c r="U382" s="38">
        <f t="shared" ca="1" si="9"/>
        <v>59400</v>
      </c>
      <c r="V382" s="38">
        <f t="shared" ca="1" si="10"/>
        <v>56100</v>
      </c>
      <c r="W382" s="38">
        <f t="shared" ca="1" si="11"/>
        <v>52800</v>
      </c>
      <c r="X382" s="38">
        <f t="shared" ca="1" si="12"/>
        <v>46200</v>
      </c>
      <c r="Y382" s="18"/>
    </row>
    <row r="383" spans="1:25" ht="16" x14ac:dyDescent="0.15">
      <c r="A383" s="18"/>
      <c r="B383" s="20" t="s">
        <v>58</v>
      </c>
      <c r="C383" s="20" t="s">
        <v>134</v>
      </c>
      <c r="D383" s="20" t="s">
        <v>171</v>
      </c>
      <c r="E383" s="20" t="s">
        <v>63</v>
      </c>
      <c r="F383" s="20" t="s">
        <v>112</v>
      </c>
      <c r="G383" s="20">
        <v>1500</v>
      </c>
      <c r="H383" s="20" t="s">
        <v>131</v>
      </c>
      <c r="I383" s="20" t="str">
        <f t="shared" si="14"/>
        <v>WSTK-LSHP-SH-PLM-1500-X</v>
      </c>
      <c r="J383" s="20" t="s">
        <v>86</v>
      </c>
      <c r="K383" s="20" t="s">
        <v>133</v>
      </c>
      <c r="L383" s="20" t="s">
        <v>189</v>
      </c>
      <c r="M383" s="20" t="s">
        <v>96</v>
      </c>
      <c r="N383" s="20">
        <v>1500</v>
      </c>
      <c r="O383" s="20" t="s">
        <v>31</v>
      </c>
      <c r="P383" s="20" t="s">
        <v>55</v>
      </c>
      <c r="Q383" s="33"/>
      <c r="R383" s="33"/>
      <c r="S383" s="33"/>
      <c r="T383" s="33">
        <f t="shared" ca="1" si="15"/>
        <v>66900</v>
      </c>
      <c r="U383" s="38">
        <f t="shared" ca="1" si="9"/>
        <v>60210</v>
      </c>
      <c r="V383" s="38">
        <f t="shared" ca="1" si="10"/>
        <v>56865</v>
      </c>
      <c r="W383" s="38">
        <f t="shared" ca="1" si="11"/>
        <v>53520</v>
      </c>
      <c r="X383" s="38">
        <f t="shared" ca="1" si="12"/>
        <v>46830</v>
      </c>
      <c r="Y383" s="18"/>
    </row>
    <row r="384" spans="1:25" ht="16" x14ac:dyDescent="0.15">
      <c r="A384" s="18"/>
      <c r="B384" s="20" t="s">
        <v>58</v>
      </c>
      <c r="C384" s="20" t="s">
        <v>134</v>
      </c>
      <c r="D384" s="20" t="s">
        <v>171</v>
      </c>
      <c r="E384" s="20" t="s">
        <v>63</v>
      </c>
      <c r="F384" s="20" t="s">
        <v>114</v>
      </c>
      <c r="G384" s="20">
        <v>1500</v>
      </c>
      <c r="H384" s="20" t="s">
        <v>66</v>
      </c>
      <c r="I384" s="20" t="str">
        <f t="shared" si="14"/>
        <v>WSTK-LSHP-SH-PoLM-1500-F</v>
      </c>
      <c r="J384" s="20" t="s">
        <v>86</v>
      </c>
      <c r="K384" s="20" t="s">
        <v>133</v>
      </c>
      <c r="L384" s="20" t="s">
        <v>189</v>
      </c>
      <c r="M384" s="20" t="s">
        <v>96</v>
      </c>
      <c r="N384" s="20">
        <v>1500</v>
      </c>
      <c r="O384" s="20" t="s">
        <v>47</v>
      </c>
      <c r="P384" s="20" t="s">
        <v>23</v>
      </c>
      <c r="Q384" s="33"/>
      <c r="R384" s="33"/>
      <c r="S384" s="33"/>
      <c r="T384" s="33">
        <f t="shared" ca="1" si="15"/>
        <v>60300</v>
      </c>
      <c r="U384" s="38">
        <f t="shared" ca="1" si="9"/>
        <v>54270</v>
      </c>
      <c r="V384" s="38">
        <f t="shared" ca="1" si="10"/>
        <v>51255</v>
      </c>
      <c r="W384" s="38">
        <f t="shared" ca="1" si="11"/>
        <v>48240</v>
      </c>
      <c r="X384" s="38">
        <f t="shared" ca="1" si="12"/>
        <v>42210</v>
      </c>
      <c r="Y384" s="18"/>
    </row>
    <row r="385" spans="1:25" ht="16" x14ac:dyDescent="0.15">
      <c r="A385" s="18"/>
      <c r="B385" s="20" t="s">
        <v>58</v>
      </c>
      <c r="C385" s="20" t="s">
        <v>134</v>
      </c>
      <c r="D385" s="20" t="s">
        <v>171</v>
      </c>
      <c r="E385" s="20" t="s">
        <v>63</v>
      </c>
      <c r="F385" s="20" t="s">
        <v>114</v>
      </c>
      <c r="G385" s="20">
        <v>1500</v>
      </c>
      <c r="H385" s="20" t="s">
        <v>116</v>
      </c>
      <c r="I385" s="20" t="str">
        <f t="shared" si="14"/>
        <v>WSTK-LSHP-SH-PoLM-1500-G</v>
      </c>
      <c r="J385" s="20" t="s">
        <v>86</v>
      </c>
      <c r="K385" s="20" t="s">
        <v>133</v>
      </c>
      <c r="L385" s="20" t="s">
        <v>189</v>
      </c>
      <c r="M385" s="20" t="s">
        <v>96</v>
      </c>
      <c r="N385" s="20">
        <v>1500</v>
      </c>
      <c r="O385" s="20" t="s">
        <v>47</v>
      </c>
      <c r="P385" s="20" t="s">
        <v>42</v>
      </c>
      <c r="Q385" s="33"/>
      <c r="R385" s="33"/>
      <c r="S385" s="33"/>
      <c r="T385" s="33">
        <f t="shared" ca="1" si="15"/>
        <v>68200</v>
      </c>
      <c r="U385" s="38">
        <f t="shared" ca="1" si="9"/>
        <v>61380</v>
      </c>
      <c r="V385" s="38">
        <f t="shared" ca="1" si="10"/>
        <v>57970</v>
      </c>
      <c r="W385" s="38">
        <f t="shared" ca="1" si="11"/>
        <v>54560</v>
      </c>
      <c r="X385" s="38">
        <f t="shared" ca="1" si="12"/>
        <v>47740</v>
      </c>
      <c r="Y385" s="18"/>
    </row>
    <row r="386" spans="1:25" ht="16" x14ac:dyDescent="0.15">
      <c r="A386" s="18"/>
      <c r="B386" s="20" t="s">
        <v>58</v>
      </c>
      <c r="C386" s="20" t="s">
        <v>134</v>
      </c>
      <c r="D386" s="20" t="s">
        <v>171</v>
      </c>
      <c r="E386" s="20" t="s">
        <v>63</v>
      </c>
      <c r="F386" s="20" t="s">
        <v>114</v>
      </c>
      <c r="G386" s="20">
        <v>1500</v>
      </c>
      <c r="H386" s="20" t="s">
        <v>131</v>
      </c>
      <c r="I386" s="20" t="str">
        <f t="shared" si="14"/>
        <v>WSTK-LSHP-SH-PoLM-1500-X</v>
      </c>
      <c r="J386" s="20" t="s">
        <v>86</v>
      </c>
      <c r="K386" s="20" t="s">
        <v>133</v>
      </c>
      <c r="L386" s="20" t="s">
        <v>189</v>
      </c>
      <c r="M386" s="20" t="s">
        <v>96</v>
      </c>
      <c r="N386" s="20">
        <v>1500</v>
      </c>
      <c r="O386" s="20" t="s">
        <v>47</v>
      </c>
      <c r="P386" s="20" t="s">
        <v>55</v>
      </c>
      <c r="Q386" s="33"/>
      <c r="R386" s="33"/>
      <c r="S386" s="33"/>
      <c r="T386" s="33">
        <f t="shared" ca="1" si="15"/>
        <v>69000</v>
      </c>
      <c r="U386" s="38">
        <f t="shared" ca="1" si="9"/>
        <v>62100</v>
      </c>
      <c r="V386" s="38">
        <f t="shared" ca="1" si="10"/>
        <v>58650</v>
      </c>
      <c r="W386" s="38">
        <f t="shared" ca="1" si="11"/>
        <v>55200</v>
      </c>
      <c r="X386" s="38">
        <f t="shared" ca="1" si="12"/>
        <v>48300</v>
      </c>
      <c r="Y386" s="18"/>
    </row>
    <row r="387" spans="1:25" ht="16" x14ac:dyDescent="0.15">
      <c r="A387" s="18"/>
      <c r="B387" s="20" t="s">
        <v>58</v>
      </c>
      <c r="C387" s="20" t="s">
        <v>134</v>
      </c>
      <c r="D387" s="20" t="s">
        <v>171</v>
      </c>
      <c r="E387" s="20" t="s">
        <v>63</v>
      </c>
      <c r="F387" s="20" t="s">
        <v>117</v>
      </c>
      <c r="G387" s="20">
        <v>1500</v>
      </c>
      <c r="H387" s="20" t="s">
        <v>66</v>
      </c>
      <c r="I387" s="20" t="str">
        <f t="shared" si="14"/>
        <v>WSTK-LSHP-SH-LVM-1500-F</v>
      </c>
      <c r="J387" s="20" t="s">
        <v>86</v>
      </c>
      <c r="K387" s="20" t="s">
        <v>133</v>
      </c>
      <c r="L387" s="20" t="s">
        <v>189</v>
      </c>
      <c r="M387" s="20" t="s">
        <v>96</v>
      </c>
      <c r="N387" s="20">
        <v>1500</v>
      </c>
      <c r="O387" s="20" t="s">
        <v>157</v>
      </c>
      <c r="P387" s="20" t="s">
        <v>23</v>
      </c>
      <c r="Q387" s="33"/>
      <c r="R387" s="33"/>
      <c r="S387" s="33"/>
      <c r="T387" s="33">
        <f t="shared" ca="1" si="15"/>
        <v>62400</v>
      </c>
      <c r="U387" s="38">
        <f t="shared" ca="1" si="9"/>
        <v>56160</v>
      </c>
      <c r="V387" s="38">
        <f t="shared" ca="1" si="10"/>
        <v>53040</v>
      </c>
      <c r="W387" s="38">
        <f t="shared" ca="1" si="11"/>
        <v>49920</v>
      </c>
      <c r="X387" s="38">
        <f t="shared" ca="1" si="12"/>
        <v>43680</v>
      </c>
      <c r="Y387" s="18"/>
    </row>
    <row r="388" spans="1:25" ht="16" x14ac:dyDescent="0.15">
      <c r="A388" s="18"/>
      <c r="B388" s="20" t="s">
        <v>58</v>
      </c>
      <c r="C388" s="20" t="s">
        <v>134</v>
      </c>
      <c r="D388" s="20" t="s">
        <v>171</v>
      </c>
      <c r="E388" s="20" t="s">
        <v>63</v>
      </c>
      <c r="F388" s="20" t="s">
        <v>117</v>
      </c>
      <c r="G388" s="20">
        <v>1500</v>
      </c>
      <c r="H388" s="20" t="s">
        <v>116</v>
      </c>
      <c r="I388" s="20" t="str">
        <f t="shared" si="14"/>
        <v>WSTK-LSHP-SH-LVM-1500-G</v>
      </c>
      <c r="J388" s="20" t="s">
        <v>86</v>
      </c>
      <c r="K388" s="20" t="s">
        <v>133</v>
      </c>
      <c r="L388" s="20" t="s">
        <v>189</v>
      </c>
      <c r="M388" s="20" t="s">
        <v>96</v>
      </c>
      <c r="N388" s="20">
        <v>1500</v>
      </c>
      <c r="O388" s="20" t="s">
        <v>157</v>
      </c>
      <c r="P388" s="20" t="s">
        <v>42</v>
      </c>
      <c r="Q388" s="33"/>
      <c r="R388" s="33"/>
      <c r="S388" s="33"/>
      <c r="T388" s="33">
        <f t="shared" ca="1" si="15"/>
        <v>60100</v>
      </c>
      <c r="U388" s="38">
        <f t="shared" ca="1" si="9"/>
        <v>54090</v>
      </c>
      <c r="V388" s="38">
        <f t="shared" ca="1" si="10"/>
        <v>51085</v>
      </c>
      <c r="W388" s="38">
        <f t="shared" ca="1" si="11"/>
        <v>48080</v>
      </c>
      <c r="X388" s="38">
        <f t="shared" ca="1" si="12"/>
        <v>42070</v>
      </c>
      <c r="Y388" s="18"/>
    </row>
    <row r="389" spans="1:25" ht="16" x14ac:dyDescent="0.15">
      <c r="A389" s="18"/>
      <c r="B389" s="20" t="s">
        <v>58</v>
      </c>
      <c r="C389" s="20" t="s">
        <v>134</v>
      </c>
      <c r="D389" s="20" t="s">
        <v>171</v>
      </c>
      <c r="E389" s="20" t="s">
        <v>63</v>
      </c>
      <c r="F389" s="20" t="s">
        <v>117</v>
      </c>
      <c r="G389" s="20">
        <v>1500</v>
      </c>
      <c r="H389" s="20" t="s">
        <v>131</v>
      </c>
      <c r="I389" s="20" t="str">
        <f t="shared" si="14"/>
        <v>WSTK-LSHP-SH-LVM-1500-X</v>
      </c>
      <c r="J389" s="20" t="s">
        <v>86</v>
      </c>
      <c r="K389" s="20" t="s">
        <v>133</v>
      </c>
      <c r="L389" s="20" t="s">
        <v>189</v>
      </c>
      <c r="M389" s="20" t="s">
        <v>96</v>
      </c>
      <c r="N389" s="20">
        <v>1500</v>
      </c>
      <c r="O389" s="20" t="s">
        <v>157</v>
      </c>
      <c r="P389" s="20" t="s">
        <v>55</v>
      </c>
      <c r="Q389" s="33"/>
      <c r="R389" s="33"/>
      <c r="S389" s="33"/>
      <c r="T389" s="33">
        <f t="shared" ca="1" si="15"/>
        <v>60900</v>
      </c>
      <c r="U389" s="38">
        <f t="shared" ca="1" si="9"/>
        <v>54810</v>
      </c>
      <c r="V389" s="38">
        <f t="shared" ca="1" si="10"/>
        <v>51765</v>
      </c>
      <c r="W389" s="38">
        <f t="shared" ca="1" si="11"/>
        <v>48720</v>
      </c>
      <c r="X389" s="38">
        <f t="shared" ca="1" si="12"/>
        <v>42630</v>
      </c>
      <c r="Y389" s="18"/>
    </row>
    <row r="390" spans="1:25" ht="16" x14ac:dyDescent="0.15">
      <c r="A390" s="18"/>
      <c r="B390" s="20" t="s">
        <v>58</v>
      </c>
      <c r="C390" s="20" t="s">
        <v>134</v>
      </c>
      <c r="D390" s="20" t="s">
        <v>171</v>
      </c>
      <c r="E390" s="20" t="s">
        <v>63</v>
      </c>
      <c r="F390" s="20" t="s">
        <v>119</v>
      </c>
      <c r="G390" s="20">
        <v>1500</v>
      </c>
      <c r="H390" s="20" t="s">
        <v>66</v>
      </c>
      <c r="I390" s="20" t="str">
        <f t="shared" si="14"/>
        <v>WSTK-LSHP-SH-LVP-1500-F</v>
      </c>
      <c r="J390" s="20" t="s">
        <v>86</v>
      </c>
      <c r="K390" s="20" t="s">
        <v>133</v>
      </c>
      <c r="L390" s="20" t="s">
        <v>189</v>
      </c>
      <c r="M390" s="20" t="s">
        <v>96</v>
      </c>
      <c r="N390" s="20">
        <v>1500</v>
      </c>
      <c r="O390" s="20" t="s">
        <v>158</v>
      </c>
      <c r="P390" s="20" t="s">
        <v>23</v>
      </c>
      <c r="Q390" s="33"/>
      <c r="R390" s="33"/>
      <c r="S390" s="33"/>
      <c r="T390" s="33">
        <f t="shared" ca="1" si="15"/>
        <v>54300</v>
      </c>
      <c r="U390" s="38">
        <f t="shared" ca="1" si="9"/>
        <v>48870</v>
      </c>
      <c r="V390" s="38">
        <f t="shared" ca="1" si="10"/>
        <v>46155</v>
      </c>
      <c r="W390" s="38">
        <f t="shared" ca="1" si="11"/>
        <v>43440</v>
      </c>
      <c r="X390" s="38">
        <f t="shared" ca="1" si="12"/>
        <v>38010</v>
      </c>
      <c r="Y390" s="18"/>
    </row>
    <row r="391" spans="1:25" ht="16" x14ac:dyDescent="0.15">
      <c r="A391" s="18"/>
      <c r="B391" s="20" t="s">
        <v>58</v>
      </c>
      <c r="C391" s="20" t="s">
        <v>134</v>
      </c>
      <c r="D391" s="20" t="s">
        <v>171</v>
      </c>
      <c r="E391" s="20" t="s">
        <v>63</v>
      </c>
      <c r="F391" s="20" t="s">
        <v>119</v>
      </c>
      <c r="G391" s="20">
        <v>1500</v>
      </c>
      <c r="H391" s="20" t="s">
        <v>116</v>
      </c>
      <c r="I391" s="20" t="str">
        <f t="shared" si="14"/>
        <v>WSTK-LSHP-SH-LVP-1500-G</v>
      </c>
      <c r="J391" s="20" t="s">
        <v>86</v>
      </c>
      <c r="K391" s="20" t="s">
        <v>133</v>
      </c>
      <c r="L391" s="20" t="s">
        <v>189</v>
      </c>
      <c r="M391" s="20" t="s">
        <v>96</v>
      </c>
      <c r="N391" s="20">
        <v>1500</v>
      </c>
      <c r="O391" s="20" t="s">
        <v>158</v>
      </c>
      <c r="P391" s="20" t="s">
        <v>42</v>
      </c>
      <c r="Q391" s="33"/>
      <c r="R391" s="33"/>
      <c r="S391" s="33"/>
      <c r="T391" s="33">
        <f t="shared" ca="1" si="15"/>
        <v>85700</v>
      </c>
      <c r="U391" s="38">
        <f t="shared" ca="1" si="9"/>
        <v>77130</v>
      </c>
      <c r="V391" s="38">
        <f t="shared" ca="1" si="10"/>
        <v>72845</v>
      </c>
      <c r="W391" s="38">
        <f t="shared" ca="1" si="11"/>
        <v>68560</v>
      </c>
      <c r="X391" s="38">
        <f t="shared" ca="1" si="12"/>
        <v>59989.999999999993</v>
      </c>
      <c r="Y391" s="18"/>
    </row>
    <row r="392" spans="1:25" ht="16" x14ac:dyDescent="0.15">
      <c r="A392" s="18"/>
      <c r="B392" s="20" t="s">
        <v>58</v>
      </c>
      <c r="C392" s="20" t="s">
        <v>134</v>
      </c>
      <c r="D392" s="20" t="s">
        <v>171</v>
      </c>
      <c r="E392" s="20" t="s">
        <v>63</v>
      </c>
      <c r="F392" s="20" t="s">
        <v>119</v>
      </c>
      <c r="G392" s="20">
        <v>1500</v>
      </c>
      <c r="H392" s="20" t="s">
        <v>131</v>
      </c>
      <c r="I392" s="20" t="str">
        <f t="shared" si="14"/>
        <v>WSTK-LSHP-SH-LVP-1500-X</v>
      </c>
      <c r="J392" s="20" t="s">
        <v>86</v>
      </c>
      <c r="K392" s="20" t="s">
        <v>133</v>
      </c>
      <c r="L392" s="20" t="s">
        <v>189</v>
      </c>
      <c r="M392" s="20" t="s">
        <v>96</v>
      </c>
      <c r="N392" s="20">
        <v>1500</v>
      </c>
      <c r="O392" s="20" t="s">
        <v>158</v>
      </c>
      <c r="P392" s="20" t="s">
        <v>55</v>
      </c>
      <c r="Q392" s="33"/>
      <c r="R392" s="33"/>
      <c r="S392" s="33"/>
      <c r="T392" s="33">
        <f t="shared" ca="1" si="15"/>
        <v>86600</v>
      </c>
      <c r="U392" s="38">
        <f t="shared" ca="1" si="9"/>
        <v>77940</v>
      </c>
      <c r="V392" s="38">
        <f t="shared" ca="1" si="10"/>
        <v>73610</v>
      </c>
      <c r="W392" s="38">
        <f t="shared" ca="1" si="11"/>
        <v>69280</v>
      </c>
      <c r="X392" s="38">
        <f t="shared" ca="1" si="12"/>
        <v>60619.999999999993</v>
      </c>
      <c r="Y392" s="18"/>
    </row>
    <row r="393" spans="1:25" ht="16" x14ac:dyDescent="0.15">
      <c r="A393" s="18"/>
      <c r="B393" s="20" t="s">
        <v>58</v>
      </c>
      <c r="C393" s="20" t="s">
        <v>134</v>
      </c>
      <c r="D393" s="20" t="s">
        <v>171</v>
      </c>
      <c r="E393" s="20" t="s">
        <v>63</v>
      </c>
      <c r="F393" s="20" t="s">
        <v>125</v>
      </c>
      <c r="G393" s="20">
        <v>1500</v>
      </c>
      <c r="H393" s="20" t="s">
        <v>66</v>
      </c>
      <c r="I393" s="20" t="str">
        <f t="shared" si="14"/>
        <v>WSTK-LSHP-SH-MB-1500-F</v>
      </c>
      <c r="J393" s="20" t="s">
        <v>86</v>
      </c>
      <c r="K393" s="20" t="s">
        <v>133</v>
      </c>
      <c r="L393" s="20" t="s">
        <v>189</v>
      </c>
      <c r="M393" s="20" t="s">
        <v>96</v>
      </c>
      <c r="N393" s="20">
        <v>1500</v>
      </c>
      <c r="O393" s="20" t="s">
        <v>97</v>
      </c>
      <c r="P393" s="20" t="s">
        <v>23</v>
      </c>
      <c r="Q393" s="33"/>
      <c r="R393" s="33"/>
      <c r="S393" s="33"/>
      <c r="T393" s="33">
        <f t="shared" ca="1" si="15"/>
        <v>80000</v>
      </c>
      <c r="U393" s="38">
        <f t="shared" ca="1" si="9"/>
        <v>72000</v>
      </c>
      <c r="V393" s="38">
        <f t="shared" ca="1" si="10"/>
        <v>68000</v>
      </c>
      <c r="W393" s="38">
        <f t="shared" ca="1" si="11"/>
        <v>64000</v>
      </c>
      <c r="X393" s="38">
        <f t="shared" ca="1" si="12"/>
        <v>56000</v>
      </c>
      <c r="Y393" s="18"/>
    </row>
    <row r="394" spans="1:25" ht="16" x14ac:dyDescent="0.15">
      <c r="A394" s="18"/>
      <c r="B394" s="20" t="s">
        <v>58</v>
      </c>
      <c r="C394" s="20" t="s">
        <v>134</v>
      </c>
      <c r="D394" s="20" t="s">
        <v>171</v>
      </c>
      <c r="E394" s="20" t="s">
        <v>63</v>
      </c>
      <c r="F394" s="20" t="s">
        <v>125</v>
      </c>
      <c r="G394" s="20">
        <v>1500</v>
      </c>
      <c r="H394" s="20" t="s">
        <v>116</v>
      </c>
      <c r="I394" s="20" t="str">
        <f t="shared" si="14"/>
        <v>WSTK-LSHP-SH-MB-1500-G</v>
      </c>
      <c r="J394" s="20" t="s">
        <v>86</v>
      </c>
      <c r="K394" s="20" t="s">
        <v>133</v>
      </c>
      <c r="L394" s="20" t="s">
        <v>189</v>
      </c>
      <c r="M394" s="20" t="s">
        <v>96</v>
      </c>
      <c r="N394" s="20">
        <v>1500</v>
      </c>
      <c r="O394" s="20" t="s">
        <v>97</v>
      </c>
      <c r="P394" s="20" t="s">
        <v>42</v>
      </c>
      <c r="Q394" s="33"/>
      <c r="R394" s="33"/>
      <c r="S394" s="33"/>
      <c r="T394" s="33">
        <f t="shared" ca="1" si="15"/>
        <v>88400</v>
      </c>
      <c r="U394" s="38">
        <f t="shared" ca="1" si="9"/>
        <v>79560</v>
      </c>
      <c r="V394" s="38">
        <f t="shared" ca="1" si="10"/>
        <v>75140</v>
      </c>
      <c r="W394" s="38">
        <f t="shared" ca="1" si="11"/>
        <v>70720</v>
      </c>
      <c r="X394" s="38">
        <f t="shared" ca="1" si="12"/>
        <v>61879.999999999993</v>
      </c>
      <c r="Y394" s="18"/>
    </row>
    <row r="395" spans="1:25" ht="16" x14ac:dyDescent="0.15">
      <c r="A395" s="18"/>
      <c r="B395" s="20" t="s">
        <v>58</v>
      </c>
      <c r="C395" s="20" t="s">
        <v>134</v>
      </c>
      <c r="D395" s="20" t="s">
        <v>171</v>
      </c>
      <c r="E395" s="20" t="s">
        <v>63</v>
      </c>
      <c r="F395" s="20" t="s">
        <v>125</v>
      </c>
      <c r="G395" s="20">
        <v>1500</v>
      </c>
      <c r="H395" s="20" t="s">
        <v>131</v>
      </c>
      <c r="I395" s="20" t="str">
        <f t="shared" si="14"/>
        <v>WSTK-LSHP-SH-MB-1500-X</v>
      </c>
      <c r="J395" s="20" t="s">
        <v>86</v>
      </c>
      <c r="K395" s="20" t="s">
        <v>133</v>
      </c>
      <c r="L395" s="20" t="s">
        <v>189</v>
      </c>
      <c r="M395" s="20" t="s">
        <v>96</v>
      </c>
      <c r="N395" s="20">
        <v>1500</v>
      </c>
      <c r="O395" s="20" t="s">
        <v>97</v>
      </c>
      <c r="P395" s="20" t="s">
        <v>55</v>
      </c>
      <c r="Q395" s="33"/>
      <c r="R395" s="33"/>
      <c r="S395" s="33"/>
      <c r="T395" s="33">
        <f t="shared" ca="1" si="15"/>
        <v>89300</v>
      </c>
      <c r="U395" s="38">
        <f t="shared" ca="1" si="9"/>
        <v>80370</v>
      </c>
      <c r="V395" s="38">
        <f t="shared" ca="1" si="10"/>
        <v>75905</v>
      </c>
      <c r="W395" s="38">
        <f t="shared" ca="1" si="11"/>
        <v>71440</v>
      </c>
      <c r="X395" s="38">
        <f t="shared" ca="1" si="12"/>
        <v>62509.999999999993</v>
      </c>
      <c r="Y395" s="18"/>
    </row>
    <row r="396" spans="1:25" ht="16" x14ac:dyDescent="0.15">
      <c r="A396" s="18"/>
      <c r="B396" s="20" t="s">
        <v>58</v>
      </c>
      <c r="C396" s="20" t="s">
        <v>134</v>
      </c>
      <c r="D396" s="20" t="s">
        <v>171</v>
      </c>
      <c r="E396" s="20" t="s">
        <v>161</v>
      </c>
      <c r="F396" s="20" t="s">
        <v>65</v>
      </c>
      <c r="G396" s="20">
        <v>1500</v>
      </c>
      <c r="H396" s="20" t="s">
        <v>66</v>
      </c>
      <c r="I396" s="20" t="str">
        <f t="shared" si="14"/>
        <v>WSTK-LSHP-NSH-PB-1500-F</v>
      </c>
      <c r="J396" s="20" t="s">
        <v>86</v>
      </c>
      <c r="K396" s="20" t="s">
        <v>133</v>
      </c>
      <c r="L396" s="20" t="s">
        <v>189</v>
      </c>
      <c r="M396" s="20" t="s">
        <v>162</v>
      </c>
      <c r="N396" s="20">
        <v>1500</v>
      </c>
      <c r="O396" s="20" t="s">
        <v>11</v>
      </c>
      <c r="P396" s="20" t="s">
        <v>23</v>
      </c>
      <c r="Q396" s="33"/>
      <c r="R396" s="33"/>
      <c r="S396" s="33"/>
      <c r="T396" s="33">
        <f t="shared" ca="1" si="15"/>
        <v>82700</v>
      </c>
      <c r="U396" s="38">
        <f t="shared" ca="1" si="9"/>
        <v>74430</v>
      </c>
      <c r="V396" s="38">
        <f t="shared" ca="1" si="10"/>
        <v>70295</v>
      </c>
      <c r="W396" s="38">
        <f t="shared" ca="1" si="11"/>
        <v>66160</v>
      </c>
      <c r="X396" s="38">
        <f t="shared" ca="1" si="12"/>
        <v>57889.999999999993</v>
      </c>
      <c r="Y396" s="18"/>
    </row>
    <row r="397" spans="1:25" ht="16" x14ac:dyDescent="0.15">
      <c r="A397" s="18"/>
      <c r="B397" s="20" t="s">
        <v>58</v>
      </c>
      <c r="C397" s="20" t="s">
        <v>134</v>
      </c>
      <c r="D397" s="20" t="s">
        <v>171</v>
      </c>
      <c r="E397" s="20" t="s">
        <v>161</v>
      </c>
      <c r="F397" s="20" t="s">
        <v>65</v>
      </c>
      <c r="G397" s="20">
        <v>1500</v>
      </c>
      <c r="H397" s="20" t="s">
        <v>116</v>
      </c>
      <c r="I397" s="20" t="str">
        <f t="shared" si="14"/>
        <v>WSTK-LSHP-NSH-PB-1500-G</v>
      </c>
      <c r="J397" s="20" t="s">
        <v>86</v>
      </c>
      <c r="K397" s="20" t="s">
        <v>133</v>
      </c>
      <c r="L397" s="20" t="s">
        <v>189</v>
      </c>
      <c r="M397" s="20" t="s">
        <v>162</v>
      </c>
      <c r="N397" s="20">
        <v>1500</v>
      </c>
      <c r="O397" s="20" t="s">
        <v>11</v>
      </c>
      <c r="P397" s="20" t="s">
        <v>42</v>
      </c>
      <c r="Q397" s="33"/>
      <c r="R397" s="33"/>
      <c r="S397" s="33"/>
      <c r="T397" s="33">
        <f t="shared" ca="1" si="15"/>
        <v>104000</v>
      </c>
      <c r="U397" s="38">
        <f t="shared" ca="1" si="9"/>
        <v>93600</v>
      </c>
      <c r="V397" s="38">
        <f t="shared" ca="1" si="10"/>
        <v>88400</v>
      </c>
      <c r="W397" s="38">
        <f t="shared" ca="1" si="11"/>
        <v>83200</v>
      </c>
      <c r="X397" s="38">
        <f t="shared" ca="1" si="12"/>
        <v>72800</v>
      </c>
      <c r="Y397" s="18"/>
    </row>
    <row r="398" spans="1:25" ht="16" x14ac:dyDescent="0.15">
      <c r="A398" s="18"/>
      <c r="B398" s="20" t="s">
        <v>58</v>
      </c>
      <c r="C398" s="20" t="s">
        <v>134</v>
      </c>
      <c r="D398" s="20" t="s">
        <v>171</v>
      </c>
      <c r="E398" s="20" t="s">
        <v>161</v>
      </c>
      <c r="F398" s="20" t="s">
        <v>65</v>
      </c>
      <c r="G398" s="20">
        <v>1500</v>
      </c>
      <c r="H398" s="20" t="s">
        <v>131</v>
      </c>
      <c r="I398" s="20" t="str">
        <f t="shared" si="14"/>
        <v>WSTK-LSHP-NSH-PB-1500-X</v>
      </c>
      <c r="J398" s="20" t="s">
        <v>86</v>
      </c>
      <c r="K398" s="20" t="s">
        <v>133</v>
      </c>
      <c r="L398" s="20" t="s">
        <v>189</v>
      </c>
      <c r="M398" s="20" t="s">
        <v>162</v>
      </c>
      <c r="N398" s="20">
        <v>1500</v>
      </c>
      <c r="O398" s="20" t="s">
        <v>11</v>
      </c>
      <c r="P398" s="20" t="s">
        <v>55</v>
      </c>
      <c r="Q398" s="33"/>
      <c r="R398" s="33"/>
      <c r="S398" s="33"/>
      <c r="T398" s="33">
        <f t="shared" ca="1" si="15"/>
        <v>104800</v>
      </c>
      <c r="U398" s="38">
        <f t="shared" ca="1" si="9"/>
        <v>94320</v>
      </c>
      <c r="V398" s="38">
        <f t="shared" ca="1" si="10"/>
        <v>89080</v>
      </c>
      <c r="W398" s="38">
        <f t="shared" ca="1" si="11"/>
        <v>83840</v>
      </c>
      <c r="X398" s="38">
        <f t="shared" ca="1" si="12"/>
        <v>73360</v>
      </c>
      <c r="Y398" s="18"/>
    </row>
    <row r="399" spans="1:25" ht="16" x14ac:dyDescent="0.15">
      <c r="A399" s="18"/>
      <c r="B399" s="20" t="s">
        <v>58</v>
      </c>
      <c r="C399" s="20" t="s">
        <v>134</v>
      </c>
      <c r="D399" s="20" t="s">
        <v>171</v>
      </c>
      <c r="E399" s="20" t="s">
        <v>161</v>
      </c>
      <c r="F399" s="20" t="s">
        <v>112</v>
      </c>
      <c r="G399" s="20">
        <v>1500</v>
      </c>
      <c r="H399" s="20" t="s">
        <v>66</v>
      </c>
      <c r="I399" s="20" t="str">
        <f t="shared" si="14"/>
        <v>WSTK-LSHP-NSH-PLM-1500-F</v>
      </c>
      <c r="J399" s="20" t="s">
        <v>86</v>
      </c>
      <c r="K399" s="20" t="s">
        <v>133</v>
      </c>
      <c r="L399" s="20" t="s">
        <v>189</v>
      </c>
      <c r="M399" s="20" t="s">
        <v>162</v>
      </c>
      <c r="N399" s="20">
        <v>1500</v>
      </c>
      <c r="O399" s="20" t="s">
        <v>31</v>
      </c>
      <c r="P399" s="20" t="s">
        <v>23</v>
      </c>
      <c r="Q399" s="33"/>
      <c r="R399" s="33"/>
      <c r="S399" s="33"/>
      <c r="T399" s="33">
        <f t="shared" ca="1" si="15"/>
        <v>98200</v>
      </c>
      <c r="U399" s="38">
        <f t="shared" ca="1" si="9"/>
        <v>88380</v>
      </c>
      <c r="V399" s="38">
        <f t="shared" ca="1" si="10"/>
        <v>83470</v>
      </c>
      <c r="W399" s="38">
        <f t="shared" ca="1" si="11"/>
        <v>78560</v>
      </c>
      <c r="X399" s="38">
        <f t="shared" ca="1" si="12"/>
        <v>68740</v>
      </c>
      <c r="Y399" s="18"/>
    </row>
    <row r="400" spans="1:25" ht="16" x14ac:dyDescent="0.15">
      <c r="A400" s="18"/>
      <c r="B400" s="20" t="s">
        <v>58</v>
      </c>
      <c r="C400" s="20" t="s">
        <v>134</v>
      </c>
      <c r="D400" s="20" t="s">
        <v>171</v>
      </c>
      <c r="E400" s="20" t="s">
        <v>161</v>
      </c>
      <c r="F400" s="20" t="s">
        <v>112</v>
      </c>
      <c r="G400" s="20">
        <v>1500</v>
      </c>
      <c r="H400" s="20" t="s">
        <v>116</v>
      </c>
      <c r="I400" s="20" t="str">
        <f t="shared" si="14"/>
        <v>WSTK-LSHP-NSH-PLM-1500-G</v>
      </c>
      <c r="J400" s="20" t="s">
        <v>86</v>
      </c>
      <c r="K400" s="20" t="s">
        <v>133</v>
      </c>
      <c r="L400" s="20" t="s">
        <v>189</v>
      </c>
      <c r="M400" s="20" t="s">
        <v>162</v>
      </c>
      <c r="N400" s="20">
        <v>1500</v>
      </c>
      <c r="O400" s="20" t="s">
        <v>31</v>
      </c>
      <c r="P400" s="20" t="s">
        <v>42</v>
      </c>
      <c r="Q400" s="33"/>
      <c r="R400" s="33"/>
      <c r="S400" s="33"/>
      <c r="T400" s="33">
        <f t="shared" ca="1" si="15"/>
        <v>0</v>
      </c>
      <c r="U400" s="38">
        <f t="shared" ca="1" si="9"/>
        <v>0</v>
      </c>
      <c r="V400" s="38">
        <f t="shared" ca="1" si="10"/>
        <v>0</v>
      </c>
      <c r="W400" s="38">
        <f t="shared" ca="1" si="11"/>
        <v>0</v>
      </c>
      <c r="X400" s="38">
        <f t="shared" ca="1" si="12"/>
        <v>0</v>
      </c>
      <c r="Y400" s="18"/>
    </row>
    <row r="401" spans="1:25" ht="16" x14ac:dyDescent="0.15">
      <c r="A401" s="18"/>
      <c r="B401" s="20" t="s">
        <v>58</v>
      </c>
      <c r="C401" s="20" t="s">
        <v>134</v>
      </c>
      <c r="D401" s="20" t="s">
        <v>171</v>
      </c>
      <c r="E401" s="20" t="s">
        <v>161</v>
      </c>
      <c r="F401" s="20" t="s">
        <v>112</v>
      </c>
      <c r="G401" s="20">
        <v>1500</v>
      </c>
      <c r="H401" s="20" t="s">
        <v>131</v>
      </c>
      <c r="I401" s="20" t="str">
        <f t="shared" si="14"/>
        <v>WSTK-LSHP-NSH-PLM-1500-X</v>
      </c>
      <c r="J401" s="20" t="s">
        <v>86</v>
      </c>
      <c r="K401" s="20" t="s">
        <v>133</v>
      </c>
      <c r="L401" s="20" t="s">
        <v>189</v>
      </c>
      <c r="M401" s="20" t="s">
        <v>162</v>
      </c>
      <c r="N401" s="20">
        <v>1500</v>
      </c>
      <c r="O401" s="20" t="s">
        <v>31</v>
      </c>
      <c r="P401" s="20" t="s">
        <v>55</v>
      </c>
      <c r="Q401" s="33"/>
      <c r="R401" s="33"/>
      <c r="S401" s="33"/>
      <c r="T401" s="33">
        <f t="shared" ca="1" si="15"/>
        <v>0</v>
      </c>
      <c r="U401" s="38">
        <f t="shared" ca="1" si="9"/>
        <v>0</v>
      </c>
      <c r="V401" s="38">
        <f t="shared" ca="1" si="10"/>
        <v>0</v>
      </c>
      <c r="W401" s="38">
        <f t="shared" ca="1" si="11"/>
        <v>0</v>
      </c>
      <c r="X401" s="38">
        <f t="shared" ca="1" si="12"/>
        <v>0</v>
      </c>
      <c r="Y401" s="18"/>
    </row>
    <row r="402" spans="1:25" ht="16" x14ac:dyDescent="0.15">
      <c r="A402" s="18"/>
      <c r="B402" s="20" t="s">
        <v>58</v>
      </c>
      <c r="C402" s="20" t="s">
        <v>134</v>
      </c>
      <c r="D402" s="20" t="s">
        <v>171</v>
      </c>
      <c r="E402" s="20" t="s">
        <v>161</v>
      </c>
      <c r="F402" s="20" t="s">
        <v>114</v>
      </c>
      <c r="G402" s="20">
        <v>1500</v>
      </c>
      <c r="H402" s="20" t="s">
        <v>66</v>
      </c>
      <c r="I402" s="20" t="str">
        <f t="shared" si="14"/>
        <v>WSTK-LSHP-NSH-PoLM-1500-F</v>
      </c>
      <c r="J402" s="20" t="s">
        <v>86</v>
      </c>
      <c r="K402" s="20" t="s">
        <v>133</v>
      </c>
      <c r="L402" s="20" t="s">
        <v>189</v>
      </c>
      <c r="M402" s="20" t="s">
        <v>162</v>
      </c>
      <c r="N402" s="20">
        <v>1500</v>
      </c>
      <c r="O402" s="20" t="s">
        <v>47</v>
      </c>
      <c r="P402" s="20" t="s">
        <v>23</v>
      </c>
      <c r="Q402" s="33"/>
      <c r="R402" s="33"/>
      <c r="S402" s="33"/>
      <c r="T402" s="33">
        <f t="shared" ca="1" si="15"/>
        <v>0</v>
      </c>
      <c r="U402" s="38">
        <f t="shared" ca="1" si="9"/>
        <v>0</v>
      </c>
      <c r="V402" s="38">
        <f t="shared" ca="1" si="10"/>
        <v>0</v>
      </c>
      <c r="W402" s="38">
        <f t="shared" ca="1" si="11"/>
        <v>0</v>
      </c>
      <c r="X402" s="38">
        <f t="shared" ca="1" si="12"/>
        <v>0</v>
      </c>
      <c r="Y402" s="18"/>
    </row>
    <row r="403" spans="1:25" ht="16" x14ac:dyDescent="0.15">
      <c r="A403" s="18"/>
      <c r="B403" s="20" t="s">
        <v>58</v>
      </c>
      <c r="C403" s="20" t="s">
        <v>134</v>
      </c>
      <c r="D403" s="20" t="s">
        <v>171</v>
      </c>
      <c r="E403" s="20" t="s">
        <v>161</v>
      </c>
      <c r="F403" s="20" t="s">
        <v>114</v>
      </c>
      <c r="G403" s="20">
        <v>1500</v>
      </c>
      <c r="H403" s="20" t="s">
        <v>116</v>
      </c>
      <c r="I403" s="20" t="str">
        <f t="shared" si="14"/>
        <v>WSTK-LSHP-NSH-PoLM-1500-G</v>
      </c>
      <c r="J403" s="20" t="s">
        <v>86</v>
      </c>
      <c r="K403" s="20" t="s">
        <v>133</v>
      </c>
      <c r="L403" s="20" t="s">
        <v>189</v>
      </c>
      <c r="M403" s="20" t="s">
        <v>162</v>
      </c>
      <c r="N403" s="20">
        <v>1500</v>
      </c>
      <c r="O403" s="20" t="s">
        <v>47</v>
      </c>
      <c r="P403" s="20" t="s">
        <v>42</v>
      </c>
      <c r="Q403" s="33"/>
      <c r="R403" s="33"/>
      <c r="S403" s="33"/>
      <c r="T403" s="33">
        <f t="shared" ca="1" si="15"/>
        <v>0</v>
      </c>
      <c r="U403" s="38">
        <f t="shared" ca="1" si="9"/>
        <v>0</v>
      </c>
      <c r="V403" s="38">
        <f t="shared" ca="1" si="10"/>
        <v>0</v>
      </c>
      <c r="W403" s="38">
        <f t="shared" ca="1" si="11"/>
        <v>0</v>
      </c>
      <c r="X403" s="38">
        <f t="shared" ca="1" si="12"/>
        <v>0</v>
      </c>
      <c r="Y403" s="18"/>
    </row>
    <row r="404" spans="1:25" ht="16" x14ac:dyDescent="0.15">
      <c r="A404" s="18"/>
      <c r="B404" s="20" t="s">
        <v>58</v>
      </c>
      <c r="C404" s="20" t="s">
        <v>134</v>
      </c>
      <c r="D404" s="20" t="s">
        <v>171</v>
      </c>
      <c r="E404" s="20" t="s">
        <v>161</v>
      </c>
      <c r="F404" s="20" t="s">
        <v>114</v>
      </c>
      <c r="G404" s="20">
        <v>1500</v>
      </c>
      <c r="H404" s="20" t="s">
        <v>131</v>
      </c>
      <c r="I404" s="20" t="str">
        <f t="shared" si="14"/>
        <v>WSTK-LSHP-NSH-PoLM-1500-X</v>
      </c>
      <c r="J404" s="20" t="s">
        <v>86</v>
      </c>
      <c r="K404" s="20" t="s">
        <v>133</v>
      </c>
      <c r="L404" s="20" t="s">
        <v>189</v>
      </c>
      <c r="M404" s="20" t="s">
        <v>162</v>
      </c>
      <c r="N404" s="20">
        <v>1500</v>
      </c>
      <c r="O404" s="20" t="s">
        <v>47</v>
      </c>
      <c r="P404" s="20" t="s">
        <v>55</v>
      </c>
      <c r="Q404" s="33"/>
      <c r="R404" s="33"/>
      <c r="S404" s="33"/>
      <c r="T404" s="33">
        <f t="shared" ca="1" si="15"/>
        <v>0</v>
      </c>
      <c r="U404" s="38">
        <f t="shared" ca="1" si="9"/>
        <v>0</v>
      </c>
      <c r="V404" s="38">
        <f t="shared" ca="1" si="10"/>
        <v>0</v>
      </c>
      <c r="W404" s="38">
        <f t="shared" ca="1" si="11"/>
        <v>0</v>
      </c>
      <c r="X404" s="38">
        <f t="shared" ca="1" si="12"/>
        <v>0</v>
      </c>
      <c r="Y404" s="18"/>
    </row>
    <row r="405" spans="1:25" ht="16" x14ac:dyDescent="0.15">
      <c r="A405" s="18"/>
      <c r="B405" s="20" t="s">
        <v>58</v>
      </c>
      <c r="C405" s="20" t="s">
        <v>134</v>
      </c>
      <c r="D405" s="20" t="s">
        <v>171</v>
      </c>
      <c r="E405" s="20" t="s">
        <v>161</v>
      </c>
      <c r="F405" s="20" t="s">
        <v>117</v>
      </c>
      <c r="G405" s="20">
        <v>1500</v>
      </c>
      <c r="H405" s="20" t="s">
        <v>66</v>
      </c>
      <c r="I405" s="20" t="str">
        <f t="shared" si="14"/>
        <v>WSTK-LSHP-NSH-LVM-1500-F</v>
      </c>
      <c r="J405" s="20" t="s">
        <v>86</v>
      </c>
      <c r="K405" s="20" t="s">
        <v>133</v>
      </c>
      <c r="L405" s="20" t="s">
        <v>189</v>
      </c>
      <c r="M405" s="20" t="s">
        <v>162</v>
      </c>
      <c r="N405" s="20">
        <v>1500</v>
      </c>
      <c r="O405" s="20" t="s">
        <v>157</v>
      </c>
      <c r="P405" s="20" t="s">
        <v>23</v>
      </c>
      <c r="Q405" s="33"/>
      <c r="R405" s="33"/>
      <c r="S405" s="33"/>
      <c r="T405" s="33">
        <f t="shared" ca="1" si="15"/>
        <v>0</v>
      </c>
      <c r="U405" s="38">
        <f t="shared" ca="1" si="9"/>
        <v>0</v>
      </c>
      <c r="V405" s="38">
        <f t="shared" ca="1" si="10"/>
        <v>0</v>
      </c>
      <c r="W405" s="38">
        <f t="shared" ca="1" si="11"/>
        <v>0</v>
      </c>
      <c r="X405" s="38">
        <f t="shared" ca="1" si="12"/>
        <v>0</v>
      </c>
      <c r="Y405" s="18"/>
    </row>
    <row r="406" spans="1:25" ht="16" x14ac:dyDescent="0.15">
      <c r="A406" s="18"/>
      <c r="B406" s="20" t="s">
        <v>58</v>
      </c>
      <c r="C406" s="20" t="s">
        <v>134</v>
      </c>
      <c r="D406" s="20" t="s">
        <v>171</v>
      </c>
      <c r="E406" s="20" t="s">
        <v>161</v>
      </c>
      <c r="F406" s="20" t="s">
        <v>117</v>
      </c>
      <c r="G406" s="20">
        <v>1500</v>
      </c>
      <c r="H406" s="20" t="s">
        <v>116</v>
      </c>
      <c r="I406" s="20" t="str">
        <f t="shared" si="14"/>
        <v>WSTK-LSHP-NSH-LVM-1500-G</v>
      </c>
      <c r="J406" s="20" t="s">
        <v>86</v>
      </c>
      <c r="K406" s="20" t="s">
        <v>133</v>
      </c>
      <c r="L406" s="20" t="s">
        <v>189</v>
      </c>
      <c r="M406" s="20" t="s">
        <v>162</v>
      </c>
      <c r="N406" s="20">
        <v>1500</v>
      </c>
      <c r="O406" s="20" t="s">
        <v>157</v>
      </c>
      <c r="P406" s="20" t="s">
        <v>42</v>
      </c>
      <c r="Q406" s="33"/>
      <c r="R406" s="33"/>
      <c r="S406" s="33"/>
      <c r="T406" s="33">
        <f t="shared" ca="1" si="15"/>
        <v>0</v>
      </c>
      <c r="U406" s="38">
        <f t="shared" ca="1" si="9"/>
        <v>0</v>
      </c>
      <c r="V406" s="38">
        <f t="shared" ca="1" si="10"/>
        <v>0</v>
      </c>
      <c r="W406" s="38">
        <f t="shared" ca="1" si="11"/>
        <v>0</v>
      </c>
      <c r="X406" s="38">
        <f t="shared" ca="1" si="12"/>
        <v>0</v>
      </c>
      <c r="Y406" s="18"/>
    </row>
    <row r="407" spans="1:25" ht="16" x14ac:dyDescent="0.15">
      <c r="A407" s="18"/>
      <c r="B407" s="20" t="s">
        <v>58</v>
      </c>
      <c r="C407" s="20" t="s">
        <v>134</v>
      </c>
      <c r="D407" s="20" t="s">
        <v>171</v>
      </c>
      <c r="E407" s="20" t="s">
        <v>161</v>
      </c>
      <c r="F407" s="20" t="s">
        <v>117</v>
      </c>
      <c r="G407" s="20">
        <v>1500</v>
      </c>
      <c r="H407" s="20" t="s">
        <v>131</v>
      </c>
      <c r="I407" s="20" t="str">
        <f t="shared" si="14"/>
        <v>WSTK-LSHP-NSH-LVM-1500-X</v>
      </c>
      <c r="J407" s="20" t="s">
        <v>86</v>
      </c>
      <c r="K407" s="20" t="s">
        <v>133</v>
      </c>
      <c r="L407" s="20" t="s">
        <v>189</v>
      </c>
      <c r="M407" s="20" t="s">
        <v>162</v>
      </c>
      <c r="N407" s="20">
        <v>1500</v>
      </c>
      <c r="O407" s="20" t="s">
        <v>157</v>
      </c>
      <c r="P407" s="20" t="s">
        <v>55</v>
      </c>
      <c r="Q407" s="33"/>
      <c r="R407" s="33"/>
      <c r="S407" s="33"/>
      <c r="T407" s="33">
        <f t="shared" ca="1" si="15"/>
        <v>0</v>
      </c>
      <c r="U407" s="38">
        <f t="shared" ca="1" si="9"/>
        <v>0</v>
      </c>
      <c r="V407" s="38">
        <f t="shared" ca="1" si="10"/>
        <v>0</v>
      </c>
      <c r="W407" s="38">
        <f t="shared" ca="1" si="11"/>
        <v>0</v>
      </c>
      <c r="X407" s="38">
        <f t="shared" ca="1" si="12"/>
        <v>0</v>
      </c>
      <c r="Y407" s="18"/>
    </row>
    <row r="408" spans="1:25" ht="16" x14ac:dyDescent="0.15">
      <c r="A408" s="18"/>
      <c r="B408" s="20" t="s">
        <v>58</v>
      </c>
      <c r="C408" s="20" t="s">
        <v>134</v>
      </c>
      <c r="D408" s="20" t="s">
        <v>171</v>
      </c>
      <c r="E408" s="20" t="s">
        <v>161</v>
      </c>
      <c r="F408" s="20" t="s">
        <v>119</v>
      </c>
      <c r="G408" s="20">
        <v>1500</v>
      </c>
      <c r="H408" s="20" t="s">
        <v>66</v>
      </c>
      <c r="I408" s="20" t="str">
        <f t="shared" si="14"/>
        <v>WSTK-LSHP-NSH-LVP-1500-F</v>
      </c>
      <c r="J408" s="20" t="s">
        <v>86</v>
      </c>
      <c r="K408" s="20" t="s">
        <v>133</v>
      </c>
      <c r="L408" s="20" t="s">
        <v>189</v>
      </c>
      <c r="M408" s="20" t="s">
        <v>162</v>
      </c>
      <c r="N408" s="20">
        <v>1500</v>
      </c>
      <c r="O408" s="20" t="s">
        <v>158</v>
      </c>
      <c r="P408" s="20" t="s">
        <v>23</v>
      </c>
      <c r="Q408" s="33"/>
      <c r="R408" s="33"/>
      <c r="S408" s="33"/>
      <c r="T408" s="33">
        <f t="shared" ca="1" si="15"/>
        <v>0</v>
      </c>
      <c r="U408" s="38">
        <f t="shared" ca="1" si="9"/>
        <v>0</v>
      </c>
      <c r="V408" s="38">
        <f t="shared" ca="1" si="10"/>
        <v>0</v>
      </c>
      <c r="W408" s="38">
        <f t="shared" ca="1" si="11"/>
        <v>0</v>
      </c>
      <c r="X408" s="38">
        <f t="shared" ca="1" si="12"/>
        <v>0</v>
      </c>
      <c r="Y408" s="18"/>
    </row>
    <row r="409" spans="1:25" ht="16" x14ac:dyDescent="0.15">
      <c r="A409" s="18"/>
      <c r="B409" s="20" t="s">
        <v>58</v>
      </c>
      <c r="C409" s="20" t="s">
        <v>134</v>
      </c>
      <c r="D409" s="20" t="s">
        <v>171</v>
      </c>
      <c r="E409" s="20" t="s">
        <v>161</v>
      </c>
      <c r="F409" s="20" t="s">
        <v>119</v>
      </c>
      <c r="G409" s="20">
        <v>1500</v>
      </c>
      <c r="H409" s="20" t="s">
        <v>116</v>
      </c>
      <c r="I409" s="20" t="str">
        <f t="shared" si="14"/>
        <v>WSTK-LSHP-NSH-LVP-1500-G</v>
      </c>
      <c r="J409" s="20" t="s">
        <v>86</v>
      </c>
      <c r="K409" s="20" t="s">
        <v>133</v>
      </c>
      <c r="L409" s="20" t="s">
        <v>189</v>
      </c>
      <c r="M409" s="20" t="s">
        <v>162</v>
      </c>
      <c r="N409" s="20">
        <v>1500</v>
      </c>
      <c r="O409" s="20" t="s">
        <v>158</v>
      </c>
      <c r="P409" s="20" t="s">
        <v>42</v>
      </c>
      <c r="Q409" s="33"/>
      <c r="R409" s="33"/>
      <c r="S409" s="33"/>
      <c r="T409" s="33">
        <f t="shared" ca="1" si="15"/>
        <v>0</v>
      </c>
      <c r="U409" s="38">
        <f t="shared" ca="1" si="9"/>
        <v>0</v>
      </c>
      <c r="V409" s="38">
        <f t="shared" ca="1" si="10"/>
        <v>0</v>
      </c>
      <c r="W409" s="38">
        <f t="shared" ca="1" si="11"/>
        <v>0</v>
      </c>
      <c r="X409" s="38">
        <f t="shared" ca="1" si="12"/>
        <v>0</v>
      </c>
      <c r="Y409" s="18"/>
    </row>
    <row r="410" spans="1:25" ht="16" x14ac:dyDescent="0.15">
      <c r="A410" s="18"/>
      <c r="B410" s="20" t="s">
        <v>58</v>
      </c>
      <c r="C410" s="20" t="s">
        <v>134</v>
      </c>
      <c r="D410" s="20" t="s">
        <v>171</v>
      </c>
      <c r="E410" s="20" t="s">
        <v>161</v>
      </c>
      <c r="F410" s="20" t="s">
        <v>119</v>
      </c>
      <c r="G410" s="20">
        <v>1500</v>
      </c>
      <c r="H410" s="20" t="s">
        <v>131</v>
      </c>
      <c r="I410" s="20" t="str">
        <f t="shared" si="14"/>
        <v>WSTK-LSHP-NSH-LVP-1500-X</v>
      </c>
      <c r="J410" s="20" t="s">
        <v>86</v>
      </c>
      <c r="K410" s="20" t="s">
        <v>133</v>
      </c>
      <c r="L410" s="20" t="s">
        <v>189</v>
      </c>
      <c r="M410" s="20" t="s">
        <v>162</v>
      </c>
      <c r="N410" s="20">
        <v>1500</v>
      </c>
      <c r="O410" s="20" t="s">
        <v>158</v>
      </c>
      <c r="P410" s="20" t="s">
        <v>55</v>
      </c>
      <c r="Q410" s="33"/>
      <c r="R410" s="33"/>
      <c r="S410" s="33"/>
      <c r="T410" s="33">
        <f t="shared" ca="1" si="15"/>
        <v>0</v>
      </c>
      <c r="U410" s="38">
        <f t="shared" ca="1" si="9"/>
        <v>0</v>
      </c>
      <c r="V410" s="38">
        <f t="shared" ca="1" si="10"/>
        <v>0</v>
      </c>
      <c r="W410" s="38">
        <f t="shared" ca="1" si="11"/>
        <v>0</v>
      </c>
      <c r="X410" s="38">
        <f t="shared" ca="1" si="12"/>
        <v>0</v>
      </c>
      <c r="Y410" s="18"/>
    </row>
    <row r="411" spans="1:25" ht="16" x14ac:dyDescent="0.15">
      <c r="A411" s="18"/>
      <c r="B411" s="20" t="s">
        <v>58</v>
      </c>
      <c r="C411" s="20" t="s">
        <v>134</v>
      </c>
      <c r="D411" s="20" t="s">
        <v>171</v>
      </c>
      <c r="E411" s="20" t="s">
        <v>161</v>
      </c>
      <c r="F411" s="20" t="s">
        <v>125</v>
      </c>
      <c r="G411" s="20">
        <v>1500</v>
      </c>
      <c r="H411" s="20" t="s">
        <v>66</v>
      </c>
      <c r="I411" s="20" t="str">
        <f t="shared" si="14"/>
        <v>WSTK-LSHP-NSH-MB-1500-F</v>
      </c>
      <c r="J411" s="20" t="s">
        <v>86</v>
      </c>
      <c r="K411" s="20" t="s">
        <v>133</v>
      </c>
      <c r="L411" s="20" t="s">
        <v>189</v>
      </c>
      <c r="M411" s="20" t="s">
        <v>162</v>
      </c>
      <c r="N411" s="20">
        <v>1500</v>
      </c>
      <c r="O411" s="20" t="s">
        <v>97</v>
      </c>
      <c r="P411" s="20" t="s">
        <v>23</v>
      </c>
      <c r="Q411" s="33"/>
      <c r="R411" s="33"/>
      <c r="S411" s="33"/>
      <c r="T411" s="33">
        <f t="shared" ca="1" si="15"/>
        <v>0</v>
      </c>
      <c r="U411" s="38">
        <f t="shared" ca="1" si="9"/>
        <v>0</v>
      </c>
      <c r="V411" s="38">
        <f t="shared" ca="1" si="10"/>
        <v>0</v>
      </c>
      <c r="W411" s="38">
        <f t="shared" ca="1" si="11"/>
        <v>0</v>
      </c>
      <c r="X411" s="38">
        <f t="shared" ca="1" si="12"/>
        <v>0</v>
      </c>
      <c r="Y411" s="18"/>
    </row>
    <row r="412" spans="1:25" ht="16" x14ac:dyDescent="0.15">
      <c r="A412" s="18"/>
      <c r="B412" s="20" t="s">
        <v>58</v>
      </c>
      <c r="C412" s="20" t="s">
        <v>134</v>
      </c>
      <c r="D412" s="20" t="s">
        <v>171</v>
      </c>
      <c r="E412" s="20" t="s">
        <v>161</v>
      </c>
      <c r="F412" s="20" t="s">
        <v>125</v>
      </c>
      <c r="G412" s="20">
        <v>1500</v>
      </c>
      <c r="H412" s="20" t="s">
        <v>116</v>
      </c>
      <c r="I412" s="20" t="str">
        <f t="shared" si="14"/>
        <v>WSTK-LSHP-NSH-MB-1500-G</v>
      </c>
      <c r="J412" s="20" t="s">
        <v>86</v>
      </c>
      <c r="K412" s="20" t="s">
        <v>133</v>
      </c>
      <c r="L412" s="20" t="s">
        <v>189</v>
      </c>
      <c r="M412" s="20" t="s">
        <v>162</v>
      </c>
      <c r="N412" s="20">
        <v>1500</v>
      </c>
      <c r="O412" s="20" t="s">
        <v>97</v>
      </c>
      <c r="P412" s="20" t="s">
        <v>42</v>
      </c>
      <c r="Q412" s="33"/>
      <c r="R412" s="33"/>
      <c r="S412" s="33"/>
      <c r="T412" s="33">
        <f t="shared" ca="1" si="15"/>
        <v>0</v>
      </c>
      <c r="U412" s="38">
        <f t="shared" ca="1" si="9"/>
        <v>0</v>
      </c>
      <c r="V412" s="38">
        <f t="shared" ca="1" si="10"/>
        <v>0</v>
      </c>
      <c r="W412" s="38">
        <f t="shared" ca="1" si="11"/>
        <v>0</v>
      </c>
      <c r="X412" s="38">
        <f t="shared" ca="1" si="12"/>
        <v>0</v>
      </c>
      <c r="Y412" s="18"/>
    </row>
    <row r="413" spans="1:25" ht="16" x14ac:dyDescent="0.15">
      <c r="A413" s="18"/>
      <c r="B413" s="20" t="s">
        <v>58</v>
      </c>
      <c r="C413" s="20" t="s">
        <v>134</v>
      </c>
      <c r="D413" s="20" t="s">
        <v>171</v>
      </c>
      <c r="E413" s="20" t="s">
        <v>161</v>
      </c>
      <c r="F413" s="20" t="s">
        <v>125</v>
      </c>
      <c r="G413" s="20">
        <v>1500</v>
      </c>
      <c r="H413" s="20" t="s">
        <v>131</v>
      </c>
      <c r="I413" s="20" t="str">
        <f t="shared" si="14"/>
        <v>WSTK-LSHP-NSH-MB-1500-X</v>
      </c>
      <c r="J413" s="20" t="s">
        <v>86</v>
      </c>
      <c r="K413" s="20" t="s">
        <v>133</v>
      </c>
      <c r="L413" s="20" t="s">
        <v>189</v>
      </c>
      <c r="M413" s="20" t="s">
        <v>162</v>
      </c>
      <c r="N413" s="20">
        <v>1500</v>
      </c>
      <c r="O413" s="20" t="s">
        <v>97</v>
      </c>
      <c r="P413" s="20" t="s">
        <v>55</v>
      </c>
      <c r="Q413" s="33"/>
      <c r="R413" s="33"/>
      <c r="S413" s="33"/>
      <c r="T413" s="33">
        <f t="shared" ca="1" si="15"/>
        <v>0</v>
      </c>
      <c r="U413" s="38">
        <f t="shared" ca="1" si="9"/>
        <v>0</v>
      </c>
      <c r="V413" s="38">
        <f t="shared" ca="1" si="10"/>
        <v>0</v>
      </c>
      <c r="W413" s="38">
        <f t="shared" ca="1" si="11"/>
        <v>0</v>
      </c>
      <c r="X413" s="38">
        <f t="shared" ca="1" si="12"/>
        <v>0</v>
      </c>
      <c r="Y413" s="18"/>
    </row>
    <row r="414" spans="1:25" ht="16" x14ac:dyDescent="0.15">
      <c r="A414" s="18"/>
      <c r="B414" s="20" t="s">
        <v>58</v>
      </c>
      <c r="C414" s="20" t="s">
        <v>190</v>
      </c>
      <c r="D414" s="20" t="s">
        <v>61</v>
      </c>
      <c r="E414" s="20" t="s">
        <v>63</v>
      </c>
      <c r="F414" s="20" t="s">
        <v>65</v>
      </c>
      <c r="G414" s="20">
        <f t="shared" ref="G414:G419" si="16">N414</f>
        <v>1200</v>
      </c>
      <c r="H414" s="20"/>
      <c r="I414" s="20" t="str">
        <f t="shared" ref="I414:I419" si="17">CONCATENATE(B414,C414,"-",D414,"-",E414,"-",F414,"-",G414)</f>
        <v>WPNL-LNR-SH-PB-1200</v>
      </c>
      <c r="J414" s="20" t="s">
        <v>86</v>
      </c>
      <c r="K414" s="20" t="s">
        <v>191</v>
      </c>
      <c r="L414" s="20" t="s">
        <v>95</v>
      </c>
      <c r="M414" s="20" t="s">
        <v>96</v>
      </c>
      <c r="N414" s="20">
        <v>1200</v>
      </c>
      <c r="O414" s="20" t="s">
        <v>11</v>
      </c>
      <c r="P414" s="20" t="s">
        <v>192</v>
      </c>
      <c r="Q414" s="33"/>
      <c r="R414" s="33"/>
      <c r="S414" s="33"/>
      <c r="T414" s="33">
        <f>'CALC PANEL WST'!K7</f>
        <v>25200</v>
      </c>
      <c r="U414" s="38"/>
      <c r="V414" s="38"/>
      <c r="W414" s="38"/>
      <c r="X414" s="38"/>
      <c r="Y414" s="18"/>
    </row>
    <row r="415" spans="1:25" ht="16" x14ac:dyDescent="0.15">
      <c r="A415" s="18"/>
      <c r="B415" s="20" t="s">
        <v>58</v>
      </c>
      <c r="C415" s="20" t="s">
        <v>190</v>
      </c>
      <c r="D415" s="20" t="s">
        <v>61</v>
      </c>
      <c r="E415" s="20" t="s">
        <v>161</v>
      </c>
      <c r="F415" s="20" t="s">
        <v>65</v>
      </c>
      <c r="G415" s="20">
        <f t="shared" si="16"/>
        <v>1200</v>
      </c>
      <c r="H415" s="20"/>
      <c r="I415" s="20" t="str">
        <f t="shared" si="17"/>
        <v>WPNL-LNR-NSH-PB-1200</v>
      </c>
      <c r="J415" s="20" t="s">
        <v>86</v>
      </c>
      <c r="K415" s="20" t="s">
        <v>191</v>
      </c>
      <c r="L415" s="20" t="s">
        <v>95</v>
      </c>
      <c r="M415" s="20" t="s">
        <v>162</v>
      </c>
      <c r="N415" s="20">
        <v>1200</v>
      </c>
      <c r="O415" s="20" t="s">
        <v>11</v>
      </c>
      <c r="P415" s="20" t="s">
        <v>192</v>
      </c>
      <c r="Q415" s="33"/>
      <c r="R415" s="33"/>
      <c r="S415" s="33"/>
      <c r="T415" s="33">
        <f>'CALC PANEL WST'!K14</f>
        <v>30500</v>
      </c>
      <c r="U415" s="38"/>
      <c r="V415" s="38"/>
      <c r="W415" s="38"/>
      <c r="X415" s="38"/>
      <c r="Y415" s="18"/>
    </row>
    <row r="416" spans="1:25" ht="16" x14ac:dyDescent="0.15">
      <c r="A416" s="18"/>
      <c r="B416" s="20" t="s">
        <v>58</v>
      </c>
      <c r="C416" s="20" t="s">
        <v>190</v>
      </c>
      <c r="D416" s="20" t="s">
        <v>61</v>
      </c>
      <c r="E416" s="20" t="s">
        <v>193</v>
      </c>
      <c r="F416" s="20" t="s">
        <v>65</v>
      </c>
      <c r="G416" s="20">
        <f t="shared" si="16"/>
        <v>1200</v>
      </c>
      <c r="H416" s="20"/>
      <c r="I416" s="20" t="str">
        <f t="shared" si="17"/>
        <v>WPNL-LNR-SU-PB-1200</v>
      </c>
      <c r="J416" s="20" t="s">
        <v>86</v>
      </c>
      <c r="K416" s="20" t="s">
        <v>191</v>
      </c>
      <c r="L416" s="20" t="s">
        <v>95</v>
      </c>
      <c r="M416" s="20" t="s">
        <v>182</v>
      </c>
      <c r="N416" s="20">
        <v>1200</v>
      </c>
      <c r="O416" s="20" t="s">
        <v>11</v>
      </c>
      <c r="P416" s="20" t="s">
        <v>192</v>
      </c>
      <c r="Q416" s="33"/>
      <c r="R416" s="33"/>
      <c r="S416" s="33"/>
      <c r="T416" s="33">
        <f>'CALC PANEL WST'!K21</f>
        <v>40600</v>
      </c>
      <c r="U416" s="38"/>
      <c r="V416" s="38"/>
      <c r="W416" s="38"/>
      <c r="X416" s="38"/>
      <c r="Y416" s="18"/>
    </row>
    <row r="417" spans="1:25" ht="16" x14ac:dyDescent="0.15">
      <c r="A417" s="18"/>
      <c r="B417" s="20" t="s">
        <v>58</v>
      </c>
      <c r="C417" s="20" t="s">
        <v>190</v>
      </c>
      <c r="D417" s="20" t="s">
        <v>61</v>
      </c>
      <c r="E417" s="20" t="s">
        <v>63</v>
      </c>
      <c r="F417" s="20" t="s">
        <v>65</v>
      </c>
      <c r="G417" s="20">
        <f t="shared" si="16"/>
        <v>1500</v>
      </c>
      <c r="H417" s="20"/>
      <c r="I417" s="20" t="str">
        <f t="shared" si="17"/>
        <v>WPNL-LNR-SH-PB-1500</v>
      </c>
      <c r="J417" s="20" t="s">
        <v>86</v>
      </c>
      <c r="K417" s="20" t="s">
        <v>191</v>
      </c>
      <c r="L417" s="20" t="s">
        <v>95</v>
      </c>
      <c r="M417" s="20" t="s">
        <v>96</v>
      </c>
      <c r="N417" s="20">
        <v>1500</v>
      </c>
      <c r="O417" s="20" t="s">
        <v>11</v>
      </c>
      <c r="P417" s="20" t="s">
        <v>192</v>
      </c>
      <c r="Q417" s="33"/>
      <c r="R417" s="33"/>
      <c r="S417" s="33"/>
      <c r="T417" s="33">
        <f>'CALC PANEL WST'!K28</f>
        <v>28400</v>
      </c>
      <c r="U417" s="38"/>
      <c r="V417" s="38"/>
      <c r="W417" s="38"/>
      <c r="X417" s="38"/>
      <c r="Y417" s="18"/>
    </row>
    <row r="418" spans="1:25" ht="16" x14ac:dyDescent="0.15">
      <c r="A418" s="18"/>
      <c r="B418" s="20" t="s">
        <v>58</v>
      </c>
      <c r="C418" s="20" t="s">
        <v>190</v>
      </c>
      <c r="D418" s="20" t="s">
        <v>61</v>
      </c>
      <c r="E418" s="20" t="s">
        <v>161</v>
      </c>
      <c r="F418" s="20" t="s">
        <v>65</v>
      </c>
      <c r="G418" s="20">
        <f t="shared" si="16"/>
        <v>1500</v>
      </c>
      <c r="H418" s="20"/>
      <c r="I418" s="20" t="str">
        <f t="shared" si="17"/>
        <v>WPNL-LNR-NSH-PB-1500</v>
      </c>
      <c r="J418" s="20" t="s">
        <v>86</v>
      </c>
      <c r="K418" s="20" t="s">
        <v>191</v>
      </c>
      <c r="L418" s="20" t="s">
        <v>95</v>
      </c>
      <c r="M418" s="20" t="s">
        <v>162</v>
      </c>
      <c r="N418" s="20">
        <v>1500</v>
      </c>
      <c r="O418" s="20" t="s">
        <v>11</v>
      </c>
      <c r="P418" s="20" t="s">
        <v>192</v>
      </c>
      <c r="Q418" s="33"/>
      <c r="R418" s="33"/>
      <c r="S418" s="33"/>
      <c r="T418" s="33">
        <f>'CALC PANEL WST'!K35</f>
        <v>36000</v>
      </c>
      <c r="U418" s="38"/>
      <c r="V418" s="38"/>
      <c r="W418" s="38"/>
      <c r="X418" s="38"/>
      <c r="Y418" s="18"/>
    </row>
    <row r="419" spans="1:25" ht="16" x14ac:dyDescent="0.15">
      <c r="A419" s="18"/>
      <c r="B419" s="20" t="s">
        <v>58</v>
      </c>
      <c r="C419" s="20" t="s">
        <v>190</v>
      </c>
      <c r="D419" s="20" t="s">
        <v>61</v>
      </c>
      <c r="E419" s="20" t="s">
        <v>193</v>
      </c>
      <c r="F419" s="20" t="s">
        <v>65</v>
      </c>
      <c r="G419" s="20">
        <f t="shared" si="16"/>
        <v>1500</v>
      </c>
      <c r="H419" s="20"/>
      <c r="I419" s="20" t="str">
        <f t="shared" si="17"/>
        <v>WPNL-LNR-SU-PB-1500</v>
      </c>
      <c r="J419" s="20" t="s">
        <v>86</v>
      </c>
      <c r="K419" s="20" t="s">
        <v>191</v>
      </c>
      <c r="L419" s="20" t="s">
        <v>95</v>
      </c>
      <c r="M419" s="20" t="s">
        <v>182</v>
      </c>
      <c r="N419" s="20">
        <v>1500</v>
      </c>
      <c r="O419" s="20" t="s">
        <v>11</v>
      </c>
      <c r="P419" s="20" t="s">
        <v>192</v>
      </c>
      <c r="Q419" s="33"/>
      <c r="R419" s="33"/>
      <c r="S419" s="33"/>
      <c r="T419" s="33">
        <f>'CALC PANEL WST'!K42</f>
        <v>46100</v>
      </c>
      <c r="U419" s="38"/>
      <c r="V419" s="38"/>
      <c r="W419" s="38"/>
      <c r="X419" s="38"/>
      <c r="Y419" s="18"/>
    </row>
    <row r="420" spans="1:25" ht="14" x14ac:dyDescent="0.1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3"/>
      <c r="R420" s="3"/>
      <c r="S420" s="3"/>
      <c r="T420" s="3"/>
      <c r="U420" s="5"/>
      <c r="V420" s="5"/>
      <c r="W420" s="5"/>
      <c r="X420" s="5"/>
      <c r="Y420" s="18"/>
    </row>
    <row r="421" spans="1:25" ht="43.5" customHeight="1" x14ac:dyDescent="0.15">
      <c r="A421" s="18"/>
      <c r="B421" s="46"/>
      <c r="C421" s="46"/>
      <c r="D421" s="46"/>
      <c r="E421" s="46"/>
      <c r="F421" s="46"/>
      <c r="G421" s="46"/>
      <c r="H421" s="46"/>
      <c r="I421" s="88" t="s">
        <v>194</v>
      </c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46"/>
      <c r="V421" s="46"/>
      <c r="W421" s="46"/>
      <c r="X421" s="46"/>
      <c r="Y421" s="18"/>
    </row>
    <row r="422" spans="1:25" ht="16" x14ac:dyDescent="0.15">
      <c r="A422" s="18"/>
      <c r="B422" s="47" t="s">
        <v>195</v>
      </c>
      <c r="C422" s="47" t="s">
        <v>60</v>
      </c>
      <c r="D422" s="47"/>
      <c r="E422" s="47" t="s">
        <v>196</v>
      </c>
      <c r="F422" s="47" t="s">
        <v>65</v>
      </c>
      <c r="G422" s="47">
        <v>1500</v>
      </c>
      <c r="H422" s="47">
        <v>900</v>
      </c>
      <c r="I422" s="47" t="str">
        <f t="shared" ref="I422:I541" si="18">CONCATENATE(B422, C422,"-",E422,"-",F422,"-",G422,"-",H422)</f>
        <v>MTFLX-SM-PB-1500-900</v>
      </c>
      <c r="J422" s="47" t="s">
        <v>194</v>
      </c>
      <c r="K422" s="47" t="s">
        <v>130</v>
      </c>
      <c r="L422" s="47"/>
      <c r="M422" s="47" t="s">
        <v>197</v>
      </c>
      <c r="N422" s="48" t="s">
        <v>198</v>
      </c>
      <c r="O422" s="47" t="s">
        <v>11</v>
      </c>
      <c r="P422" s="49" t="s">
        <v>199</v>
      </c>
      <c r="Q422" s="50"/>
      <c r="R422" s="50" t="s">
        <v>160</v>
      </c>
      <c r="S422" s="50"/>
      <c r="T422" s="50">
        <f t="shared" ref="T422:T469" ca="1" si="19">INDIRECT("'CALC ECO MEETING'!P"&amp;(ROW()-407)*7)</f>
        <v>120600</v>
      </c>
      <c r="U422" s="51">
        <f t="shared" ref="U422:U541" ca="1" si="20">T422*0.9</f>
        <v>108540</v>
      </c>
      <c r="V422" s="51">
        <f t="shared" ref="V422:V541" ca="1" si="21">T422*0.85</f>
        <v>102510</v>
      </c>
      <c r="W422" s="51">
        <f t="shared" ref="W422:W541" ca="1" si="22">T422*0.8</f>
        <v>96480</v>
      </c>
      <c r="X422" s="51">
        <f t="shared" ref="X422:X541" ca="1" si="23">T422*0.7</f>
        <v>84420</v>
      </c>
      <c r="Y422" s="18"/>
    </row>
    <row r="423" spans="1:25" ht="16" x14ac:dyDescent="0.15">
      <c r="A423" s="18"/>
      <c r="B423" s="47" t="s">
        <v>195</v>
      </c>
      <c r="C423" s="47" t="s">
        <v>60</v>
      </c>
      <c r="D423" s="47"/>
      <c r="E423" s="47" t="s">
        <v>196</v>
      </c>
      <c r="F423" s="47" t="s">
        <v>112</v>
      </c>
      <c r="G423" s="47">
        <v>1500</v>
      </c>
      <c r="H423" s="47">
        <v>900</v>
      </c>
      <c r="I423" s="47" t="str">
        <f t="shared" si="18"/>
        <v>MTFLX-SM-PLM-1500-900</v>
      </c>
      <c r="J423" s="47" t="s">
        <v>194</v>
      </c>
      <c r="K423" s="47" t="s">
        <v>130</v>
      </c>
      <c r="L423" s="47"/>
      <c r="M423" s="47" t="s">
        <v>197</v>
      </c>
      <c r="N423" s="48" t="s">
        <v>198</v>
      </c>
      <c r="O423" s="47" t="s">
        <v>31</v>
      </c>
      <c r="P423" s="49" t="s">
        <v>199</v>
      </c>
      <c r="Q423" s="50"/>
      <c r="R423" s="50"/>
      <c r="S423" s="50"/>
      <c r="T423" s="50">
        <f t="shared" ca="1" si="19"/>
        <v>137900</v>
      </c>
      <c r="U423" s="51">
        <f t="shared" ca="1" si="20"/>
        <v>124110</v>
      </c>
      <c r="V423" s="51">
        <f t="shared" ca="1" si="21"/>
        <v>117215</v>
      </c>
      <c r="W423" s="51">
        <f t="shared" ca="1" si="22"/>
        <v>110320</v>
      </c>
      <c r="X423" s="51">
        <f t="shared" ca="1" si="23"/>
        <v>96530</v>
      </c>
      <c r="Y423" s="18"/>
    </row>
    <row r="424" spans="1:25" ht="16" x14ac:dyDescent="0.15">
      <c r="A424" s="18"/>
      <c r="B424" s="47" t="s">
        <v>195</v>
      </c>
      <c r="C424" s="47" t="s">
        <v>60</v>
      </c>
      <c r="D424" s="47"/>
      <c r="E424" s="47" t="s">
        <v>196</v>
      </c>
      <c r="F424" s="47" t="s">
        <v>114</v>
      </c>
      <c r="G424" s="47">
        <v>1500</v>
      </c>
      <c r="H424" s="47">
        <v>900</v>
      </c>
      <c r="I424" s="47" t="str">
        <f t="shared" si="18"/>
        <v>MTFLX-SM-PoLM-1500-900</v>
      </c>
      <c r="J424" s="47" t="s">
        <v>194</v>
      </c>
      <c r="K424" s="47" t="s">
        <v>130</v>
      </c>
      <c r="L424" s="47"/>
      <c r="M424" s="47" t="s">
        <v>197</v>
      </c>
      <c r="N424" s="48" t="s">
        <v>198</v>
      </c>
      <c r="O424" s="47" t="s">
        <v>47</v>
      </c>
      <c r="P424" s="49" t="s">
        <v>199</v>
      </c>
      <c r="Q424" s="50"/>
      <c r="R424" s="50"/>
      <c r="S424" s="50"/>
      <c r="T424" s="50">
        <f t="shared" ca="1" si="19"/>
        <v>146600</v>
      </c>
      <c r="U424" s="51">
        <f t="shared" ca="1" si="20"/>
        <v>131940</v>
      </c>
      <c r="V424" s="51">
        <f t="shared" ca="1" si="21"/>
        <v>124610</v>
      </c>
      <c r="W424" s="51">
        <f t="shared" ca="1" si="22"/>
        <v>117280</v>
      </c>
      <c r="X424" s="51">
        <f t="shared" ca="1" si="23"/>
        <v>102620</v>
      </c>
      <c r="Y424" s="18"/>
    </row>
    <row r="425" spans="1:25" ht="16" x14ac:dyDescent="0.15">
      <c r="A425" s="18"/>
      <c r="B425" s="47" t="s">
        <v>195</v>
      </c>
      <c r="C425" s="47" t="s">
        <v>60</v>
      </c>
      <c r="D425" s="47"/>
      <c r="E425" s="47" t="s">
        <v>196</v>
      </c>
      <c r="F425" s="47" t="s">
        <v>117</v>
      </c>
      <c r="G425" s="47">
        <v>1500</v>
      </c>
      <c r="H425" s="47">
        <v>900</v>
      </c>
      <c r="I425" s="47" t="str">
        <f t="shared" si="18"/>
        <v>MTFLX-SM-LVM-1500-900</v>
      </c>
      <c r="J425" s="47" t="s">
        <v>194</v>
      </c>
      <c r="K425" s="47" t="s">
        <v>130</v>
      </c>
      <c r="L425" s="47"/>
      <c r="M425" s="47" t="s">
        <v>197</v>
      </c>
      <c r="N425" s="48" t="s">
        <v>198</v>
      </c>
      <c r="O425" s="47" t="s">
        <v>157</v>
      </c>
      <c r="P425" s="49" t="s">
        <v>199</v>
      </c>
      <c r="Q425" s="50"/>
      <c r="R425" s="50" t="s">
        <v>200</v>
      </c>
      <c r="S425" s="50"/>
      <c r="T425" s="50">
        <f t="shared" ca="1" si="19"/>
        <v>120600</v>
      </c>
      <c r="U425" s="51">
        <f t="shared" ca="1" si="20"/>
        <v>108540</v>
      </c>
      <c r="V425" s="51">
        <f t="shared" ca="1" si="21"/>
        <v>102510</v>
      </c>
      <c r="W425" s="51">
        <f t="shared" ca="1" si="22"/>
        <v>96480</v>
      </c>
      <c r="X425" s="51">
        <f t="shared" ca="1" si="23"/>
        <v>84420</v>
      </c>
      <c r="Y425" s="18"/>
    </row>
    <row r="426" spans="1:25" ht="16" x14ac:dyDescent="0.15">
      <c r="A426" s="18"/>
      <c r="B426" s="47" t="s">
        <v>195</v>
      </c>
      <c r="C426" s="47" t="s">
        <v>60</v>
      </c>
      <c r="D426" s="47"/>
      <c r="E426" s="47" t="s">
        <v>196</v>
      </c>
      <c r="F426" s="47" t="s">
        <v>119</v>
      </c>
      <c r="G426" s="47">
        <v>1500</v>
      </c>
      <c r="H426" s="47">
        <v>900</v>
      </c>
      <c r="I426" s="47" t="str">
        <f t="shared" si="18"/>
        <v>MTFLX-SM-LVP-1500-900</v>
      </c>
      <c r="J426" s="47" t="s">
        <v>194</v>
      </c>
      <c r="K426" s="47" t="s">
        <v>130</v>
      </c>
      <c r="L426" s="47"/>
      <c r="M426" s="47" t="s">
        <v>197</v>
      </c>
      <c r="N426" s="48" t="s">
        <v>198</v>
      </c>
      <c r="O426" s="47" t="s">
        <v>158</v>
      </c>
      <c r="P426" s="49" t="s">
        <v>199</v>
      </c>
      <c r="Q426" s="50"/>
      <c r="R426" s="50"/>
      <c r="S426" s="50"/>
      <c r="T426" s="50">
        <f t="shared" ca="1" si="19"/>
        <v>88600</v>
      </c>
      <c r="U426" s="51">
        <f t="shared" ca="1" si="20"/>
        <v>79740</v>
      </c>
      <c r="V426" s="51">
        <f t="shared" ca="1" si="21"/>
        <v>75310</v>
      </c>
      <c r="W426" s="51">
        <f t="shared" ca="1" si="22"/>
        <v>70880</v>
      </c>
      <c r="X426" s="51">
        <f t="shared" ca="1" si="23"/>
        <v>62019.999999999993</v>
      </c>
      <c r="Y426" s="18"/>
    </row>
    <row r="427" spans="1:25" ht="16" x14ac:dyDescent="0.15">
      <c r="A427" s="18"/>
      <c r="B427" s="47" t="s">
        <v>195</v>
      </c>
      <c r="C427" s="47" t="s">
        <v>60</v>
      </c>
      <c r="D427" s="47"/>
      <c r="E427" s="47" t="s">
        <v>196</v>
      </c>
      <c r="F427" s="47" t="s">
        <v>123</v>
      </c>
      <c r="G427" s="47">
        <v>1500</v>
      </c>
      <c r="H427" s="47">
        <v>900</v>
      </c>
      <c r="I427" s="47" t="str">
        <f t="shared" si="18"/>
        <v>MTFLX-SM-GL-1500-900</v>
      </c>
      <c r="J427" s="47" t="s">
        <v>194</v>
      </c>
      <c r="K427" s="47" t="s">
        <v>130</v>
      </c>
      <c r="L427" s="47"/>
      <c r="M427" s="47" t="s">
        <v>197</v>
      </c>
      <c r="N427" s="48" t="s">
        <v>198</v>
      </c>
      <c r="O427" s="47" t="s">
        <v>42</v>
      </c>
      <c r="P427" s="49" t="s">
        <v>199</v>
      </c>
      <c r="Q427" s="50"/>
      <c r="R427" s="50"/>
      <c r="S427" s="50"/>
      <c r="T427" s="50">
        <f t="shared" ca="1" si="19"/>
        <v>97800</v>
      </c>
      <c r="U427" s="51">
        <f t="shared" ca="1" si="20"/>
        <v>88020</v>
      </c>
      <c r="V427" s="51">
        <f t="shared" ca="1" si="21"/>
        <v>83130</v>
      </c>
      <c r="W427" s="51">
        <f t="shared" ca="1" si="22"/>
        <v>78240</v>
      </c>
      <c r="X427" s="51">
        <f t="shared" ca="1" si="23"/>
        <v>68460</v>
      </c>
      <c r="Y427" s="18"/>
    </row>
    <row r="428" spans="1:25" ht="16" x14ac:dyDescent="0.15">
      <c r="A428" s="18"/>
      <c r="B428" s="47" t="s">
        <v>195</v>
      </c>
      <c r="C428" s="47" t="s">
        <v>60</v>
      </c>
      <c r="D428" s="47"/>
      <c r="E428" s="47" t="s">
        <v>201</v>
      </c>
      <c r="F428" s="47" t="s">
        <v>65</v>
      </c>
      <c r="G428" s="47">
        <v>2400</v>
      </c>
      <c r="H428" s="47">
        <v>1200</v>
      </c>
      <c r="I428" s="47" t="str">
        <f t="shared" si="18"/>
        <v>MTFLX-MD-PB-2400-1200</v>
      </c>
      <c r="J428" s="47" t="s">
        <v>194</v>
      </c>
      <c r="K428" s="47" t="s">
        <v>130</v>
      </c>
      <c r="L428" s="47"/>
      <c r="M428" s="47" t="s">
        <v>202</v>
      </c>
      <c r="N428" s="48" t="s">
        <v>203</v>
      </c>
      <c r="O428" s="47" t="s">
        <v>11</v>
      </c>
      <c r="P428" s="49" t="s">
        <v>199</v>
      </c>
      <c r="Q428" s="50"/>
      <c r="R428" s="50"/>
      <c r="S428" s="50"/>
      <c r="T428" s="50">
        <f t="shared" ca="1" si="19"/>
        <v>149700</v>
      </c>
      <c r="U428" s="51">
        <f t="shared" ca="1" si="20"/>
        <v>134730</v>
      </c>
      <c r="V428" s="51">
        <f t="shared" ca="1" si="21"/>
        <v>127245</v>
      </c>
      <c r="W428" s="51">
        <f t="shared" ca="1" si="22"/>
        <v>119760</v>
      </c>
      <c r="X428" s="51">
        <f t="shared" ca="1" si="23"/>
        <v>104790</v>
      </c>
      <c r="Y428" s="18"/>
    </row>
    <row r="429" spans="1:25" ht="16" x14ac:dyDescent="0.15">
      <c r="A429" s="18"/>
      <c r="B429" s="47" t="s">
        <v>195</v>
      </c>
      <c r="C429" s="47" t="s">
        <v>60</v>
      </c>
      <c r="D429" s="47"/>
      <c r="E429" s="47" t="s">
        <v>201</v>
      </c>
      <c r="F429" s="47" t="s">
        <v>112</v>
      </c>
      <c r="G429" s="47">
        <v>2400</v>
      </c>
      <c r="H429" s="47">
        <v>1200</v>
      </c>
      <c r="I429" s="47" t="str">
        <f t="shared" si="18"/>
        <v>MTFLX-MD-PLM-2400-1200</v>
      </c>
      <c r="J429" s="47" t="s">
        <v>194</v>
      </c>
      <c r="K429" s="47" t="s">
        <v>130</v>
      </c>
      <c r="L429" s="47"/>
      <c r="M429" s="47" t="s">
        <v>202</v>
      </c>
      <c r="N429" s="48" t="s">
        <v>203</v>
      </c>
      <c r="O429" s="47" t="s">
        <v>31</v>
      </c>
      <c r="P429" s="49" t="s">
        <v>199</v>
      </c>
      <c r="Q429" s="50"/>
      <c r="R429" s="50"/>
      <c r="S429" s="50"/>
      <c r="T429" s="50">
        <f t="shared" ca="1" si="19"/>
        <v>172700</v>
      </c>
      <c r="U429" s="51">
        <f t="shared" ca="1" si="20"/>
        <v>155430</v>
      </c>
      <c r="V429" s="51">
        <f t="shared" ca="1" si="21"/>
        <v>146795</v>
      </c>
      <c r="W429" s="51">
        <f t="shared" ca="1" si="22"/>
        <v>138160</v>
      </c>
      <c r="X429" s="51">
        <f t="shared" ca="1" si="23"/>
        <v>120889.99999999999</v>
      </c>
      <c r="Y429" s="18"/>
    </row>
    <row r="430" spans="1:25" ht="16" x14ac:dyDescent="0.15">
      <c r="A430" s="18"/>
      <c r="B430" s="47" t="s">
        <v>195</v>
      </c>
      <c r="C430" s="47" t="s">
        <v>60</v>
      </c>
      <c r="D430" s="47"/>
      <c r="E430" s="47" t="s">
        <v>201</v>
      </c>
      <c r="F430" s="47" t="s">
        <v>114</v>
      </c>
      <c r="G430" s="47">
        <v>2400</v>
      </c>
      <c r="H430" s="47">
        <v>1200</v>
      </c>
      <c r="I430" s="47" t="str">
        <f t="shared" si="18"/>
        <v>MTFLX-MD-PoLM-2400-1200</v>
      </c>
      <c r="J430" s="47" t="s">
        <v>194</v>
      </c>
      <c r="K430" s="47" t="s">
        <v>130</v>
      </c>
      <c r="L430" s="47"/>
      <c r="M430" s="47" t="s">
        <v>202</v>
      </c>
      <c r="N430" s="48" t="s">
        <v>203</v>
      </c>
      <c r="O430" s="47" t="s">
        <v>47</v>
      </c>
      <c r="P430" s="49" t="s">
        <v>199</v>
      </c>
      <c r="Q430" s="50"/>
      <c r="R430" s="50"/>
      <c r="S430" s="50"/>
      <c r="T430" s="50">
        <f t="shared" ca="1" si="19"/>
        <v>184200</v>
      </c>
      <c r="U430" s="51">
        <f t="shared" ca="1" si="20"/>
        <v>165780</v>
      </c>
      <c r="V430" s="51">
        <f t="shared" ca="1" si="21"/>
        <v>156570</v>
      </c>
      <c r="W430" s="51">
        <f t="shared" ca="1" si="22"/>
        <v>147360</v>
      </c>
      <c r="X430" s="51">
        <f t="shared" ca="1" si="23"/>
        <v>128939.99999999999</v>
      </c>
      <c r="Y430" s="18"/>
    </row>
    <row r="431" spans="1:25" ht="16" x14ac:dyDescent="0.15">
      <c r="A431" s="18"/>
      <c r="B431" s="47" t="s">
        <v>195</v>
      </c>
      <c r="C431" s="47" t="s">
        <v>60</v>
      </c>
      <c r="D431" s="47"/>
      <c r="E431" s="47" t="s">
        <v>201</v>
      </c>
      <c r="F431" s="47" t="s">
        <v>117</v>
      </c>
      <c r="G431" s="47">
        <v>2400</v>
      </c>
      <c r="H431" s="47">
        <v>1200</v>
      </c>
      <c r="I431" s="47" t="str">
        <f t="shared" si="18"/>
        <v>MTFLX-MD-LVM-2400-1200</v>
      </c>
      <c r="J431" s="47" t="s">
        <v>194</v>
      </c>
      <c r="K431" s="47" t="s">
        <v>130</v>
      </c>
      <c r="L431" s="47"/>
      <c r="M431" s="47" t="s">
        <v>202</v>
      </c>
      <c r="N431" s="48" t="s">
        <v>203</v>
      </c>
      <c r="O431" s="47" t="s">
        <v>157</v>
      </c>
      <c r="P431" s="49" t="s">
        <v>199</v>
      </c>
      <c r="Q431" s="50"/>
      <c r="R431" s="50"/>
      <c r="S431" s="50"/>
      <c r="T431" s="50">
        <f t="shared" ca="1" si="19"/>
        <v>149700</v>
      </c>
      <c r="U431" s="51">
        <f t="shared" ca="1" si="20"/>
        <v>134730</v>
      </c>
      <c r="V431" s="51">
        <f t="shared" ca="1" si="21"/>
        <v>127245</v>
      </c>
      <c r="W431" s="51">
        <f t="shared" ca="1" si="22"/>
        <v>119760</v>
      </c>
      <c r="X431" s="51">
        <f t="shared" ca="1" si="23"/>
        <v>104790</v>
      </c>
      <c r="Y431" s="18"/>
    </row>
    <row r="432" spans="1:25" ht="16" x14ac:dyDescent="0.15">
      <c r="A432" s="18"/>
      <c r="B432" s="47" t="s">
        <v>195</v>
      </c>
      <c r="C432" s="47" t="s">
        <v>60</v>
      </c>
      <c r="D432" s="47"/>
      <c r="E432" s="47" t="s">
        <v>201</v>
      </c>
      <c r="F432" s="47" t="s">
        <v>119</v>
      </c>
      <c r="G432" s="47">
        <v>2400</v>
      </c>
      <c r="H432" s="47">
        <v>1200</v>
      </c>
      <c r="I432" s="47" t="str">
        <f t="shared" si="18"/>
        <v>MTFLX-MD-LVP-2400-1200</v>
      </c>
      <c r="J432" s="47" t="s">
        <v>194</v>
      </c>
      <c r="K432" s="47" t="s">
        <v>130</v>
      </c>
      <c r="L432" s="47"/>
      <c r="M432" s="47" t="s">
        <v>202</v>
      </c>
      <c r="N432" s="48" t="s">
        <v>203</v>
      </c>
      <c r="O432" s="47" t="s">
        <v>158</v>
      </c>
      <c r="P432" s="49" t="s">
        <v>199</v>
      </c>
      <c r="Q432" s="50"/>
      <c r="R432" s="50"/>
      <c r="S432" s="50"/>
      <c r="T432" s="50">
        <f t="shared" ca="1" si="19"/>
        <v>36700</v>
      </c>
      <c r="U432" s="51">
        <f t="shared" ca="1" si="20"/>
        <v>33030</v>
      </c>
      <c r="V432" s="51">
        <f t="shared" ca="1" si="21"/>
        <v>31195</v>
      </c>
      <c r="W432" s="51">
        <f t="shared" ca="1" si="22"/>
        <v>29360</v>
      </c>
      <c r="X432" s="51">
        <f t="shared" ca="1" si="23"/>
        <v>25690</v>
      </c>
      <c r="Y432" s="18"/>
    </row>
    <row r="433" spans="1:25" ht="16" x14ac:dyDescent="0.15">
      <c r="A433" s="18"/>
      <c r="B433" s="47" t="s">
        <v>195</v>
      </c>
      <c r="C433" s="47" t="s">
        <v>60</v>
      </c>
      <c r="D433" s="47"/>
      <c r="E433" s="47" t="s">
        <v>201</v>
      </c>
      <c r="F433" s="47" t="s">
        <v>123</v>
      </c>
      <c r="G433" s="47">
        <v>2400</v>
      </c>
      <c r="H433" s="47">
        <v>1200</v>
      </c>
      <c r="I433" s="47" t="str">
        <f t="shared" si="18"/>
        <v>MTFLX-MD-GL-2400-1200</v>
      </c>
      <c r="J433" s="47" t="s">
        <v>194</v>
      </c>
      <c r="K433" s="47" t="s">
        <v>130</v>
      </c>
      <c r="L433" s="47"/>
      <c r="M433" s="47" t="s">
        <v>202</v>
      </c>
      <c r="N433" s="48" t="s">
        <v>203</v>
      </c>
      <c r="O433" s="47" t="s">
        <v>42</v>
      </c>
      <c r="P433" s="49" t="s">
        <v>199</v>
      </c>
      <c r="Q433" s="50"/>
      <c r="R433" s="50"/>
      <c r="S433" s="50"/>
      <c r="T433" s="50">
        <f t="shared" ca="1" si="19"/>
        <v>38900</v>
      </c>
      <c r="U433" s="51">
        <f t="shared" ca="1" si="20"/>
        <v>35010</v>
      </c>
      <c r="V433" s="51">
        <f t="shared" ca="1" si="21"/>
        <v>33065</v>
      </c>
      <c r="W433" s="51">
        <f t="shared" ca="1" si="22"/>
        <v>31120</v>
      </c>
      <c r="X433" s="51">
        <f t="shared" ca="1" si="23"/>
        <v>27230</v>
      </c>
      <c r="Y433" s="18"/>
    </row>
    <row r="434" spans="1:25" ht="16" x14ac:dyDescent="0.15">
      <c r="A434" s="18"/>
      <c r="B434" s="47" t="s">
        <v>195</v>
      </c>
      <c r="C434" s="47" t="s">
        <v>60</v>
      </c>
      <c r="D434" s="47"/>
      <c r="E434" s="47" t="s">
        <v>204</v>
      </c>
      <c r="F434" s="47" t="s">
        <v>65</v>
      </c>
      <c r="G434" s="47">
        <v>3600</v>
      </c>
      <c r="H434" s="47">
        <v>1200</v>
      </c>
      <c r="I434" s="47" t="str">
        <f t="shared" si="18"/>
        <v>MTFLX-LG-PB-3600-1200</v>
      </c>
      <c r="J434" s="47" t="s">
        <v>194</v>
      </c>
      <c r="K434" s="47" t="s">
        <v>130</v>
      </c>
      <c r="L434" s="47"/>
      <c r="M434" s="47" t="s">
        <v>205</v>
      </c>
      <c r="N434" s="48" t="s">
        <v>206</v>
      </c>
      <c r="O434" s="47" t="s">
        <v>11</v>
      </c>
      <c r="P434" s="49" t="s">
        <v>199</v>
      </c>
      <c r="Q434" s="50"/>
      <c r="R434" s="50"/>
      <c r="S434" s="50"/>
      <c r="T434" s="50">
        <f t="shared" ca="1" si="19"/>
        <v>51000</v>
      </c>
      <c r="U434" s="51">
        <f t="shared" ca="1" si="20"/>
        <v>45900</v>
      </c>
      <c r="V434" s="51">
        <f t="shared" ca="1" si="21"/>
        <v>43350</v>
      </c>
      <c r="W434" s="51">
        <f t="shared" ca="1" si="22"/>
        <v>40800</v>
      </c>
      <c r="X434" s="51">
        <f t="shared" ca="1" si="23"/>
        <v>35700</v>
      </c>
      <c r="Y434" s="18"/>
    </row>
    <row r="435" spans="1:25" ht="16" x14ac:dyDescent="0.15">
      <c r="A435" s="18"/>
      <c r="B435" s="47" t="s">
        <v>195</v>
      </c>
      <c r="C435" s="47" t="s">
        <v>60</v>
      </c>
      <c r="D435" s="47"/>
      <c r="E435" s="47" t="s">
        <v>204</v>
      </c>
      <c r="F435" s="47" t="s">
        <v>112</v>
      </c>
      <c r="G435" s="47">
        <v>3600</v>
      </c>
      <c r="H435" s="47">
        <v>1200</v>
      </c>
      <c r="I435" s="47" t="str">
        <f t="shared" si="18"/>
        <v>MTFLX-LG-PLM-3600-1200</v>
      </c>
      <c r="J435" s="47" t="s">
        <v>194</v>
      </c>
      <c r="K435" s="47" t="s">
        <v>130</v>
      </c>
      <c r="L435" s="47"/>
      <c r="M435" s="47" t="s">
        <v>205</v>
      </c>
      <c r="N435" s="48" t="s">
        <v>206</v>
      </c>
      <c r="O435" s="47" t="s">
        <v>31</v>
      </c>
      <c r="P435" s="49" t="s">
        <v>199</v>
      </c>
      <c r="Q435" s="50"/>
      <c r="R435" s="50"/>
      <c r="S435" s="50"/>
      <c r="T435" s="50">
        <f t="shared" ca="1" si="19"/>
        <v>56400</v>
      </c>
      <c r="U435" s="51">
        <f t="shared" ca="1" si="20"/>
        <v>50760</v>
      </c>
      <c r="V435" s="51">
        <f t="shared" ca="1" si="21"/>
        <v>47940</v>
      </c>
      <c r="W435" s="51">
        <f t="shared" ca="1" si="22"/>
        <v>45120</v>
      </c>
      <c r="X435" s="51">
        <f t="shared" ca="1" si="23"/>
        <v>39480</v>
      </c>
      <c r="Y435" s="18"/>
    </row>
    <row r="436" spans="1:25" ht="16" x14ac:dyDescent="0.15">
      <c r="A436" s="18"/>
      <c r="B436" s="47" t="s">
        <v>195</v>
      </c>
      <c r="C436" s="47" t="s">
        <v>60</v>
      </c>
      <c r="D436" s="47"/>
      <c r="E436" s="47" t="s">
        <v>204</v>
      </c>
      <c r="F436" s="47" t="s">
        <v>114</v>
      </c>
      <c r="G436" s="47">
        <v>3600</v>
      </c>
      <c r="H436" s="47">
        <v>1200</v>
      </c>
      <c r="I436" s="47" t="str">
        <f t="shared" si="18"/>
        <v>MTFLX-LG-PoLM-3600-1200</v>
      </c>
      <c r="J436" s="47" t="s">
        <v>194</v>
      </c>
      <c r="K436" s="47" t="s">
        <v>130</v>
      </c>
      <c r="L436" s="47"/>
      <c r="M436" s="47" t="s">
        <v>205</v>
      </c>
      <c r="N436" s="48" t="s">
        <v>206</v>
      </c>
      <c r="O436" s="47" t="s">
        <v>47</v>
      </c>
      <c r="P436" s="49" t="s">
        <v>199</v>
      </c>
      <c r="Q436" s="50"/>
      <c r="R436" s="50"/>
      <c r="S436" s="50"/>
      <c r="T436" s="50">
        <f t="shared" ca="1" si="19"/>
        <v>59100</v>
      </c>
      <c r="U436" s="51">
        <f t="shared" ca="1" si="20"/>
        <v>53190</v>
      </c>
      <c r="V436" s="51">
        <f t="shared" ca="1" si="21"/>
        <v>50235</v>
      </c>
      <c r="W436" s="51">
        <f t="shared" ca="1" si="22"/>
        <v>47280</v>
      </c>
      <c r="X436" s="51">
        <f t="shared" ca="1" si="23"/>
        <v>41370</v>
      </c>
      <c r="Y436" s="18"/>
    </row>
    <row r="437" spans="1:25" ht="16" x14ac:dyDescent="0.15">
      <c r="A437" s="18"/>
      <c r="B437" s="47" t="s">
        <v>195</v>
      </c>
      <c r="C437" s="47" t="s">
        <v>60</v>
      </c>
      <c r="D437" s="47"/>
      <c r="E437" s="47" t="s">
        <v>204</v>
      </c>
      <c r="F437" s="47" t="s">
        <v>117</v>
      </c>
      <c r="G437" s="47">
        <v>3600</v>
      </c>
      <c r="H437" s="47">
        <v>1200</v>
      </c>
      <c r="I437" s="47" t="str">
        <f t="shared" si="18"/>
        <v>MTFLX-LG-LVM-3600-1200</v>
      </c>
      <c r="J437" s="47" t="s">
        <v>194</v>
      </c>
      <c r="K437" s="47" t="s">
        <v>130</v>
      </c>
      <c r="L437" s="47"/>
      <c r="M437" s="47" t="s">
        <v>205</v>
      </c>
      <c r="N437" s="48" t="s">
        <v>206</v>
      </c>
      <c r="O437" s="47" t="s">
        <v>157</v>
      </c>
      <c r="P437" s="49" t="s">
        <v>199</v>
      </c>
      <c r="Q437" s="50"/>
      <c r="R437" s="50"/>
      <c r="S437" s="50"/>
      <c r="T437" s="50">
        <f t="shared" ca="1" si="19"/>
        <v>51000</v>
      </c>
      <c r="U437" s="51">
        <f t="shared" ca="1" si="20"/>
        <v>45900</v>
      </c>
      <c r="V437" s="51">
        <f t="shared" ca="1" si="21"/>
        <v>43350</v>
      </c>
      <c r="W437" s="51">
        <f t="shared" ca="1" si="22"/>
        <v>40800</v>
      </c>
      <c r="X437" s="51">
        <f t="shared" ca="1" si="23"/>
        <v>35700</v>
      </c>
      <c r="Y437" s="18"/>
    </row>
    <row r="438" spans="1:25" ht="16" x14ac:dyDescent="0.15">
      <c r="A438" s="18"/>
      <c r="B438" s="47" t="s">
        <v>195</v>
      </c>
      <c r="C438" s="47" t="s">
        <v>60</v>
      </c>
      <c r="D438" s="47"/>
      <c r="E438" s="47" t="s">
        <v>204</v>
      </c>
      <c r="F438" s="47" t="s">
        <v>119</v>
      </c>
      <c r="G438" s="47">
        <v>3600</v>
      </c>
      <c r="H438" s="47">
        <v>1200</v>
      </c>
      <c r="I438" s="47" t="str">
        <f t="shared" si="18"/>
        <v>MTFLX-LG-LVP-3600-1200</v>
      </c>
      <c r="J438" s="47" t="s">
        <v>194</v>
      </c>
      <c r="K438" s="47" t="s">
        <v>130</v>
      </c>
      <c r="L438" s="47"/>
      <c r="M438" s="47" t="s">
        <v>205</v>
      </c>
      <c r="N438" s="48" t="s">
        <v>206</v>
      </c>
      <c r="O438" s="47" t="s">
        <v>158</v>
      </c>
      <c r="P438" s="49" t="s">
        <v>199</v>
      </c>
      <c r="Q438" s="50"/>
      <c r="R438" s="50"/>
      <c r="S438" s="50"/>
      <c r="T438" s="50">
        <f t="shared" ca="1" si="19"/>
        <v>58700</v>
      </c>
      <c r="U438" s="51">
        <f t="shared" ca="1" si="20"/>
        <v>52830</v>
      </c>
      <c r="V438" s="51">
        <f t="shared" ca="1" si="21"/>
        <v>49895</v>
      </c>
      <c r="W438" s="51">
        <f t="shared" ca="1" si="22"/>
        <v>46960</v>
      </c>
      <c r="X438" s="51">
        <f t="shared" ca="1" si="23"/>
        <v>41090</v>
      </c>
      <c r="Y438" s="18"/>
    </row>
    <row r="439" spans="1:25" ht="16" x14ac:dyDescent="0.15">
      <c r="A439" s="18"/>
      <c r="B439" s="47" t="s">
        <v>195</v>
      </c>
      <c r="C439" s="47" t="s">
        <v>60</v>
      </c>
      <c r="D439" s="47"/>
      <c r="E439" s="47" t="s">
        <v>204</v>
      </c>
      <c r="F439" s="47" t="s">
        <v>123</v>
      </c>
      <c r="G439" s="47">
        <v>3600</v>
      </c>
      <c r="H439" s="47">
        <v>1200</v>
      </c>
      <c r="I439" s="47" t="str">
        <f t="shared" si="18"/>
        <v>MTFLX-LG-GL-3600-1200</v>
      </c>
      <c r="J439" s="47" t="s">
        <v>194</v>
      </c>
      <c r="K439" s="47" t="s">
        <v>130</v>
      </c>
      <c r="L439" s="47"/>
      <c r="M439" s="47" t="s">
        <v>205</v>
      </c>
      <c r="N439" s="48" t="s">
        <v>206</v>
      </c>
      <c r="O439" s="47" t="s">
        <v>42</v>
      </c>
      <c r="P439" s="49" t="s">
        <v>199</v>
      </c>
      <c r="Q439" s="50"/>
      <c r="R439" s="50"/>
      <c r="S439" s="50"/>
      <c r="T439" s="50">
        <f t="shared" ca="1" si="19"/>
        <v>63300</v>
      </c>
      <c r="U439" s="51">
        <f t="shared" ca="1" si="20"/>
        <v>56970</v>
      </c>
      <c r="V439" s="51">
        <f t="shared" ca="1" si="21"/>
        <v>53805</v>
      </c>
      <c r="W439" s="51">
        <f t="shared" ca="1" si="22"/>
        <v>50640</v>
      </c>
      <c r="X439" s="51">
        <f t="shared" ca="1" si="23"/>
        <v>44310</v>
      </c>
      <c r="Y439" s="18"/>
    </row>
    <row r="440" spans="1:25" ht="16" x14ac:dyDescent="0.15">
      <c r="A440" s="18"/>
      <c r="B440" s="47" t="s">
        <v>195</v>
      </c>
      <c r="C440" s="47" t="s">
        <v>60</v>
      </c>
      <c r="D440" s="47"/>
      <c r="E440" s="47" t="s">
        <v>207</v>
      </c>
      <c r="F440" s="47" t="s">
        <v>65</v>
      </c>
      <c r="G440" s="47">
        <v>4800</v>
      </c>
      <c r="H440" s="47">
        <v>1200</v>
      </c>
      <c r="I440" s="47" t="str">
        <f t="shared" si="18"/>
        <v>MTFLX-XL-PB-4800-1200</v>
      </c>
      <c r="J440" s="47" t="s">
        <v>194</v>
      </c>
      <c r="K440" s="47" t="s">
        <v>130</v>
      </c>
      <c r="L440" s="47"/>
      <c r="M440" s="47" t="s">
        <v>207</v>
      </c>
      <c r="N440" s="48" t="s">
        <v>208</v>
      </c>
      <c r="O440" s="47" t="s">
        <v>11</v>
      </c>
      <c r="P440" s="49" t="s">
        <v>199</v>
      </c>
      <c r="Q440" s="50"/>
      <c r="R440" s="50"/>
      <c r="S440" s="50"/>
      <c r="T440" s="50">
        <f t="shared" ca="1" si="19"/>
        <v>89200</v>
      </c>
      <c r="U440" s="51">
        <f t="shared" ca="1" si="20"/>
        <v>80280</v>
      </c>
      <c r="V440" s="51">
        <f t="shared" ca="1" si="21"/>
        <v>75820</v>
      </c>
      <c r="W440" s="51">
        <f t="shared" ca="1" si="22"/>
        <v>71360</v>
      </c>
      <c r="X440" s="51">
        <f t="shared" ca="1" si="23"/>
        <v>62439.999999999993</v>
      </c>
      <c r="Y440" s="18"/>
    </row>
    <row r="441" spans="1:25" ht="16" x14ac:dyDescent="0.15">
      <c r="A441" s="18"/>
      <c r="B441" s="47" t="s">
        <v>195</v>
      </c>
      <c r="C441" s="47" t="s">
        <v>60</v>
      </c>
      <c r="D441" s="47"/>
      <c r="E441" s="47" t="s">
        <v>207</v>
      </c>
      <c r="F441" s="47" t="s">
        <v>112</v>
      </c>
      <c r="G441" s="47">
        <v>4800</v>
      </c>
      <c r="H441" s="47">
        <v>1200</v>
      </c>
      <c r="I441" s="47" t="str">
        <f t="shared" si="18"/>
        <v>MTFLX-XL-PLM-4800-1200</v>
      </c>
      <c r="J441" s="47" t="s">
        <v>194</v>
      </c>
      <c r="K441" s="47" t="s">
        <v>130</v>
      </c>
      <c r="L441" s="47"/>
      <c r="M441" s="47" t="s">
        <v>207</v>
      </c>
      <c r="N441" s="48" t="s">
        <v>208</v>
      </c>
      <c r="O441" s="47" t="s">
        <v>31</v>
      </c>
      <c r="P441" s="49" t="s">
        <v>199</v>
      </c>
      <c r="Q441" s="50"/>
      <c r="R441" s="50"/>
      <c r="S441" s="50"/>
      <c r="T441" s="50">
        <f t="shared" ca="1" si="19"/>
        <v>100700</v>
      </c>
      <c r="U441" s="51">
        <f t="shared" ca="1" si="20"/>
        <v>90630</v>
      </c>
      <c r="V441" s="51">
        <f t="shared" ca="1" si="21"/>
        <v>85595</v>
      </c>
      <c r="W441" s="51">
        <f t="shared" ca="1" si="22"/>
        <v>80560</v>
      </c>
      <c r="X441" s="51">
        <f t="shared" ca="1" si="23"/>
        <v>70490</v>
      </c>
      <c r="Y441" s="18"/>
    </row>
    <row r="442" spans="1:25" ht="16" x14ac:dyDescent="0.15">
      <c r="A442" s="18"/>
      <c r="B442" s="47" t="s">
        <v>195</v>
      </c>
      <c r="C442" s="47" t="s">
        <v>60</v>
      </c>
      <c r="D442" s="47"/>
      <c r="E442" s="47" t="s">
        <v>207</v>
      </c>
      <c r="F442" s="47" t="s">
        <v>114</v>
      </c>
      <c r="G442" s="47">
        <v>4800</v>
      </c>
      <c r="H442" s="47">
        <v>1200</v>
      </c>
      <c r="I442" s="47" t="str">
        <f t="shared" si="18"/>
        <v>MTFLX-XL-PoLM-4800-1200</v>
      </c>
      <c r="J442" s="47" t="s">
        <v>194</v>
      </c>
      <c r="K442" s="47" t="s">
        <v>130</v>
      </c>
      <c r="L442" s="47"/>
      <c r="M442" s="47" t="s">
        <v>207</v>
      </c>
      <c r="N442" s="48" t="s">
        <v>208</v>
      </c>
      <c r="O442" s="47" t="s">
        <v>47</v>
      </c>
      <c r="P442" s="49" t="s">
        <v>199</v>
      </c>
      <c r="Q442" s="50"/>
      <c r="R442" s="50"/>
      <c r="S442" s="50"/>
      <c r="T442" s="50">
        <f t="shared" ca="1" si="19"/>
        <v>106500</v>
      </c>
      <c r="U442" s="51">
        <f t="shared" ca="1" si="20"/>
        <v>95850</v>
      </c>
      <c r="V442" s="51">
        <f t="shared" ca="1" si="21"/>
        <v>90525</v>
      </c>
      <c r="W442" s="51">
        <f t="shared" ca="1" si="22"/>
        <v>85200</v>
      </c>
      <c r="X442" s="51">
        <f t="shared" ca="1" si="23"/>
        <v>74550</v>
      </c>
      <c r="Y442" s="18"/>
    </row>
    <row r="443" spans="1:25" ht="16" x14ac:dyDescent="0.15">
      <c r="A443" s="18"/>
      <c r="B443" s="47" t="s">
        <v>195</v>
      </c>
      <c r="C443" s="47" t="s">
        <v>60</v>
      </c>
      <c r="D443" s="47"/>
      <c r="E443" s="47" t="s">
        <v>207</v>
      </c>
      <c r="F443" s="47" t="s">
        <v>117</v>
      </c>
      <c r="G443" s="47">
        <v>4800</v>
      </c>
      <c r="H443" s="47">
        <v>1200</v>
      </c>
      <c r="I443" s="47" t="str">
        <f t="shared" si="18"/>
        <v>MTFLX-XL-LVM-4800-1200</v>
      </c>
      <c r="J443" s="47" t="s">
        <v>194</v>
      </c>
      <c r="K443" s="47" t="s">
        <v>130</v>
      </c>
      <c r="L443" s="47"/>
      <c r="M443" s="47" t="s">
        <v>207</v>
      </c>
      <c r="N443" s="48" t="s">
        <v>208</v>
      </c>
      <c r="O443" s="47" t="s">
        <v>157</v>
      </c>
      <c r="P443" s="49" t="s">
        <v>199</v>
      </c>
      <c r="Q443" s="50"/>
      <c r="R443" s="50"/>
      <c r="S443" s="50"/>
      <c r="T443" s="50">
        <f t="shared" ca="1" si="19"/>
        <v>89200</v>
      </c>
      <c r="U443" s="51">
        <f t="shared" ca="1" si="20"/>
        <v>80280</v>
      </c>
      <c r="V443" s="51">
        <f t="shared" ca="1" si="21"/>
        <v>75820</v>
      </c>
      <c r="W443" s="51">
        <f t="shared" ca="1" si="22"/>
        <v>71360</v>
      </c>
      <c r="X443" s="51">
        <f t="shared" ca="1" si="23"/>
        <v>62439.999999999993</v>
      </c>
      <c r="Y443" s="18"/>
    </row>
    <row r="444" spans="1:25" ht="16" x14ac:dyDescent="0.15">
      <c r="A444" s="18"/>
      <c r="B444" s="47" t="s">
        <v>195</v>
      </c>
      <c r="C444" s="47" t="s">
        <v>60</v>
      </c>
      <c r="D444" s="47"/>
      <c r="E444" s="47" t="s">
        <v>207</v>
      </c>
      <c r="F444" s="47" t="s">
        <v>119</v>
      </c>
      <c r="G444" s="47">
        <v>4800</v>
      </c>
      <c r="H444" s="47">
        <v>1200</v>
      </c>
      <c r="I444" s="47" t="str">
        <f t="shared" si="18"/>
        <v>MTFLX-XL-LVP-4800-1200</v>
      </c>
      <c r="J444" s="47" t="s">
        <v>194</v>
      </c>
      <c r="K444" s="47" t="s">
        <v>130</v>
      </c>
      <c r="L444" s="47"/>
      <c r="M444" s="47" t="s">
        <v>207</v>
      </c>
      <c r="N444" s="48" t="s">
        <v>208</v>
      </c>
      <c r="O444" s="47" t="s">
        <v>158</v>
      </c>
      <c r="P444" s="49" t="s">
        <v>199</v>
      </c>
      <c r="Q444" s="50"/>
      <c r="R444" s="50"/>
      <c r="S444" s="50"/>
      <c r="T444" s="50">
        <f t="shared" ca="1" si="19"/>
        <v>83200</v>
      </c>
      <c r="U444" s="51">
        <f t="shared" ca="1" si="20"/>
        <v>74880</v>
      </c>
      <c r="V444" s="51">
        <f t="shared" ca="1" si="21"/>
        <v>70720</v>
      </c>
      <c r="W444" s="51">
        <f t="shared" ca="1" si="22"/>
        <v>66560</v>
      </c>
      <c r="X444" s="51">
        <f t="shared" ca="1" si="23"/>
        <v>58239.999999999993</v>
      </c>
      <c r="Y444" s="18"/>
    </row>
    <row r="445" spans="1:25" ht="16" x14ac:dyDescent="0.15">
      <c r="A445" s="18"/>
      <c r="B445" s="47" t="s">
        <v>195</v>
      </c>
      <c r="C445" s="47" t="s">
        <v>60</v>
      </c>
      <c r="D445" s="47"/>
      <c r="E445" s="47" t="s">
        <v>207</v>
      </c>
      <c r="F445" s="47" t="s">
        <v>123</v>
      </c>
      <c r="G445" s="47">
        <v>4800</v>
      </c>
      <c r="H445" s="47">
        <v>1200</v>
      </c>
      <c r="I445" s="47" t="str">
        <f t="shared" si="18"/>
        <v>MTFLX-XL-GL-4800-1200</v>
      </c>
      <c r="J445" s="47" t="s">
        <v>194</v>
      </c>
      <c r="K445" s="47" t="s">
        <v>130</v>
      </c>
      <c r="L445" s="47"/>
      <c r="M445" s="47" t="s">
        <v>207</v>
      </c>
      <c r="N445" s="48" t="s">
        <v>208</v>
      </c>
      <c r="O445" s="47" t="s">
        <v>42</v>
      </c>
      <c r="P445" s="49" t="s">
        <v>199</v>
      </c>
      <c r="Q445" s="50"/>
      <c r="R445" s="50"/>
      <c r="S445" s="50"/>
      <c r="T445" s="50">
        <f t="shared" ca="1" si="19"/>
        <v>90200</v>
      </c>
      <c r="U445" s="51">
        <f t="shared" ca="1" si="20"/>
        <v>81180</v>
      </c>
      <c r="V445" s="51">
        <f t="shared" ca="1" si="21"/>
        <v>76670</v>
      </c>
      <c r="W445" s="51">
        <f t="shared" ca="1" si="22"/>
        <v>72160</v>
      </c>
      <c r="X445" s="51">
        <f t="shared" ca="1" si="23"/>
        <v>63139.999999999993</v>
      </c>
      <c r="Y445" s="18"/>
    </row>
    <row r="446" spans="1:25" ht="16" x14ac:dyDescent="0.15">
      <c r="A446" s="18"/>
      <c r="B446" s="47" t="s">
        <v>195</v>
      </c>
      <c r="C446" s="47" t="s">
        <v>134</v>
      </c>
      <c r="D446" s="47"/>
      <c r="E446" s="47" t="s">
        <v>196</v>
      </c>
      <c r="F446" s="47" t="s">
        <v>65</v>
      </c>
      <c r="G446" s="47">
        <v>1500</v>
      </c>
      <c r="H446" s="47">
        <v>900</v>
      </c>
      <c r="I446" s="47" t="str">
        <f t="shared" si="18"/>
        <v>MTSTK-SM-PB-1500-900</v>
      </c>
      <c r="J446" s="47" t="s">
        <v>194</v>
      </c>
      <c r="K446" s="47" t="s">
        <v>133</v>
      </c>
      <c r="L446" s="47"/>
      <c r="M446" s="47" t="s">
        <v>197</v>
      </c>
      <c r="N446" s="48" t="s">
        <v>198</v>
      </c>
      <c r="O446" s="47" t="s">
        <v>11</v>
      </c>
      <c r="P446" s="49" t="s">
        <v>199</v>
      </c>
      <c r="Q446" s="50"/>
      <c r="R446" s="50"/>
      <c r="S446" s="50"/>
      <c r="T446" s="50">
        <f t="shared" ca="1" si="19"/>
        <v>129000</v>
      </c>
      <c r="U446" s="51">
        <f t="shared" ca="1" si="20"/>
        <v>116100</v>
      </c>
      <c r="V446" s="51">
        <f t="shared" ca="1" si="21"/>
        <v>109650</v>
      </c>
      <c r="W446" s="51">
        <f t="shared" ca="1" si="22"/>
        <v>103200</v>
      </c>
      <c r="X446" s="51">
        <f t="shared" ca="1" si="23"/>
        <v>90300</v>
      </c>
      <c r="Y446" s="18"/>
    </row>
    <row r="447" spans="1:25" ht="16" x14ac:dyDescent="0.15">
      <c r="A447" s="18"/>
      <c r="B447" s="47" t="s">
        <v>195</v>
      </c>
      <c r="C447" s="47" t="s">
        <v>134</v>
      </c>
      <c r="D447" s="47"/>
      <c r="E447" s="47" t="s">
        <v>196</v>
      </c>
      <c r="F447" s="47" t="s">
        <v>112</v>
      </c>
      <c r="G447" s="47">
        <v>1500</v>
      </c>
      <c r="H447" s="47">
        <v>900</v>
      </c>
      <c r="I447" s="47" t="str">
        <f t="shared" si="18"/>
        <v>MTSTK-SM-PLM-1500-900</v>
      </c>
      <c r="J447" s="47" t="s">
        <v>194</v>
      </c>
      <c r="K447" s="47" t="s">
        <v>133</v>
      </c>
      <c r="L447" s="47"/>
      <c r="M447" s="47" t="s">
        <v>197</v>
      </c>
      <c r="N447" s="48" t="s">
        <v>198</v>
      </c>
      <c r="O447" s="47" t="s">
        <v>31</v>
      </c>
      <c r="P447" s="49" t="s">
        <v>199</v>
      </c>
      <c r="Q447" s="50"/>
      <c r="R447" s="50"/>
      <c r="S447" s="50"/>
      <c r="T447" s="50">
        <f t="shared" ca="1" si="19"/>
        <v>146300</v>
      </c>
      <c r="U447" s="51">
        <f t="shared" ca="1" si="20"/>
        <v>131670</v>
      </c>
      <c r="V447" s="51">
        <f t="shared" ca="1" si="21"/>
        <v>124355</v>
      </c>
      <c r="W447" s="51">
        <f t="shared" ca="1" si="22"/>
        <v>117040</v>
      </c>
      <c r="X447" s="51">
        <f t="shared" ca="1" si="23"/>
        <v>102410</v>
      </c>
      <c r="Y447" s="18"/>
    </row>
    <row r="448" spans="1:25" ht="16" x14ac:dyDescent="0.15">
      <c r="A448" s="18"/>
      <c r="B448" s="47" t="s">
        <v>195</v>
      </c>
      <c r="C448" s="47" t="s">
        <v>134</v>
      </c>
      <c r="D448" s="47"/>
      <c r="E448" s="47" t="s">
        <v>196</v>
      </c>
      <c r="F448" s="47" t="s">
        <v>114</v>
      </c>
      <c r="G448" s="47">
        <v>1500</v>
      </c>
      <c r="H448" s="47">
        <v>900</v>
      </c>
      <c r="I448" s="47" t="str">
        <f t="shared" si="18"/>
        <v>MTSTK-SM-PoLM-1500-900</v>
      </c>
      <c r="J448" s="47" t="s">
        <v>194</v>
      </c>
      <c r="K448" s="47" t="s">
        <v>133</v>
      </c>
      <c r="L448" s="47"/>
      <c r="M448" s="47" t="s">
        <v>197</v>
      </c>
      <c r="N448" s="48" t="s">
        <v>198</v>
      </c>
      <c r="O448" s="47" t="s">
        <v>47</v>
      </c>
      <c r="P448" s="49" t="s">
        <v>199</v>
      </c>
      <c r="Q448" s="50"/>
      <c r="R448" s="50"/>
      <c r="S448" s="50"/>
      <c r="T448" s="50">
        <f t="shared" ca="1" si="19"/>
        <v>155000</v>
      </c>
      <c r="U448" s="51">
        <f t="shared" ca="1" si="20"/>
        <v>139500</v>
      </c>
      <c r="V448" s="51">
        <f t="shared" ca="1" si="21"/>
        <v>131750</v>
      </c>
      <c r="W448" s="51">
        <f t="shared" ca="1" si="22"/>
        <v>124000</v>
      </c>
      <c r="X448" s="51">
        <f t="shared" ca="1" si="23"/>
        <v>108500</v>
      </c>
      <c r="Y448" s="18"/>
    </row>
    <row r="449" spans="1:25" ht="16" x14ac:dyDescent="0.15">
      <c r="A449" s="18"/>
      <c r="B449" s="47" t="s">
        <v>195</v>
      </c>
      <c r="C449" s="47" t="s">
        <v>134</v>
      </c>
      <c r="D449" s="47"/>
      <c r="E449" s="47" t="s">
        <v>196</v>
      </c>
      <c r="F449" s="47" t="s">
        <v>117</v>
      </c>
      <c r="G449" s="47">
        <v>1500</v>
      </c>
      <c r="H449" s="47">
        <v>900</v>
      </c>
      <c r="I449" s="47" t="str">
        <f t="shared" si="18"/>
        <v>MTSTK-SM-LVM-1500-900</v>
      </c>
      <c r="J449" s="47" t="s">
        <v>194</v>
      </c>
      <c r="K449" s="47" t="s">
        <v>133</v>
      </c>
      <c r="L449" s="47"/>
      <c r="M449" s="47" t="s">
        <v>197</v>
      </c>
      <c r="N449" s="48" t="s">
        <v>198</v>
      </c>
      <c r="O449" s="47" t="s">
        <v>157</v>
      </c>
      <c r="P449" s="49" t="s">
        <v>199</v>
      </c>
      <c r="Q449" s="50"/>
      <c r="R449" s="50"/>
      <c r="S449" s="50"/>
      <c r="T449" s="50">
        <f t="shared" ca="1" si="19"/>
        <v>129000</v>
      </c>
      <c r="U449" s="51">
        <f t="shared" ca="1" si="20"/>
        <v>116100</v>
      </c>
      <c r="V449" s="51">
        <f t="shared" ca="1" si="21"/>
        <v>109650</v>
      </c>
      <c r="W449" s="51">
        <f t="shared" ca="1" si="22"/>
        <v>103200</v>
      </c>
      <c r="X449" s="51">
        <f t="shared" ca="1" si="23"/>
        <v>90300</v>
      </c>
      <c r="Y449" s="18"/>
    </row>
    <row r="450" spans="1:25" ht="16" x14ac:dyDescent="0.15">
      <c r="A450" s="18"/>
      <c r="B450" s="47" t="s">
        <v>195</v>
      </c>
      <c r="C450" s="47" t="s">
        <v>134</v>
      </c>
      <c r="D450" s="47"/>
      <c r="E450" s="47" t="s">
        <v>196</v>
      </c>
      <c r="F450" s="47" t="s">
        <v>119</v>
      </c>
      <c r="G450" s="47">
        <v>1500</v>
      </c>
      <c r="H450" s="47">
        <v>900</v>
      </c>
      <c r="I450" s="47" t="str">
        <f t="shared" si="18"/>
        <v>MTSTK-SM-LVP-1500-900</v>
      </c>
      <c r="J450" s="47" t="s">
        <v>194</v>
      </c>
      <c r="K450" s="47" t="s">
        <v>133</v>
      </c>
      <c r="L450" s="47"/>
      <c r="M450" s="47" t="s">
        <v>197</v>
      </c>
      <c r="N450" s="48" t="s">
        <v>198</v>
      </c>
      <c r="O450" s="47" t="s">
        <v>158</v>
      </c>
      <c r="P450" s="49" t="s">
        <v>199</v>
      </c>
      <c r="Q450" s="50"/>
      <c r="R450" s="50"/>
      <c r="S450" s="50"/>
      <c r="T450" s="50">
        <f t="shared" ca="1" si="19"/>
        <v>108200</v>
      </c>
      <c r="U450" s="51">
        <f t="shared" ca="1" si="20"/>
        <v>97380</v>
      </c>
      <c r="V450" s="51">
        <f t="shared" ca="1" si="21"/>
        <v>91970</v>
      </c>
      <c r="W450" s="51">
        <f t="shared" ca="1" si="22"/>
        <v>86560</v>
      </c>
      <c r="X450" s="51">
        <f t="shared" ca="1" si="23"/>
        <v>75740</v>
      </c>
      <c r="Y450" s="18"/>
    </row>
    <row r="451" spans="1:25" ht="16" x14ac:dyDescent="0.15">
      <c r="A451" s="18"/>
      <c r="B451" s="47" t="s">
        <v>195</v>
      </c>
      <c r="C451" s="47" t="s">
        <v>134</v>
      </c>
      <c r="D451" s="47"/>
      <c r="E451" s="47" t="s">
        <v>196</v>
      </c>
      <c r="F451" s="47" t="s">
        <v>123</v>
      </c>
      <c r="G451" s="47">
        <v>1500</v>
      </c>
      <c r="H451" s="47">
        <v>900</v>
      </c>
      <c r="I451" s="47" t="str">
        <f t="shared" si="18"/>
        <v>MTSTK-SM-GL-1500-900</v>
      </c>
      <c r="J451" s="47" t="s">
        <v>194</v>
      </c>
      <c r="K451" s="47" t="s">
        <v>133</v>
      </c>
      <c r="L451" s="47"/>
      <c r="M451" s="47" t="s">
        <v>197</v>
      </c>
      <c r="N451" s="48" t="s">
        <v>198</v>
      </c>
      <c r="O451" s="47" t="s">
        <v>42</v>
      </c>
      <c r="P451" s="49" t="s">
        <v>199</v>
      </c>
      <c r="Q451" s="50"/>
      <c r="R451" s="50"/>
      <c r="S451" s="50"/>
      <c r="T451" s="50">
        <f t="shared" ca="1" si="19"/>
        <v>117400</v>
      </c>
      <c r="U451" s="51">
        <f t="shared" ca="1" si="20"/>
        <v>105660</v>
      </c>
      <c r="V451" s="51">
        <f t="shared" ca="1" si="21"/>
        <v>99790</v>
      </c>
      <c r="W451" s="51">
        <f t="shared" ca="1" si="22"/>
        <v>93920</v>
      </c>
      <c r="X451" s="51">
        <f t="shared" ca="1" si="23"/>
        <v>82180</v>
      </c>
      <c r="Y451" s="18"/>
    </row>
    <row r="452" spans="1:25" ht="16" x14ac:dyDescent="0.15">
      <c r="A452" s="18"/>
      <c r="B452" s="47" t="s">
        <v>195</v>
      </c>
      <c r="C452" s="47" t="s">
        <v>134</v>
      </c>
      <c r="D452" s="47"/>
      <c r="E452" s="47" t="s">
        <v>201</v>
      </c>
      <c r="F452" s="47" t="s">
        <v>65</v>
      </c>
      <c r="G452" s="47">
        <v>2400</v>
      </c>
      <c r="H452" s="47">
        <v>1200</v>
      </c>
      <c r="I452" s="47" t="str">
        <f t="shared" si="18"/>
        <v>MTSTK-MD-PB-2400-1200</v>
      </c>
      <c r="J452" s="47" t="s">
        <v>194</v>
      </c>
      <c r="K452" s="47" t="s">
        <v>133</v>
      </c>
      <c r="L452" s="47"/>
      <c r="M452" s="47" t="s">
        <v>202</v>
      </c>
      <c r="N452" s="48" t="s">
        <v>203</v>
      </c>
      <c r="O452" s="47" t="s">
        <v>11</v>
      </c>
      <c r="P452" s="49" t="s">
        <v>199</v>
      </c>
      <c r="Q452" s="50"/>
      <c r="R452" s="50"/>
      <c r="S452" s="50"/>
      <c r="T452" s="50">
        <f t="shared" ca="1" si="19"/>
        <v>169300</v>
      </c>
      <c r="U452" s="51">
        <f t="shared" ca="1" si="20"/>
        <v>152370</v>
      </c>
      <c r="V452" s="51">
        <f t="shared" ca="1" si="21"/>
        <v>143905</v>
      </c>
      <c r="W452" s="51">
        <f t="shared" ca="1" si="22"/>
        <v>135440</v>
      </c>
      <c r="X452" s="51">
        <f t="shared" ca="1" si="23"/>
        <v>118509.99999999999</v>
      </c>
      <c r="Y452" s="18"/>
    </row>
    <row r="453" spans="1:25" ht="16" x14ac:dyDescent="0.15">
      <c r="A453" s="18"/>
      <c r="B453" s="47" t="s">
        <v>195</v>
      </c>
      <c r="C453" s="47" t="s">
        <v>134</v>
      </c>
      <c r="D453" s="47"/>
      <c r="E453" s="47" t="s">
        <v>201</v>
      </c>
      <c r="F453" s="47" t="s">
        <v>112</v>
      </c>
      <c r="G453" s="47">
        <v>2400</v>
      </c>
      <c r="H453" s="47">
        <v>1200</v>
      </c>
      <c r="I453" s="47" t="str">
        <f t="shared" si="18"/>
        <v>MTSTK-MD-PLM-2400-1200</v>
      </c>
      <c r="J453" s="47" t="s">
        <v>194</v>
      </c>
      <c r="K453" s="47" t="s">
        <v>133</v>
      </c>
      <c r="L453" s="47"/>
      <c r="M453" s="47" t="s">
        <v>202</v>
      </c>
      <c r="N453" s="48" t="s">
        <v>203</v>
      </c>
      <c r="O453" s="47" t="s">
        <v>31</v>
      </c>
      <c r="P453" s="49" t="s">
        <v>199</v>
      </c>
      <c r="Q453" s="50"/>
      <c r="R453" s="50"/>
      <c r="S453" s="50"/>
      <c r="T453" s="50">
        <f t="shared" ca="1" si="19"/>
        <v>192300</v>
      </c>
      <c r="U453" s="51">
        <f t="shared" ca="1" si="20"/>
        <v>173070</v>
      </c>
      <c r="V453" s="51">
        <f t="shared" ca="1" si="21"/>
        <v>163455</v>
      </c>
      <c r="W453" s="51">
        <f t="shared" ca="1" si="22"/>
        <v>153840</v>
      </c>
      <c r="X453" s="51">
        <f t="shared" ca="1" si="23"/>
        <v>134610</v>
      </c>
      <c r="Y453" s="18"/>
    </row>
    <row r="454" spans="1:25" ht="16" x14ac:dyDescent="0.15">
      <c r="A454" s="18"/>
      <c r="B454" s="47" t="s">
        <v>195</v>
      </c>
      <c r="C454" s="47" t="s">
        <v>134</v>
      </c>
      <c r="D454" s="47"/>
      <c r="E454" s="47" t="s">
        <v>201</v>
      </c>
      <c r="F454" s="47" t="s">
        <v>114</v>
      </c>
      <c r="G454" s="47">
        <v>2400</v>
      </c>
      <c r="H454" s="47">
        <v>1200</v>
      </c>
      <c r="I454" s="47" t="str">
        <f t="shared" si="18"/>
        <v>MTSTK-MD-PoLM-2400-1200</v>
      </c>
      <c r="J454" s="47" t="s">
        <v>194</v>
      </c>
      <c r="K454" s="47" t="s">
        <v>133</v>
      </c>
      <c r="L454" s="47"/>
      <c r="M454" s="47" t="s">
        <v>202</v>
      </c>
      <c r="N454" s="48" t="s">
        <v>203</v>
      </c>
      <c r="O454" s="47" t="s">
        <v>47</v>
      </c>
      <c r="P454" s="49" t="s">
        <v>199</v>
      </c>
      <c r="Q454" s="50"/>
      <c r="R454" s="50"/>
      <c r="S454" s="50"/>
      <c r="T454" s="50">
        <f t="shared" ca="1" si="19"/>
        <v>203800</v>
      </c>
      <c r="U454" s="51">
        <f t="shared" ca="1" si="20"/>
        <v>183420</v>
      </c>
      <c r="V454" s="51">
        <f t="shared" ca="1" si="21"/>
        <v>173230</v>
      </c>
      <c r="W454" s="51">
        <f t="shared" ca="1" si="22"/>
        <v>163040</v>
      </c>
      <c r="X454" s="51">
        <f t="shared" ca="1" si="23"/>
        <v>142660</v>
      </c>
      <c r="Y454" s="18"/>
    </row>
    <row r="455" spans="1:25" ht="16" x14ac:dyDescent="0.15">
      <c r="A455" s="18"/>
      <c r="B455" s="47" t="s">
        <v>195</v>
      </c>
      <c r="C455" s="47" t="s">
        <v>134</v>
      </c>
      <c r="D455" s="47"/>
      <c r="E455" s="47" t="s">
        <v>201</v>
      </c>
      <c r="F455" s="47" t="s">
        <v>117</v>
      </c>
      <c r="G455" s="47">
        <v>2400</v>
      </c>
      <c r="H455" s="47">
        <v>1200</v>
      </c>
      <c r="I455" s="47" t="str">
        <f t="shared" si="18"/>
        <v>MTSTK-MD-LVM-2400-1200</v>
      </c>
      <c r="J455" s="47" t="s">
        <v>194</v>
      </c>
      <c r="K455" s="47" t="s">
        <v>133</v>
      </c>
      <c r="L455" s="47"/>
      <c r="M455" s="47" t="s">
        <v>202</v>
      </c>
      <c r="N455" s="48" t="s">
        <v>203</v>
      </c>
      <c r="O455" s="47" t="s">
        <v>157</v>
      </c>
      <c r="P455" s="49" t="s">
        <v>199</v>
      </c>
      <c r="Q455" s="50"/>
      <c r="R455" s="50"/>
      <c r="S455" s="50"/>
      <c r="T455" s="50">
        <f t="shared" ca="1" si="19"/>
        <v>169300</v>
      </c>
      <c r="U455" s="51">
        <f t="shared" ca="1" si="20"/>
        <v>152370</v>
      </c>
      <c r="V455" s="51">
        <f t="shared" ca="1" si="21"/>
        <v>143905</v>
      </c>
      <c r="W455" s="51">
        <f t="shared" ca="1" si="22"/>
        <v>135440</v>
      </c>
      <c r="X455" s="51">
        <f t="shared" ca="1" si="23"/>
        <v>118509.99999999999</v>
      </c>
      <c r="Y455" s="18"/>
    </row>
    <row r="456" spans="1:25" ht="16" x14ac:dyDescent="0.15">
      <c r="A456" s="18"/>
      <c r="B456" s="47" t="s">
        <v>195</v>
      </c>
      <c r="C456" s="47" t="s">
        <v>134</v>
      </c>
      <c r="D456" s="47"/>
      <c r="E456" s="47" t="s">
        <v>201</v>
      </c>
      <c r="F456" s="47" t="s">
        <v>119</v>
      </c>
      <c r="G456" s="47">
        <v>2400</v>
      </c>
      <c r="H456" s="47">
        <v>1200</v>
      </c>
      <c r="I456" s="47" t="str">
        <f t="shared" si="18"/>
        <v>MTSTK-MD-LVP-2400-1200</v>
      </c>
      <c r="J456" s="47" t="s">
        <v>194</v>
      </c>
      <c r="K456" s="47" t="s">
        <v>133</v>
      </c>
      <c r="L456" s="47"/>
      <c r="M456" s="47" t="s">
        <v>202</v>
      </c>
      <c r="N456" s="48" t="s">
        <v>203</v>
      </c>
      <c r="O456" s="47" t="s">
        <v>158</v>
      </c>
      <c r="P456" s="49" t="s">
        <v>199</v>
      </c>
      <c r="Q456" s="50"/>
      <c r="R456" s="50"/>
      <c r="S456" s="50"/>
      <c r="T456" s="50">
        <f t="shared" ca="1" si="19"/>
        <v>0</v>
      </c>
      <c r="U456" s="51">
        <f t="shared" ca="1" si="20"/>
        <v>0</v>
      </c>
      <c r="V456" s="51">
        <f t="shared" ca="1" si="21"/>
        <v>0</v>
      </c>
      <c r="W456" s="51">
        <f t="shared" ca="1" si="22"/>
        <v>0</v>
      </c>
      <c r="X456" s="51">
        <f t="shared" ca="1" si="23"/>
        <v>0</v>
      </c>
      <c r="Y456" s="18"/>
    </row>
    <row r="457" spans="1:25" ht="16" x14ac:dyDescent="0.15">
      <c r="A457" s="18"/>
      <c r="B457" s="47" t="s">
        <v>195</v>
      </c>
      <c r="C457" s="47" t="s">
        <v>134</v>
      </c>
      <c r="D457" s="47"/>
      <c r="E457" s="47" t="s">
        <v>201</v>
      </c>
      <c r="F457" s="47" t="s">
        <v>123</v>
      </c>
      <c r="G457" s="47">
        <v>2400</v>
      </c>
      <c r="H457" s="47">
        <v>1200</v>
      </c>
      <c r="I457" s="47" t="str">
        <f t="shared" si="18"/>
        <v>MTSTK-MD-GL-2400-1200</v>
      </c>
      <c r="J457" s="47" t="s">
        <v>194</v>
      </c>
      <c r="K457" s="47" t="s">
        <v>133</v>
      </c>
      <c r="L457" s="47"/>
      <c r="M457" s="47" t="s">
        <v>202</v>
      </c>
      <c r="N457" s="48" t="s">
        <v>203</v>
      </c>
      <c r="O457" s="47" t="s">
        <v>42</v>
      </c>
      <c r="P457" s="49" t="s">
        <v>199</v>
      </c>
      <c r="Q457" s="50"/>
      <c r="R457" s="50"/>
      <c r="S457" s="50"/>
      <c r="T457" s="50">
        <f t="shared" ca="1" si="19"/>
        <v>0</v>
      </c>
      <c r="U457" s="51">
        <f t="shared" ca="1" si="20"/>
        <v>0</v>
      </c>
      <c r="V457" s="51">
        <f t="shared" ca="1" si="21"/>
        <v>0</v>
      </c>
      <c r="W457" s="51">
        <f t="shared" ca="1" si="22"/>
        <v>0</v>
      </c>
      <c r="X457" s="51">
        <f t="shared" ca="1" si="23"/>
        <v>0</v>
      </c>
      <c r="Y457" s="18"/>
    </row>
    <row r="458" spans="1:25" ht="16" x14ac:dyDescent="0.15">
      <c r="A458" s="18"/>
      <c r="B458" s="47" t="s">
        <v>195</v>
      </c>
      <c r="C458" s="47" t="s">
        <v>134</v>
      </c>
      <c r="D458" s="47"/>
      <c r="E458" s="47" t="s">
        <v>204</v>
      </c>
      <c r="F458" s="47" t="s">
        <v>65</v>
      </c>
      <c r="G458" s="47">
        <v>3600</v>
      </c>
      <c r="H458" s="47">
        <v>1200</v>
      </c>
      <c r="I458" s="47" t="str">
        <f t="shared" si="18"/>
        <v>MTSTK-LG-PB-3600-1200</v>
      </c>
      <c r="J458" s="47" t="s">
        <v>194</v>
      </c>
      <c r="K458" s="47" t="s">
        <v>133</v>
      </c>
      <c r="L458" s="47"/>
      <c r="M458" s="47" t="s">
        <v>205</v>
      </c>
      <c r="N458" s="48" t="s">
        <v>206</v>
      </c>
      <c r="O458" s="47" t="s">
        <v>11</v>
      </c>
      <c r="P458" s="49" t="s">
        <v>199</v>
      </c>
      <c r="Q458" s="50"/>
      <c r="R458" s="50"/>
      <c r="S458" s="50"/>
      <c r="T458" s="50">
        <f t="shared" ca="1" si="19"/>
        <v>0</v>
      </c>
      <c r="U458" s="51">
        <f t="shared" ca="1" si="20"/>
        <v>0</v>
      </c>
      <c r="V458" s="51">
        <f t="shared" ca="1" si="21"/>
        <v>0</v>
      </c>
      <c r="W458" s="51">
        <f t="shared" ca="1" si="22"/>
        <v>0</v>
      </c>
      <c r="X458" s="51">
        <f t="shared" ca="1" si="23"/>
        <v>0</v>
      </c>
      <c r="Y458" s="18"/>
    </row>
    <row r="459" spans="1:25" ht="16" x14ac:dyDescent="0.15">
      <c r="A459" s="18"/>
      <c r="B459" s="47" t="s">
        <v>195</v>
      </c>
      <c r="C459" s="47" t="s">
        <v>134</v>
      </c>
      <c r="D459" s="47"/>
      <c r="E459" s="47" t="s">
        <v>204</v>
      </c>
      <c r="F459" s="47" t="s">
        <v>112</v>
      </c>
      <c r="G459" s="47">
        <v>3600</v>
      </c>
      <c r="H459" s="47">
        <v>1200</v>
      </c>
      <c r="I459" s="47" t="str">
        <f t="shared" si="18"/>
        <v>MTSTK-LG-PLM-3600-1200</v>
      </c>
      <c r="J459" s="47" t="s">
        <v>194</v>
      </c>
      <c r="K459" s="47" t="s">
        <v>133</v>
      </c>
      <c r="L459" s="47"/>
      <c r="M459" s="47" t="s">
        <v>205</v>
      </c>
      <c r="N459" s="48" t="s">
        <v>206</v>
      </c>
      <c r="O459" s="47" t="s">
        <v>31</v>
      </c>
      <c r="P459" s="49" t="s">
        <v>199</v>
      </c>
      <c r="Q459" s="50"/>
      <c r="R459" s="50"/>
      <c r="S459" s="50"/>
      <c r="T459" s="50">
        <f t="shared" ca="1" si="19"/>
        <v>0</v>
      </c>
      <c r="U459" s="51">
        <f t="shared" ca="1" si="20"/>
        <v>0</v>
      </c>
      <c r="V459" s="51">
        <f t="shared" ca="1" si="21"/>
        <v>0</v>
      </c>
      <c r="W459" s="51">
        <f t="shared" ca="1" si="22"/>
        <v>0</v>
      </c>
      <c r="X459" s="51">
        <f t="shared" ca="1" si="23"/>
        <v>0</v>
      </c>
      <c r="Y459" s="18"/>
    </row>
    <row r="460" spans="1:25" ht="16" x14ac:dyDescent="0.15">
      <c r="A460" s="18"/>
      <c r="B460" s="47" t="s">
        <v>195</v>
      </c>
      <c r="C460" s="47" t="s">
        <v>134</v>
      </c>
      <c r="D460" s="47"/>
      <c r="E460" s="47" t="s">
        <v>204</v>
      </c>
      <c r="F460" s="47" t="s">
        <v>114</v>
      </c>
      <c r="G460" s="47">
        <v>3600</v>
      </c>
      <c r="H460" s="47">
        <v>1200</v>
      </c>
      <c r="I460" s="47" t="str">
        <f t="shared" si="18"/>
        <v>MTSTK-LG-PoLM-3600-1200</v>
      </c>
      <c r="J460" s="47" t="s">
        <v>194</v>
      </c>
      <c r="K460" s="47" t="s">
        <v>133</v>
      </c>
      <c r="L460" s="47"/>
      <c r="M460" s="47" t="s">
        <v>205</v>
      </c>
      <c r="N460" s="48" t="s">
        <v>206</v>
      </c>
      <c r="O460" s="47" t="s">
        <v>47</v>
      </c>
      <c r="P460" s="49" t="s">
        <v>199</v>
      </c>
      <c r="Q460" s="50"/>
      <c r="R460" s="50"/>
      <c r="S460" s="50"/>
      <c r="T460" s="50">
        <f t="shared" ca="1" si="19"/>
        <v>0</v>
      </c>
      <c r="U460" s="51">
        <f t="shared" ca="1" si="20"/>
        <v>0</v>
      </c>
      <c r="V460" s="51">
        <f t="shared" ca="1" si="21"/>
        <v>0</v>
      </c>
      <c r="W460" s="51">
        <f t="shared" ca="1" si="22"/>
        <v>0</v>
      </c>
      <c r="X460" s="51">
        <f t="shared" ca="1" si="23"/>
        <v>0</v>
      </c>
      <c r="Y460" s="18"/>
    </row>
    <row r="461" spans="1:25" ht="16" x14ac:dyDescent="0.15">
      <c r="A461" s="18"/>
      <c r="B461" s="47" t="s">
        <v>195</v>
      </c>
      <c r="C461" s="47" t="s">
        <v>134</v>
      </c>
      <c r="D461" s="47"/>
      <c r="E461" s="47" t="s">
        <v>204</v>
      </c>
      <c r="F461" s="47" t="s">
        <v>117</v>
      </c>
      <c r="G461" s="47">
        <v>3600</v>
      </c>
      <c r="H461" s="47">
        <v>1200</v>
      </c>
      <c r="I461" s="47" t="str">
        <f t="shared" si="18"/>
        <v>MTSTK-LG-LVM-3600-1200</v>
      </c>
      <c r="J461" s="47" t="s">
        <v>194</v>
      </c>
      <c r="K461" s="47" t="s">
        <v>133</v>
      </c>
      <c r="L461" s="47"/>
      <c r="M461" s="47" t="s">
        <v>205</v>
      </c>
      <c r="N461" s="48" t="s">
        <v>206</v>
      </c>
      <c r="O461" s="47" t="s">
        <v>157</v>
      </c>
      <c r="P461" s="49" t="s">
        <v>199</v>
      </c>
      <c r="Q461" s="50"/>
      <c r="R461" s="50"/>
      <c r="S461" s="50"/>
      <c r="T461" s="50">
        <f t="shared" ca="1" si="19"/>
        <v>0</v>
      </c>
      <c r="U461" s="51">
        <f t="shared" ca="1" si="20"/>
        <v>0</v>
      </c>
      <c r="V461" s="51">
        <f t="shared" ca="1" si="21"/>
        <v>0</v>
      </c>
      <c r="W461" s="51">
        <f t="shared" ca="1" si="22"/>
        <v>0</v>
      </c>
      <c r="X461" s="51">
        <f t="shared" ca="1" si="23"/>
        <v>0</v>
      </c>
      <c r="Y461" s="18"/>
    </row>
    <row r="462" spans="1:25" ht="16" x14ac:dyDescent="0.15">
      <c r="A462" s="18"/>
      <c r="B462" s="47" t="s">
        <v>195</v>
      </c>
      <c r="C462" s="47" t="s">
        <v>134</v>
      </c>
      <c r="D462" s="47"/>
      <c r="E462" s="47" t="s">
        <v>204</v>
      </c>
      <c r="F462" s="47" t="s">
        <v>119</v>
      </c>
      <c r="G462" s="47">
        <v>3600</v>
      </c>
      <c r="H462" s="47">
        <v>1200</v>
      </c>
      <c r="I462" s="47" t="str">
        <f t="shared" si="18"/>
        <v>MTSTK-LG-LVP-3600-1200</v>
      </c>
      <c r="J462" s="47" t="s">
        <v>194</v>
      </c>
      <c r="K462" s="47" t="s">
        <v>133</v>
      </c>
      <c r="L462" s="47"/>
      <c r="M462" s="47" t="s">
        <v>205</v>
      </c>
      <c r="N462" s="48" t="s">
        <v>206</v>
      </c>
      <c r="O462" s="47" t="s">
        <v>158</v>
      </c>
      <c r="P462" s="49" t="s">
        <v>199</v>
      </c>
      <c r="Q462" s="50"/>
      <c r="R462" s="50"/>
      <c r="S462" s="50"/>
      <c r="T462" s="50">
        <f t="shared" ca="1" si="19"/>
        <v>0</v>
      </c>
      <c r="U462" s="51">
        <f t="shared" ca="1" si="20"/>
        <v>0</v>
      </c>
      <c r="V462" s="51">
        <f t="shared" ca="1" si="21"/>
        <v>0</v>
      </c>
      <c r="W462" s="51">
        <f t="shared" ca="1" si="22"/>
        <v>0</v>
      </c>
      <c r="X462" s="51">
        <f t="shared" ca="1" si="23"/>
        <v>0</v>
      </c>
      <c r="Y462" s="18"/>
    </row>
    <row r="463" spans="1:25" ht="16" x14ac:dyDescent="0.15">
      <c r="A463" s="18"/>
      <c r="B463" s="47" t="s">
        <v>195</v>
      </c>
      <c r="C463" s="47" t="s">
        <v>134</v>
      </c>
      <c r="D463" s="47"/>
      <c r="E463" s="47" t="s">
        <v>204</v>
      </c>
      <c r="F463" s="47" t="s">
        <v>123</v>
      </c>
      <c r="G463" s="47">
        <v>3600</v>
      </c>
      <c r="H463" s="47">
        <v>1200</v>
      </c>
      <c r="I463" s="47" t="str">
        <f t="shared" si="18"/>
        <v>MTSTK-LG-GL-3600-1200</v>
      </c>
      <c r="J463" s="47" t="s">
        <v>194</v>
      </c>
      <c r="K463" s="47" t="s">
        <v>133</v>
      </c>
      <c r="L463" s="47"/>
      <c r="M463" s="47" t="s">
        <v>205</v>
      </c>
      <c r="N463" s="48" t="s">
        <v>206</v>
      </c>
      <c r="O463" s="47" t="s">
        <v>42</v>
      </c>
      <c r="P463" s="49" t="s">
        <v>199</v>
      </c>
      <c r="Q463" s="50"/>
      <c r="R463" s="50"/>
      <c r="S463" s="50"/>
      <c r="T463" s="50">
        <f t="shared" ca="1" si="19"/>
        <v>0</v>
      </c>
      <c r="U463" s="51">
        <f t="shared" ca="1" si="20"/>
        <v>0</v>
      </c>
      <c r="V463" s="51">
        <f t="shared" ca="1" si="21"/>
        <v>0</v>
      </c>
      <c r="W463" s="51">
        <f t="shared" ca="1" si="22"/>
        <v>0</v>
      </c>
      <c r="X463" s="51">
        <f t="shared" ca="1" si="23"/>
        <v>0</v>
      </c>
      <c r="Y463" s="18"/>
    </row>
    <row r="464" spans="1:25" ht="16" x14ac:dyDescent="0.15">
      <c r="A464" s="18"/>
      <c r="B464" s="47" t="s">
        <v>195</v>
      </c>
      <c r="C464" s="47" t="s">
        <v>134</v>
      </c>
      <c r="D464" s="47"/>
      <c r="E464" s="47" t="s">
        <v>207</v>
      </c>
      <c r="F464" s="47" t="s">
        <v>65</v>
      </c>
      <c r="G464" s="47">
        <v>4800</v>
      </c>
      <c r="H464" s="47">
        <v>1200</v>
      </c>
      <c r="I464" s="47" t="str">
        <f t="shared" si="18"/>
        <v>MTSTK-XL-PB-4800-1200</v>
      </c>
      <c r="J464" s="47" t="s">
        <v>194</v>
      </c>
      <c r="K464" s="47" t="s">
        <v>133</v>
      </c>
      <c r="L464" s="47"/>
      <c r="M464" s="47" t="s">
        <v>207</v>
      </c>
      <c r="N464" s="48" t="s">
        <v>208</v>
      </c>
      <c r="O464" s="47" t="s">
        <v>11</v>
      </c>
      <c r="P464" s="49" t="s">
        <v>199</v>
      </c>
      <c r="Q464" s="50"/>
      <c r="R464" s="50"/>
      <c r="S464" s="50"/>
      <c r="T464" s="50">
        <f t="shared" ca="1" si="19"/>
        <v>0</v>
      </c>
      <c r="U464" s="51">
        <f t="shared" ca="1" si="20"/>
        <v>0</v>
      </c>
      <c r="V464" s="51">
        <f t="shared" ca="1" si="21"/>
        <v>0</v>
      </c>
      <c r="W464" s="51">
        <f t="shared" ca="1" si="22"/>
        <v>0</v>
      </c>
      <c r="X464" s="51">
        <f t="shared" ca="1" si="23"/>
        <v>0</v>
      </c>
      <c r="Y464" s="18"/>
    </row>
    <row r="465" spans="1:25" ht="16" x14ac:dyDescent="0.15">
      <c r="A465" s="18"/>
      <c r="B465" s="47" t="s">
        <v>195</v>
      </c>
      <c r="C465" s="47" t="s">
        <v>134</v>
      </c>
      <c r="D465" s="47"/>
      <c r="E465" s="47" t="s">
        <v>207</v>
      </c>
      <c r="F465" s="47" t="s">
        <v>112</v>
      </c>
      <c r="G465" s="47">
        <v>4800</v>
      </c>
      <c r="H465" s="47">
        <v>1200</v>
      </c>
      <c r="I465" s="47" t="str">
        <f t="shared" si="18"/>
        <v>MTSTK-XL-PLM-4800-1200</v>
      </c>
      <c r="J465" s="47" t="s">
        <v>194</v>
      </c>
      <c r="K465" s="47" t="s">
        <v>133</v>
      </c>
      <c r="L465" s="47"/>
      <c r="M465" s="47" t="s">
        <v>207</v>
      </c>
      <c r="N465" s="48" t="s">
        <v>208</v>
      </c>
      <c r="O465" s="47" t="s">
        <v>31</v>
      </c>
      <c r="P465" s="49" t="s">
        <v>199</v>
      </c>
      <c r="Q465" s="50"/>
      <c r="R465" s="50"/>
      <c r="S465" s="50"/>
      <c r="T465" s="50">
        <f t="shared" ca="1" si="19"/>
        <v>0</v>
      </c>
      <c r="U465" s="51">
        <f t="shared" ca="1" si="20"/>
        <v>0</v>
      </c>
      <c r="V465" s="51">
        <f t="shared" ca="1" si="21"/>
        <v>0</v>
      </c>
      <c r="W465" s="51">
        <f t="shared" ca="1" si="22"/>
        <v>0</v>
      </c>
      <c r="X465" s="51">
        <f t="shared" ca="1" si="23"/>
        <v>0</v>
      </c>
      <c r="Y465" s="18"/>
    </row>
    <row r="466" spans="1:25" ht="16" x14ac:dyDescent="0.15">
      <c r="A466" s="18"/>
      <c r="B466" s="47" t="s">
        <v>195</v>
      </c>
      <c r="C466" s="47" t="s">
        <v>134</v>
      </c>
      <c r="D466" s="47"/>
      <c r="E466" s="47" t="s">
        <v>207</v>
      </c>
      <c r="F466" s="47" t="s">
        <v>114</v>
      </c>
      <c r="G466" s="47">
        <v>4800</v>
      </c>
      <c r="H466" s="47">
        <v>1200</v>
      </c>
      <c r="I466" s="47" t="str">
        <f t="shared" si="18"/>
        <v>MTSTK-XL-PoLM-4800-1200</v>
      </c>
      <c r="J466" s="47" t="s">
        <v>194</v>
      </c>
      <c r="K466" s="47" t="s">
        <v>133</v>
      </c>
      <c r="L466" s="47"/>
      <c r="M466" s="47" t="s">
        <v>207</v>
      </c>
      <c r="N466" s="48" t="s">
        <v>208</v>
      </c>
      <c r="O466" s="47" t="s">
        <v>47</v>
      </c>
      <c r="P466" s="49" t="s">
        <v>199</v>
      </c>
      <c r="Q466" s="50"/>
      <c r="R466" s="50"/>
      <c r="S466" s="50"/>
      <c r="T466" s="50">
        <f t="shared" ca="1" si="19"/>
        <v>0</v>
      </c>
      <c r="U466" s="51">
        <f t="shared" ca="1" si="20"/>
        <v>0</v>
      </c>
      <c r="V466" s="51">
        <f t="shared" ca="1" si="21"/>
        <v>0</v>
      </c>
      <c r="W466" s="51">
        <f t="shared" ca="1" si="22"/>
        <v>0</v>
      </c>
      <c r="X466" s="51">
        <f t="shared" ca="1" si="23"/>
        <v>0</v>
      </c>
      <c r="Y466" s="18"/>
    </row>
    <row r="467" spans="1:25" ht="16" x14ac:dyDescent="0.15">
      <c r="A467" s="18"/>
      <c r="B467" s="47" t="s">
        <v>195</v>
      </c>
      <c r="C467" s="47" t="s">
        <v>134</v>
      </c>
      <c r="D467" s="47"/>
      <c r="E467" s="47" t="s">
        <v>207</v>
      </c>
      <c r="F467" s="47" t="s">
        <v>117</v>
      </c>
      <c r="G467" s="47">
        <v>4800</v>
      </c>
      <c r="H467" s="47">
        <v>1200</v>
      </c>
      <c r="I467" s="47" t="str">
        <f t="shared" si="18"/>
        <v>MTSTK-XL-LVM-4800-1200</v>
      </c>
      <c r="J467" s="47" t="s">
        <v>194</v>
      </c>
      <c r="K467" s="47" t="s">
        <v>133</v>
      </c>
      <c r="L467" s="47"/>
      <c r="M467" s="47" t="s">
        <v>207</v>
      </c>
      <c r="N467" s="48" t="s">
        <v>208</v>
      </c>
      <c r="O467" s="47" t="s">
        <v>157</v>
      </c>
      <c r="P467" s="49" t="s">
        <v>199</v>
      </c>
      <c r="Q467" s="50"/>
      <c r="R467" s="50"/>
      <c r="S467" s="50"/>
      <c r="T467" s="50">
        <f t="shared" ca="1" si="19"/>
        <v>0</v>
      </c>
      <c r="U467" s="51">
        <f t="shared" ca="1" si="20"/>
        <v>0</v>
      </c>
      <c r="V467" s="51">
        <f t="shared" ca="1" si="21"/>
        <v>0</v>
      </c>
      <c r="W467" s="51">
        <f t="shared" ca="1" si="22"/>
        <v>0</v>
      </c>
      <c r="X467" s="51">
        <f t="shared" ca="1" si="23"/>
        <v>0</v>
      </c>
      <c r="Y467" s="18"/>
    </row>
    <row r="468" spans="1:25" ht="16" x14ac:dyDescent="0.15">
      <c r="A468" s="18"/>
      <c r="B468" s="47" t="s">
        <v>195</v>
      </c>
      <c r="C468" s="47" t="s">
        <v>134</v>
      </c>
      <c r="D468" s="47"/>
      <c r="E468" s="47" t="s">
        <v>207</v>
      </c>
      <c r="F468" s="47" t="s">
        <v>119</v>
      </c>
      <c r="G468" s="47">
        <v>4800</v>
      </c>
      <c r="H468" s="47">
        <v>1200</v>
      </c>
      <c r="I468" s="47" t="str">
        <f t="shared" si="18"/>
        <v>MTSTK-XL-LVP-4800-1200</v>
      </c>
      <c r="J468" s="47" t="s">
        <v>194</v>
      </c>
      <c r="K468" s="47" t="s">
        <v>133</v>
      </c>
      <c r="L468" s="47"/>
      <c r="M468" s="47" t="s">
        <v>207</v>
      </c>
      <c r="N468" s="48" t="s">
        <v>208</v>
      </c>
      <c r="O468" s="47" t="s">
        <v>158</v>
      </c>
      <c r="P468" s="49" t="s">
        <v>199</v>
      </c>
      <c r="Q468" s="50"/>
      <c r="R468" s="50"/>
      <c r="S468" s="50"/>
      <c r="T468" s="50">
        <f t="shared" ca="1" si="19"/>
        <v>0</v>
      </c>
      <c r="U468" s="51">
        <f t="shared" ca="1" si="20"/>
        <v>0</v>
      </c>
      <c r="V468" s="51">
        <f t="shared" ca="1" si="21"/>
        <v>0</v>
      </c>
      <c r="W468" s="51">
        <f t="shared" ca="1" si="22"/>
        <v>0</v>
      </c>
      <c r="X468" s="51">
        <f t="shared" ca="1" si="23"/>
        <v>0</v>
      </c>
      <c r="Y468" s="18"/>
    </row>
    <row r="469" spans="1:25" ht="16" x14ac:dyDescent="0.15">
      <c r="A469" s="18"/>
      <c r="B469" s="47" t="s">
        <v>195</v>
      </c>
      <c r="C469" s="47" t="s">
        <v>134</v>
      </c>
      <c r="D469" s="47"/>
      <c r="E469" s="47" t="s">
        <v>207</v>
      </c>
      <c r="F469" s="47" t="s">
        <v>123</v>
      </c>
      <c r="G469" s="47">
        <v>4800</v>
      </c>
      <c r="H469" s="47">
        <v>1200</v>
      </c>
      <c r="I469" s="47" t="str">
        <f t="shared" si="18"/>
        <v>MTSTK-XL-GL-4800-1200</v>
      </c>
      <c r="J469" s="47" t="s">
        <v>194</v>
      </c>
      <c r="K469" s="47" t="s">
        <v>133</v>
      </c>
      <c r="L469" s="47"/>
      <c r="M469" s="47" t="s">
        <v>207</v>
      </c>
      <c r="N469" s="48" t="s">
        <v>208</v>
      </c>
      <c r="O469" s="47" t="s">
        <v>42</v>
      </c>
      <c r="P469" s="49" t="s">
        <v>199</v>
      </c>
      <c r="Q469" s="50"/>
      <c r="R469" s="50"/>
      <c r="S469" s="50"/>
      <c r="T469" s="50">
        <f t="shared" ca="1" si="19"/>
        <v>0</v>
      </c>
      <c r="U469" s="51">
        <f t="shared" ca="1" si="20"/>
        <v>0</v>
      </c>
      <c r="V469" s="51">
        <f t="shared" ca="1" si="21"/>
        <v>0</v>
      </c>
      <c r="W469" s="51">
        <f t="shared" ca="1" si="22"/>
        <v>0</v>
      </c>
      <c r="X469" s="51">
        <f t="shared" ca="1" si="23"/>
        <v>0</v>
      </c>
      <c r="Y469" s="18"/>
    </row>
    <row r="470" spans="1:25" ht="16" x14ac:dyDescent="0.15">
      <c r="A470" s="18"/>
      <c r="B470" s="47" t="s">
        <v>195</v>
      </c>
      <c r="C470" s="47" t="s">
        <v>136</v>
      </c>
      <c r="D470" s="47"/>
      <c r="E470" s="47" t="s">
        <v>201</v>
      </c>
      <c r="F470" s="47" t="s">
        <v>65</v>
      </c>
      <c r="G470" s="47">
        <v>2400</v>
      </c>
      <c r="H470" s="47">
        <v>1200</v>
      </c>
      <c r="I470" s="47" t="str">
        <f t="shared" si="18"/>
        <v>MTLP-MD-PB-2400-1200</v>
      </c>
      <c r="J470" s="47" t="s">
        <v>194</v>
      </c>
      <c r="K470" s="47" t="s">
        <v>94</v>
      </c>
      <c r="L470" s="47"/>
      <c r="M470" s="47" t="s">
        <v>202</v>
      </c>
      <c r="N470" s="48" t="s">
        <v>203</v>
      </c>
      <c r="O470" s="47" t="s">
        <v>11</v>
      </c>
      <c r="P470" s="49" t="s">
        <v>199</v>
      </c>
      <c r="Q470" s="50"/>
      <c r="R470" s="50"/>
      <c r="S470" s="50"/>
      <c r="T470" s="50">
        <f t="shared" ref="T470:T541" ca="1" si="24">INDIRECT("'CALC LUX MEETING'!N"&amp;(ROW()-455)*7)</f>
        <v>472700</v>
      </c>
      <c r="U470" s="51">
        <f t="shared" ca="1" si="20"/>
        <v>425430</v>
      </c>
      <c r="V470" s="51">
        <f t="shared" ca="1" si="21"/>
        <v>401795</v>
      </c>
      <c r="W470" s="51">
        <f t="shared" ca="1" si="22"/>
        <v>378160</v>
      </c>
      <c r="X470" s="51">
        <f t="shared" ca="1" si="23"/>
        <v>330890</v>
      </c>
      <c r="Y470" s="18"/>
    </row>
    <row r="471" spans="1:25" ht="16" x14ac:dyDescent="0.15">
      <c r="A471" s="18"/>
      <c r="B471" s="47" t="s">
        <v>195</v>
      </c>
      <c r="C471" s="47" t="s">
        <v>136</v>
      </c>
      <c r="D471" s="47"/>
      <c r="E471" s="47" t="s">
        <v>201</v>
      </c>
      <c r="F471" s="47" t="s">
        <v>112</v>
      </c>
      <c r="G471" s="47">
        <v>2400</v>
      </c>
      <c r="H471" s="47">
        <v>1200</v>
      </c>
      <c r="I471" s="47" t="str">
        <f t="shared" si="18"/>
        <v>MTLP-MD-PLM-2400-1200</v>
      </c>
      <c r="J471" s="47" t="s">
        <v>194</v>
      </c>
      <c r="K471" s="47" t="s">
        <v>94</v>
      </c>
      <c r="L471" s="47"/>
      <c r="M471" s="47" t="s">
        <v>202</v>
      </c>
      <c r="N471" s="48" t="s">
        <v>203</v>
      </c>
      <c r="O471" s="47" t="s">
        <v>31</v>
      </c>
      <c r="P471" s="49" t="s">
        <v>199</v>
      </c>
      <c r="Q471" s="50"/>
      <c r="R471" s="50"/>
      <c r="S471" s="50"/>
      <c r="T471" s="50">
        <f t="shared" ca="1" si="24"/>
        <v>213500</v>
      </c>
      <c r="U471" s="51">
        <f t="shared" ca="1" si="20"/>
        <v>192150</v>
      </c>
      <c r="V471" s="51">
        <f t="shared" ca="1" si="21"/>
        <v>181475</v>
      </c>
      <c r="W471" s="51">
        <f t="shared" ca="1" si="22"/>
        <v>170800</v>
      </c>
      <c r="X471" s="51">
        <f t="shared" ca="1" si="23"/>
        <v>149450</v>
      </c>
      <c r="Y471" s="18"/>
    </row>
    <row r="472" spans="1:25" ht="16" x14ac:dyDescent="0.15">
      <c r="A472" s="18"/>
      <c r="B472" s="47" t="s">
        <v>195</v>
      </c>
      <c r="C472" s="47" t="s">
        <v>136</v>
      </c>
      <c r="D472" s="47"/>
      <c r="E472" s="47" t="s">
        <v>201</v>
      </c>
      <c r="F472" s="47" t="s">
        <v>114</v>
      </c>
      <c r="G472" s="47">
        <v>2400</v>
      </c>
      <c r="H472" s="47">
        <v>1200</v>
      </c>
      <c r="I472" s="47" t="str">
        <f t="shared" si="18"/>
        <v>MTLP-MD-PoLM-2400-1200</v>
      </c>
      <c r="J472" s="47" t="s">
        <v>194</v>
      </c>
      <c r="K472" s="47" t="s">
        <v>94</v>
      </c>
      <c r="L472" s="47"/>
      <c r="M472" s="47" t="s">
        <v>202</v>
      </c>
      <c r="N472" s="48" t="s">
        <v>203</v>
      </c>
      <c r="O472" s="47" t="s">
        <v>47</v>
      </c>
      <c r="P472" s="49" t="s">
        <v>199</v>
      </c>
      <c r="Q472" s="50"/>
      <c r="R472" s="50"/>
      <c r="S472" s="50"/>
      <c r="T472" s="50">
        <f t="shared" ca="1" si="24"/>
        <v>234300</v>
      </c>
      <c r="U472" s="51">
        <f t="shared" ca="1" si="20"/>
        <v>210870</v>
      </c>
      <c r="V472" s="51">
        <f t="shared" ca="1" si="21"/>
        <v>199155</v>
      </c>
      <c r="W472" s="51">
        <f t="shared" ca="1" si="22"/>
        <v>187440</v>
      </c>
      <c r="X472" s="51">
        <f t="shared" ca="1" si="23"/>
        <v>164010</v>
      </c>
      <c r="Y472" s="18"/>
    </row>
    <row r="473" spans="1:25" ht="16" x14ac:dyDescent="0.15">
      <c r="A473" s="18"/>
      <c r="B473" s="47" t="s">
        <v>195</v>
      </c>
      <c r="C473" s="47" t="s">
        <v>136</v>
      </c>
      <c r="D473" s="47"/>
      <c r="E473" s="47" t="s">
        <v>201</v>
      </c>
      <c r="F473" s="47" t="s">
        <v>117</v>
      </c>
      <c r="G473" s="47">
        <v>2400</v>
      </c>
      <c r="H473" s="47">
        <v>1200</v>
      </c>
      <c r="I473" s="47" t="str">
        <f t="shared" si="18"/>
        <v>MTLP-MD-LVM-2400-1200</v>
      </c>
      <c r="J473" s="47" t="s">
        <v>194</v>
      </c>
      <c r="K473" s="47" t="s">
        <v>94</v>
      </c>
      <c r="L473" s="47"/>
      <c r="M473" s="47" t="s">
        <v>202</v>
      </c>
      <c r="N473" s="48" t="s">
        <v>203</v>
      </c>
      <c r="O473" s="47" t="s">
        <v>157</v>
      </c>
      <c r="P473" s="49" t="s">
        <v>199</v>
      </c>
      <c r="Q473" s="50"/>
      <c r="R473" s="50"/>
      <c r="S473" s="50"/>
      <c r="T473" s="50">
        <f t="shared" ca="1" si="24"/>
        <v>243500</v>
      </c>
      <c r="U473" s="51">
        <f t="shared" ca="1" si="20"/>
        <v>219150</v>
      </c>
      <c r="V473" s="51">
        <f t="shared" ca="1" si="21"/>
        <v>206975</v>
      </c>
      <c r="W473" s="51">
        <f t="shared" ca="1" si="22"/>
        <v>194800</v>
      </c>
      <c r="X473" s="51">
        <f t="shared" ca="1" si="23"/>
        <v>170450</v>
      </c>
      <c r="Y473" s="18"/>
    </row>
    <row r="474" spans="1:25" ht="16" x14ac:dyDescent="0.15">
      <c r="A474" s="18"/>
      <c r="B474" s="47" t="s">
        <v>195</v>
      </c>
      <c r="C474" s="47" t="s">
        <v>136</v>
      </c>
      <c r="D474" s="47"/>
      <c r="E474" s="47" t="s">
        <v>201</v>
      </c>
      <c r="F474" s="47" t="s">
        <v>119</v>
      </c>
      <c r="G474" s="47">
        <v>2400</v>
      </c>
      <c r="H474" s="47">
        <v>1200</v>
      </c>
      <c r="I474" s="47" t="str">
        <f t="shared" si="18"/>
        <v>MTLP-MD-LVP-2400-1200</v>
      </c>
      <c r="J474" s="47" t="s">
        <v>194</v>
      </c>
      <c r="K474" s="47" t="s">
        <v>94</v>
      </c>
      <c r="L474" s="47"/>
      <c r="M474" s="47" t="s">
        <v>202</v>
      </c>
      <c r="N474" s="48" t="s">
        <v>203</v>
      </c>
      <c r="O474" s="47" t="s">
        <v>158</v>
      </c>
      <c r="P474" s="49" t="s">
        <v>199</v>
      </c>
      <c r="Q474" s="50"/>
      <c r="R474" s="50"/>
      <c r="S474" s="50"/>
      <c r="T474" s="50">
        <f t="shared" ca="1" si="24"/>
        <v>295300</v>
      </c>
      <c r="U474" s="51">
        <f t="shared" ca="1" si="20"/>
        <v>265770</v>
      </c>
      <c r="V474" s="51">
        <f t="shared" ca="1" si="21"/>
        <v>251005</v>
      </c>
      <c r="W474" s="51">
        <f t="shared" ca="1" si="22"/>
        <v>236240</v>
      </c>
      <c r="X474" s="51">
        <f t="shared" ca="1" si="23"/>
        <v>206710</v>
      </c>
      <c r="Y474" s="18"/>
    </row>
    <row r="475" spans="1:25" ht="16" x14ac:dyDescent="0.15">
      <c r="A475" s="18"/>
      <c r="B475" s="47" t="s">
        <v>195</v>
      </c>
      <c r="C475" s="47" t="s">
        <v>136</v>
      </c>
      <c r="D475" s="47"/>
      <c r="E475" s="47" t="s">
        <v>201</v>
      </c>
      <c r="F475" s="47" t="s">
        <v>121</v>
      </c>
      <c r="G475" s="47">
        <v>2400</v>
      </c>
      <c r="H475" s="47">
        <v>1200</v>
      </c>
      <c r="I475" s="47" t="str">
        <f t="shared" si="18"/>
        <v>MTLP-MD-VNR-2400-1200</v>
      </c>
      <c r="J475" s="47" t="s">
        <v>194</v>
      </c>
      <c r="K475" s="47" t="s">
        <v>94</v>
      </c>
      <c r="L475" s="47"/>
      <c r="M475" s="47" t="s">
        <v>202</v>
      </c>
      <c r="N475" s="48" t="s">
        <v>203</v>
      </c>
      <c r="O475" s="47" t="s">
        <v>90</v>
      </c>
      <c r="P475" s="49" t="s">
        <v>199</v>
      </c>
      <c r="Q475" s="50"/>
      <c r="R475" s="50"/>
      <c r="S475" s="50"/>
      <c r="T475" s="50">
        <f t="shared" ca="1" si="24"/>
        <v>318400</v>
      </c>
      <c r="U475" s="51">
        <f t="shared" ca="1" si="20"/>
        <v>286560</v>
      </c>
      <c r="V475" s="51">
        <f t="shared" ca="1" si="21"/>
        <v>270640</v>
      </c>
      <c r="W475" s="51">
        <f t="shared" ca="1" si="22"/>
        <v>254720</v>
      </c>
      <c r="X475" s="51">
        <f t="shared" ca="1" si="23"/>
        <v>222880</v>
      </c>
      <c r="Y475" s="18"/>
    </row>
    <row r="476" spans="1:25" ht="16" x14ac:dyDescent="0.15">
      <c r="A476" s="18"/>
      <c r="B476" s="47" t="s">
        <v>195</v>
      </c>
      <c r="C476" s="47" t="s">
        <v>136</v>
      </c>
      <c r="D476" s="47"/>
      <c r="E476" s="47" t="s">
        <v>201</v>
      </c>
      <c r="F476" s="47" t="s">
        <v>127</v>
      </c>
      <c r="G476" s="47">
        <v>2400</v>
      </c>
      <c r="H476" s="47">
        <v>1200</v>
      </c>
      <c r="I476" s="47" t="str">
        <f t="shared" si="18"/>
        <v>MTLP-MD-MBL-2400-1200</v>
      </c>
      <c r="J476" s="47" t="s">
        <v>194</v>
      </c>
      <c r="K476" s="47" t="s">
        <v>94</v>
      </c>
      <c r="L476" s="47"/>
      <c r="M476" s="47" t="s">
        <v>202</v>
      </c>
      <c r="N476" s="48" t="s">
        <v>203</v>
      </c>
      <c r="O476" s="47" t="s">
        <v>101</v>
      </c>
      <c r="P476" s="49" t="s">
        <v>199</v>
      </c>
      <c r="Q476" s="50"/>
      <c r="R476" s="50"/>
      <c r="S476" s="50"/>
      <c r="T476" s="50">
        <f t="shared" ca="1" si="24"/>
        <v>329900</v>
      </c>
      <c r="U476" s="51">
        <f t="shared" ca="1" si="20"/>
        <v>296910</v>
      </c>
      <c r="V476" s="51">
        <f t="shared" ca="1" si="21"/>
        <v>280415</v>
      </c>
      <c r="W476" s="51">
        <f t="shared" ca="1" si="22"/>
        <v>263920</v>
      </c>
      <c r="X476" s="51">
        <f t="shared" ca="1" si="23"/>
        <v>230929.99999999997</v>
      </c>
      <c r="Y476" s="18"/>
    </row>
    <row r="477" spans="1:25" ht="16" x14ac:dyDescent="0.15">
      <c r="A477" s="18"/>
      <c r="B477" s="47" t="s">
        <v>195</v>
      </c>
      <c r="C477" s="47" t="s">
        <v>136</v>
      </c>
      <c r="D477" s="47"/>
      <c r="E477" s="47" t="s">
        <v>201</v>
      </c>
      <c r="F477" s="47" t="s">
        <v>123</v>
      </c>
      <c r="G477" s="47">
        <v>2400</v>
      </c>
      <c r="H477" s="47">
        <v>1200</v>
      </c>
      <c r="I477" s="47" t="str">
        <f t="shared" si="18"/>
        <v>MTLP-MD-GL-2400-1200</v>
      </c>
      <c r="J477" s="47" t="s">
        <v>194</v>
      </c>
      <c r="K477" s="47" t="s">
        <v>94</v>
      </c>
      <c r="L477" s="47"/>
      <c r="M477" s="47" t="s">
        <v>202</v>
      </c>
      <c r="N477" s="48" t="s">
        <v>203</v>
      </c>
      <c r="O477" s="47" t="s">
        <v>42</v>
      </c>
      <c r="P477" s="49" t="s">
        <v>199</v>
      </c>
      <c r="Q477" s="50"/>
      <c r="R477" s="50"/>
      <c r="S477" s="50"/>
      <c r="T477" s="50">
        <f t="shared" ca="1" si="24"/>
        <v>554500</v>
      </c>
      <c r="U477" s="51">
        <f t="shared" ca="1" si="20"/>
        <v>499050</v>
      </c>
      <c r="V477" s="51">
        <f t="shared" ca="1" si="21"/>
        <v>471325</v>
      </c>
      <c r="W477" s="51">
        <f t="shared" ca="1" si="22"/>
        <v>443600</v>
      </c>
      <c r="X477" s="51">
        <f t="shared" ca="1" si="23"/>
        <v>388150</v>
      </c>
      <c r="Y477" s="18"/>
    </row>
    <row r="478" spans="1:25" ht="16" x14ac:dyDescent="0.15">
      <c r="A478" s="18"/>
      <c r="B478" s="47" t="s">
        <v>195</v>
      </c>
      <c r="C478" s="47" t="s">
        <v>136</v>
      </c>
      <c r="D478" s="47"/>
      <c r="E478" s="47" t="s">
        <v>204</v>
      </c>
      <c r="F478" s="47" t="s">
        <v>65</v>
      </c>
      <c r="G478" s="47">
        <v>3600</v>
      </c>
      <c r="H478" s="47">
        <v>1200</v>
      </c>
      <c r="I478" s="47" t="str">
        <f t="shared" si="18"/>
        <v>MTLP-LG-PB-3600-1200</v>
      </c>
      <c r="J478" s="47" t="s">
        <v>194</v>
      </c>
      <c r="K478" s="47" t="s">
        <v>94</v>
      </c>
      <c r="L478" s="47"/>
      <c r="M478" s="47" t="s">
        <v>205</v>
      </c>
      <c r="N478" s="48" t="s">
        <v>206</v>
      </c>
      <c r="O478" s="47" t="s">
        <v>11</v>
      </c>
      <c r="P478" s="49" t="s">
        <v>199</v>
      </c>
      <c r="Q478" s="50"/>
      <c r="R478" s="50"/>
      <c r="S478" s="50"/>
      <c r="T478" s="50">
        <f t="shared" ca="1" si="24"/>
        <v>640900</v>
      </c>
      <c r="U478" s="51">
        <f t="shared" ca="1" si="20"/>
        <v>576810</v>
      </c>
      <c r="V478" s="51">
        <f t="shared" ca="1" si="21"/>
        <v>544765</v>
      </c>
      <c r="W478" s="51">
        <f t="shared" ca="1" si="22"/>
        <v>512720</v>
      </c>
      <c r="X478" s="51">
        <f t="shared" ca="1" si="23"/>
        <v>448630</v>
      </c>
      <c r="Y478" s="18"/>
    </row>
    <row r="479" spans="1:25" ht="16" x14ac:dyDescent="0.15">
      <c r="A479" s="18"/>
      <c r="B479" s="47" t="s">
        <v>195</v>
      </c>
      <c r="C479" s="47" t="s">
        <v>136</v>
      </c>
      <c r="D479" s="47"/>
      <c r="E479" s="47" t="s">
        <v>204</v>
      </c>
      <c r="F479" s="47" t="s">
        <v>112</v>
      </c>
      <c r="G479" s="47">
        <v>3600</v>
      </c>
      <c r="H479" s="47">
        <v>1200</v>
      </c>
      <c r="I479" s="47" t="str">
        <f t="shared" si="18"/>
        <v>MTLP-LG-PLM-3600-1200</v>
      </c>
      <c r="J479" s="47" t="s">
        <v>194</v>
      </c>
      <c r="K479" s="47" t="s">
        <v>94</v>
      </c>
      <c r="L479" s="47"/>
      <c r="M479" s="47" t="s">
        <v>205</v>
      </c>
      <c r="N479" s="48" t="s">
        <v>206</v>
      </c>
      <c r="O479" s="47" t="s">
        <v>31</v>
      </c>
      <c r="P479" s="49" t="s">
        <v>199</v>
      </c>
      <c r="Q479" s="50"/>
      <c r="R479" s="50"/>
      <c r="S479" s="50"/>
      <c r="T479" s="50">
        <f t="shared" ca="1" si="24"/>
        <v>295300</v>
      </c>
      <c r="U479" s="51">
        <f t="shared" ca="1" si="20"/>
        <v>265770</v>
      </c>
      <c r="V479" s="51">
        <f t="shared" ca="1" si="21"/>
        <v>251005</v>
      </c>
      <c r="W479" s="51">
        <f t="shared" ca="1" si="22"/>
        <v>236240</v>
      </c>
      <c r="X479" s="51">
        <f t="shared" ca="1" si="23"/>
        <v>206710</v>
      </c>
      <c r="Y479" s="18"/>
    </row>
    <row r="480" spans="1:25" ht="16" x14ac:dyDescent="0.15">
      <c r="A480" s="18"/>
      <c r="B480" s="47" t="s">
        <v>195</v>
      </c>
      <c r="C480" s="47" t="s">
        <v>136</v>
      </c>
      <c r="D480" s="47"/>
      <c r="E480" s="47" t="s">
        <v>204</v>
      </c>
      <c r="F480" s="47" t="s">
        <v>114</v>
      </c>
      <c r="G480" s="47">
        <v>3600</v>
      </c>
      <c r="H480" s="47">
        <v>1200</v>
      </c>
      <c r="I480" s="47" t="str">
        <f t="shared" si="18"/>
        <v>MTLP-LG-PoLM-3600-1200</v>
      </c>
      <c r="J480" s="47" t="s">
        <v>194</v>
      </c>
      <c r="K480" s="47" t="s">
        <v>94</v>
      </c>
      <c r="L480" s="47"/>
      <c r="M480" s="47" t="s">
        <v>205</v>
      </c>
      <c r="N480" s="48" t="s">
        <v>206</v>
      </c>
      <c r="O480" s="47" t="s">
        <v>47</v>
      </c>
      <c r="P480" s="49" t="s">
        <v>199</v>
      </c>
      <c r="Q480" s="50"/>
      <c r="R480" s="50"/>
      <c r="S480" s="50"/>
      <c r="T480" s="50">
        <f t="shared" ca="1" si="24"/>
        <v>95100</v>
      </c>
      <c r="U480" s="51">
        <f t="shared" ca="1" si="20"/>
        <v>85590</v>
      </c>
      <c r="V480" s="51">
        <f t="shared" ca="1" si="21"/>
        <v>80835</v>
      </c>
      <c r="W480" s="51">
        <f t="shared" ca="1" si="22"/>
        <v>76080</v>
      </c>
      <c r="X480" s="51">
        <f t="shared" ca="1" si="23"/>
        <v>66570</v>
      </c>
      <c r="Y480" s="18"/>
    </row>
    <row r="481" spans="1:25" ht="16" x14ac:dyDescent="0.15">
      <c r="A481" s="18"/>
      <c r="B481" s="47" t="s">
        <v>195</v>
      </c>
      <c r="C481" s="47" t="s">
        <v>136</v>
      </c>
      <c r="D481" s="47"/>
      <c r="E481" s="47" t="s">
        <v>204</v>
      </c>
      <c r="F481" s="47" t="s">
        <v>117</v>
      </c>
      <c r="G481" s="47">
        <v>3600</v>
      </c>
      <c r="H481" s="47">
        <v>1200</v>
      </c>
      <c r="I481" s="47" t="str">
        <f t="shared" si="18"/>
        <v>MTLP-LG-LVM-3600-1200</v>
      </c>
      <c r="J481" s="47" t="s">
        <v>194</v>
      </c>
      <c r="K481" s="47" t="s">
        <v>94</v>
      </c>
      <c r="L481" s="47"/>
      <c r="M481" s="47" t="s">
        <v>205</v>
      </c>
      <c r="N481" s="48" t="s">
        <v>206</v>
      </c>
      <c r="O481" s="47" t="s">
        <v>157</v>
      </c>
      <c r="P481" s="49" t="s">
        <v>199</v>
      </c>
      <c r="Q481" s="50"/>
      <c r="R481" s="50"/>
      <c r="S481" s="50"/>
      <c r="T481" s="50">
        <f t="shared" ca="1" si="24"/>
        <v>99700</v>
      </c>
      <c r="U481" s="51">
        <f t="shared" ca="1" si="20"/>
        <v>89730</v>
      </c>
      <c r="V481" s="51">
        <f t="shared" ca="1" si="21"/>
        <v>84745</v>
      </c>
      <c r="W481" s="51">
        <f t="shared" ca="1" si="22"/>
        <v>79760</v>
      </c>
      <c r="X481" s="51">
        <f t="shared" ca="1" si="23"/>
        <v>69790</v>
      </c>
      <c r="Y481" s="18"/>
    </row>
    <row r="482" spans="1:25" ht="16" x14ac:dyDescent="0.15">
      <c r="A482" s="18"/>
      <c r="B482" s="47" t="s">
        <v>195</v>
      </c>
      <c r="C482" s="47" t="s">
        <v>136</v>
      </c>
      <c r="D482" s="47"/>
      <c r="E482" s="47" t="s">
        <v>204</v>
      </c>
      <c r="F482" s="47" t="s">
        <v>119</v>
      </c>
      <c r="G482" s="47">
        <v>3600</v>
      </c>
      <c r="H482" s="47">
        <v>1200</v>
      </c>
      <c r="I482" s="47" t="str">
        <f t="shared" si="18"/>
        <v>MTLP-LG-LVP-3600-1200</v>
      </c>
      <c r="J482" s="47" t="s">
        <v>194</v>
      </c>
      <c r="K482" s="47" t="s">
        <v>94</v>
      </c>
      <c r="L482" s="47"/>
      <c r="M482" s="47" t="s">
        <v>205</v>
      </c>
      <c r="N482" s="48" t="s">
        <v>206</v>
      </c>
      <c r="O482" s="47" t="s">
        <v>158</v>
      </c>
      <c r="P482" s="49" t="s">
        <v>199</v>
      </c>
      <c r="Q482" s="50"/>
      <c r="R482" s="50"/>
      <c r="S482" s="50"/>
      <c r="T482" s="50">
        <f t="shared" ca="1" si="24"/>
        <v>125700</v>
      </c>
      <c r="U482" s="51">
        <f t="shared" ca="1" si="20"/>
        <v>113130</v>
      </c>
      <c r="V482" s="51">
        <f t="shared" ca="1" si="21"/>
        <v>106845</v>
      </c>
      <c r="W482" s="51">
        <f t="shared" ca="1" si="22"/>
        <v>100560</v>
      </c>
      <c r="X482" s="51">
        <f t="shared" ca="1" si="23"/>
        <v>87990</v>
      </c>
      <c r="Y482" s="18"/>
    </row>
    <row r="483" spans="1:25" ht="16" x14ac:dyDescent="0.15">
      <c r="A483" s="18"/>
      <c r="B483" s="47" t="s">
        <v>195</v>
      </c>
      <c r="C483" s="47" t="s">
        <v>136</v>
      </c>
      <c r="D483" s="47"/>
      <c r="E483" s="47" t="s">
        <v>204</v>
      </c>
      <c r="F483" s="47" t="s">
        <v>121</v>
      </c>
      <c r="G483" s="47">
        <v>3600</v>
      </c>
      <c r="H483" s="47">
        <v>1200</v>
      </c>
      <c r="I483" s="47" t="str">
        <f t="shared" si="18"/>
        <v>MTLP-LG-VNR-3600-1200</v>
      </c>
      <c r="J483" s="47" t="s">
        <v>194</v>
      </c>
      <c r="K483" s="47" t="s">
        <v>94</v>
      </c>
      <c r="L483" s="47"/>
      <c r="M483" s="47" t="s">
        <v>205</v>
      </c>
      <c r="N483" s="48" t="s">
        <v>206</v>
      </c>
      <c r="O483" s="47" t="s">
        <v>90</v>
      </c>
      <c r="P483" s="49" t="s">
        <v>199</v>
      </c>
      <c r="Q483" s="50"/>
      <c r="R483" s="50"/>
      <c r="S483" s="50"/>
      <c r="T483" s="50">
        <f t="shared" ca="1" si="24"/>
        <v>137200</v>
      </c>
      <c r="U483" s="51">
        <f t="shared" ca="1" si="20"/>
        <v>123480</v>
      </c>
      <c r="V483" s="51">
        <f t="shared" ca="1" si="21"/>
        <v>116620</v>
      </c>
      <c r="W483" s="51">
        <f t="shared" ca="1" si="22"/>
        <v>109760</v>
      </c>
      <c r="X483" s="51">
        <f t="shared" ca="1" si="23"/>
        <v>96040</v>
      </c>
      <c r="Y483" s="18"/>
    </row>
    <row r="484" spans="1:25" ht="16" x14ac:dyDescent="0.15">
      <c r="A484" s="18"/>
      <c r="B484" s="47" t="s">
        <v>195</v>
      </c>
      <c r="C484" s="47" t="s">
        <v>136</v>
      </c>
      <c r="D484" s="47"/>
      <c r="E484" s="47" t="s">
        <v>204</v>
      </c>
      <c r="F484" s="47" t="s">
        <v>127</v>
      </c>
      <c r="G484" s="47">
        <v>3600</v>
      </c>
      <c r="H484" s="47">
        <v>1200</v>
      </c>
      <c r="I484" s="47" t="str">
        <f t="shared" si="18"/>
        <v>MTLP-LG-MBL-3600-1200</v>
      </c>
      <c r="J484" s="47" t="s">
        <v>194</v>
      </c>
      <c r="K484" s="47" t="s">
        <v>94</v>
      </c>
      <c r="L484" s="47"/>
      <c r="M484" s="47" t="s">
        <v>205</v>
      </c>
      <c r="N484" s="48" t="s">
        <v>206</v>
      </c>
      <c r="O484" s="47" t="s">
        <v>101</v>
      </c>
      <c r="P484" s="49" t="s">
        <v>199</v>
      </c>
      <c r="Q484" s="50"/>
      <c r="R484" s="50"/>
      <c r="S484" s="50"/>
      <c r="T484" s="50">
        <f t="shared" ca="1" si="24"/>
        <v>142900</v>
      </c>
      <c r="U484" s="51">
        <f t="shared" ca="1" si="20"/>
        <v>128610</v>
      </c>
      <c r="V484" s="51">
        <f t="shared" ca="1" si="21"/>
        <v>121465</v>
      </c>
      <c r="W484" s="51">
        <f t="shared" ca="1" si="22"/>
        <v>114320</v>
      </c>
      <c r="X484" s="51">
        <f t="shared" ca="1" si="23"/>
        <v>100030</v>
      </c>
      <c r="Y484" s="18"/>
    </row>
    <row r="485" spans="1:25" ht="16" x14ac:dyDescent="0.15">
      <c r="A485" s="18"/>
      <c r="B485" s="47" t="s">
        <v>195</v>
      </c>
      <c r="C485" s="47" t="s">
        <v>136</v>
      </c>
      <c r="D485" s="47"/>
      <c r="E485" s="47" t="s">
        <v>204</v>
      </c>
      <c r="F485" s="47" t="s">
        <v>123</v>
      </c>
      <c r="G485" s="47">
        <v>3600</v>
      </c>
      <c r="H485" s="47">
        <v>1200</v>
      </c>
      <c r="I485" s="47" t="str">
        <f t="shared" si="18"/>
        <v>MTLP-LG-GL-3600-1200</v>
      </c>
      <c r="J485" s="47" t="s">
        <v>194</v>
      </c>
      <c r="K485" s="47" t="s">
        <v>94</v>
      </c>
      <c r="L485" s="47"/>
      <c r="M485" s="47" t="s">
        <v>205</v>
      </c>
      <c r="N485" s="48" t="s">
        <v>206</v>
      </c>
      <c r="O485" s="47" t="s">
        <v>42</v>
      </c>
      <c r="P485" s="49" t="s">
        <v>199</v>
      </c>
      <c r="Q485" s="50"/>
      <c r="R485" s="50"/>
      <c r="S485" s="50"/>
      <c r="T485" s="50">
        <f t="shared" ca="1" si="24"/>
        <v>255300</v>
      </c>
      <c r="U485" s="51">
        <f t="shared" ca="1" si="20"/>
        <v>229770</v>
      </c>
      <c r="V485" s="51">
        <f t="shared" ca="1" si="21"/>
        <v>217005</v>
      </c>
      <c r="W485" s="51">
        <f t="shared" ca="1" si="22"/>
        <v>204240</v>
      </c>
      <c r="X485" s="51">
        <f t="shared" ca="1" si="23"/>
        <v>178710</v>
      </c>
      <c r="Y485" s="18"/>
    </row>
    <row r="486" spans="1:25" ht="16" x14ac:dyDescent="0.15">
      <c r="A486" s="18"/>
      <c r="B486" s="47" t="s">
        <v>195</v>
      </c>
      <c r="C486" s="47" t="s">
        <v>136</v>
      </c>
      <c r="D486" s="47"/>
      <c r="E486" s="47" t="s">
        <v>207</v>
      </c>
      <c r="F486" s="47" t="s">
        <v>65</v>
      </c>
      <c r="G486" s="47">
        <v>4800</v>
      </c>
      <c r="H486" s="47">
        <v>1200</v>
      </c>
      <c r="I486" s="47" t="str">
        <f t="shared" si="18"/>
        <v>MTLP-XL-PB-4800-1200</v>
      </c>
      <c r="J486" s="47" t="s">
        <v>194</v>
      </c>
      <c r="K486" s="47" t="s">
        <v>94</v>
      </c>
      <c r="L486" s="47"/>
      <c r="M486" s="47" t="s">
        <v>207</v>
      </c>
      <c r="N486" s="48" t="s">
        <v>208</v>
      </c>
      <c r="O486" s="47" t="s">
        <v>11</v>
      </c>
      <c r="P486" s="49" t="s">
        <v>199</v>
      </c>
      <c r="Q486" s="50"/>
      <c r="R486" s="50"/>
      <c r="S486" s="50"/>
      <c r="T486" s="50">
        <f t="shared" ca="1" si="24"/>
        <v>305500</v>
      </c>
      <c r="U486" s="51">
        <f t="shared" ca="1" si="20"/>
        <v>274950</v>
      </c>
      <c r="V486" s="51">
        <f t="shared" ca="1" si="21"/>
        <v>259675</v>
      </c>
      <c r="W486" s="51">
        <f t="shared" ca="1" si="22"/>
        <v>244400</v>
      </c>
      <c r="X486" s="51">
        <f t="shared" ca="1" si="23"/>
        <v>213850</v>
      </c>
      <c r="Y486" s="18"/>
    </row>
    <row r="487" spans="1:25" ht="16" x14ac:dyDescent="0.15">
      <c r="A487" s="18"/>
      <c r="B487" s="47" t="s">
        <v>195</v>
      </c>
      <c r="C487" s="47" t="s">
        <v>136</v>
      </c>
      <c r="D487" s="47"/>
      <c r="E487" s="47" t="s">
        <v>207</v>
      </c>
      <c r="F487" s="47" t="s">
        <v>112</v>
      </c>
      <c r="G487" s="47">
        <v>4800</v>
      </c>
      <c r="H487" s="47">
        <v>1200</v>
      </c>
      <c r="I487" s="47" t="str">
        <f t="shared" si="18"/>
        <v>MTLP-XL-PLM-4800-1200</v>
      </c>
      <c r="J487" s="47" t="s">
        <v>194</v>
      </c>
      <c r="K487" s="47" t="s">
        <v>94</v>
      </c>
      <c r="L487" s="47"/>
      <c r="M487" s="47" t="s">
        <v>207</v>
      </c>
      <c r="N487" s="48" t="s">
        <v>208</v>
      </c>
      <c r="O487" s="47" t="s">
        <v>31</v>
      </c>
      <c r="P487" s="49" t="s">
        <v>199</v>
      </c>
      <c r="Q487" s="50"/>
      <c r="R487" s="50"/>
      <c r="S487" s="50"/>
      <c r="T487" s="50">
        <f t="shared" ca="1" si="24"/>
        <v>132700</v>
      </c>
      <c r="U487" s="51">
        <f t="shared" ca="1" si="20"/>
        <v>119430</v>
      </c>
      <c r="V487" s="51">
        <f t="shared" ca="1" si="21"/>
        <v>112795</v>
      </c>
      <c r="W487" s="51">
        <f t="shared" ca="1" si="22"/>
        <v>106160</v>
      </c>
      <c r="X487" s="51">
        <f t="shared" ca="1" si="23"/>
        <v>92890</v>
      </c>
      <c r="Y487" s="18"/>
    </row>
    <row r="488" spans="1:25" ht="16" x14ac:dyDescent="0.15">
      <c r="A488" s="18"/>
      <c r="B488" s="47" t="s">
        <v>195</v>
      </c>
      <c r="C488" s="47" t="s">
        <v>136</v>
      </c>
      <c r="D488" s="47"/>
      <c r="E488" s="47" t="s">
        <v>207</v>
      </c>
      <c r="F488" s="47" t="s">
        <v>114</v>
      </c>
      <c r="G488" s="47">
        <v>4800</v>
      </c>
      <c r="H488" s="47">
        <v>1200</v>
      </c>
      <c r="I488" s="47" t="str">
        <f t="shared" si="18"/>
        <v>MTLP-XL-PoLM-4800-1200</v>
      </c>
      <c r="J488" s="47" t="s">
        <v>194</v>
      </c>
      <c r="K488" s="47" t="s">
        <v>94</v>
      </c>
      <c r="L488" s="47"/>
      <c r="M488" s="47" t="s">
        <v>207</v>
      </c>
      <c r="N488" s="48" t="s">
        <v>208</v>
      </c>
      <c r="O488" s="47" t="s">
        <v>47</v>
      </c>
      <c r="P488" s="49" t="s">
        <v>199</v>
      </c>
      <c r="Q488" s="50"/>
      <c r="R488" s="50"/>
      <c r="S488" s="50"/>
      <c r="T488" s="50">
        <f t="shared" ca="1" si="24"/>
        <v>141700</v>
      </c>
      <c r="U488" s="51">
        <f t="shared" ca="1" si="20"/>
        <v>127530</v>
      </c>
      <c r="V488" s="51">
        <f t="shared" ca="1" si="21"/>
        <v>120445</v>
      </c>
      <c r="W488" s="51">
        <f t="shared" ca="1" si="22"/>
        <v>113360</v>
      </c>
      <c r="X488" s="51">
        <f t="shared" ca="1" si="23"/>
        <v>99190</v>
      </c>
      <c r="Y488" s="18"/>
    </row>
    <row r="489" spans="1:25" ht="16" x14ac:dyDescent="0.15">
      <c r="A489" s="18"/>
      <c r="B489" s="47" t="s">
        <v>195</v>
      </c>
      <c r="C489" s="47" t="s">
        <v>136</v>
      </c>
      <c r="D489" s="47"/>
      <c r="E489" s="47" t="s">
        <v>207</v>
      </c>
      <c r="F489" s="47" t="s">
        <v>117</v>
      </c>
      <c r="G489" s="47">
        <v>4800</v>
      </c>
      <c r="H489" s="47">
        <v>1200</v>
      </c>
      <c r="I489" s="47" t="str">
        <f t="shared" si="18"/>
        <v>MTLP-XL-LVM-4800-1200</v>
      </c>
      <c r="J489" s="47" t="s">
        <v>194</v>
      </c>
      <c r="K489" s="47" t="s">
        <v>94</v>
      </c>
      <c r="L489" s="47"/>
      <c r="M489" s="47" t="s">
        <v>207</v>
      </c>
      <c r="N489" s="48" t="s">
        <v>208</v>
      </c>
      <c r="O489" s="47" t="s">
        <v>157</v>
      </c>
      <c r="P489" s="49" t="s">
        <v>199</v>
      </c>
      <c r="Q489" s="50"/>
      <c r="R489" s="50"/>
      <c r="S489" s="50"/>
      <c r="T489" s="50">
        <f t="shared" ca="1" si="24"/>
        <v>148600</v>
      </c>
      <c r="U489" s="51">
        <f t="shared" ca="1" si="20"/>
        <v>133740</v>
      </c>
      <c r="V489" s="51">
        <f t="shared" ca="1" si="21"/>
        <v>126310</v>
      </c>
      <c r="W489" s="51">
        <f t="shared" ca="1" si="22"/>
        <v>118880</v>
      </c>
      <c r="X489" s="51">
        <f t="shared" ca="1" si="23"/>
        <v>104020</v>
      </c>
      <c r="Y489" s="18"/>
    </row>
    <row r="490" spans="1:25" ht="16" x14ac:dyDescent="0.15">
      <c r="A490" s="18"/>
      <c r="B490" s="47" t="s">
        <v>195</v>
      </c>
      <c r="C490" s="47" t="s">
        <v>136</v>
      </c>
      <c r="D490" s="47"/>
      <c r="E490" s="47" t="s">
        <v>207</v>
      </c>
      <c r="F490" s="47" t="s">
        <v>119</v>
      </c>
      <c r="G490" s="47">
        <v>4800</v>
      </c>
      <c r="H490" s="47">
        <v>1200</v>
      </c>
      <c r="I490" s="47" t="str">
        <f t="shared" si="18"/>
        <v>MTLP-XL-LVP-4800-1200</v>
      </c>
      <c r="J490" s="47" t="s">
        <v>194</v>
      </c>
      <c r="K490" s="47" t="s">
        <v>94</v>
      </c>
      <c r="L490" s="47"/>
      <c r="M490" s="47" t="s">
        <v>207</v>
      </c>
      <c r="N490" s="48" t="s">
        <v>208</v>
      </c>
      <c r="O490" s="47" t="s">
        <v>158</v>
      </c>
      <c r="P490" s="49" t="s">
        <v>199</v>
      </c>
      <c r="Q490" s="50"/>
      <c r="R490" s="50"/>
      <c r="S490" s="50"/>
      <c r="T490" s="50">
        <f t="shared" ca="1" si="24"/>
        <v>187500</v>
      </c>
      <c r="U490" s="51">
        <f t="shared" ca="1" si="20"/>
        <v>168750</v>
      </c>
      <c r="V490" s="51">
        <f t="shared" ca="1" si="21"/>
        <v>159375</v>
      </c>
      <c r="W490" s="51">
        <f t="shared" ca="1" si="22"/>
        <v>150000</v>
      </c>
      <c r="X490" s="51">
        <f t="shared" ca="1" si="23"/>
        <v>131250</v>
      </c>
      <c r="Y490" s="18"/>
    </row>
    <row r="491" spans="1:25" ht="16" x14ac:dyDescent="0.15">
      <c r="A491" s="18"/>
      <c r="B491" s="47" t="s">
        <v>195</v>
      </c>
      <c r="C491" s="47" t="s">
        <v>136</v>
      </c>
      <c r="D491" s="47"/>
      <c r="E491" s="47" t="s">
        <v>207</v>
      </c>
      <c r="F491" s="47" t="s">
        <v>121</v>
      </c>
      <c r="G491" s="47">
        <v>4800</v>
      </c>
      <c r="H491" s="47">
        <v>1200</v>
      </c>
      <c r="I491" s="47" t="str">
        <f t="shared" si="18"/>
        <v>MTLP-XL-VNR-4800-1200</v>
      </c>
      <c r="J491" s="47" t="s">
        <v>194</v>
      </c>
      <c r="K491" s="47" t="s">
        <v>94</v>
      </c>
      <c r="L491" s="47"/>
      <c r="M491" s="47" t="s">
        <v>207</v>
      </c>
      <c r="N491" s="48" t="s">
        <v>208</v>
      </c>
      <c r="O491" s="47" t="s">
        <v>90</v>
      </c>
      <c r="P491" s="49" t="s">
        <v>199</v>
      </c>
      <c r="Q491" s="50"/>
      <c r="R491" s="50"/>
      <c r="S491" s="50"/>
      <c r="T491" s="50">
        <f t="shared" ca="1" si="24"/>
        <v>204800</v>
      </c>
      <c r="U491" s="51">
        <f t="shared" ca="1" si="20"/>
        <v>184320</v>
      </c>
      <c r="V491" s="51">
        <f t="shared" ca="1" si="21"/>
        <v>174080</v>
      </c>
      <c r="W491" s="51">
        <f t="shared" ca="1" si="22"/>
        <v>163840</v>
      </c>
      <c r="X491" s="51">
        <f t="shared" ca="1" si="23"/>
        <v>143360</v>
      </c>
      <c r="Y491" s="18"/>
    </row>
    <row r="492" spans="1:25" ht="16" x14ac:dyDescent="0.15">
      <c r="A492" s="18"/>
      <c r="B492" s="47" t="s">
        <v>195</v>
      </c>
      <c r="C492" s="47" t="s">
        <v>136</v>
      </c>
      <c r="D492" s="47"/>
      <c r="E492" s="47" t="s">
        <v>207</v>
      </c>
      <c r="F492" s="47" t="s">
        <v>127</v>
      </c>
      <c r="G492" s="47">
        <v>4800</v>
      </c>
      <c r="H492" s="47">
        <v>1200</v>
      </c>
      <c r="I492" s="47" t="str">
        <f t="shared" si="18"/>
        <v>MTLP-XL-MBL-4800-1200</v>
      </c>
      <c r="J492" s="47" t="s">
        <v>194</v>
      </c>
      <c r="K492" s="47" t="s">
        <v>94</v>
      </c>
      <c r="L492" s="47"/>
      <c r="M492" s="47" t="s">
        <v>207</v>
      </c>
      <c r="N492" s="48" t="s">
        <v>208</v>
      </c>
      <c r="O492" s="47" t="s">
        <v>101</v>
      </c>
      <c r="P492" s="49" t="s">
        <v>199</v>
      </c>
      <c r="Q492" s="50"/>
      <c r="R492" s="50"/>
      <c r="S492" s="50"/>
      <c r="T492" s="50">
        <f t="shared" ca="1" si="24"/>
        <v>213400</v>
      </c>
      <c r="U492" s="51">
        <f t="shared" ca="1" si="20"/>
        <v>192060</v>
      </c>
      <c r="V492" s="51">
        <f t="shared" ca="1" si="21"/>
        <v>181390</v>
      </c>
      <c r="W492" s="51">
        <f t="shared" ca="1" si="22"/>
        <v>170720</v>
      </c>
      <c r="X492" s="51">
        <f t="shared" ca="1" si="23"/>
        <v>149380</v>
      </c>
      <c r="Y492" s="18"/>
    </row>
    <row r="493" spans="1:25" ht="16" x14ac:dyDescent="0.15">
      <c r="A493" s="18"/>
      <c r="B493" s="47" t="s">
        <v>195</v>
      </c>
      <c r="C493" s="47" t="s">
        <v>136</v>
      </c>
      <c r="D493" s="47"/>
      <c r="E493" s="47" t="s">
        <v>207</v>
      </c>
      <c r="F493" s="47" t="s">
        <v>123</v>
      </c>
      <c r="G493" s="47">
        <v>4800</v>
      </c>
      <c r="H493" s="47">
        <v>1200</v>
      </c>
      <c r="I493" s="47" t="str">
        <f t="shared" si="18"/>
        <v>MTLP-XL-GL-4800-1200</v>
      </c>
      <c r="J493" s="47" t="s">
        <v>194</v>
      </c>
      <c r="K493" s="47" t="s">
        <v>94</v>
      </c>
      <c r="L493" s="47"/>
      <c r="M493" s="47" t="s">
        <v>207</v>
      </c>
      <c r="N493" s="48" t="s">
        <v>208</v>
      </c>
      <c r="O493" s="47" t="s">
        <v>42</v>
      </c>
      <c r="P493" s="49" t="s">
        <v>199</v>
      </c>
      <c r="Q493" s="50"/>
      <c r="R493" s="50"/>
      <c r="S493" s="50"/>
      <c r="T493" s="50">
        <f t="shared" ca="1" si="24"/>
        <v>381900</v>
      </c>
      <c r="U493" s="51">
        <f t="shared" ca="1" si="20"/>
        <v>343710</v>
      </c>
      <c r="V493" s="51">
        <f t="shared" ca="1" si="21"/>
        <v>324615</v>
      </c>
      <c r="W493" s="51">
        <f t="shared" ca="1" si="22"/>
        <v>305520</v>
      </c>
      <c r="X493" s="51">
        <f t="shared" ca="1" si="23"/>
        <v>267330</v>
      </c>
      <c r="Y493" s="18"/>
    </row>
    <row r="494" spans="1:25" ht="16" x14ac:dyDescent="0.15">
      <c r="A494" s="18"/>
      <c r="B494" s="47" t="s">
        <v>195</v>
      </c>
      <c r="C494" s="47" t="s">
        <v>138</v>
      </c>
      <c r="D494" s="47"/>
      <c r="E494" s="47" t="s">
        <v>201</v>
      </c>
      <c r="F494" s="47" t="s">
        <v>65</v>
      </c>
      <c r="G494" s="47">
        <v>2400</v>
      </c>
      <c r="H494" s="47">
        <v>1200</v>
      </c>
      <c r="I494" s="47" t="str">
        <f t="shared" si="18"/>
        <v>MTATH-MD-PB-2400-1200</v>
      </c>
      <c r="J494" s="47" t="s">
        <v>194</v>
      </c>
      <c r="K494" s="47" t="s">
        <v>99</v>
      </c>
      <c r="L494" s="47"/>
      <c r="M494" s="47" t="s">
        <v>202</v>
      </c>
      <c r="N494" s="48" t="s">
        <v>203</v>
      </c>
      <c r="O494" s="47" t="s">
        <v>11</v>
      </c>
      <c r="P494" s="49" t="s">
        <v>199</v>
      </c>
      <c r="Q494" s="50"/>
      <c r="R494" s="50"/>
      <c r="S494" s="50"/>
      <c r="T494" s="50">
        <f t="shared" ca="1" si="24"/>
        <v>446700</v>
      </c>
      <c r="U494" s="51">
        <f t="shared" ca="1" si="20"/>
        <v>402030</v>
      </c>
      <c r="V494" s="51">
        <f t="shared" ca="1" si="21"/>
        <v>379695</v>
      </c>
      <c r="W494" s="51">
        <f t="shared" ca="1" si="22"/>
        <v>357360</v>
      </c>
      <c r="X494" s="51">
        <f t="shared" ca="1" si="23"/>
        <v>312690</v>
      </c>
      <c r="Y494" s="18"/>
    </row>
    <row r="495" spans="1:25" ht="16" x14ac:dyDescent="0.15">
      <c r="A495" s="18"/>
      <c r="B495" s="47" t="s">
        <v>195</v>
      </c>
      <c r="C495" s="47" t="s">
        <v>138</v>
      </c>
      <c r="D495" s="47"/>
      <c r="E495" s="47" t="s">
        <v>201</v>
      </c>
      <c r="F495" s="47" t="s">
        <v>112</v>
      </c>
      <c r="G495" s="47">
        <v>2400</v>
      </c>
      <c r="H495" s="47">
        <v>1200</v>
      </c>
      <c r="I495" s="47" t="str">
        <f t="shared" si="18"/>
        <v>MTATH-MD-PLM-2400-1200</v>
      </c>
      <c r="J495" s="47" t="s">
        <v>194</v>
      </c>
      <c r="K495" s="47" t="s">
        <v>99</v>
      </c>
      <c r="L495" s="47"/>
      <c r="M495" s="47" t="s">
        <v>202</v>
      </c>
      <c r="N495" s="48" t="s">
        <v>203</v>
      </c>
      <c r="O495" s="47" t="s">
        <v>31</v>
      </c>
      <c r="P495" s="49" t="s">
        <v>199</v>
      </c>
      <c r="Q495" s="50"/>
      <c r="R495" s="50"/>
      <c r="S495" s="50"/>
      <c r="T495" s="50">
        <f t="shared" ca="1" si="24"/>
        <v>187500</v>
      </c>
      <c r="U495" s="51">
        <f t="shared" ca="1" si="20"/>
        <v>168750</v>
      </c>
      <c r="V495" s="51">
        <f t="shared" ca="1" si="21"/>
        <v>159375</v>
      </c>
      <c r="W495" s="51">
        <f t="shared" ca="1" si="22"/>
        <v>150000</v>
      </c>
      <c r="X495" s="51">
        <f t="shared" ca="1" si="23"/>
        <v>131250</v>
      </c>
      <c r="Y495" s="18"/>
    </row>
    <row r="496" spans="1:25" ht="16" x14ac:dyDescent="0.15">
      <c r="A496" s="18"/>
      <c r="B496" s="47" t="s">
        <v>195</v>
      </c>
      <c r="C496" s="47" t="s">
        <v>138</v>
      </c>
      <c r="D496" s="47"/>
      <c r="E496" s="47" t="s">
        <v>201</v>
      </c>
      <c r="F496" s="47" t="s">
        <v>114</v>
      </c>
      <c r="G496" s="47">
        <v>2400</v>
      </c>
      <c r="H496" s="47">
        <v>1200</v>
      </c>
      <c r="I496" s="47" t="str">
        <f t="shared" si="18"/>
        <v>MTATH-MD-PoLM-2400-1200</v>
      </c>
      <c r="J496" s="47" t="s">
        <v>194</v>
      </c>
      <c r="K496" s="47" t="s">
        <v>99</v>
      </c>
      <c r="L496" s="47"/>
      <c r="M496" s="47" t="s">
        <v>202</v>
      </c>
      <c r="N496" s="48" t="s">
        <v>203</v>
      </c>
      <c r="O496" s="47" t="s">
        <v>47</v>
      </c>
      <c r="P496" s="49" t="s">
        <v>199</v>
      </c>
      <c r="Q496" s="50"/>
      <c r="R496" s="50"/>
      <c r="S496" s="50"/>
      <c r="T496" s="50">
        <f t="shared" ca="1" si="24"/>
        <v>158300</v>
      </c>
      <c r="U496" s="51">
        <f t="shared" ca="1" si="20"/>
        <v>142470</v>
      </c>
      <c r="V496" s="51">
        <f t="shared" ca="1" si="21"/>
        <v>134555</v>
      </c>
      <c r="W496" s="51">
        <f t="shared" ca="1" si="22"/>
        <v>126640</v>
      </c>
      <c r="X496" s="51">
        <f t="shared" ca="1" si="23"/>
        <v>110810</v>
      </c>
      <c r="Y496" s="18"/>
    </row>
    <row r="497" spans="1:25" ht="16" x14ac:dyDescent="0.15">
      <c r="A497" s="18"/>
      <c r="B497" s="47" t="s">
        <v>195</v>
      </c>
      <c r="C497" s="47" t="s">
        <v>138</v>
      </c>
      <c r="D497" s="47"/>
      <c r="E497" s="47" t="s">
        <v>201</v>
      </c>
      <c r="F497" s="47" t="s">
        <v>117</v>
      </c>
      <c r="G497" s="47">
        <v>2400</v>
      </c>
      <c r="H497" s="47">
        <v>1200</v>
      </c>
      <c r="I497" s="47" t="str">
        <f t="shared" si="18"/>
        <v>MTATH-MD-LVM-2400-1200</v>
      </c>
      <c r="J497" s="47" t="s">
        <v>194</v>
      </c>
      <c r="K497" s="47" t="s">
        <v>99</v>
      </c>
      <c r="L497" s="47"/>
      <c r="M497" s="47" t="s">
        <v>202</v>
      </c>
      <c r="N497" s="48" t="s">
        <v>203</v>
      </c>
      <c r="O497" s="47" t="s">
        <v>157</v>
      </c>
      <c r="P497" s="49" t="s">
        <v>199</v>
      </c>
      <c r="Q497" s="50"/>
      <c r="R497" s="50"/>
      <c r="S497" s="50"/>
      <c r="T497" s="50">
        <f t="shared" ca="1" si="24"/>
        <v>167500</v>
      </c>
      <c r="U497" s="51">
        <f t="shared" ca="1" si="20"/>
        <v>150750</v>
      </c>
      <c r="V497" s="51">
        <f t="shared" ca="1" si="21"/>
        <v>142375</v>
      </c>
      <c r="W497" s="51">
        <f t="shared" ca="1" si="22"/>
        <v>134000</v>
      </c>
      <c r="X497" s="51">
        <f t="shared" ca="1" si="23"/>
        <v>117249.99999999999</v>
      </c>
      <c r="Y497" s="18"/>
    </row>
    <row r="498" spans="1:25" ht="16" x14ac:dyDescent="0.15">
      <c r="A498" s="18"/>
      <c r="B498" s="47" t="s">
        <v>195</v>
      </c>
      <c r="C498" s="47" t="s">
        <v>138</v>
      </c>
      <c r="D498" s="47"/>
      <c r="E498" s="47" t="s">
        <v>201</v>
      </c>
      <c r="F498" s="47" t="s">
        <v>119</v>
      </c>
      <c r="G498" s="47">
        <v>2400</v>
      </c>
      <c r="H498" s="47">
        <v>1200</v>
      </c>
      <c r="I498" s="47" t="str">
        <f t="shared" si="18"/>
        <v>MTATH-MD-LVP-2400-1200</v>
      </c>
      <c r="J498" s="47" t="s">
        <v>194</v>
      </c>
      <c r="K498" s="47" t="s">
        <v>99</v>
      </c>
      <c r="L498" s="47"/>
      <c r="M498" s="47" t="s">
        <v>202</v>
      </c>
      <c r="N498" s="48" t="s">
        <v>203</v>
      </c>
      <c r="O498" s="47" t="s">
        <v>158</v>
      </c>
      <c r="P498" s="49" t="s">
        <v>199</v>
      </c>
      <c r="Q498" s="50"/>
      <c r="R498" s="50"/>
      <c r="S498" s="50"/>
      <c r="T498" s="50">
        <f t="shared" ca="1" si="24"/>
        <v>219300</v>
      </c>
      <c r="U498" s="51">
        <f t="shared" ca="1" si="20"/>
        <v>197370</v>
      </c>
      <c r="V498" s="51">
        <f t="shared" ca="1" si="21"/>
        <v>186405</v>
      </c>
      <c r="W498" s="51">
        <f t="shared" ca="1" si="22"/>
        <v>175440</v>
      </c>
      <c r="X498" s="51">
        <f t="shared" ca="1" si="23"/>
        <v>153510</v>
      </c>
      <c r="Y498" s="18"/>
    </row>
    <row r="499" spans="1:25" ht="16" x14ac:dyDescent="0.15">
      <c r="A499" s="18"/>
      <c r="B499" s="47" t="s">
        <v>195</v>
      </c>
      <c r="C499" s="47" t="s">
        <v>138</v>
      </c>
      <c r="D499" s="47"/>
      <c r="E499" s="47" t="s">
        <v>201</v>
      </c>
      <c r="F499" s="47" t="s">
        <v>121</v>
      </c>
      <c r="G499" s="47">
        <v>2400</v>
      </c>
      <c r="H499" s="47">
        <v>1200</v>
      </c>
      <c r="I499" s="47" t="str">
        <f t="shared" si="18"/>
        <v>MTATH-MD-VNR-2400-1200</v>
      </c>
      <c r="J499" s="47" t="s">
        <v>194</v>
      </c>
      <c r="K499" s="47" t="s">
        <v>99</v>
      </c>
      <c r="L499" s="47"/>
      <c r="M499" s="47" t="s">
        <v>202</v>
      </c>
      <c r="N499" s="48" t="s">
        <v>203</v>
      </c>
      <c r="O499" s="47" t="s">
        <v>90</v>
      </c>
      <c r="P499" s="49" t="s">
        <v>199</v>
      </c>
      <c r="Q499" s="50"/>
      <c r="R499" s="50"/>
      <c r="S499" s="50"/>
      <c r="T499" s="50">
        <f t="shared" ca="1" si="24"/>
        <v>242400</v>
      </c>
      <c r="U499" s="51">
        <f t="shared" ca="1" si="20"/>
        <v>218160</v>
      </c>
      <c r="V499" s="51">
        <f t="shared" ca="1" si="21"/>
        <v>206040</v>
      </c>
      <c r="W499" s="51">
        <f t="shared" ca="1" si="22"/>
        <v>193920</v>
      </c>
      <c r="X499" s="51">
        <f t="shared" ca="1" si="23"/>
        <v>169680</v>
      </c>
      <c r="Y499" s="18"/>
    </row>
    <row r="500" spans="1:25" ht="16" x14ac:dyDescent="0.15">
      <c r="A500" s="18"/>
      <c r="B500" s="47" t="s">
        <v>195</v>
      </c>
      <c r="C500" s="47" t="s">
        <v>138</v>
      </c>
      <c r="D500" s="47"/>
      <c r="E500" s="47" t="s">
        <v>201</v>
      </c>
      <c r="F500" s="47" t="s">
        <v>127</v>
      </c>
      <c r="G500" s="47">
        <v>2400</v>
      </c>
      <c r="H500" s="47">
        <v>1200</v>
      </c>
      <c r="I500" s="47" t="str">
        <f t="shared" si="18"/>
        <v>MTATH-MD-MBL-2400-1200</v>
      </c>
      <c r="J500" s="47" t="s">
        <v>194</v>
      </c>
      <c r="K500" s="47" t="s">
        <v>99</v>
      </c>
      <c r="L500" s="47"/>
      <c r="M500" s="47" t="s">
        <v>202</v>
      </c>
      <c r="N500" s="48" t="s">
        <v>203</v>
      </c>
      <c r="O500" s="47" t="s">
        <v>101</v>
      </c>
      <c r="P500" s="49" t="s">
        <v>199</v>
      </c>
      <c r="Q500" s="50"/>
      <c r="R500" s="50"/>
      <c r="S500" s="50"/>
      <c r="T500" s="50">
        <f t="shared" ca="1" si="24"/>
        <v>253900</v>
      </c>
      <c r="U500" s="51">
        <f t="shared" ca="1" si="20"/>
        <v>228510</v>
      </c>
      <c r="V500" s="51">
        <f t="shared" ca="1" si="21"/>
        <v>215815</v>
      </c>
      <c r="W500" s="51">
        <f t="shared" ca="1" si="22"/>
        <v>203120</v>
      </c>
      <c r="X500" s="51">
        <f t="shared" ca="1" si="23"/>
        <v>177730</v>
      </c>
      <c r="Y500" s="18"/>
    </row>
    <row r="501" spans="1:25" ht="16" x14ac:dyDescent="0.15">
      <c r="A501" s="18"/>
      <c r="B501" s="47" t="s">
        <v>195</v>
      </c>
      <c r="C501" s="47" t="s">
        <v>138</v>
      </c>
      <c r="D501" s="47"/>
      <c r="E501" s="47" t="s">
        <v>201</v>
      </c>
      <c r="F501" s="47" t="s">
        <v>123</v>
      </c>
      <c r="G501" s="47">
        <v>2400</v>
      </c>
      <c r="H501" s="47">
        <v>1200</v>
      </c>
      <c r="I501" s="47" t="str">
        <f t="shared" si="18"/>
        <v>MTATH-MD-GL-2400-1200</v>
      </c>
      <c r="J501" s="47" t="s">
        <v>194</v>
      </c>
      <c r="K501" s="47" t="s">
        <v>99</v>
      </c>
      <c r="L501" s="47"/>
      <c r="M501" s="47" t="s">
        <v>202</v>
      </c>
      <c r="N501" s="48" t="s">
        <v>203</v>
      </c>
      <c r="O501" s="47" t="s">
        <v>42</v>
      </c>
      <c r="P501" s="49" t="s">
        <v>199</v>
      </c>
      <c r="Q501" s="50"/>
      <c r="R501" s="50"/>
      <c r="S501" s="50"/>
      <c r="T501" s="50">
        <f t="shared" ca="1" si="24"/>
        <v>478500</v>
      </c>
      <c r="U501" s="51">
        <f t="shared" ca="1" si="20"/>
        <v>430650</v>
      </c>
      <c r="V501" s="51">
        <f t="shared" ca="1" si="21"/>
        <v>406725</v>
      </c>
      <c r="W501" s="51">
        <f t="shared" ca="1" si="22"/>
        <v>382800</v>
      </c>
      <c r="X501" s="51">
        <f t="shared" ca="1" si="23"/>
        <v>334950</v>
      </c>
      <c r="Y501" s="18"/>
    </row>
    <row r="502" spans="1:25" ht="16" x14ac:dyDescent="0.15">
      <c r="A502" s="18"/>
      <c r="B502" s="47" t="s">
        <v>195</v>
      </c>
      <c r="C502" s="47" t="s">
        <v>138</v>
      </c>
      <c r="D502" s="47"/>
      <c r="E502" s="47" t="s">
        <v>204</v>
      </c>
      <c r="F502" s="47" t="s">
        <v>65</v>
      </c>
      <c r="G502" s="47">
        <v>3600</v>
      </c>
      <c r="H502" s="47">
        <v>1200</v>
      </c>
      <c r="I502" s="47" t="str">
        <f t="shared" si="18"/>
        <v>MTATH-LG-PB-3600-1200</v>
      </c>
      <c r="J502" s="47" t="s">
        <v>194</v>
      </c>
      <c r="K502" s="47" t="s">
        <v>99</v>
      </c>
      <c r="L502" s="47"/>
      <c r="M502" s="47" t="s">
        <v>205</v>
      </c>
      <c r="N502" s="48" t="s">
        <v>206</v>
      </c>
      <c r="O502" s="47" t="s">
        <v>11</v>
      </c>
      <c r="P502" s="49" t="s">
        <v>199</v>
      </c>
      <c r="Q502" s="50"/>
      <c r="R502" s="50"/>
      <c r="S502" s="50"/>
      <c r="T502" s="50">
        <f t="shared" ca="1" si="24"/>
        <v>564900</v>
      </c>
      <c r="U502" s="51">
        <f t="shared" ca="1" si="20"/>
        <v>508410</v>
      </c>
      <c r="V502" s="51">
        <f t="shared" ca="1" si="21"/>
        <v>480165</v>
      </c>
      <c r="W502" s="51">
        <f t="shared" ca="1" si="22"/>
        <v>451920</v>
      </c>
      <c r="X502" s="51">
        <f t="shared" ca="1" si="23"/>
        <v>395430</v>
      </c>
      <c r="Y502" s="18"/>
    </row>
    <row r="503" spans="1:25" ht="16" x14ac:dyDescent="0.15">
      <c r="A503" s="18"/>
      <c r="B503" s="47" t="s">
        <v>195</v>
      </c>
      <c r="C503" s="47" t="s">
        <v>138</v>
      </c>
      <c r="D503" s="47"/>
      <c r="E503" s="47" t="s">
        <v>204</v>
      </c>
      <c r="F503" s="47" t="s">
        <v>112</v>
      </c>
      <c r="G503" s="47">
        <v>3600</v>
      </c>
      <c r="H503" s="47">
        <v>1200</v>
      </c>
      <c r="I503" s="47" t="str">
        <f t="shared" si="18"/>
        <v>MTATH-LG-PLM-3600-1200</v>
      </c>
      <c r="J503" s="47" t="s">
        <v>194</v>
      </c>
      <c r="K503" s="47" t="s">
        <v>99</v>
      </c>
      <c r="L503" s="47"/>
      <c r="M503" s="47" t="s">
        <v>205</v>
      </c>
      <c r="N503" s="48" t="s">
        <v>206</v>
      </c>
      <c r="O503" s="47" t="s">
        <v>31</v>
      </c>
      <c r="P503" s="49" t="s">
        <v>199</v>
      </c>
      <c r="Q503" s="50"/>
      <c r="R503" s="50"/>
      <c r="S503" s="50"/>
      <c r="T503" s="50">
        <f t="shared" ca="1" si="24"/>
        <v>219300</v>
      </c>
      <c r="U503" s="51">
        <f t="shared" ca="1" si="20"/>
        <v>197370</v>
      </c>
      <c r="V503" s="51">
        <f t="shared" ca="1" si="21"/>
        <v>186405</v>
      </c>
      <c r="W503" s="51">
        <f t="shared" ca="1" si="22"/>
        <v>175440</v>
      </c>
      <c r="X503" s="51">
        <f t="shared" ca="1" si="23"/>
        <v>153510</v>
      </c>
      <c r="Y503" s="18"/>
    </row>
    <row r="504" spans="1:25" ht="16" x14ac:dyDescent="0.15">
      <c r="A504" s="18"/>
      <c r="B504" s="47" t="s">
        <v>195</v>
      </c>
      <c r="C504" s="47" t="s">
        <v>138</v>
      </c>
      <c r="D504" s="47"/>
      <c r="E504" s="47" t="s">
        <v>204</v>
      </c>
      <c r="F504" s="47" t="s">
        <v>114</v>
      </c>
      <c r="G504" s="47">
        <v>3600</v>
      </c>
      <c r="H504" s="47">
        <v>1200</v>
      </c>
      <c r="I504" s="47" t="str">
        <f t="shared" si="18"/>
        <v>MTATH-LG-PoLM-3600-1200</v>
      </c>
      <c r="J504" s="47" t="s">
        <v>194</v>
      </c>
      <c r="K504" s="47" t="s">
        <v>99</v>
      </c>
      <c r="L504" s="47"/>
      <c r="M504" s="47" t="s">
        <v>205</v>
      </c>
      <c r="N504" s="48" t="s">
        <v>206</v>
      </c>
      <c r="O504" s="47" t="s">
        <v>47</v>
      </c>
      <c r="P504" s="49" t="s">
        <v>199</v>
      </c>
      <c r="Q504" s="50"/>
      <c r="R504" s="50"/>
      <c r="S504" s="50"/>
      <c r="T504" s="50">
        <f t="shared" ca="1" si="24"/>
        <v>115100</v>
      </c>
      <c r="U504" s="51">
        <f t="shared" ca="1" si="20"/>
        <v>103590</v>
      </c>
      <c r="V504" s="51">
        <f t="shared" ca="1" si="21"/>
        <v>97835</v>
      </c>
      <c r="W504" s="51">
        <f t="shared" ca="1" si="22"/>
        <v>92080</v>
      </c>
      <c r="X504" s="51">
        <f t="shared" ca="1" si="23"/>
        <v>80570</v>
      </c>
      <c r="Y504" s="18"/>
    </row>
    <row r="505" spans="1:25" ht="16" x14ac:dyDescent="0.15">
      <c r="A505" s="18"/>
      <c r="B505" s="47" t="s">
        <v>195</v>
      </c>
      <c r="C505" s="47" t="s">
        <v>138</v>
      </c>
      <c r="D505" s="47"/>
      <c r="E505" s="47" t="s">
        <v>204</v>
      </c>
      <c r="F505" s="47" t="s">
        <v>117</v>
      </c>
      <c r="G505" s="47">
        <v>3600</v>
      </c>
      <c r="H505" s="47">
        <v>1200</v>
      </c>
      <c r="I505" s="47" t="str">
        <f t="shared" si="18"/>
        <v>MTATH-LG-LVM-3600-1200</v>
      </c>
      <c r="J505" s="47" t="s">
        <v>194</v>
      </c>
      <c r="K505" s="47" t="s">
        <v>99</v>
      </c>
      <c r="L505" s="47"/>
      <c r="M505" s="47" t="s">
        <v>205</v>
      </c>
      <c r="N505" s="48" t="s">
        <v>206</v>
      </c>
      <c r="O505" s="47" t="s">
        <v>157</v>
      </c>
      <c r="P505" s="49" t="s">
        <v>199</v>
      </c>
      <c r="Q505" s="50"/>
      <c r="R505" s="50"/>
      <c r="S505" s="50"/>
      <c r="T505" s="50">
        <f t="shared" ca="1" si="24"/>
        <v>119700</v>
      </c>
      <c r="U505" s="51">
        <f t="shared" ca="1" si="20"/>
        <v>107730</v>
      </c>
      <c r="V505" s="51">
        <f t="shared" ca="1" si="21"/>
        <v>101745</v>
      </c>
      <c r="W505" s="51">
        <f t="shared" ca="1" si="22"/>
        <v>95760</v>
      </c>
      <c r="X505" s="51">
        <f t="shared" ca="1" si="23"/>
        <v>83790</v>
      </c>
      <c r="Y505" s="18"/>
    </row>
    <row r="506" spans="1:25" ht="16" x14ac:dyDescent="0.15">
      <c r="A506" s="18"/>
      <c r="B506" s="47" t="s">
        <v>195</v>
      </c>
      <c r="C506" s="47" t="s">
        <v>138</v>
      </c>
      <c r="D506" s="47"/>
      <c r="E506" s="47" t="s">
        <v>204</v>
      </c>
      <c r="F506" s="47" t="s">
        <v>119</v>
      </c>
      <c r="G506" s="47">
        <v>3600</v>
      </c>
      <c r="H506" s="47">
        <v>1200</v>
      </c>
      <c r="I506" s="47" t="str">
        <f t="shared" si="18"/>
        <v>MTATH-LG-LVP-3600-1200</v>
      </c>
      <c r="J506" s="47" t="s">
        <v>194</v>
      </c>
      <c r="K506" s="47" t="s">
        <v>99</v>
      </c>
      <c r="L506" s="47"/>
      <c r="M506" s="47" t="s">
        <v>205</v>
      </c>
      <c r="N506" s="48" t="s">
        <v>206</v>
      </c>
      <c r="O506" s="47" t="s">
        <v>158</v>
      </c>
      <c r="P506" s="49" t="s">
        <v>199</v>
      </c>
      <c r="Q506" s="50"/>
      <c r="R506" s="50"/>
      <c r="S506" s="50"/>
      <c r="T506" s="50">
        <f t="shared" ca="1" si="24"/>
        <v>145700</v>
      </c>
      <c r="U506" s="51">
        <f t="shared" ca="1" si="20"/>
        <v>131130</v>
      </c>
      <c r="V506" s="51">
        <f t="shared" ca="1" si="21"/>
        <v>123845</v>
      </c>
      <c r="W506" s="51">
        <f t="shared" ca="1" si="22"/>
        <v>116560</v>
      </c>
      <c r="X506" s="51">
        <f t="shared" ca="1" si="23"/>
        <v>101990</v>
      </c>
      <c r="Y506" s="18"/>
    </row>
    <row r="507" spans="1:25" ht="16" x14ac:dyDescent="0.15">
      <c r="A507" s="18"/>
      <c r="B507" s="47" t="s">
        <v>195</v>
      </c>
      <c r="C507" s="47" t="s">
        <v>138</v>
      </c>
      <c r="D507" s="47"/>
      <c r="E507" s="47" t="s">
        <v>204</v>
      </c>
      <c r="F507" s="47" t="s">
        <v>121</v>
      </c>
      <c r="G507" s="47">
        <v>3600</v>
      </c>
      <c r="H507" s="47">
        <v>1200</v>
      </c>
      <c r="I507" s="47" t="str">
        <f t="shared" si="18"/>
        <v>MTATH-LG-VNR-3600-1200</v>
      </c>
      <c r="J507" s="47" t="s">
        <v>194</v>
      </c>
      <c r="K507" s="47" t="s">
        <v>99</v>
      </c>
      <c r="L507" s="47"/>
      <c r="M507" s="47" t="s">
        <v>205</v>
      </c>
      <c r="N507" s="48" t="s">
        <v>206</v>
      </c>
      <c r="O507" s="47" t="s">
        <v>90</v>
      </c>
      <c r="P507" s="49" t="s">
        <v>199</v>
      </c>
      <c r="Q507" s="50"/>
      <c r="R507" s="50"/>
      <c r="S507" s="50"/>
      <c r="T507" s="50">
        <f t="shared" ca="1" si="24"/>
        <v>157200</v>
      </c>
      <c r="U507" s="51">
        <f t="shared" ca="1" si="20"/>
        <v>141480</v>
      </c>
      <c r="V507" s="51">
        <f t="shared" ca="1" si="21"/>
        <v>133620</v>
      </c>
      <c r="W507" s="51">
        <f t="shared" ca="1" si="22"/>
        <v>125760</v>
      </c>
      <c r="X507" s="51">
        <f t="shared" ca="1" si="23"/>
        <v>110040</v>
      </c>
      <c r="Y507" s="18"/>
    </row>
    <row r="508" spans="1:25" ht="16" x14ac:dyDescent="0.15">
      <c r="A508" s="18"/>
      <c r="B508" s="47" t="s">
        <v>195</v>
      </c>
      <c r="C508" s="47" t="s">
        <v>138</v>
      </c>
      <c r="D508" s="47"/>
      <c r="E508" s="47" t="s">
        <v>204</v>
      </c>
      <c r="F508" s="47" t="s">
        <v>127</v>
      </c>
      <c r="G508" s="47">
        <v>3600</v>
      </c>
      <c r="H508" s="47">
        <v>1200</v>
      </c>
      <c r="I508" s="47" t="str">
        <f t="shared" si="18"/>
        <v>MTATH-LG-MBL-3600-1200</v>
      </c>
      <c r="J508" s="47" t="s">
        <v>194</v>
      </c>
      <c r="K508" s="47" t="s">
        <v>99</v>
      </c>
      <c r="L508" s="47"/>
      <c r="M508" s="47" t="s">
        <v>205</v>
      </c>
      <c r="N508" s="48" t="s">
        <v>206</v>
      </c>
      <c r="O508" s="47" t="s">
        <v>101</v>
      </c>
      <c r="P508" s="49" t="s">
        <v>199</v>
      </c>
      <c r="Q508" s="50"/>
      <c r="R508" s="50"/>
      <c r="S508" s="50"/>
      <c r="T508" s="50">
        <f t="shared" ca="1" si="24"/>
        <v>162900</v>
      </c>
      <c r="U508" s="51">
        <f t="shared" ca="1" si="20"/>
        <v>146610</v>
      </c>
      <c r="V508" s="51">
        <f t="shared" ca="1" si="21"/>
        <v>138465</v>
      </c>
      <c r="W508" s="51">
        <f t="shared" ca="1" si="22"/>
        <v>130320</v>
      </c>
      <c r="X508" s="51">
        <f t="shared" ca="1" si="23"/>
        <v>114030</v>
      </c>
      <c r="Y508" s="18"/>
    </row>
    <row r="509" spans="1:25" ht="16" x14ac:dyDescent="0.15">
      <c r="A509" s="18"/>
      <c r="B509" s="47" t="s">
        <v>195</v>
      </c>
      <c r="C509" s="47" t="s">
        <v>138</v>
      </c>
      <c r="D509" s="47"/>
      <c r="E509" s="47" t="s">
        <v>204</v>
      </c>
      <c r="F509" s="47" t="s">
        <v>123</v>
      </c>
      <c r="G509" s="47">
        <v>3600</v>
      </c>
      <c r="H509" s="47">
        <v>1200</v>
      </c>
      <c r="I509" s="47" t="str">
        <f t="shared" si="18"/>
        <v>MTATH-LG-GL-3600-1200</v>
      </c>
      <c r="J509" s="47" t="s">
        <v>194</v>
      </c>
      <c r="K509" s="47" t="s">
        <v>99</v>
      </c>
      <c r="L509" s="47"/>
      <c r="M509" s="47" t="s">
        <v>205</v>
      </c>
      <c r="N509" s="48" t="s">
        <v>206</v>
      </c>
      <c r="O509" s="47" t="s">
        <v>42</v>
      </c>
      <c r="P509" s="49" t="s">
        <v>199</v>
      </c>
      <c r="Q509" s="50"/>
      <c r="R509" s="50"/>
      <c r="S509" s="50"/>
      <c r="T509" s="50">
        <f t="shared" ca="1" si="24"/>
        <v>275300</v>
      </c>
      <c r="U509" s="51">
        <f t="shared" ca="1" si="20"/>
        <v>247770</v>
      </c>
      <c r="V509" s="51">
        <f t="shared" ca="1" si="21"/>
        <v>234005</v>
      </c>
      <c r="W509" s="51">
        <f t="shared" ca="1" si="22"/>
        <v>220240</v>
      </c>
      <c r="X509" s="51">
        <f t="shared" ca="1" si="23"/>
        <v>192710</v>
      </c>
      <c r="Y509" s="18"/>
    </row>
    <row r="510" spans="1:25" ht="16" x14ac:dyDescent="0.15">
      <c r="A510" s="18"/>
      <c r="B510" s="47" t="s">
        <v>195</v>
      </c>
      <c r="C510" s="47" t="s">
        <v>138</v>
      </c>
      <c r="D510" s="47"/>
      <c r="E510" s="47" t="s">
        <v>207</v>
      </c>
      <c r="F510" s="47" t="s">
        <v>65</v>
      </c>
      <c r="G510" s="47">
        <v>4800</v>
      </c>
      <c r="H510" s="47">
        <v>1200</v>
      </c>
      <c r="I510" s="47" t="str">
        <f t="shared" si="18"/>
        <v>MTATH-XL-PB-4800-1200</v>
      </c>
      <c r="J510" s="47" t="s">
        <v>194</v>
      </c>
      <c r="K510" s="47" t="s">
        <v>99</v>
      </c>
      <c r="L510" s="47"/>
      <c r="M510" s="47" t="s">
        <v>207</v>
      </c>
      <c r="N510" s="48" t="s">
        <v>208</v>
      </c>
      <c r="O510" s="47" t="s">
        <v>11</v>
      </c>
      <c r="P510" s="49" t="s">
        <v>199</v>
      </c>
      <c r="Q510" s="50"/>
      <c r="R510" s="50"/>
      <c r="S510" s="50"/>
      <c r="T510" s="50">
        <f t="shared" ca="1" si="24"/>
        <v>325500</v>
      </c>
      <c r="U510" s="51">
        <f t="shared" ca="1" si="20"/>
        <v>292950</v>
      </c>
      <c r="V510" s="51">
        <f t="shared" ca="1" si="21"/>
        <v>276675</v>
      </c>
      <c r="W510" s="51">
        <f t="shared" ca="1" si="22"/>
        <v>260400</v>
      </c>
      <c r="X510" s="51">
        <f t="shared" ca="1" si="23"/>
        <v>227850</v>
      </c>
      <c r="Y510" s="18"/>
    </row>
    <row r="511" spans="1:25" ht="16" x14ac:dyDescent="0.15">
      <c r="A511" s="18"/>
      <c r="B511" s="47" t="s">
        <v>195</v>
      </c>
      <c r="C511" s="47" t="s">
        <v>138</v>
      </c>
      <c r="D511" s="47"/>
      <c r="E511" s="47" t="s">
        <v>207</v>
      </c>
      <c r="F511" s="47" t="s">
        <v>112</v>
      </c>
      <c r="G511" s="47">
        <v>4800</v>
      </c>
      <c r="H511" s="47">
        <v>1200</v>
      </c>
      <c r="I511" s="47" t="str">
        <f t="shared" si="18"/>
        <v>MTATH-XL-PLM-4800-1200</v>
      </c>
      <c r="J511" s="47" t="s">
        <v>194</v>
      </c>
      <c r="K511" s="47" t="s">
        <v>99</v>
      </c>
      <c r="L511" s="47"/>
      <c r="M511" s="47" t="s">
        <v>207</v>
      </c>
      <c r="N511" s="48" t="s">
        <v>208</v>
      </c>
      <c r="O511" s="47" t="s">
        <v>31</v>
      </c>
      <c r="P511" s="49" t="s">
        <v>199</v>
      </c>
      <c r="Q511" s="50"/>
      <c r="R511" s="50"/>
      <c r="S511" s="50"/>
      <c r="T511" s="50">
        <f t="shared" ca="1" si="24"/>
        <v>152700</v>
      </c>
      <c r="U511" s="51">
        <f t="shared" ca="1" si="20"/>
        <v>137430</v>
      </c>
      <c r="V511" s="51">
        <f t="shared" ca="1" si="21"/>
        <v>129795</v>
      </c>
      <c r="W511" s="51">
        <f t="shared" ca="1" si="22"/>
        <v>122160</v>
      </c>
      <c r="X511" s="51">
        <f t="shared" ca="1" si="23"/>
        <v>106890</v>
      </c>
      <c r="Y511" s="18"/>
    </row>
    <row r="512" spans="1:25" ht="16" x14ac:dyDescent="0.15">
      <c r="A512" s="18"/>
      <c r="B512" s="47" t="s">
        <v>195</v>
      </c>
      <c r="C512" s="47" t="s">
        <v>138</v>
      </c>
      <c r="D512" s="47"/>
      <c r="E512" s="47" t="s">
        <v>207</v>
      </c>
      <c r="F512" s="47" t="s">
        <v>114</v>
      </c>
      <c r="G512" s="47">
        <v>4800</v>
      </c>
      <c r="H512" s="47">
        <v>1200</v>
      </c>
      <c r="I512" s="47" t="str">
        <f t="shared" si="18"/>
        <v>MTATH-XL-PoLM-4800-1200</v>
      </c>
      <c r="J512" s="47" t="s">
        <v>194</v>
      </c>
      <c r="K512" s="47" t="s">
        <v>99</v>
      </c>
      <c r="L512" s="47"/>
      <c r="M512" s="47" t="s">
        <v>207</v>
      </c>
      <c r="N512" s="48" t="s">
        <v>208</v>
      </c>
      <c r="O512" s="47" t="s">
        <v>47</v>
      </c>
      <c r="P512" s="49" t="s">
        <v>199</v>
      </c>
      <c r="Q512" s="50"/>
      <c r="R512" s="50"/>
      <c r="S512" s="50"/>
      <c r="T512" s="50">
        <f t="shared" ca="1" si="24"/>
        <v>171700</v>
      </c>
      <c r="U512" s="51">
        <f t="shared" ca="1" si="20"/>
        <v>154530</v>
      </c>
      <c r="V512" s="51">
        <f t="shared" ca="1" si="21"/>
        <v>145945</v>
      </c>
      <c r="W512" s="51">
        <f t="shared" ca="1" si="22"/>
        <v>137360</v>
      </c>
      <c r="X512" s="51">
        <f t="shared" ca="1" si="23"/>
        <v>120189.99999999999</v>
      </c>
      <c r="Y512" s="18"/>
    </row>
    <row r="513" spans="1:25" ht="16" x14ac:dyDescent="0.15">
      <c r="A513" s="18"/>
      <c r="B513" s="47" t="s">
        <v>195</v>
      </c>
      <c r="C513" s="47" t="s">
        <v>138</v>
      </c>
      <c r="D513" s="47"/>
      <c r="E513" s="47" t="s">
        <v>207</v>
      </c>
      <c r="F513" s="47" t="s">
        <v>117</v>
      </c>
      <c r="G513" s="47">
        <v>4800</v>
      </c>
      <c r="H513" s="47">
        <v>1200</v>
      </c>
      <c r="I513" s="47" t="str">
        <f t="shared" si="18"/>
        <v>MTATH-XL-LVM-4800-1200</v>
      </c>
      <c r="J513" s="47" t="s">
        <v>194</v>
      </c>
      <c r="K513" s="47" t="s">
        <v>99</v>
      </c>
      <c r="L513" s="47"/>
      <c r="M513" s="47" t="s">
        <v>207</v>
      </c>
      <c r="N513" s="48" t="s">
        <v>208</v>
      </c>
      <c r="O513" s="47" t="s">
        <v>157</v>
      </c>
      <c r="P513" s="49" t="s">
        <v>199</v>
      </c>
      <c r="Q513" s="50"/>
      <c r="R513" s="50"/>
      <c r="S513" s="50"/>
      <c r="T513" s="50">
        <f t="shared" ca="1" si="24"/>
        <v>178600</v>
      </c>
      <c r="U513" s="51">
        <f t="shared" ca="1" si="20"/>
        <v>160740</v>
      </c>
      <c r="V513" s="51">
        <f t="shared" ca="1" si="21"/>
        <v>151810</v>
      </c>
      <c r="W513" s="51">
        <f t="shared" ca="1" si="22"/>
        <v>142880</v>
      </c>
      <c r="X513" s="51">
        <f t="shared" ca="1" si="23"/>
        <v>125019.99999999999</v>
      </c>
      <c r="Y513" s="18"/>
    </row>
    <row r="514" spans="1:25" ht="16" x14ac:dyDescent="0.15">
      <c r="A514" s="18"/>
      <c r="B514" s="47" t="s">
        <v>195</v>
      </c>
      <c r="C514" s="47" t="s">
        <v>138</v>
      </c>
      <c r="D514" s="47"/>
      <c r="E514" s="47" t="s">
        <v>207</v>
      </c>
      <c r="F514" s="47" t="s">
        <v>119</v>
      </c>
      <c r="G514" s="47">
        <v>4800</v>
      </c>
      <c r="H514" s="47">
        <v>1200</v>
      </c>
      <c r="I514" s="47" t="str">
        <f t="shared" si="18"/>
        <v>MTATH-XL-LVP-4800-1200</v>
      </c>
      <c r="J514" s="47" t="s">
        <v>194</v>
      </c>
      <c r="K514" s="47" t="s">
        <v>99</v>
      </c>
      <c r="L514" s="47"/>
      <c r="M514" s="47" t="s">
        <v>207</v>
      </c>
      <c r="N514" s="48" t="s">
        <v>208</v>
      </c>
      <c r="O514" s="47" t="s">
        <v>158</v>
      </c>
      <c r="P514" s="49" t="s">
        <v>199</v>
      </c>
      <c r="Q514" s="50"/>
      <c r="R514" s="50"/>
      <c r="S514" s="50"/>
      <c r="T514" s="50">
        <f t="shared" ca="1" si="24"/>
        <v>217500</v>
      </c>
      <c r="U514" s="51">
        <f t="shared" ca="1" si="20"/>
        <v>195750</v>
      </c>
      <c r="V514" s="51">
        <f t="shared" ca="1" si="21"/>
        <v>184875</v>
      </c>
      <c r="W514" s="51">
        <f t="shared" ca="1" si="22"/>
        <v>174000</v>
      </c>
      <c r="X514" s="51">
        <f t="shared" ca="1" si="23"/>
        <v>152250</v>
      </c>
      <c r="Y514" s="18"/>
    </row>
    <row r="515" spans="1:25" ht="16" x14ac:dyDescent="0.15">
      <c r="A515" s="18"/>
      <c r="B515" s="47" t="s">
        <v>195</v>
      </c>
      <c r="C515" s="47" t="s">
        <v>138</v>
      </c>
      <c r="D515" s="47"/>
      <c r="E515" s="47" t="s">
        <v>207</v>
      </c>
      <c r="F515" s="47" t="s">
        <v>121</v>
      </c>
      <c r="G515" s="47">
        <v>4800</v>
      </c>
      <c r="H515" s="47">
        <v>1200</v>
      </c>
      <c r="I515" s="47" t="str">
        <f t="shared" si="18"/>
        <v>MTATH-XL-VNR-4800-1200</v>
      </c>
      <c r="J515" s="47" t="s">
        <v>194</v>
      </c>
      <c r="K515" s="47" t="s">
        <v>99</v>
      </c>
      <c r="L515" s="47"/>
      <c r="M515" s="47" t="s">
        <v>207</v>
      </c>
      <c r="N515" s="48" t="s">
        <v>208</v>
      </c>
      <c r="O515" s="47" t="s">
        <v>90</v>
      </c>
      <c r="P515" s="49" t="s">
        <v>199</v>
      </c>
      <c r="Q515" s="50"/>
      <c r="R515" s="50"/>
      <c r="S515" s="50"/>
      <c r="T515" s="50">
        <f t="shared" ca="1" si="24"/>
        <v>234800</v>
      </c>
      <c r="U515" s="51">
        <f t="shared" ca="1" si="20"/>
        <v>211320</v>
      </c>
      <c r="V515" s="51">
        <f t="shared" ca="1" si="21"/>
        <v>199580</v>
      </c>
      <c r="W515" s="51">
        <f t="shared" ca="1" si="22"/>
        <v>187840</v>
      </c>
      <c r="X515" s="51">
        <f t="shared" ca="1" si="23"/>
        <v>164360</v>
      </c>
      <c r="Y515" s="18"/>
    </row>
    <row r="516" spans="1:25" ht="16" x14ac:dyDescent="0.15">
      <c r="A516" s="18"/>
      <c r="B516" s="47" t="s">
        <v>195</v>
      </c>
      <c r="C516" s="47" t="s">
        <v>138</v>
      </c>
      <c r="D516" s="47"/>
      <c r="E516" s="47" t="s">
        <v>207</v>
      </c>
      <c r="F516" s="47" t="s">
        <v>127</v>
      </c>
      <c r="G516" s="47">
        <v>4800</v>
      </c>
      <c r="H516" s="47">
        <v>1200</v>
      </c>
      <c r="I516" s="47" t="str">
        <f t="shared" si="18"/>
        <v>MTATH-XL-MBL-4800-1200</v>
      </c>
      <c r="J516" s="47" t="s">
        <v>194</v>
      </c>
      <c r="K516" s="47" t="s">
        <v>99</v>
      </c>
      <c r="L516" s="47"/>
      <c r="M516" s="47" t="s">
        <v>207</v>
      </c>
      <c r="N516" s="48" t="s">
        <v>208</v>
      </c>
      <c r="O516" s="47" t="s">
        <v>101</v>
      </c>
      <c r="P516" s="49" t="s">
        <v>199</v>
      </c>
      <c r="Q516" s="50"/>
      <c r="R516" s="50"/>
      <c r="S516" s="50"/>
      <c r="T516" s="50">
        <f t="shared" ca="1" si="24"/>
        <v>243400</v>
      </c>
      <c r="U516" s="51">
        <f t="shared" ca="1" si="20"/>
        <v>219060</v>
      </c>
      <c r="V516" s="51">
        <f t="shared" ca="1" si="21"/>
        <v>206890</v>
      </c>
      <c r="W516" s="51">
        <f t="shared" ca="1" si="22"/>
        <v>194720</v>
      </c>
      <c r="X516" s="51">
        <f t="shared" ca="1" si="23"/>
        <v>170380</v>
      </c>
      <c r="Y516" s="18"/>
    </row>
    <row r="517" spans="1:25" ht="16" x14ac:dyDescent="0.15">
      <c r="A517" s="18"/>
      <c r="B517" s="47" t="s">
        <v>195</v>
      </c>
      <c r="C517" s="47" t="s">
        <v>138</v>
      </c>
      <c r="D517" s="47"/>
      <c r="E517" s="47" t="s">
        <v>207</v>
      </c>
      <c r="F517" s="47" t="s">
        <v>123</v>
      </c>
      <c r="G517" s="47">
        <v>4800</v>
      </c>
      <c r="H517" s="47">
        <v>1200</v>
      </c>
      <c r="I517" s="47" t="str">
        <f t="shared" si="18"/>
        <v>MTATH-XL-GL-4800-1200</v>
      </c>
      <c r="J517" s="47" t="s">
        <v>194</v>
      </c>
      <c r="K517" s="47" t="s">
        <v>99</v>
      </c>
      <c r="L517" s="47"/>
      <c r="M517" s="47" t="s">
        <v>207</v>
      </c>
      <c r="N517" s="48" t="s">
        <v>208</v>
      </c>
      <c r="O517" s="47" t="s">
        <v>42</v>
      </c>
      <c r="P517" s="49" t="s">
        <v>199</v>
      </c>
      <c r="Q517" s="50"/>
      <c r="R517" s="50"/>
      <c r="S517" s="50"/>
      <c r="T517" s="50">
        <f t="shared" ca="1" si="24"/>
        <v>411900</v>
      </c>
      <c r="U517" s="51">
        <f t="shared" ca="1" si="20"/>
        <v>370710</v>
      </c>
      <c r="V517" s="51">
        <f t="shared" ca="1" si="21"/>
        <v>350115</v>
      </c>
      <c r="W517" s="51">
        <f t="shared" ca="1" si="22"/>
        <v>329520</v>
      </c>
      <c r="X517" s="51">
        <f t="shared" ca="1" si="23"/>
        <v>288330</v>
      </c>
      <c r="Y517" s="18"/>
    </row>
    <row r="518" spans="1:25" ht="16" x14ac:dyDescent="0.15">
      <c r="A518" s="18"/>
      <c r="B518" s="47" t="s">
        <v>195</v>
      </c>
      <c r="C518" s="47" t="s">
        <v>140</v>
      </c>
      <c r="D518" s="47"/>
      <c r="E518" s="47" t="s">
        <v>201</v>
      </c>
      <c r="F518" s="47" t="s">
        <v>65</v>
      </c>
      <c r="G518" s="47">
        <v>2400</v>
      </c>
      <c r="H518" s="47">
        <v>1200</v>
      </c>
      <c r="I518" s="47" t="str">
        <f t="shared" si="18"/>
        <v>MTFLW-MD-PB-2400-1200</v>
      </c>
      <c r="J518" s="47" t="s">
        <v>194</v>
      </c>
      <c r="K518" s="47" t="s">
        <v>102</v>
      </c>
      <c r="L518" s="47"/>
      <c r="M518" s="47" t="s">
        <v>202</v>
      </c>
      <c r="N518" s="48" t="s">
        <v>203</v>
      </c>
      <c r="O518" s="47" t="s">
        <v>11</v>
      </c>
      <c r="P518" s="49" t="s">
        <v>199</v>
      </c>
      <c r="Q518" s="50"/>
      <c r="R518" s="50"/>
      <c r="S518" s="50"/>
      <c r="T518" s="50">
        <f t="shared" ca="1" si="24"/>
        <v>476700</v>
      </c>
      <c r="U518" s="51">
        <f t="shared" ca="1" si="20"/>
        <v>429030</v>
      </c>
      <c r="V518" s="51">
        <f t="shared" ca="1" si="21"/>
        <v>405195</v>
      </c>
      <c r="W518" s="51">
        <f t="shared" ca="1" si="22"/>
        <v>381360</v>
      </c>
      <c r="X518" s="51">
        <f t="shared" ca="1" si="23"/>
        <v>333690</v>
      </c>
      <c r="Y518" s="18"/>
    </row>
    <row r="519" spans="1:25" ht="16" x14ac:dyDescent="0.15">
      <c r="A519" s="18"/>
      <c r="B519" s="47" t="s">
        <v>195</v>
      </c>
      <c r="C519" s="47" t="s">
        <v>140</v>
      </c>
      <c r="D519" s="47"/>
      <c r="E519" s="47" t="s">
        <v>201</v>
      </c>
      <c r="F519" s="47" t="s">
        <v>112</v>
      </c>
      <c r="G519" s="47">
        <v>2400</v>
      </c>
      <c r="H519" s="47">
        <v>1200</v>
      </c>
      <c r="I519" s="47" t="str">
        <f t="shared" si="18"/>
        <v>MTFLW-MD-PLM-2400-1200</v>
      </c>
      <c r="J519" s="47" t="s">
        <v>194</v>
      </c>
      <c r="K519" s="47" t="s">
        <v>102</v>
      </c>
      <c r="L519" s="47"/>
      <c r="M519" s="47" t="s">
        <v>202</v>
      </c>
      <c r="N519" s="48" t="s">
        <v>203</v>
      </c>
      <c r="O519" s="47" t="s">
        <v>31</v>
      </c>
      <c r="P519" s="49" t="s">
        <v>199</v>
      </c>
      <c r="Q519" s="50"/>
      <c r="R519" s="50"/>
      <c r="S519" s="50"/>
      <c r="T519" s="50">
        <f t="shared" ca="1" si="24"/>
        <v>217500</v>
      </c>
      <c r="U519" s="51">
        <f t="shared" ca="1" si="20"/>
        <v>195750</v>
      </c>
      <c r="V519" s="51">
        <f t="shared" ca="1" si="21"/>
        <v>184875</v>
      </c>
      <c r="W519" s="51">
        <f t="shared" ca="1" si="22"/>
        <v>174000</v>
      </c>
      <c r="X519" s="51">
        <f t="shared" ca="1" si="23"/>
        <v>152250</v>
      </c>
      <c r="Y519" s="18"/>
    </row>
    <row r="520" spans="1:25" ht="16" x14ac:dyDescent="0.15">
      <c r="A520" s="18"/>
      <c r="B520" s="47" t="s">
        <v>195</v>
      </c>
      <c r="C520" s="47" t="s">
        <v>140</v>
      </c>
      <c r="D520" s="47"/>
      <c r="E520" s="47" t="s">
        <v>201</v>
      </c>
      <c r="F520" s="47" t="s">
        <v>114</v>
      </c>
      <c r="G520" s="47">
        <v>2400</v>
      </c>
      <c r="H520" s="47">
        <v>1200</v>
      </c>
      <c r="I520" s="47" t="str">
        <f t="shared" si="18"/>
        <v>MTFLW-MD-PoLM-2400-1200</v>
      </c>
      <c r="J520" s="47" t="s">
        <v>194</v>
      </c>
      <c r="K520" s="47" t="s">
        <v>102</v>
      </c>
      <c r="L520" s="47"/>
      <c r="M520" s="47" t="s">
        <v>202</v>
      </c>
      <c r="N520" s="48" t="s">
        <v>203</v>
      </c>
      <c r="O520" s="47" t="s">
        <v>47</v>
      </c>
      <c r="P520" s="49" t="s">
        <v>199</v>
      </c>
      <c r="Q520" s="50"/>
      <c r="R520" s="50"/>
      <c r="S520" s="50"/>
      <c r="T520" s="50">
        <f t="shared" ca="1" si="24"/>
        <v>181300</v>
      </c>
      <c r="U520" s="51">
        <f t="shared" ca="1" si="20"/>
        <v>163170</v>
      </c>
      <c r="V520" s="51">
        <f t="shared" ca="1" si="21"/>
        <v>154105</v>
      </c>
      <c r="W520" s="51">
        <f t="shared" ca="1" si="22"/>
        <v>145040</v>
      </c>
      <c r="X520" s="51">
        <f t="shared" ca="1" si="23"/>
        <v>126909.99999999999</v>
      </c>
      <c r="Y520" s="18"/>
    </row>
    <row r="521" spans="1:25" ht="16" x14ac:dyDescent="0.15">
      <c r="A521" s="18"/>
      <c r="B521" s="47" t="s">
        <v>195</v>
      </c>
      <c r="C521" s="47" t="s">
        <v>140</v>
      </c>
      <c r="D521" s="47"/>
      <c r="E521" s="47" t="s">
        <v>201</v>
      </c>
      <c r="F521" s="47" t="s">
        <v>117</v>
      </c>
      <c r="G521" s="47">
        <v>2400</v>
      </c>
      <c r="H521" s="47">
        <v>1200</v>
      </c>
      <c r="I521" s="47" t="str">
        <f t="shared" si="18"/>
        <v>MTFLW-MD-LVM-2400-1200</v>
      </c>
      <c r="J521" s="47" t="s">
        <v>194</v>
      </c>
      <c r="K521" s="47" t="s">
        <v>102</v>
      </c>
      <c r="L521" s="47"/>
      <c r="M521" s="47" t="s">
        <v>202</v>
      </c>
      <c r="N521" s="48" t="s">
        <v>203</v>
      </c>
      <c r="O521" s="47" t="s">
        <v>157</v>
      </c>
      <c r="P521" s="49" t="s">
        <v>199</v>
      </c>
      <c r="Q521" s="50"/>
      <c r="R521" s="50"/>
      <c r="S521" s="50"/>
      <c r="T521" s="50">
        <f t="shared" ca="1" si="24"/>
        <v>197500</v>
      </c>
      <c r="U521" s="51">
        <f t="shared" ca="1" si="20"/>
        <v>177750</v>
      </c>
      <c r="V521" s="51">
        <f t="shared" ca="1" si="21"/>
        <v>167875</v>
      </c>
      <c r="W521" s="51">
        <f t="shared" ca="1" si="22"/>
        <v>158000</v>
      </c>
      <c r="X521" s="51">
        <f t="shared" ca="1" si="23"/>
        <v>138250</v>
      </c>
      <c r="Y521" s="18"/>
    </row>
    <row r="522" spans="1:25" ht="16" x14ac:dyDescent="0.15">
      <c r="A522" s="18"/>
      <c r="B522" s="47" t="s">
        <v>195</v>
      </c>
      <c r="C522" s="47" t="s">
        <v>140</v>
      </c>
      <c r="D522" s="47"/>
      <c r="E522" s="47" t="s">
        <v>201</v>
      </c>
      <c r="F522" s="47" t="s">
        <v>119</v>
      </c>
      <c r="G522" s="47">
        <v>2400</v>
      </c>
      <c r="H522" s="47">
        <v>1200</v>
      </c>
      <c r="I522" s="47" t="str">
        <f t="shared" si="18"/>
        <v>MTFLW-MD-LVP-2400-1200</v>
      </c>
      <c r="J522" s="47" t="s">
        <v>194</v>
      </c>
      <c r="K522" s="47" t="s">
        <v>102</v>
      </c>
      <c r="L522" s="47"/>
      <c r="M522" s="47" t="s">
        <v>202</v>
      </c>
      <c r="N522" s="48" t="s">
        <v>203</v>
      </c>
      <c r="O522" s="47" t="s">
        <v>158</v>
      </c>
      <c r="P522" s="49" t="s">
        <v>199</v>
      </c>
      <c r="Q522" s="50"/>
      <c r="R522" s="50"/>
      <c r="S522" s="50"/>
      <c r="T522" s="50">
        <f t="shared" ca="1" si="24"/>
        <v>249300</v>
      </c>
      <c r="U522" s="51">
        <f t="shared" ca="1" si="20"/>
        <v>224370</v>
      </c>
      <c r="V522" s="51">
        <f t="shared" ca="1" si="21"/>
        <v>211905</v>
      </c>
      <c r="W522" s="51">
        <f t="shared" ca="1" si="22"/>
        <v>199440</v>
      </c>
      <c r="X522" s="51">
        <f t="shared" ca="1" si="23"/>
        <v>174510</v>
      </c>
      <c r="Y522" s="18"/>
    </row>
    <row r="523" spans="1:25" ht="16" x14ac:dyDescent="0.15">
      <c r="A523" s="18"/>
      <c r="B523" s="47" t="s">
        <v>195</v>
      </c>
      <c r="C523" s="47" t="s">
        <v>140</v>
      </c>
      <c r="D523" s="47"/>
      <c r="E523" s="47" t="s">
        <v>201</v>
      </c>
      <c r="F523" s="47" t="s">
        <v>121</v>
      </c>
      <c r="G523" s="47">
        <v>2400</v>
      </c>
      <c r="H523" s="47">
        <v>1200</v>
      </c>
      <c r="I523" s="47" t="str">
        <f t="shared" si="18"/>
        <v>MTFLW-MD-VNR-2400-1200</v>
      </c>
      <c r="J523" s="47" t="s">
        <v>194</v>
      </c>
      <c r="K523" s="47" t="s">
        <v>102</v>
      </c>
      <c r="L523" s="47"/>
      <c r="M523" s="47" t="s">
        <v>202</v>
      </c>
      <c r="N523" s="48" t="s">
        <v>203</v>
      </c>
      <c r="O523" s="47" t="s">
        <v>90</v>
      </c>
      <c r="P523" s="49" t="s">
        <v>199</v>
      </c>
      <c r="Q523" s="50"/>
      <c r="R523" s="50"/>
      <c r="S523" s="50"/>
      <c r="T523" s="50">
        <f t="shared" ca="1" si="24"/>
        <v>272400</v>
      </c>
      <c r="U523" s="51">
        <f t="shared" ca="1" si="20"/>
        <v>245160</v>
      </c>
      <c r="V523" s="51">
        <f t="shared" ca="1" si="21"/>
        <v>231540</v>
      </c>
      <c r="W523" s="51">
        <f t="shared" ca="1" si="22"/>
        <v>217920</v>
      </c>
      <c r="X523" s="51">
        <f t="shared" ca="1" si="23"/>
        <v>190680</v>
      </c>
      <c r="Y523" s="18"/>
    </row>
    <row r="524" spans="1:25" ht="16" x14ac:dyDescent="0.15">
      <c r="A524" s="18"/>
      <c r="B524" s="47" t="s">
        <v>195</v>
      </c>
      <c r="C524" s="47" t="s">
        <v>140</v>
      </c>
      <c r="D524" s="47"/>
      <c r="E524" s="47" t="s">
        <v>201</v>
      </c>
      <c r="F524" s="47" t="s">
        <v>127</v>
      </c>
      <c r="G524" s="47">
        <v>2400</v>
      </c>
      <c r="H524" s="47">
        <v>1200</v>
      </c>
      <c r="I524" s="47" t="str">
        <f t="shared" si="18"/>
        <v>MTFLW-MD-MBL-2400-1200</v>
      </c>
      <c r="J524" s="47" t="s">
        <v>194</v>
      </c>
      <c r="K524" s="47" t="s">
        <v>102</v>
      </c>
      <c r="L524" s="47"/>
      <c r="M524" s="47" t="s">
        <v>202</v>
      </c>
      <c r="N524" s="48" t="s">
        <v>203</v>
      </c>
      <c r="O524" s="47" t="s">
        <v>101</v>
      </c>
      <c r="P524" s="49" t="s">
        <v>199</v>
      </c>
      <c r="Q524" s="50"/>
      <c r="R524" s="50"/>
      <c r="S524" s="50"/>
      <c r="T524" s="50">
        <f t="shared" ca="1" si="24"/>
        <v>283900</v>
      </c>
      <c r="U524" s="51">
        <f t="shared" ca="1" si="20"/>
        <v>255510</v>
      </c>
      <c r="V524" s="51">
        <f t="shared" ca="1" si="21"/>
        <v>241315</v>
      </c>
      <c r="W524" s="51">
        <f t="shared" ca="1" si="22"/>
        <v>227120</v>
      </c>
      <c r="X524" s="51">
        <f t="shared" ca="1" si="23"/>
        <v>198730</v>
      </c>
      <c r="Y524" s="18"/>
    </row>
    <row r="525" spans="1:25" ht="16" x14ac:dyDescent="0.15">
      <c r="A525" s="18"/>
      <c r="B525" s="47" t="s">
        <v>195</v>
      </c>
      <c r="C525" s="47" t="s">
        <v>140</v>
      </c>
      <c r="D525" s="47"/>
      <c r="E525" s="47" t="s">
        <v>201</v>
      </c>
      <c r="F525" s="47" t="s">
        <v>123</v>
      </c>
      <c r="G525" s="47">
        <v>2400</v>
      </c>
      <c r="H525" s="47">
        <v>1200</v>
      </c>
      <c r="I525" s="47" t="str">
        <f t="shared" si="18"/>
        <v>MTFLW-MD-GL-2400-1200</v>
      </c>
      <c r="J525" s="47" t="s">
        <v>194</v>
      </c>
      <c r="K525" s="47" t="s">
        <v>102</v>
      </c>
      <c r="L525" s="47"/>
      <c r="M525" s="47" t="s">
        <v>202</v>
      </c>
      <c r="N525" s="48" t="s">
        <v>203</v>
      </c>
      <c r="O525" s="47" t="s">
        <v>42</v>
      </c>
      <c r="P525" s="49" t="s">
        <v>199</v>
      </c>
      <c r="Q525" s="50"/>
      <c r="R525" s="50"/>
      <c r="S525" s="50"/>
      <c r="T525" s="50">
        <f t="shared" ca="1" si="24"/>
        <v>508500</v>
      </c>
      <c r="U525" s="51">
        <f t="shared" ca="1" si="20"/>
        <v>457650</v>
      </c>
      <c r="V525" s="51">
        <f t="shared" ca="1" si="21"/>
        <v>432225</v>
      </c>
      <c r="W525" s="51">
        <f t="shared" ca="1" si="22"/>
        <v>406800</v>
      </c>
      <c r="X525" s="51">
        <f t="shared" ca="1" si="23"/>
        <v>355950</v>
      </c>
      <c r="Y525" s="18"/>
    </row>
    <row r="526" spans="1:25" ht="16" x14ac:dyDescent="0.15">
      <c r="A526" s="18"/>
      <c r="B526" s="47" t="s">
        <v>195</v>
      </c>
      <c r="C526" s="47" t="s">
        <v>140</v>
      </c>
      <c r="D526" s="47"/>
      <c r="E526" s="47" t="s">
        <v>204</v>
      </c>
      <c r="F526" s="47" t="s">
        <v>65</v>
      </c>
      <c r="G526" s="47">
        <v>3600</v>
      </c>
      <c r="H526" s="47">
        <v>1200</v>
      </c>
      <c r="I526" s="47" t="str">
        <f t="shared" si="18"/>
        <v>MTFLW-LG-PB-3600-1200</v>
      </c>
      <c r="J526" s="47" t="s">
        <v>194</v>
      </c>
      <c r="K526" s="47" t="s">
        <v>102</v>
      </c>
      <c r="L526" s="47"/>
      <c r="M526" s="47" t="s">
        <v>205</v>
      </c>
      <c r="N526" s="48" t="s">
        <v>206</v>
      </c>
      <c r="O526" s="47" t="s">
        <v>11</v>
      </c>
      <c r="P526" s="49" t="s">
        <v>199</v>
      </c>
      <c r="Q526" s="50"/>
      <c r="R526" s="50"/>
      <c r="S526" s="50"/>
      <c r="T526" s="50">
        <f t="shared" ca="1" si="24"/>
        <v>594900</v>
      </c>
      <c r="U526" s="51">
        <f t="shared" ca="1" si="20"/>
        <v>535410</v>
      </c>
      <c r="V526" s="51">
        <f t="shared" ca="1" si="21"/>
        <v>505665</v>
      </c>
      <c r="W526" s="51">
        <f t="shared" ca="1" si="22"/>
        <v>475920</v>
      </c>
      <c r="X526" s="51">
        <f t="shared" ca="1" si="23"/>
        <v>416430</v>
      </c>
      <c r="Y526" s="18"/>
    </row>
    <row r="527" spans="1:25" ht="16" x14ac:dyDescent="0.15">
      <c r="A527" s="18"/>
      <c r="B527" s="47" t="s">
        <v>195</v>
      </c>
      <c r="C527" s="47" t="s">
        <v>140</v>
      </c>
      <c r="D527" s="47"/>
      <c r="E527" s="47" t="s">
        <v>204</v>
      </c>
      <c r="F527" s="47" t="s">
        <v>112</v>
      </c>
      <c r="G527" s="47">
        <v>3600</v>
      </c>
      <c r="H527" s="47">
        <v>1200</v>
      </c>
      <c r="I527" s="47" t="str">
        <f t="shared" si="18"/>
        <v>MTFLW-LG-PLM-3600-1200</v>
      </c>
      <c r="J527" s="47" t="s">
        <v>194</v>
      </c>
      <c r="K527" s="47" t="s">
        <v>102</v>
      </c>
      <c r="L527" s="47"/>
      <c r="M527" s="47" t="s">
        <v>205</v>
      </c>
      <c r="N527" s="48" t="s">
        <v>206</v>
      </c>
      <c r="O527" s="47" t="s">
        <v>31</v>
      </c>
      <c r="P527" s="49" t="s">
        <v>199</v>
      </c>
      <c r="Q527" s="50"/>
      <c r="R527" s="50"/>
      <c r="S527" s="50"/>
      <c r="T527" s="50">
        <f t="shared" ca="1" si="24"/>
        <v>249300</v>
      </c>
      <c r="U527" s="51">
        <f t="shared" ca="1" si="20"/>
        <v>224370</v>
      </c>
      <c r="V527" s="51">
        <f t="shared" ca="1" si="21"/>
        <v>211905</v>
      </c>
      <c r="W527" s="51">
        <f t="shared" ca="1" si="22"/>
        <v>199440</v>
      </c>
      <c r="X527" s="51">
        <f t="shared" ca="1" si="23"/>
        <v>174510</v>
      </c>
      <c r="Y527" s="18"/>
    </row>
    <row r="528" spans="1:25" ht="16" x14ac:dyDescent="0.15">
      <c r="A528" s="18"/>
      <c r="B528" s="47" t="s">
        <v>195</v>
      </c>
      <c r="C528" s="47" t="s">
        <v>140</v>
      </c>
      <c r="D528" s="47"/>
      <c r="E528" s="47" t="s">
        <v>204</v>
      </c>
      <c r="F528" s="47" t="s">
        <v>114</v>
      </c>
      <c r="G528" s="47">
        <v>3600</v>
      </c>
      <c r="H528" s="47">
        <v>1200</v>
      </c>
      <c r="I528" s="47" t="str">
        <f t="shared" si="18"/>
        <v>MTFLW-LG-PoLM-3600-1200</v>
      </c>
      <c r="J528" s="47" t="s">
        <v>194</v>
      </c>
      <c r="K528" s="47" t="s">
        <v>102</v>
      </c>
      <c r="L528" s="47"/>
      <c r="M528" s="47" t="s">
        <v>205</v>
      </c>
      <c r="N528" s="48" t="s">
        <v>206</v>
      </c>
      <c r="O528" s="47" t="s">
        <v>47</v>
      </c>
      <c r="P528" s="49" t="s">
        <v>199</v>
      </c>
      <c r="Q528" s="50"/>
      <c r="R528" s="50"/>
      <c r="S528" s="50"/>
      <c r="T528" s="50">
        <f t="shared" ca="1" si="24"/>
        <v>0</v>
      </c>
      <c r="U528" s="51">
        <f t="shared" ca="1" si="20"/>
        <v>0</v>
      </c>
      <c r="V528" s="51">
        <f t="shared" ca="1" si="21"/>
        <v>0</v>
      </c>
      <c r="W528" s="51">
        <f t="shared" ca="1" si="22"/>
        <v>0</v>
      </c>
      <c r="X528" s="51">
        <f t="shared" ca="1" si="23"/>
        <v>0</v>
      </c>
      <c r="Y528" s="18"/>
    </row>
    <row r="529" spans="1:25" ht="16" x14ac:dyDescent="0.15">
      <c r="A529" s="18"/>
      <c r="B529" s="47" t="s">
        <v>195</v>
      </c>
      <c r="C529" s="47" t="s">
        <v>140</v>
      </c>
      <c r="D529" s="47"/>
      <c r="E529" s="47" t="s">
        <v>204</v>
      </c>
      <c r="F529" s="47" t="s">
        <v>117</v>
      </c>
      <c r="G529" s="47">
        <v>3600</v>
      </c>
      <c r="H529" s="47">
        <v>1200</v>
      </c>
      <c r="I529" s="47" t="str">
        <f t="shared" si="18"/>
        <v>MTFLW-LG-LVM-3600-1200</v>
      </c>
      <c r="J529" s="47" t="s">
        <v>194</v>
      </c>
      <c r="K529" s="47" t="s">
        <v>102</v>
      </c>
      <c r="L529" s="47"/>
      <c r="M529" s="47" t="s">
        <v>205</v>
      </c>
      <c r="N529" s="48" t="s">
        <v>206</v>
      </c>
      <c r="O529" s="47" t="s">
        <v>157</v>
      </c>
      <c r="P529" s="49" t="s">
        <v>199</v>
      </c>
      <c r="Q529" s="50"/>
      <c r="R529" s="50"/>
      <c r="S529" s="50"/>
      <c r="T529" s="50">
        <f t="shared" ca="1" si="24"/>
        <v>0</v>
      </c>
      <c r="U529" s="51">
        <f t="shared" ca="1" si="20"/>
        <v>0</v>
      </c>
      <c r="V529" s="51">
        <f t="shared" ca="1" si="21"/>
        <v>0</v>
      </c>
      <c r="W529" s="51">
        <f t="shared" ca="1" si="22"/>
        <v>0</v>
      </c>
      <c r="X529" s="51">
        <f t="shared" ca="1" si="23"/>
        <v>0</v>
      </c>
      <c r="Y529" s="18"/>
    </row>
    <row r="530" spans="1:25" ht="16" x14ac:dyDescent="0.15">
      <c r="A530" s="18"/>
      <c r="B530" s="47" t="s">
        <v>195</v>
      </c>
      <c r="C530" s="47" t="s">
        <v>140</v>
      </c>
      <c r="D530" s="47"/>
      <c r="E530" s="47" t="s">
        <v>204</v>
      </c>
      <c r="F530" s="47" t="s">
        <v>119</v>
      </c>
      <c r="G530" s="47">
        <v>3600</v>
      </c>
      <c r="H530" s="47">
        <v>1200</v>
      </c>
      <c r="I530" s="47" t="str">
        <f t="shared" si="18"/>
        <v>MTFLW-LG-LVP-3600-1200</v>
      </c>
      <c r="J530" s="47" t="s">
        <v>194</v>
      </c>
      <c r="K530" s="47" t="s">
        <v>102</v>
      </c>
      <c r="L530" s="47"/>
      <c r="M530" s="47" t="s">
        <v>205</v>
      </c>
      <c r="N530" s="48" t="s">
        <v>206</v>
      </c>
      <c r="O530" s="47" t="s">
        <v>158</v>
      </c>
      <c r="P530" s="49" t="s">
        <v>199</v>
      </c>
      <c r="Q530" s="50"/>
      <c r="R530" s="50"/>
      <c r="S530" s="50"/>
      <c r="T530" s="50">
        <f t="shared" ca="1" si="24"/>
        <v>0</v>
      </c>
      <c r="U530" s="51">
        <f t="shared" ca="1" si="20"/>
        <v>0</v>
      </c>
      <c r="V530" s="51">
        <f t="shared" ca="1" si="21"/>
        <v>0</v>
      </c>
      <c r="W530" s="51">
        <f t="shared" ca="1" si="22"/>
        <v>0</v>
      </c>
      <c r="X530" s="51">
        <f t="shared" ca="1" si="23"/>
        <v>0</v>
      </c>
      <c r="Y530" s="18"/>
    </row>
    <row r="531" spans="1:25" ht="16" x14ac:dyDescent="0.15">
      <c r="A531" s="18"/>
      <c r="B531" s="47" t="s">
        <v>195</v>
      </c>
      <c r="C531" s="47" t="s">
        <v>140</v>
      </c>
      <c r="D531" s="47"/>
      <c r="E531" s="47" t="s">
        <v>204</v>
      </c>
      <c r="F531" s="47" t="s">
        <v>121</v>
      </c>
      <c r="G531" s="47">
        <v>3600</v>
      </c>
      <c r="H531" s="47">
        <v>1200</v>
      </c>
      <c r="I531" s="47" t="str">
        <f t="shared" si="18"/>
        <v>MTFLW-LG-VNR-3600-1200</v>
      </c>
      <c r="J531" s="47" t="s">
        <v>194</v>
      </c>
      <c r="K531" s="47" t="s">
        <v>102</v>
      </c>
      <c r="L531" s="47"/>
      <c r="M531" s="47" t="s">
        <v>205</v>
      </c>
      <c r="N531" s="48" t="s">
        <v>206</v>
      </c>
      <c r="O531" s="47" t="s">
        <v>90</v>
      </c>
      <c r="P531" s="49" t="s">
        <v>199</v>
      </c>
      <c r="Q531" s="50"/>
      <c r="R531" s="50"/>
      <c r="S531" s="50"/>
      <c r="T531" s="50">
        <f t="shared" ca="1" si="24"/>
        <v>0</v>
      </c>
      <c r="U531" s="51">
        <f t="shared" ca="1" si="20"/>
        <v>0</v>
      </c>
      <c r="V531" s="51">
        <f t="shared" ca="1" si="21"/>
        <v>0</v>
      </c>
      <c r="W531" s="51">
        <f t="shared" ca="1" si="22"/>
        <v>0</v>
      </c>
      <c r="X531" s="51">
        <f t="shared" ca="1" si="23"/>
        <v>0</v>
      </c>
      <c r="Y531" s="18"/>
    </row>
    <row r="532" spans="1:25" ht="16" x14ac:dyDescent="0.15">
      <c r="A532" s="18"/>
      <c r="B532" s="47" t="s">
        <v>195</v>
      </c>
      <c r="C532" s="47" t="s">
        <v>140</v>
      </c>
      <c r="D532" s="47"/>
      <c r="E532" s="47" t="s">
        <v>204</v>
      </c>
      <c r="F532" s="47" t="s">
        <v>127</v>
      </c>
      <c r="G532" s="47">
        <v>3600</v>
      </c>
      <c r="H532" s="47">
        <v>1200</v>
      </c>
      <c r="I532" s="47" t="str">
        <f t="shared" si="18"/>
        <v>MTFLW-LG-MBL-3600-1200</v>
      </c>
      <c r="J532" s="47" t="s">
        <v>194</v>
      </c>
      <c r="K532" s="47" t="s">
        <v>102</v>
      </c>
      <c r="L532" s="47"/>
      <c r="M532" s="47" t="s">
        <v>205</v>
      </c>
      <c r="N532" s="48" t="s">
        <v>206</v>
      </c>
      <c r="O532" s="47" t="s">
        <v>101</v>
      </c>
      <c r="P532" s="49" t="s">
        <v>199</v>
      </c>
      <c r="Q532" s="50"/>
      <c r="R532" s="50"/>
      <c r="S532" s="50"/>
      <c r="T532" s="50">
        <f t="shared" ca="1" si="24"/>
        <v>0</v>
      </c>
      <c r="U532" s="51">
        <f t="shared" ca="1" si="20"/>
        <v>0</v>
      </c>
      <c r="V532" s="51">
        <f t="shared" ca="1" si="21"/>
        <v>0</v>
      </c>
      <c r="W532" s="51">
        <f t="shared" ca="1" si="22"/>
        <v>0</v>
      </c>
      <c r="X532" s="51">
        <f t="shared" ca="1" si="23"/>
        <v>0</v>
      </c>
      <c r="Y532" s="18"/>
    </row>
    <row r="533" spans="1:25" ht="16" x14ac:dyDescent="0.15">
      <c r="A533" s="18"/>
      <c r="B533" s="47" t="s">
        <v>195</v>
      </c>
      <c r="C533" s="47" t="s">
        <v>140</v>
      </c>
      <c r="D533" s="47"/>
      <c r="E533" s="47" t="s">
        <v>204</v>
      </c>
      <c r="F533" s="47" t="s">
        <v>123</v>
      </c>
      <c r="G533" s="47">
        <v>3600</v>
      </c>
      <c r="H533" s="47">
        <v>1200</v>
      </c>
      <c r="I533" s="47" t="str">
        <f t="shared" si="18"/>
        <v>MTFLW-LG-GL-3600-1200</v>
      </c>
      <c r="J533" s="47" t="s">
        <v>194</v>
      </c>
      <c r="K533" s="47" t="s">
        <v>102</v>
      </c>
      <c r="L533" s="47"/>
      <c r="M533" s="47" t="s">
        <v>205</v>
      </c>
      <c r="N533" s="48" t="s">
        <v>206</v>
      </c>
      <c r="O533" s="47" t="s">
        <v>42</v>
      </c>
      <c r="P533" s="49" t="s">
        <v>199</v>
      </c>
      <c r="Q533" s="50"/>
      <c r="R533" s="50"/>
      <c r="S533" s="50"/>
      <c r="T533" s="50">
        <f t="shared" ca="1" si="24"/>
        <v>0</v>
      </c>
      <c r="U533" s="51">
        <f t="shared" ca="1" si="20"/>
        <v>0</v>
      </c>
      <c r="V533" s="51">
        <f t="shared" ca="1" si="21"/>
        <v>0</v>
      </c>
      <c r="W533" s="51">
        <f t="shared" ca="1" si="22"/>
        <v>0</v>
      </c>
      <c r="X533" s="51">
        <f t="shared" ca="1" si="23"/>
        <v>0</v>
      </c>
      <c r="Y533" s="18"/>
    </row>
    <row r="534" spans="1:25" ht="16" x14ac:dyDescent="0.15">
      <c r="A534" s="18"/>
      <c r="B534" s="47" t="s">
        <v>195</v>
      </c>
      <c r="C534" s="47" t="s">
        <v>140</v>
      </c>
      <c r="D534" s="47"/>
      <c r="E534" s="47" t="s">
        <v>207</v>
      </c>
      <c r="F534" s="47" t="s">
        <v>65</v>
      </c>
      <c r="G534" s="47">
        <v>4800</v>
      </c>
      <c r="H534" s="47">
        <v>1200</v>
      </c>
      <c r="I534" s="47" t="str">
        <f t="shared" si="18"/>
        <v>MTFLW-XL-PB-4800-1200</v>
      </c>
      <c r="J534" s="47" t="s">
        <v>194</v>
      </c>
      <c r="K534" s="47" t="s">
        <v>102</v>
      </c>
      <c r="L534" s="47"/>
      <c r="M534" s="47" t="s">
        <v>207</v>
      </c>
      <c r="N534" s="48" t="s">
        <v>208</v>
      </c>
      <c r="O534" s="47" t="s">
        <v>11</v>
      </c>
      <c r="P534" s="49" t="s">
        <v>199</v>
      </c>
      <c r="Q534" s="50"/>
      <c r="R534" s="50"/>
      <c r="S534" s="50"/>
      <c r="T534" s="50">
        <f t="shared" ca="1" si="24"/>
        <v>0</v>
      </c>
      <c r="U534" s="51">
        <f t="shared" ca="1" si="20"/>
        <v>0</v>
      </c>
      <c r="V534" s="51">
        <f t="shared" ca="1" si="21"/>
        <v>0</v>
      </c>
      <c r="W534" s="51">
        <f t="shared" ca="1" si="22"/>
        <v>0</v>
      </c>
      <c r="X534" s="51">
        <f t="shared" ca="1" si="23"/>
        <v>0</v>
      </c>
      <c r="Y534" s="18"/>
    </row>
    <row r="535" spans="1:25" ht="16" x14ac:dyDescent="0.15">
      <c r="A535" s="18"/>
      <c r="B535" s="47" t="s">
        <v>195</v>
      </c>
      <c r="C535" s="47" t="s">
        <v>140</v>
      </c>
      <c r="D535" s="47"/>
      <c r="E535" s="47" t="s">
        <v>207</v>
      </c>
      <c r="F535" s="47" t="s">
        <v>112</v>
      </c>
      <c r="G535" s="47">
        <v>4800</v>
      </c>
      <c r="H535" s="47">
        <v>1200</v>
      </c>
      <c r="I535" s="47" t="str">
        <f t="shared" si="18"/>
        <v>MTFLW-XL-PLM-4800-1200</v>
      </c>
      <c r="J535" s="47" t="s">
        <v>194</v>
      </c>
      <c r="K535" s="47" t="s">
        <v>102</v>
      </c>
      <c r="L535" s="47"/>
      <c r="M535" s="47" t="s">
        <v>207</v>
      </c>
      <c r="N535" s="48" t="s">
        <v>208</v>
      </c>
      <c r="O535" s="47" t="s">
        <v>31</v>
      </c>
      <c r="P535" s="49" t="s">
        <v>199</v>
      </c>
      <c r="Q535" s="50"/>
      <c r="R535" s="50"/>
      <c r="S535" s="50"/>
      <c r="T535" s="50">
        <f t="shared" ca="1" si="24"/>
        <v>0</v>
      </c>
      <c r="U535" s="51">
        <f t="shared" ca="1" si="20"/>
        <v>0</v>
      </c>
      <c r="V535" s="51">
        <f t="shared" ca="1" si="21"/>
        <v>0</v>
      </c>
      <c r="W535" s="51">
        <f t="shared" ca="1" si="22"/>
        <v>0</v>
      </c>
      <c r="X535" s="51">
        <f t="shared" ca="1" si="23"/>
        <v>0</v>
      </c>
      <c r="Y535" s="18"/>
    </row>
    <row r="536" spans="1:25" ht="16" x14ac:dyDescent="0.15">
      <c r="A536" s="18"/>
      <c r="B536" s="47" t="s">
        <v>195</v>
      </c>
      <c r="C536" s="47" t="s">
        <v>140</v>
      </c>
      <c r="D536" s="47"/>
      <c r="E536" s="47" t="s">
        <v>207</v>
      </c>
      <c r="F536" s="47" t="s">
        <v>114</v>
      </c>
      <c r="G536" s="47">
        <v>4800</v>
      </c>
      <c r="H536" s="47">
        <v>1200</v>
      </c>
      <c r="I536" s="47" t="str">
        <f t="shared" si="18"/>
        <v>MTFLW-XL-PoLM-4800-1200</v>
      </c>
      <c r="J536" s="47" t="s">
        <v>194</v>
      </c>
      <c r="K536" s="47" t="s">
        <v>102</v>
      </c>
      <c r="L536" s="47"/>
      <c r="M536" s="47" t="s">
        <v>207</v>
      </c>
      <c r="N536" s="48" t="s">
        <v>208</v>
      </c>
      <c r="O536" s="47" t="s">
        <v>47</v>
      </c>
      <c r="P536" s="49" t="s">
        <v>199</v>
      </c>
      <c r="Q536" s="50"/>
      <c r="R536" s="50"/>
      <c r="S536" s="50"/>
      <c r="T536" s="50">
        <f t="shared" ca="1" si="24"/>
        <v>0</v>
      </c>
      <c r="U536" s="51">
        <f t="shared" ca="1" si="20"/>
        <v>0</v>
      </c>
      <c r="V536" s="51">
        <f t="shared" ca="1" si="21"/>
        <v>0</v>
      </c>
      <c r="W536" s="51">
        <f t="shared" ca="1" si="22"/>
        <v>0</v>
      </c>
      <c r="X536" s="51">
        <f t="shared" ca="1" si="23"/>
        <v>0</v>
      </c>
      <c r="Y536" s="18"/>
    </row>
    <row r="537" spans="1:25" ht="16" x14ac:dyDescent="0.15">
      <c r="A537" s="18"/>
      <c r="B537" s="47" t="s">
        <v>195</v>
      </c>
      <c r="C537" s="47" t="s">
        <v>140</v>
      </c>
      <c r="D537" s="47"/>
      <c r="E537" s="47" t="s">
        <v>207</v>
      </c>
      <c r="F537" s="47" t="s">
        <v>117</v>
      </c>
      <c r="G537" s="47">
        <v>4800</v>
      </c>
      <c r="H537" s="47">
        <v>1200</v>
      </c>
      <c r="I537" s="47" t="str">
        <f t="shared" si="18"/>
        <v>MTFLW-XL-LVM-4800-1200</v>
      </c>
      <c r="J537" s="47" t="s">
        <v>194</v>
      </c>
      <c r="K537" s="47" t="s">
        <v>102</v>
      </c>
      <c r="L537" s="47"/>
      <c r="M537" s="47" t="s">
        <v>207</v>
      </c>
      <c r="N537" s="48" t="s">
        <v>208</v>
      </c>
      <c r="O537" s="47" t="s">
        <v>157</v>
      </c>
      <c r="P537" s="49" t="s">
        <v>199</v>
      </c>
      <c r="Q537" s="50"/>
      <c r="R537" s="50"/>
      <c r="S537" s="50"/>
      <c r="T537" s="50">
        <f t="shared" ca="1" si="24"/>
        <v>0</v>
      </c>
      <c r="U537" s="51">
        <f t="shared" ca="1" si="20"/>
        <v>0</v>
      </c>
      <c r="V537" s="51">
        <f t="shared" ca="1" si="21"/>
        <v>0</v>
      </c>
      <c r="W537" s="51">
        <f t="shared" ca="1" si="22"/>
        <v>0</v>
      </c>
      <c r="X537" s="51">
        <f t="shared" ca="1" si="23"/>
        <v>0</v>
      </c>
      <c r="Y537" s="18"/>
    </row>
    <row r="538" spans="1:25" ht="16" x14ac:dyDescent="0.15">
      <c r="A538" s="18"/>
      <c r="B538" s="47" t="s">
        <v>195</v>
      </c>
      <c r="C538" s="47" t="s">
        <v>140</v>
      </c>
      <c r="D538" s="47"/>
      <c r="E538" s="47" t="s">
        <v>207</v>
      </c>
      <c r="F538" s="47" t="s">
        <v>119</v>
      </c>
      <c r="G538" s="47">
        <v>4800</v>
      </c>
      <c r="H538" s="47">
        <v>1200</v>
      </c>
      <c r="I538" s="47" t="str">
        <f t="shared" si="18"/>
        <v>MTFLW-XL-LVP-4800-1200</v>
      </c>
      <c r="J538" s="47" t="s">
        <v>194</v>
      </c>
      <c r="K538" s="47" t="s">
        <v>102</v>
      </c>
      <c r="L538" s="47"/>
      <c r="M538" s="47" t="s">
        <v>207</v>
      </c>
      <c r="N538" s="48" t="s">
        <v>208</v>
      </c>
      <c r="O538" s="47" t="s">
        <v>158</v>
      </c>
      <c r="P538" s="49" t="s">
        <v>199</v>
      </c>
      <c r="Q538" s="50"/>
      <c r="R538" s="50"/>
      <c r="S538" s="50"/>
      <c r="T538" s="50">
        <f t="shared" ca="1" si="24"/>
        <v>0</v>
      </c>
      <c r="U538" s="51">
        <f t="shared" ca="1" si="20"/>
        <v>0</v>
      </c>
      <c r="V538" s="51">
        <f t="shared" ca="1" si="21"/>
        <v>0</v>
      </c>
      <c r="W538" s="51">
        <f t="shared" ca="1" si="22"/>
        <v>0</v>
      </c>
      <c r="X538" s="51">
        <f t="shared" ca="1" si="23"/>
        <v>0</v>
      </c>
      <c r="Y538" s="18"/>
    </row>
    <row r="539" spans="1:25" ht="16" x14ac:dyDescent="0.15">
      <c r="A539" s="18"/>
      <c r="B539" s="47" t="s">
        <v>195</v>
      </c>
      <c r="C539" s="47" t="s">
        <v>140</v>
      </c>
      <c r="D539" s="47"/>
      <c r="E539" s="47" t="s">
        <v>207</v>
      </c>
      <c r="F539" s="47" t="s">
        <v>121</v>
      </c>
      <c r="G539" s="47">
        <v>4800</v>
      </c>
      <c r="H539" s="47">
        <v>1200</v>
      </c>
      <c r="I539" s="47" t="str">
        <f t="shared" si="18"/>
        <v>MTFLW-XL-VNR-4800-1200</v>
      </c>
      <c r="J539" s="47" t="s">
        <v>194</v>
      </c>
      <c r="K539" s="47" t="s">
        <v>102</v>
      </c>
      <c r="L539" s="47"/>
      <c r="M539" s="47" t="s">
        <v>207</v>
      </c>
      <c r="N539" s="48" t="s">
        <v>208</v>
      </c>
      <c r="O539" s="47" t="s">
        <v>90</v>
      </c>
      <c r="P539" s="49" t="s">
        <v>199</v>
      </c>
      <c r="Q539" s="50"/>
      <c r="R539" s="50"/>
      <c r="S539" s="50"/>
      <c r="T539" s="50">
        <f t="shared" ca="1" si="24"/>
        <v>0</v>
      </c>
      <c r="U539" s="51">
        <f t="shared" ca="1" si="20"/>
        <v>0</v>
      </c>
      <c r="V539" s="51">
        <f t="shared" ca="1" si="21"/>
        <v>0</v>
      </c>
      <c r="W539" s="51">
        <f t="shared" ca="1" si="22"/>
        <v>0</v>
      </c>
      <c r="X539" s="51">
        <f t="shared" ca="1" si="23"/>
        <v>0</v>
      </c>
      <c r="Y539" s="18"/>
    </row>
    <row r="540" spans="1:25" ht="16" x14ac:dyDescent="0.15">
      <c r="A540" s="18"/>
      <c r="B540" s="47" t="s">
        <v>195</v>
      </c>
      <c r="C540" s="47" t="s">
        <v>140</v>
      </c>
      <c r="D540" s="47"/>
      <c r="E540" s="47" t="s">
        <v>207</v>
      </c>
      <c r="F540" s="47" t="s">
        <v>127</v>
      </c>
      <c r="G540" s="47">
        <v>4800</v>
      </c>
      <c r="H540" s="47">
        <v>1200</v>
      </c>
      <c r="I540" s="47" t="str">
        <f t="shared" si="18"/>
        <v>MTFLW-XL-MBL-4800-1200</v>
      </c>
      <c r="J540" s="47" t="s">
        <v>194</v>
      </c>
      <c r="K540" s="47" t="s">
        <v>102</v>
      </c>
      <c r="L540" s="47"/>
      <c r="M540" s="47" t="s">
        <v>207</v>
      </c>
      <c r="N540" s="48" t="s">
        <v>208</v>
      </c>
      <c r="O540" s="47" t="s">
        <v>101</v>
      </c>
      <c r="P540" s="49" t="s">
        <v>199</v>
      </c>
      <c r="Q540" s="50"/>
      <c r="R540" s="50"/>
      <c r="S540" s="50"/>
      <c r="T540" s="50">
        <f t="shared" ca="1" si="24"/>
        <v>0</v>
      </c>
      <c r="U540" s="51">
        <f t="shared" ca="1" si="20"/>
        <v>0</v>
      </c>
      <c r="V540" s="51">
        <f t="shared" ca="1" si="21"/>
        <v>0</v>
      </c>
      <c r="W540" s="51">
        <f t="shared" ca="1" si="22"/>
        <v>0</v>
      </c>
      <c r="X540" s="51">
        <f t="shared" ca="1" si="23"/>
        <v>0</v>
      </c>
      <c r="Y540" s="18"/>
    </row>
    <row r="541" spans="1:25" ht="16" x14ac:dyDescent="0.15">
      <c r="A541" s="18"/>
      <c r="B541" s="47" t="s">
        <v>195</v>
      </c>
      <c r="C541" s="47" t="s">
        <v>140</v>
      </c>
      <c r="D541" s="47"/>
      <c r="E541" s="47" t="s">
        <v>207</v>
      </c>
      <c r="F541" s="47" t="s">
        <v>123</v>
      </c>
      <c r="G541" s="47">
        <v>4800</v>
      </c>
      <c r="H541" s="47">
        <v>1200</v>
      </c>
      <c r="I541" s="47" t="str">
        <f t="shared" si="18"/>
        <v>MTFLW-XL-GL-4800-1200</v>
      </c>
      <c r="J541" s="47" t="s">
        <v>194</v>
      </c>
      <c r="K541" s="47" t="s">
        <v>102</v>
      </c>
      <c r="L541" s="47"/>
      <c r="M541" s="47" t="s">
        <v>207</v>
      </c>
      <c r="N541" s="48" t="s">
        <v>208</v>
      </c>
      <c r="O541" s="47" t="s">
        <v>42</v>
      </c>
      <c r="P541" s="49" t="s">
        <v>199</v>
      </c>
      <c r="Q541" s="50"/>
      <c r="R541" s="50"/>
      <c r="S541" s="50"/>
      <c r="T541" s="50">
        <f t="shared" ca="1" si="24"/>
        <v>0</v>
      </c>
      <c r="U541" s="51">
        <f t="shared" ca="1" si="20"/>
        <v>0</v>
      </c>
      <c r="V541" s="51">
        <f t="shared" ca="1" si="21"/>
        <v>0</v>
      </c>
      <c r="W541" s="51">
        <f t="shared" ca="1" si="22"/>
        <v>0</v>
      </c>
      <c r="X541" s="51">
        <f t="shared" ca="1" si="23"/>
        <v>0</v>
      </c>
      <c r="Y541" s="18"/>
    </row>
    <row r="542" spans="1:25" ht="14" x14ac:dyDescent="0.1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3"/>
      <c r="R542" s="3"/>
      <c r="S542" s="3"/>
      <c r="T542" s="3"/>
      <c r="U542" s="5"/>
      <c r="V542" s="5"/>
      <c r="W542" s="5"/>
      <c r="X542" s="5"/>
      <c r="Y542" s="18"/>
    </row>
    <row r="543" spans="1:25" ht="43.5" customHeight="1" x14ac:dyDescent="0.15">
      <c r="A543" s="18"/>
      <c r="B543" s="53"/>
      <c r="C543" s="53"/>
      <c r="D543" s="53"/>
      <c r="E543" s="53"/>
      <c r="F543" s="53"/>
      <c r="G543" s="53"/>
      <c r="H543" s="53"/>
      <c r="I543" s="89" t="s">
        <v>211</v>
      </c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53"/>
      <c r="V543" s="53"/>
      <c r="W543" s="53"/>
      <c r="X543" s="53"/>
      <c r="Y543" s="18"/>
    </row>
    <row r="544" spans="1:25" ht="16" x14ac:dyDescent="0.15">
      <c r="A544" s="18"/>
      <c r="B544" s="54" t="s">
        <v>212</v>
      </c>
      <c r="C544" s="54" t="s">
        <v>60</v>
      </c>
      <c r="D544" s="54"/>
      <c r="E544" s="54" t="s">
        <v>213</v>
      </c>
      <c r="F544" s="54" t="s">
        <v>65</v>
      </c>
      <c r="G544" s="54" t="s">
        <v>214</v>
      </c>
      <c r="H544" s="54">
        <v>1800</v>
      </c>
      <c r="I544" s="55" t="str">
        <f t="shared" ref="I544:I732" si="25">CONCATENATE(B544, C544,"-",E544,"-",F544,"-",G544,"+",H544)</f>
        <v>CBFLX-RST-PB-1500x600+1800</v>
      </c>
      <c r="J544" s="54" t="s">
        <v>211</v>
      </c>
      <c r="K544" s="54" t="s">
        <v>130</v>
      </c>
      <c r="L544" s="54"/>
      <c r="M544" s="54" t="s">
        <v>215</v>
      </c>
      <c r="N544" s="54" t="s">
        <v>216</v>
      </c>
      <c r="O544" s="54" t="s">
        <v>11</v>
      </c>
      <c r="P544" s="56" t="s">
        <v>199</v>
      </c>
      <c r="Q544" s="57"/>
      <c r="R544" s="57"/>
      <c r="S544" s="57"/>
      <c r="T544" s="57">
        <f t="shared" ref="T544:T732" ca="1" si="26">INDIRECT("'CALC CABINS'!P"&amp;(ROW()-529)*7)</f>
        <v>38100</v>
      </c>
      <c r="U544" s="58">
        <f t="shared" ref="U544:U732" ca="1" si="27">T544*0.9</f>
        <v>34290</v>
      </c>
      <c r="V544" s="58">
        <f t="shared" ref="V544:V732" ca="1" si="28">T544*0.85</f>
        <v>32385</v>
      </c>
      <c r="W544" s="58">
        <f t="shared" ref="W544:W732" ca="1" si="29">T544*0.8</f>
        <v>30480</v>
      </c>
      <c r="X544" s="58">
        <f t="shared" ref="X544:X732" ca="1" si="30">T544*0.7</f>
        <v>26670</v>
      </c>
      <c r="Y544" s="18"/>
    </row>
    <row r="545" spans="1:25" ht="16" x14ac:dyDescent="0.15">
      <c r="A545" s="18"/>
      <c r="B545" s="54" t="s">
        <v>212</v>
      </c>
      <c r="C545" s="54" t="s">
        <v>60</v>
      </c>
      <c r="D545" s="54"/>
      <c r="E545" s="54" t="s">
        <v>213</v>
      </c>
      <c r="F545" s="54" t="s">
        <v>112</v>
      </c>
      <c r="G545" s="54" t="s">
        <v>214</v>
      </c>
      <c r="H545" s="54">
        <v>1800</v>
      </c>
      <c r="I545" s="55" t="str">
        <f t="shared" si="25"/>
        <v>CBFLX-RST-PLM-1500x600+1800</v>
      </c>
      <c r="J545" s="54" t="s">
        <v>211</v>
      </c>
      <c r="K545" s="54" t="s">
        <v>130</v>
      </c>
      <c r="L545" s="54"/>
      <c r="M545" s="54" t="s">
        <v>215</v>
      </c>
      <c r="N545" s="54" t="s">
        <v>216</v>
      </c>
      <c r="O545" s="54" t="s">
        <v>31</v>
      </c>
      <c r="P545" s="56" t="s">
        <v>199</v>
      </c>
      <c r="Q545" s="57"/>
      <c r="R545" s="57"/>
      <c r="S545" s="57"/>
      <c r="T545" s="57">
        <f t="shared" ca="1" si="26"/>
        <v>42100</v>
      </c>
      <c r="U545" s="58">
        <f t="shared" ca="1" si="27"/>
        <v>37890</v>
      </c>
      <c r="V545" s="58">
        <f t="shared" ca="1" si="28"/>
        <v>35785</v>
      </c>
      <c r="W545" s="58">
        <f t="shared" ca="1" si="29"/>
        <v>33680</v>
      </c>
      <c r="X545" s="58">
        <f t="shared" ca="1" si="30"/>
        <v>29469.999999999996</v>
      </c>
      <c r="Y545" s="18"/>
    </row>
    <row r="546" spans="1:25" ht="16" x14ac:dyDescent="0.15">
      <c r="A546" s="18"/>
      <c r="B546" s="54" t="s">
        <v>212</v>
      </c>
      <c r="C546" s="54" t="s">
        <v>60</v>
      </c>
      <c r="D546" s="54"/>
      <c r="E546" s="54" t="s">
        <v>213</v>
      </c>
      <c r="F546" s="54" t="s">
        <v>114</v>
      </c>
      <c r="G546" s="54" t="s">
        <v>214</v>
      </c>
      <c r="H546" s="54">
        <v>1800</v>
      </c>
      <c r="I546" s="55" t="str">
        <f t="shared" si="25"/>
        <v>CBFLX-RST-PoLM-1500x600+1800</v>
      </c>
      <c r="J546" s="54" t="s">
        <v>211</v>
      </c>
      <c r="K546" s="54" t="s">
        <v>130</v>
      </c>
      <c r="L546" s="54"/>
      <c r="M546" s="54" t="s">
        <v>215</v>
      </c>
      <c r="N546" s="54" t="s">
        <v>216</v>
      </c>
      <c r="O546" s="54" t="s">
        <v>47</v>
      </c>
      <c r="P546" s="56" t="s">
        <v>199</v>
      </c>
      <c r="Q546" s="57"/>
      <c r="R546" s="57"/>
      <c r="S546" s="57"/>
      <c r="T546" s="57">
        <f t="shared" ca="1" si="26"/>
        <v>64800</v>
      </c>
      <c r="U546" s="58">
        <f t="shared" ca="1" si="27"/>
        <v>58320</v>
      </c>
      <c r="V546" s="58">
        <f t="shared" ca="1" si="28"/>
        <v>55080</v>
      </c>
      <c r="W546" s="58">
        <f t="shared" ca="1" si="29"/>
        <v>51840</v>
      </c>
      <c r="X546" s="58">
        <f t="shared" ca="1" si="30"/>
        <v>45360</v>
      </c>
      <c r="Y546" s="18"/>
    </row>
    <row r="547" spans="1:25" ht="16" x14ac:dyDescent="0.15">
      <c r="A547" s="18"/>
      <c r="B547" s="54" t="s">
        <v>212</v>
      </c>
      <c r="C547" s="54" t="s">
        <v>60</v>
      </c>
      <c r="D547" s="54"/>
      <c r="E547" s="54" t="s">
        <v>213</v>
      </c>
      <c r="F547" s="54" t="s">
        <v>117</v>
      </c>
      <c r="G547" s="54" t="s">
        <v>214</v>
      </c>
      <c r="H547" s="54">
        <v>1800</v>
      </c>
      <c r="I547" s="55" t="str">
        <f t="shared" si="25"/>
        <v>CBFLX-RST-LVM-1500x600+1800</v>
      </c>
      <c r="J547" s="54" t="s">
        <v>211</v>
      </c>
      <c r="K547" s="54" t="s">
        <v>130</v>
      </c>
      <c r="L547" s="54"/>
      <c r="M547" s="54" t="s">
        <v>215</v>
      </c>
      <c r="N547" s="54" t="s">
        <v>216</v>
      </c>
      <c r="O547" s="54" t="s">
        <v>157</v>
      </c>
      <c r="P547" s="56" t="s">
        <v>199</v>
      </c>
      <c r="Q547" s="57"/>
      <c r="R547" s="57"/>
      <c r="S547" s="57"/>
      <c r="T547" s="57">
        <f t="shared" ca="1" si="26"/>
        <v>80900</v>
      </c>
      <c r="U547" s="58">
        <f t="shared" ca="1" si="27"/>
        <v>72810</v>
      </c>
      <c r="V547" s="58">
        <f t="shared" ca="1" si="28"/>
        <v>68765</v>
      </c>
      <c r="W547" s="58">
        <f t="shared" ca="1" si="29"/>
        <v>64720</v>
      </c>
      <c r="X547" s="58">
        <f t="shared" ca="1" si="30"/>
        <v>56630</v>
      </c>
      <c r="Y547" s="18"/>
    </row>
    <row r="548" spans="1:25" ht="16" x14ac:dyDescent="0.15">
      <c r="A548" s="18"/>
      <c r="B548" s="54" t="s">
        <v>212</v>
      </c>
      <c r="C548" s="54" t="s">
        <v>60</v>
      </c>
      <c r="D548" s="54"/>
      <c r="E548" s="54" t="s">
        <v>213</v>
      </c>
      <c r="F548" s="54" t="s">
        <v>119</v>
      </c>
      <c r="G548" s="54" t="s">
        <v>214</v>
      </c>
      <c r="H548" s="54">
        <v>1800</v>
      </c>
      <c r="I548" s="55" t="str">
        <f t="shared" si="25"/>
        <v>CBFLX-RST-LVP-1500x600+1800</v>
      </c>
      <c r="J548" s="54" t="s">
        <v>211</v>
      </c>
      <c r="K548" s="54" t="s">
        <v>130</v>
      </c>
      <c r="L548" s="54"/>
      <c r="M548" s="54" t="s">
        <v>215</v>
      </c>
      <c r="N548" s="54" t="s">
        <v>216</v>
      </c>
      <c r="O548" s="54" t="s">
        <v>158</v>
      </c>
      <c r="P548" s="56" t="s">
        <v>199</v>
      </c>
      <c r="Q548" s="57"/>
      <c r="R548" s="57"/>
      <c r="S548" s="57"/>
      <c r="T548" s="57">
        <f t="shared" ca="1" si="26"/>
        <v>85900</v>
      </c>
      <c r="U548" s="58">
        <f t="shared" ca="1" si="27"/>
        <v>77310</v>
      </c>
      <c r="V548" s="58">
        <f t="shared" ca="1" si="28"/>
        <v>73015</v>
      </c>
      <c r="W548" s="58">
        <f t="shared" ca="1" si="29"/>
        <v>68720</v>
      </c>
      <c r="X548" s="58">
        <f t="shared" ca="1" si="30"/>
        <v>60129.999999999993</v>
      </c>
      <c r="Y548" s="18"/>
    </row>
    <row r="549" spans="1:25" ht="16" x14ac:dyDescent="0.15">
      <c r="A549" s="18"/>
      <c r="B549" s="54" t="s">
        <v>212</v>
      </c>
      <c r="C549" s="54" t="s">
        <v>60</v>
      </c>
      <c r="D549" s="54"/>
      <c r="E549" s="54" t="s">
        <v>213</v>
      </c>
      <c r="F549" s="54" t="s">
        <v>121</v>
      </c>
      <c r="G549" s="54" t="s">
        <v>214</v>
      </c>
      <c r="H549" s="54">
        <v>1800</v>
      </c>
      <c r="I549" s="55" t="str">
        <f t="shared" si="25"/>
        <v>CBFLX-RST-VNR-1500x600+1800</v>
      </c>
      <c r="J549" s="54" t="s">
        <v>211</v>
      </c>
      <c r="K549" s="54" t="s">
        <v>130</v>
      </c>
      <c r="L549" s="54"/>
      <c r="M549" s="54" t="s">
        <v>215</v>
      </c>
      <c r="N549" s="54" t="s">
        <v>216</v>
      </c>
      <c r="O549" s="54" t="s">
        <v>90</v>
      </c>
      <c r="P549" s="56" t="s">
        <v>199</v>
      </c>
      <c r="Q549" s="57"/>
      <c r="R549" s="57"/>
      <c r="S549" s="57"/>
      <c r="T549" s="57">
        <f t="shared" ca="1" si="26"/>
        <v>184200</v>
      </c>
      <c r="U549" s="58">
        <f t="shared" ca="1" si="27"/>
        <v>165780</v>
      </c>
      <c r="V549" s="58">
        <f t="shared" ca="1" si="28"/>
        <v>156570</v>
      </c>
      <c r="W549" s="58">
        <f t="shared" ca="1" si="29"/>
        <v>147360</v>
      </c>
      <c r="X549" s="58">
        <f t="shared" ca="1" si="30"/>
        <v>128939.99999999999</v>
      </c>
      <c r="Y549" s="18"/>
    </row>
    <row r="550" spans="1:25" ht="16" x14ac:dyDescent="0.15">
      <c r="A550" s="18"/>
      <c r="B550" s="54" t="s">
        <v>212</v>
      </c>
      <c r="C550" s="54" t="s">
        <v>60</v>
      </c>
      <c r="D550" s="54"/>
      <c r="E550" s="54" t="s">
        <v>213</v>
      </c>
      <c r="F550" s="54" t="s">
        <v>123</v>
      </c>
      <c r="G550" s="54" t="s">
        <v>214</v>
      </c>
      <c r="H550" s="54">
        <v>1800</v>
      </c>
      <c r="I550" s="55" t="str">
        <f t="shared" si="25"/>
        <v>CBFLX-RST-GL-1500x600+1800</v>
      </c>
      <c r="J550" s="54" t="s">
        <v>211</v>
      </c>
      <c r="K550" s="54" t="s">
        <v>130</v>
      </c>
      <c r="L550" s="54"/>
      <c r="M550" s="54" t="s">
        <v>215</v>
      </c>
      <c r="N550" s="54" t="s">
        <v>216</v>
      </c>
      <c r="O550" s="54" t="s">
        <v>42</v>
      </c>
      <c r="P550" s="56" t="s">
        <v>199</v>
      </c>
      <c r="Q550" s="57"/>
      <c r="R550" s="57"/>
      <c r="S550" s="57"/>
      <c r="T550" s="57">
        <f t="shared" ca="1" si="26"/>
        <v>70800</v>
      </c>
      <c r="U550" s="58">
        <f t="shared" ca="1" si="27"/>
        <v>63720</v>
      </c>
      <c r="V550" s="58">
        <f t="shared" ca="1" si="28"/>
        <v>60180</v>
      </c>
      <c r="W550" s="58">
        <f t="shared" ca="1" si="29"/>
        <v>56640</v>
      </c>
      <c r="X550" s="58">
        <f t="shared" ca="1" si="30"/>
        <v>49560</v>
      </c>
      <c r="Y550" s="18"/>
    </row>
    <row r="551" spans="1:25" ht="16" x14ac:dyDescent="0.15">
      <c r="A551" s="18"/>
      <c r="B551" s="54" t="s">
        <v>212</v>
      </c>
      <c r="C551" s="54" t="s">
        <v>60</v>
      </c>
      <c r="D551" s="54"/>
      <c r="E551" s="54" t="s">
        <v>213</v>
      </c>
      <c r="F551" s="54" t="s">
        <v>65</v>
      </c>
      <c r="G551" s="54" t="s">
        <v>217</v>
      </c>
      <c r="H551" s="54">
        <v>1800</v>
      </c>
      <c r="I551" s="55" t="str">
        <f t="shared" si="25"/>
        <v>CBFLX-RST-PB-1800x750+1800</v>
      </c>
      <c r="J551" s="54" t="s">
        <v>211</v>
      </c>
      <c r="K551" s="54" t="s">
        <v>130</v>
      </c>
      <c r="L551" s="54"/>
      <c r="M551" s="54" t="s">
        <v>215</v>
      </c>
      <c r="N551" s="54" t="s">
        <v>218</v>
      </c>
      <c r="O551" s="54" t="s">
        <v>11</v>
      </c>
      <c r="P551" s="56" t="s">
        <v>199</v>
      </c>
      <c r="Q551" s="57"/>
      <c r="R551" s="57"/>
      <c r="S551" s="57"/>
      <c r="T551" s="57">
        <f t="shared" ca="1" si="26"/>
        <v>29400</v>
      </c>
      <c r="U551" s="58">
        <f t="shared" ca="1" si="27"/>
        <v>26460</v>
      </c>
      <c r="V551" s="58">
        <f t="shared" ca="1" si="28"/>
        <v>24990</v>
      </c>
      <c r="W551" s="58">
        <f t="shared" ca="1" si="29"/>
        <v>23520</v>
      </c>
      <c r="X551" s="58">
        <f t="shared" ca="1" si="30"/>
        <v>20580</v>
      </c>
      <c r="Y551" s="18"/>
    </row>
    <row r="552" spans="1:25" ht="16" x14ac:dyDescent="0.15">
      <c r="A552" s="18"/>
      <c r="B552" s="54" t="s">
        <v>212</v>
      </c>
      <c r="C552" s="54" t="s">
        <v>60</v>
      </c>
      <c r="D552" s="54"/>
      <c r="E552" s="54" t="s">
        <v>213</v>
      </c>
      <c r="F552" s="54" t="s">
        <v>112</v>
      </c>
      <c r="G552" s="54" t="s">
        <v>217</v>
      </c>
      <c r="H552" s="54">
        <v>1800</v>
      </c>
      <c r="I552" s="55" t="str">
        <f t="shared" si="25"/>
        <v>CBFLX-RST-PLM-1800x750+1800</v>
      </c>
      <c r="J552" s="54" t="s">
        <v>211</v>
      </c>
      <c r="K552" s="54" t="s">
        <v>130</v>
      </c>
      <c r="L552" s="54"/>
      <c r="M552" s="54" t="s">
        <v>215</v>
      </c>
      <c r="N552" s="54" t="s">
        <v>218</v>
      </c>
      <c r="O552" s="54" t="s">
        <v>31</v>
      </c>
      <c r="P552" s="56" t="s">
        <v>199</v>
      </c>
      <c r="Q552" s="57"/>
      <c r="R552" s="57"/>
      <c r="S552" s="57"/>
      <c r="T552" s="57">
        <f t="shared" ca="1" si="26"/>
        <v>31600</v>
      </c>
      <c r="U552" s="58">
        <f t="shared" ca="1" si="27"/>
        <v>28440</v>
      </c>
      <c r="V552" s="58">
        <f t="shared" ca="1" si="28"/>
        <v>26860</v>
      </c>
      <c r="W552" s="58">
        <f t="shared" ca="1" si="29"/>
        <v>25280</v>
      </c>
      <c r="X552" s="58">
        <f t="shared" ca="1" si="30"/>
        <v>22120</v>
      </c>
      <c r="Y552" s="18"/>
    </row>
    <row r="553" spans="1:25" ht="16" x14ac:dyDescent="0.15">
      <c r="A553" s="18"/>
      <c r="B553" s="54" t="s">
        <v>212</v>
      </c>
      <c r="C553" s="54" t="s">
        <v>60</v>
      </c>
      <c r="D553" s="54"/>
      <c r="E553" s="54" t="s">
        <v>213</v>
      </c>
      <c r="F553" s="54" t="s">
        <v>114</v>
      </c>
      <c r="G553" s="54" t="s">
        <v>217</v>
      </c>
      <c r="H553" s="54">
        <v>1800</v>
      </c>
      <c r="I553" s="55" t="str">
        <f t="shared" si="25"/>
        <v>CBFLX-RST-PoLM-1800x750+1800</v>
      </c>
      <c r="J553" s="54" t="s">
        <v>211</v>
      </c>
      <c r="K553" s="54" t="s">
        <v>130</v>
      </c>
      <c r="L553" s="54"/>
      <c r="M553" s="54" t="s">
        <v>215</v>
      </c>
      <c r="N553" s="54" t="s">
        <v>218</v>
      </c>
      <c r="O553" s="54" t="s">
        <v>47</v>
      </c>
      <c r="P553" s="56" t="s">
        <v>199</v>
      </c>
      <c r="Q553" s="57"/>
      <c r="R553" s="57"/>
      <c r="S553" s="57"/>
      <c r="T553" s="57">
        <f t="shared" ca="1" si="26"/>
        <v>43700</v>
      </c>
      <c r="U553" s="58">
        <f t="shared" ca="1" si="27"/>
        <v>39330</v>
      </c>
      <c r="V553" s="58">
        <f t="shared" ca="1" si="28"/>
        <v>37145</v>
      </c>
      <c r="W553" s="58">
        <f t="shared" ca="1" si="29"/>
        <v>34960</v>
      </c>
      <c r="X553" s="58">
        <f t="shared" ca="1" si="30"/>
        <v>30589.999999999996</v>
      </c>
      <c r="Y553" s="18"/>
    </row>
    <row r="554" spans="1:25" ht="16" x14ac:dyDescent="0.15">
      <c r="A554" s="18"/>
      <c r="B554" s="54" t="s">
        <v>212</v>
      </c>
      <c r="C554" s="54" t="s">
        <v>60</v>
      </c>
      <c r="D554" s="54"/>
      <c r="E554" s="54" t="s">
        <v>213</v>
      </c>
      <c r="F554" s="54" t="s">
        <v>117</v>
      </c>
      <c r="G554" s="54" t="s">
        <v>217</v>
      </c>
      <c r="H554" s="54">
        <v>1800</v>
      </c>
      <c r="I554" s="55" t="str">
        <f t="shared" si="25"/>
        <v>CBFLX-RST-LVM-1800x750+1800</v>
      </c>
      <c r="J554" s="54" t="s">
        <v>211</v>
      </c>
      <c r="K554" s="54" t="s">
        <v>130</v>
      </c>
      <c r="L554" s="54"/>
      <c r="M554" s="54" t="s">
        <v>215</v>
      </c>
      <c r="N554" s="54" t="s">
        <v>218</v>
      </c>
      <c r="O554" s="54" t="s">
        <v>157</v>
      </c>
      <c r="P554" s="56" t="s">
        <v>199</v>
      </c>
      <c r="Q554" s="57"/>
      <c r="R554" s="57"/>
      <c r="S554" s="57"/>
      <c r="T554" s="57">
        <f t="shared" ca="1" si="26"/>
        <v>52100</v>
      </c>
      <c r="U554" s="58">
        <f t="shared" ca="1" si="27"/>
        <v>46890</v>
      </c>
      <c r="V554" s="58">
        <f t="shared" ca="1" si="28"/>
        <v>44285</v>
      </c>
      <c r="W554" s="58">
        <f t="shared" ca="1" si="29"/>
        <v>41680</v>
      </c>
      <c r="X554" s="58">
        <f t="shared" ca="1" si="30"/>
        <v>36470</v>
      </c>
      <c r="Y554" s="18"/>
    </row>
    <row r="555" spans="1:25" ht="16" x14ac:dyDescent="0.15">
      <c r="A555" s="18"/>
      <c r="B555" s="54" t="s">
        <v>212</v>
      </c>
      <c r="C555" s="54" t="s">
        <v>60</v>
      </c>
      <c r="D555" s="54"/>
      <c r="E555" s="54" t="s">
        <v>213</v>
      </c>
      <c r="F555" s="54" t="s">
        <v>119</v>
      </c>
      <c r="G555" s="54" t="s">
        <v>217</v>
      </c>
      <c r="H555" s="54">
        <v>1800</v>
      </c>
      <c r="I555" s="55" t="str">
        <f t="shared" si="25"/>
        <v>CBFLX-RST-LVP-1800x750+1800</v>
      </c>
      <c r="J555" s="54" t="s">
        <v>211</v>
      </c>
      <c r="K555" s="54" t="s">
        <v>130</v>
      </c>
      <c r="L555" s="54"/>
      <c r="M555" s="54" t="s">
        <v>215</v>
      </c>
      <c r="N555" s="54" t="s">
        <v>218</v>
      </c>
      <c r="O555" s="54" t="s">
        <v>158</v>
      </c>
      <c r="P555" s="56" t="s">
        <v>199</v>
      </c>
      <c r="Q555" s="57"/>
      <c r="R555" s="57"/>
      <c r="S555" s="57"/>
      <c r="T555" s="57">
        <f t="shared" ca="1" si="26"/>
        <v>54800</v>
      </c>
      <c r="U555" s="58">
        <f t="shared" ca="1" si="27"/>
        <v>49320</v>
      </c>
      <c r="V555" s="58">
        <f t="shared" ca="1" si="28"/>
        <v>46580</v>
      </c>
      <c r="W555" s="58">
        <f t="shared" ca="1" si="29"/>
        <v>43840</v>
      </c>
      <c r="X555" s="58">
        <f t="shared" ca="1" si="30"/>
        <v>38360</v>
      </c>
      <c r="Y555" s="18"/>
    </row>
    <row r="556" spans="1:25" ht="16" x14ac:dyDescent="0.15">
      <c r="A556" s="18"/>
      <c r="B556" s="54" t="s">
        <v>212</v>
      </c>
      <c r="C556" s="54" t="s">
        <v>60</v>
      </c>
      <c r="D556" s="54"/>
      <c r="E556" s="54" t="s">
        <v>213</v>
      </c>
      <c r="F556" s="54" t="s">
        <v>121</v>
      </c>
      <c r="G556" s="54" t="s">
        <v>217</v>
      </c>
      <c r="H556" s="54">
        <v>1800</v>
      </c>
      <c r="I556" s="55" t="str">
        <f t="shared" si="25"/>
        <v>CBFLX-RST-VNR-1800x750+1800</v>
      </c>
      <c r="J556" s="54" t="s">
        <v>211</v>
      </c>
      <c r="K556" s="54" t="s">
        <v>130</v>
      </c>
      <c r="L556" s="54"/>
      <c r="M556" s="54" t="s">
        <v>215</v>
      </c>
      <c r="N556" s="54" t="s">
        <v>218</v>
      </c>
      <c r="O556" s="54" t="s">
        <v>90</v>
      </c>
      <c r="P556" s="56" t="s">
        <v>199</v>
      </c>
      <c r="Q556" s="57"/>
      <c r="R556" s="57"/>
      <c r="S556" s="57"/>
      <c r="T556" s="57">
        <f t="shared" ca="1" si="26"/>
        <v>107500</v>
      </c>
      <c r="U556" s="58">
        <f t="shared" ca="1" si="27"/>
        <v>96750</v>
      </c>
      <c r="V556" s="58">
        <f t="shared" ca="1" si="28"/>
        <v>91375</v>
      </c>
      <c r="W556" s="58">
        <f t="shared" ca="1" si="29"/>
        <v>86000</v>
      </c>
      <c r="X556" s="58">
        <f t="shared" ca="1" si="30"/>
        <v>75250</v>
      </c>
      <c r="Y556" s="18"/>
    </row>
    <row r="557" spans="1:25" ht="16" x14ac:dyDescent="0.15">
      <c r="A557" s="18"/>
      <c r="B557" s="54" t="s">
        <v>212</v>
      </c>
      <c r="C557" s="54" t="s">
        <v>60</v>
      </c>
      <c r="D557" s="54"/>
      <c r="E557" s="54" t="s">
        <v>213</v>
      </c>
      <c r="F557" s="54" t="s">
        <v>123</v>
      </c>
      <c r="G557" s="54" t="s">
        <v>217</v>
      </c>
      <c r="H557" s="54">
        <v>1800</v>
      </c>
      <c r="I557" s="55" t="str">
        <f t="shared" si="25"/>
        <v>CBFLX-RST-GL-1800x750+1800</v>
      </c>
      <c r="J557" s="54" t="s">
        <v>211</v>
      </c>
      <c r="K557" s="54" t="s">
        <v>130</v>
      </c>
      <c r="L557" s="54"/>
      <c r="M557" s="54" t="s">
        <v>215</v>
      </c>
      <c r="N557" s="54" t="s">
        <v>218</v>
      </c>
      <c r="O557" s="54" t="s">
        <v>42</v>
      </c>
      <c r="P557" s="56" t="s">
        <v>199</v>
      </c>
      <c r="Q557" s="57"/>
      <c r="R557" s="57"/>
      <c r="S557" s="57"/>
      <c r="T557" s="57">
        <f t="shared" ca="1" si="26"/>
        <v>46700</v>
      </c>
      <c r="U557" s="58">
        <f t="shared" ca="1" si="27"/>
        <v>42030</v>
      </c>
      <c r="V557" s="58">
        <f t="shared" ca="1" si="28"/>
        <v>39695</v>
      </c>
      <c r="W557" s="58">
        <f t="shared" ca="1" si="29"/>
        <v>37360</v>
      </c>
      <c r="X557" s="58">
        <f t="shared" ca="1" si="30"/>
        <v>32689.999999999996</v>
      </c>
      <c r="Y557" s="18"/>
    </row>
    <row r="558" spans="1:25" ht="16" x14ac:dyDescent="0.15">
      <c r="A558" s="18"/>
      <c r="B558" s="54" t="s">
        <v>212</v>
      </c>
      <c r="C558" s="54" t="s">
        <v>60</v>
      </c>
      <c r="D558" s="54"/>
      <c r="E558" s="54" t="s">
        <v>213</v>
      </c>
      <c r="F558" s="54" t="s">
        <v>65</v>
      </c>
      <c r="G558" s="54" t="s">
        <v>219</v>
      </c>
      <c r="H558" s="54">
        <v>1800</v>
      </c>
      <c r="I558" s="55" t="str">
        <f t="shared" si="25"/>
        <v>CBFLX-RST-PB-2100x900+1800</v>
      </c>
      <c r="J558" s="54" t="s">
        <v>211</v>
      </c>
      <c r="K558" s="54" t="s">
        <v>130</v>
      </c>
      <c r="L558" s="54"/>
      <c r="M558" s="54" t="s">
        <v>215</v>
      </c>
      <c r="N558" s="54" t="s">
        <v>220</v>
      </c>
      <c r="O558" s="54" t="s">
        <v>11</v>
      </c>
      <c r="P558" s="56" t="s">
        <v>199</v>
      </c>
      <c r="Q558" s="57"/>
      <c r="R558" s="57"/>
      <c r="S558" s="57"/>
      <c r="T558" s="57">
        <f t="shared" ca="1" si="26"/>
        <v>35700</v>
      </c>
      <c r="U558" s="58">
        <f t="shared" ca="1" si="27"/>
        <v>32130</v>
      </c>
      <c r="V558" s="58">
        <f t="shared" ca="1" si="28"/>
        <v>30345</v>
      </c>
      <c r="W558" s="58">
        <f t="shared" ca="1" si="29"/>
        <v>28560</v>
      </c>
      <c r="X558" s="58">
        <f t="shared" ca="1" si="30"/>
        <v>24990</v>
      </c>
      <c r="Y558" s="18"/>
    </row>
    <row r="559" spans="1:25" ht="16" x14ac:dyDescent="0.15">
      <c r="A559" s="18"/>
      <c r="B559" s="54" t="s">
        <v>212</v>
      </c>
      <c r="C559" s="54" t="s">
        <v>60</v>
      </c>
      <c r="D559" s="54"/>
      <c r="E559" s="54" t="s">
        <v>213</v>
      </c>
      <c r="F559" s="54" t="s">
        <v>112</v>
      </c>
      <c r="G559" s="54" t="s">
        <v>219</v>
      </c>
      <c r="H559" s="54">
        <v>1800</v>
      </c>
      <c r="I559" s="55" t="str">
        <f t="shared" si="25"/>
        <v>CBFLX-RST-PLM-2100x900+1800</v>
      </c>
      <c r="J559" s="54" t="s">
        <v>211</v>
      </c>
      <c r="K559" s="54" t="s">
        <v>130</v>
      </c>
      <c r="L559" s="54"/>
      <c r="M559" s="54" t="s">
        <v>215</v>
      </c>
      <c r="N559" s="54" t="s">
        <v>220</v>
      </c>
      <c r="O559" s="54" t="s">
        <v>31</v>
      </c>
      <c r="P559" s="56" t="s">
        <v>199</v>
      </c>
      <c r="Q559" s="57"/>
      <c r="R559" s="57"/>
      <c r="S559" s="57"/>
      <c r="T559" s="57">
        <f t="shared" ca="1" si="26"/>
        <v>38700</v>
      </c>
      <c r="U559" s="58">
        <f t="shared" ca="1" si="27"/>
        <v>34830</v>
      </c>
      <c r="V559" s="58">
        <f t="shared" ca="1" si="28"/>
        <v>32895</v>
      </c>
      <c r="W559" s="58">
        <f t="shared" ca="1" si="29"/>
        <v>30960</v>
      </c>
      <c r="X559" s="58">
        <f t="shared" ca="1" si="30"/>
        <v>27090</v>
      </c>
      <c r="Y559" s="18"/>
    </row>
    <row r="560" spans="1:25" ht="16" x14ac:dyDescent="0.15">
      <c r="A560" s="18"/>
      <c r="B560" s="54" t="s">
        <v>212</v>
      </c>
      <c r="C560" s="54" t="s">
        <v>60</v>
      </c>
      <c r="D560" s="54"/>
      <c r="E560" s="54" t="s">
        <v>213</v>
      </c>
      <c r="F560" s="54" t="s">
        <v>114</v>
      </c>
      <c r="G560" s="54" t="s">
        <v>219</v>
      </c>
      <c r="H560" s="54">
        <v>1800</v>
      </c>
      <c r="I560" s="55" t="str">
        <f t="shared" si="25"/>
        <v>CBFLX-RST-PoLM-2100x900+1800</v>
      </c>
      <c r="J560" s="54" t="s">
        <v>211</v>
      </c>
      <c r="K560" s="54" t="s">
        <v>130</v>
      </c>
      <c r="L560" s="54"/>
      <c r="M560" s="54" t="s">
        <v>215</v>
      </c>
      <c r="N560" s="54" t="s">
        <v>220</v>
      </c>
      <c r="O560" s="54" t="s">
        <v>47</v>
      </c>
      <c r="P560" s="56" t="s">
        <v>199</v>
      </c>
      <c r="Q560" s="57"/>
      <c r="R560" s="57"/>
      <c r="S560" s="57"/>
      <c r="T560" s="57">
        <f t="shared" ca="1" si="26"/>
        <v>55700</v>
      </c>
      <c r="U560" s="58">
        <f t="shared" ca="1" si="27"/>
        <v>50130</v>
      </c>
      <c r="V560" s="58">
        <f t="shared" ca="1" si="28"/>
        <v>47345</v>
      </c>
      <c r="W560" s="58">
        <f t="shared" ca="1" si="29"/>
        <v>44560</v>
      </c>
      <c r="X560" s="58">
        <f t="shared" ca="1" si="30"/>
        <v>38990</v>
      </c>
      <c r="Y560" s="18"/>
    </row>
    <row r="561" spans="1:25" ht="16" x14ac:dyDescent="0.15">
      <c r="A561" s="18"/>
      <c r="B561" s="54" t="s">
        <v>212</v>
      </c>
      <c r="C561" s="54" t="s">
        <v>60</v>
      </c>
      <c r="D561" s="54"/>
      <c r="E561" s="54" t="s">
        <v>213</v>
      </c>
      <c r="F561" s="54" t="s">
        <v>117</v>
      </c>
      <c r="G561" s="54" t="s">
        <v>219</v>
      </c>
      <c r="H561" s="54">
        <v>1800</v>
      </c>
      <c r="I561" s="55" t="str">
        <f t="shared" si="25"/>
        <v>CBFLX-RST-LVM-2100x900+1800</v>
      </c>
      <c r="J561" s="54" t="s">
        <v>211</v>
      </c>
      <c r="K561" s="54" t="s">
        <v>130</v>
      </c>
      <c r="L561" s="54"/>
      <c r="M561" s="54" t="s">
        <v>215</v>
      </c>
      <c r="N561" s="54" t="s">
        <v>220</v>
      </c>
      <c r="O561" s="54" t="s">
        <v>157</v>
      </c>
      <c r="P561" s="56" t="s">
        <v>199</v>
      </c>
      <c r="Q561" s="57"/>
      <c r="R561" s="57"/>
      <c r="S561" s="57"/>
      <c r="T561" s="57">
        <f t="shared" ca="1" si="26"/>
        <v>67700</v>
      </c>
      <c r="U561" s="58">
        <f t="shared" ca="1" si="27"/>
        <v>60930</v>
      </c>
      <c r="V561" s="58">
        <f t="shared" ca="1" si="28"/>
        <v>57545</v>
      </c>
      <c r="W561" s="58">
        <f t="shared" ca="1" si="29"/>
        <v>54160</v>
      </c>
      <c r="X561" s="58">
        <f t="shared" ca="1" si="30"/>
        <v>47390</v>
      </c>
      <c r="Y561" s="18"/>
    </row>
    <row r="562" spans="1:25" ht="16" x14ac:dyDescent="0.15">
      <c r="A562" s="18"/>
      <c r="B562" s="54" t="s">
        <v>212</v>
      </c>
      <c r="C562" s="54" t="s">
        <v>60</v>
      </c>
      <c r="D562" s="54"/>
      <c r="E562" s="54" t="s">
        <v>213</v>
      </c>
      <c r="F562" s="54" t="s">
        <v>119</v>
      </c>
      <c r="G562" s="54" t="s">
        <v>219</v>
      </c>
      <c r="H562" s="54">
        <v>1800</v>
      </c>
      <c r="I562" s="55" t="str">
        <f t="shared" si="25"/>
        <v>CBFLX-RST-LVP-2100x900+1800</v>
      </c>
      <c r="J562" s="54" t="s">
        <v>211</v>
      </c>
      <c r="K562" s="54" t="s">
        <v>130</v>
      </c>
      <c r="L562" s="54"/>
      <c r="M562" s="54" t="s">
        <v>215</v>
      </c>
      <c r="N562" s="54" t="s">
        <v>220</v>
      </c>
      <c r="O562" s="54" t="s">
        <v>158</v>
      </c>
      <c r="P562" s="56" t="s">
        <v>199</v>
      </c>
      <c r="Q562" s="57"/>
      <c r="R562" s="57"/>
      <c r="S562" s="57"/>
      <c r="T562" s="57">
        <f t="shared" ca="1" si="26"/>
        <v>71500</v>
      </c>
      <c r="U562" s="58">
        <f t="shared" ca="1" si="27"/>
        <v>64350</v>
      </c>
      <c r="V562" s="58">
        <f t="shared" ca="1" si="28"/>
        <v>60775</v>
      </c>
      <c r="W562" s="58">
        <f t="shared" ca="1" si="29"/>
        <v>57200</v>
      </c>
      <c r="X562" s="58">
        <f t="shared" ca="1" si="30"/>
        <v>50050</v>
      </c>
      <c r="Y562" s="18"/>
    </row>
    <row r="563" spans="1:25" ht="16" x14ac:dyDescent="0.15">
      <c r="A563" s="18"/>
      <c r="B563" s="54" t="s">
        <v>212</v>
      </c>
      <c r="C563" s="54" t="s">
        <v>60</v>
      </c>
      <c r="D563" s="54"/>
      <c r="E563" s="54" t="s">
        <v>213</v>
      </c>
      <c r="F563" s="54" t="s">
        <v>121</v>
      </c>
      <c r="G563" s="54" t="s">
        <v>219</v>
      </c>
      <c r="H563" s="54">
        <v>1800</v>
      </c>
      <c r="I563" s="55" t="str">
        <f t="shared" si="25"/>
        <v>CBFLX-RST-VNR-2100x900+1800</v>
      </c>
      <c r="J563" s="54" t="s">
        <v>211</v>
      </c>
      <c r="K563" s="54" t="s">
        <v>130</v>
      </c>
      <c r="L563" s="54"/>
      <c r="M563" s="54" t="s">
        <v>215</v>
      </c>
      <c r="N563" s="54" t="s">
        <v>220</v>
      </c>
      <c r="O563" s="54" t="s">
        <v>90</v>
      </c>
      <c r="P563" s="56" t="s">
        <v>199</v>
      </c>
      <c r="Q563" s="57"/>
      <c r="R563" s="57"/>
      <c r="S563" s="57"/>
      <c r="T563" s="57">
        <f t="shared" ca="1" si="26"/>
        <v>145200</v>
      </c>
      <c r="U563" s="58">
        <f t="shared" ca="1" si="27"/>
        <v>130680</v>
      </c>
      <c r="V563" s="58">
        <f t="shared" ca="1" si="28"/>
        <v>123420</v>
      </c>
      <c r="W563" s="58">
        <f t="shared" ca="1" si="29"/>
        <v>116160</v>
      </c>
      <c r="X563" s="58">
        <f t="shared" ca="1" si="30"/>
        <v>101640</v>
      </c>
      <c r="Y563" s="18"/>
    </row>
    <row r="564" spans="1:25" ht="16" x14ac:dyDescent="0.15">
      <c r="A564" s="18"/>
      <c r="B564" s="54" t="s">
        <v>212</v>
      </c>
      <c r="C564" s="54" t="s">
        <v>60</v>
      </c>
      <c r="D564" s="54"/>
      <c r="E564" s="54" t="s">
        <v>213</v>
      </c>
      <c r="F564" s="54" t="s">
        <v>123</v>
      </c>
      <c r="G564" s="54" t="s">
        <v>219</v>
      </c>
      <c r="H564" s="54">
        <v>1800</v>
      </c>
      <c r="I564" s="55" t="str">
        <f t="shared" si="25"/>
        <v>CBFLX-RST-GL-2100x900+1800</v>
      </c>
      <c r="J564" s="54" t="s">
        <v>211</v>
      </c>
      <c r="K564" s="54" t="s">
        <v>130</v>
      </c>
      <c r="L564" s="54"/>
      <c r="M564" s="54" t="s">
        <v>215</v>
      </c>
      <c r="N564" s="54" t="s">
        <v>220</v>
      </c>
      <c r="O564" s="54" t="s">
        <v>42</v>
      </c>
      <c r="P564" s="56" t="s">
        <v>199</v>
      </c>
      <c r="Q564" s="57"/>
      <c r="R564" s="57"/>
      <c r="S564" s="57"/>
      <c r="T564" s="57">
        <f t="shared" ca="1" si="26"/>
        <v>60200</v>
      </c>
      <c r="U564" s="58">
        <f t="shared" ca="1" si="27"/>
        <v>54180</v>
      </c>
      <c r="V564" s="58">
        <f t="shared" ca="1" si="28"/>
        <v>51170</v>
      </c>
      <c r="W564" s="58">
        <f t="shared" ca="1" si="29"/>
        <v>48160</v>
      </c>
      <c r="X564" s="58">
        <f t="shared" ca="1" si="30"/>
        <v>42140</v>
      </c>
      <c r="Y564" s="18"/>
    </row>
    <row r="565" spans="1:25" ht="16" x14ac:dyDescent="0.15">
      <c r="A565" s="18"/>
      <c r="B565" s="54" t="s">
        <v>212</v>
      </c>
      <c r="C565" s="54" t="s">
        <v>60</v>
      </c>
      <c r="D565" s="54"/>
      <c r="E565" s="54" t="s">
        <v>221</v>
      </c>
      <c r="F565" s="54" t="s">
        <v>65</v>
      </c>
      <c r="G565" s="54" t="s">
        <v>214</v>
      </c>
      <c r="H565" s="54">
        <v>900</v>
      </c>
      <c r="I565" s="55" t="str">
        <f t="shared" si="25"/>
        <v>CBFLX-FR-PB-1500x600+900</v>
      </c>
      <c r="J565" s="54" t="s">
        <v>211</v>
      </c>
      <c r="K565" s="54" t="s">
        <v>130</v>
      </c>
      <c r="L565" s="54"/>
      <c r="M565" s="54" t="s">
        <v>222</v>
      </c>
      <c r="N565" s="54" t="s">
        <v>223</v>
      </c>
      <c r="O565" s="54" t="s">
        <v>11</v>
      </c>
      <c r="P565" s="56" t="s">
        <v>199</v>
      </c>
      <c r="Q565" s="57"/>
      <c r="R565" s="57"/>
      <c r="S565" s="57"/>
      <c r="T565" s="57">
        <f t="shared" ca="1" si="26"/>
        <v>41900</v>
      </c>
      <c r="U565" s="58">
        <f t="shared" ca="1" si="27"/>
        <v>37710</v>
      </c>
      <c r="V565" s="58">
        <f t="shared" ca="1" si="28"/>
        <v>35615</v>
      </c>
      <c r="W565" s="58">
        <f t="shared" ca="1" si="29"/>
        <v>33520</v>
      </c>
      <c r="X565" s="58">
        <f t="shared" ca="1" si="30"/>
        <v>29329.999999999996</v>
      </c>
      <c r="Y565" s="18"/>
    </row>
    <row r="566" spans="1:25" ht="16" x14ac:dyDescent="0.15">
      <c r="A566" s="18"/>
      <c r="B566" s="54" t="s">
        <v>212</v>
      </c>
      <c r="C566" s="54" t="s">
        <v>60</v>
      </c>
      <c r="D566" s="54"/>
      <c r="E566" s="54" t="s">
        <v>221</v>
      </c>
      <c r="F566" s="54" t="s">
        <v>112</v>
      </c>
      <c r="G566" s="54" t="s">
        <v>214</v>
      </c>
      <c r="H566" s="54">
        <v>900</v>
      </c>
      <c r="I566" s="55" t="str">
        <f t="shared" si="25"/>
        <v>CBFLX-FR-PLM-1500x600+900</v>
      </c>
      <c r="J566" s="54" t="s">
        <v>211</v>
      </c>
      <c r="K566" s="54" t="s">
        <v>130</v>
      </c>
      <c r="L566" s="54"/>
      <c r="M566" s="54" t="s">
        <v>222</v>
      </c>
      <c r="N566" s="54" t="s">
        <v>223</v>
      </c>
      <c r="O566" s="54" t="s">
        <v>31</v>
      </c>
      <c r="P566" s="56" t="s">
        <v>199</v>
      </c>
      <c r="Q566" s="57"/>
      <c r="R566" s="57"/>
      <c r="S566" s="57"/>
      <c r="T566" s="57">
        <f t="shared" ca="1" si="26"/>
        <v>45900</v>
      </c>
      <c r="U566" s="58">
        <f t="shared" ca="1" si="27"/>
        <v>41310</v>
      </c>
      <c r="V566" s="58">
        <f t="shared" ca="1" si="28"/>
        <v>39015</v>
      </c>
      <c r="W566" s="58">
        <f t="shared" ca="1" si="29"/>
        <v>36720</v>
      </c>
      <c r="X566" s="58">
        <f t="shared" ca="1" si="30"/>
        <v>32129.999999999996</v>
      </c>
      <c r="Y566" s="18"/>
    </row>
    <row r="567" spans="1:25" ht="16" x14ac:dyDescent="0.15">
      <c r="A567" s="18"/>
      <c r="B567" s="54" t="s">
        <v>212</v>
      </c>
      <c r="C567" s="54" t="s">
        <v>60</v>
      </c>
      <c r="D567" s="54"/>
      <c r="E567" s="54" t="s">
        <v>221</v>
      </c>
      <c r="F567" s="54" t="s">
        <v>114</v>
      </c>
      <c r="G567" s="54" t="s">
        <v>214</v>
      </c>
      <c r="H567" s="54">
        <v>900</v>
      </c>
      <c r="I567" s="55" t="str">
        <f t="shared" si="25"/>
        <v>CBFLX-FR-PoLM-1500x600+900</v>
      </c>
      <c r="J567" s="54" t="s">
        <v>211</v>
      </c>
      <c r="K567" s="54" t="s">
        <v>130</v>
      </c>
      <c r="L567" s="54"/>
      <c r="M567" s="54" t="s">
        <v>222</v>
      </c>
      <c r="N567" s="54" t="s">
        <v>223</v>
      </c>
      <c r="O567" s="54" t="s">
        <v>47</v>
      </c>
      <c r="P567" s="56" t="s">
        <v>199</v>
      </c>
      <c r="Q567" s="57"/>
      <c r="R567" s="57"/>
      <c r="S567" s="57"/>
      <c r="T567" s="57">
        <f t="shared" ca="1" si="26"/>
        <v>68600</v>
      </c>
      <c r="U567" s="58">
        <f t="shared" ca="1" si="27"/>
        <v>61740</v>
      </c>
      <c r="V567" s="58">
        <f t="shared" ca="1" si="28"/>
        <v>58310</v>
      </c>
      <c r="W567" s="58">
        <f t="shared" ca="1" si="29"/>
        <v>54880</v>
      </c>
      <c r="X567" s="58">
        <f t="shared" ca="1" si="30"/>
        <v>48020</v>
      </c>
      <c r="Y567" s="18"/>
    </row>
    <row r="568" spans="1:25" ht="16" x14ac:dyDescent="0.15">
      <c r="A568" s="18"/>
      <c r="B568" s="54" t="s">
        <v>212</v>
      </c>
      <c r="C568" s="54" t="s">
        <v>60</v>
      </c>
      <c r="D568" s="54"/>
      <c r="E568" s="54" t="s">
        <v>221</v>
      </c>
      <c r="F568" s="54" t="s">
        <v>117</v>
      </c>
      <c r="G568" s="54" t="s">
        <v>214</v>
      </c>
      <c r="H568" s="54">
        <v>900</v>
      </c>
      <c r="I568" s="55" t="str">
        <f t="shared" si="25"/>
        <v>CBFLX-FR-LVM-1500x600+900</v>
      </c>
      <c r="J568" s="54" t="s">
        <v>211</v>
      </c>
      <c r="K568" s="54" t="s">
        <v>130</v>
      </c>
      <c r="L568" s="54"/>
      <c r="M568" s="54" t="s">
        <v>222</v>
      </c>
      <c r="N568" s="54" t="s">
        <v>223</v>
      </c>
      <c r="O568" s="54" t="s">
        <v>157</v>
      </c>
      <c r="P568" s="56" t="s">
        <v>199</v>
      </c>
      <c r="Q568" s="57"/>
      <c r="R568" s="57"/>
      <c r="S568" s="57"/>
      <c r="T568" s="57">
        <f t="shared" ca="1" si="26"/>
        <v>84700</v>
      </c>
      <c r="U568" s="58">
        <f t="shared" ca="1" si="27"/>
        <v>76230</v>
      </c>
      <c r="V568" s="58">
        <f t="shared" ca="1" si="28"/>
        <v>71995</v>
      </c>
      <c r="W568" s="58">
        <f t="shared" ca="1" si="29"/>
        <v>67760</v>
      </c>
      <c r="X568" s="58">
        <f t="shared" ca="1" si="30"/>
        <v>59289.999999999993</v>
      </c>
      <c r="Y568" s="18"/>
    </row>
    <row r="569" spans="1:25" ht="16" x14ac:dyDescent="0.15">
      <c r="A569" s="18"/>
      <c r="B569" s="54" t="s">
        <v>212</v>
      </c>
      <c r="C569" s="54" t="s">
        <v>60</v>
      </c>
      <c r="D569" s="54"/>
      <c r="E569" s="54" t="s">
        <v>221</v>
      </c>
      <c r="F569" s="54" t="s">
        <v>119</v>
      </c>
      <c r="G569" s="54" t="s">
        <v>214</v>
      </c>
      <c r="H569" s="54">
        <v>900</v>
      </c>
      <c r="I569" s="55" t="str">
        <f t="shared" si="25"/>
        <v>CBFLX-FR-LVP-1500x600+900</v>
      </c>
      <c r="J569" s="54" t="s">
        <v>211</v>
      </c>
      <c r="K569" s="54" t="s">
        <v>130</v>
      </c>
      <c r="L569" s="54"/>
      <c r="M569" s="54" t="s">
        <v>222</v>
      </c>
      <c r="N569" s="54" t="s">
        <v>223</v>
      </c>
      <c r="O569" s="54" t="s">
        <v>158</v>
      </c>
      <c r="P569" s="56" t="s">
        <v>199</v>
      </c>
      <c r="Q569" s="57"/>
      <c r="R569" s="57"/>
      <c r="S569" s="57"/>
      <c r="T569" s="57">
        <f t="shared" ca="1" si="26"/>
        <v>89700</v>
      </c>
      <c r="U569" s="58">
        <f t="shared" ca="1" si="27"/>
        <v>80730</v>
      </c>
      <c r="V569" s="58">
        <f t="shared" ca="1" si="28"/>
        <v>76245</v>
      </c>
      <c r="W569" s="58">
        <f t="shared" ca="1" si="29"/>
        <v>71760</v>
      </c>
      <c r="X569" s="58">
        <f t="shared" ca="1" si="30"/>
        <v>62789.999999999993</v>
      </c>
      <c r="Y569" s="18"/>
    </row>
    <row r="570" spans="1:25" ht="16" x14ac:dyDescent="0.15">
      <c r="A570" s="18"/>
      <c r="B570" s="54" t="s">
        <v>212</v>
      </c>
      <c r="C570" s="54" t="s">
        <v>60</v>
      </c>
      <c r="D570" s="54"/>
      <c r="E570" s="54" t="s">
        <v>221</v>
      </c>
      <c r="F570" s="54" t="s">
        <v>121</v>
      </c>
      <c r="G570" s="54" t="s">
        <v>214</v>
      </c>
      <c r="H570" s="54">
        <v>900</v>
      </c>
      <c r="I570" s="55" t="str">
        <f t="shared" si="25"/>
        <v>CBFLX-FR-VNR-1500x600+900</v>
      </c>
      <c r="J570" s="54" t="s">
        <v>211</v>
      </c>
      <c r="K570" s="54" t="s">
        <v>130</v>
      </c>
      <c r="L570" s="54"/>
      <c r="M570" s="54" t="s">
        <v>222</v>
      </c>
      <c r="N570" s="54" t="s">
        <v>223</v>
      </c>
      <c r="O570" s="54" t="s">
        <v>90</v>
      </c>
      <c r="P570" s="56" t="s">
        <v>199</v>
      </c>
      <c r="Q570" s="57"/>
      <c r="R570" s="57"/>
      <c r="S570" s="57"/>
      <c r="T570" s="57">
        <f t="shared" ca="1" si="26"/>
        <v>188000</v>
      </c>
      <c r="U570" s="58">
        <f t="shared" ca="1" si="27"/>
        <v>169200</v>
      </c>
      <c r="V570" s="58">
        <f t="shared" ca="1" si="28"/>
        <v>159800</v>
      </c>
      <c r="W570" s="58">
        <f t="shared" ca="1" si="29"/>
        <v>150400</v>
      </c>
      <c r="X570" s="58">
        <f t="shared" ca="1" si="30"/>
        <v>131600</v>
      </c>
      <c r="Y570" s="18"/>
    </row>
    <row r="571" spans="1:25" ht="16" x14ac:dyDescent="0.15">
      <c r="A571" s="18"/>
      <c r="B571" s="54" t="s">
        <v>212</v>
      </c>
      <c r="C571" s="54" t="s">
        <v>60</v>
      </c>
      <c r="D571" s="54"/>
      <c r="E571" s="54" t="s">
        <v>221</v>
      </c>
      <c r="F571" s="54" t="s">
        <v>123</v>
      </c>
      <c r="G571" s="54" t="s">
        <v>214</v>
      </c>
      <c r="H571" s="54">
        <v>900</v>
      </c>
      <c r="I571" s="55" t="str">
        <f t="shared" si="25"/>
        <v>CBFLX-FR-GL-1500x600+900</v>
      </c>
      <c r="J571" s="54" t="s">
        <v>211</v>
      </c>
      <c r="K571" s="54" t="s">
        <v>130</v>
      </c>
      <c r="L571" s="54"/>
      <c r="M571" s="54" t="s">
        <v>222</v>
      </c>
      <c r="N571" s="54" t="s">
        <v>223</v>
      </c>
      <c r="O571" s="54" t="s">
        <v>42</v>
      </c>
      <c r="P571" s="56" t="s">
        <v>199</v>
      </c>
      <c r="Q571" s="57"/>
      <c r="R571" s="57"/>
      <c r="S571" s="57"/>
      <c r="T571" s="57">
        <f t="shared" ca="1" si="26"/>
        <v>74600</v>
      </c>
      <c r="U571" s="58">
        <f t="shared" ca="1" si="27"/>
        <v>67140</v>
      </c>
      <c r="V571" s="58">
        <f t="shared" ca="1" si="28"/>
        <v>63410</v>
      </c>
      <c r="W571" s="58">
        <f t="shared" ca="1" si="29"/>
        <v>59680</v>
      </c>
      <c r="X571" s="58">
        <f t="shared" ca="1" si="30"/>
        <v>52220</v>
      </c>
      <c r="Y571" s="18"/>
    </row>
    <row r="572" spans="1:25" ht="16" x14ac:dyDescent="0.15">
      <c r="A572" s="18"/>
      <c r="B572" s="54" t="s">
        <v>212</v>
      </c>
      <c r="C572" s="54" t="s">
        <v>60</v>
      </c>
      <c r="D572" s="54"/>
      <c r="E572" s="54" t="s">
        <v>221</v>
      </c>
      <c r="F572" s="54" t="s">
        <v>65</v>
      </c>
      <c r="G572" s="54" t="s">
        <v>217</v>
      </c>
      <c r="H572" s="54">
        <v>1350</v>
      </c>
      <c r="I572" s="55" t="str">
        <f t="shared" si="25"/>
        <v>CBFLX-FR-PB-1800x750+1350</v>
      </c>
      <c r="J572" s="54" t="s">
        <v>211</v>
      </c>
      <c r="K572" s="54" t="s">
        <v>130</v>
      </c>
      <c r="L572" s="54"/>
      <c r="M572" s="54" t="s">
        <v>222</v>
      </c>
      <c r="N572" s="54" t="s">
        <v>224</v>
      </c>
      <c r="O572" s="54" t="s">
        <v>11</v>
      </c>
      <c r="P572" s="56" t="s">
        <v>199</v>
      </c>
      <c r="Q572" s="57"/>
      <c r="R572" s="57" t="s">
        <v>160</v>
      </c>
      <c r="S572" s="57"/>
      <c r="T572" s="57">
        <f t="shared" ca="1" si="26"/>
        <v>23400</v>
      </c>
      <c r="U572" s="58">
        <f t="shared" ca="1" si="27"/>
        <v>21060</v>
      </c>
      <c r="V572" s="58">
        <f t="shared" ca="1" si="28"/>
        <v>19890</v>
      </c>
      <c r="W572" s="58">
        <f t="shared" ca="1" si="29"/>
        <v>18720</v>
      </c>
      <c r="X572" s="58">
        <f t="shared" ca="1" si="30"/>
        <v>16379.999999999998</v>
      </c>
      <c r="Y572" s="18"/>
    </row>
    <row r="573" spans="1:25" ht="16" x14ac:dyDescent="0.15">
      <c r="A573" s="18"/>
      <c r="B573" s="54" t="s">
        <v>212</v>
      </c>
      <c r="C573" s="54" t="s">
        <v>60</v>
      </c>
      <c r="D573" s="54"/>
      <c r="E573" s="54" t="s">
        <v>221</v>
      </c>
      <c r="F573" s="54" t="s">
        <v>112</v>
      </c>
      <c r="G573" s="54" t="s">
        <v>217</v>
      </c>
      <c r="H573" s="54">
        <v>1350</v>
      </c>
      <c r="I573" s="55" t="str">
        <f t="shared" si="25"/>
        <v>CBFLX-FR-PLM-1800x750+1350</v>
      </c>
      <c r="J573" s="54" t="s">
        <v>211</v>
      </c>
      <c r="K573" s="54" t="s">
        <v>130</v>
      </c>
      <c r="L573" s="54"/>
      <c r="M573" s="54" t="s">
        <v>222</v>
      </c>
      <c r="N573" s="54" t="s">
        <v>224</v>
      </c>
      <c r="O573" s="54" t="s">
        <v>31</v>
      </c>
      <c r="P573" s="56" t="s">
        <v>199</v>
      </c>
      <c r="Q573" s="57"/>
      <c r="R573" s="57"/>
      <c r="S573" s="57"/>
      <c r="T573" s="57">
        <f t="shared" ca="1" si="26"/>
        <v>25600</v>
      </c>
      <c r="U573" s="58">
        <f t="shared" ca="1" si="27"/>
        <v>23040</v>
      </c>
      <c r="V573" s="58">
        <f t="shared" ca="1" si="28"/>
        <v>21760</v>
      </c>
      <c r="W573" s="58">
        <f t="shared" ca="1" si="29"/>
        <v>20480</v>
      </c>
      <c r="X573" s="58">
        <f t="shared" ca="1" si="30"/>
        <v>17920</v>
      </c>
      <c r="Y573" s="18"/>
    </row>
    <row r="574" spans="1:25" ht="16" x14ac:dyDescent="0.15">
      <c r="A574" s="18"/>
      <c r="B574" s="54" t="s">
        <v>212</v>
      </c>
      <c r="C574" s="54" t="s">
        <v>60</v>
      </c>
      <c r="D574" s="54"/>
      <c r="E574" s="54" t="s">
        <v>221</v>
      </c>
      <c r="F574" s="54" t="s">
        <v>114</v>
      </c>
      <c r="G574" s="54" t="s">
        <v>217</v>
      </c>
      <c r="H574" s="54">
        <v>1350</v>
      </c>
      <c r="I574" s="55" t="str">
        <f t="shared" si="25"/>
        <v>CBFLX-FR-PoLM-1800x750+1350</v>
      </c>
      <c r="J574" s="54" t="s">
        <v>211</v>
      </c>
      <c r="K574" s="54" t="s">
        <v>130</v>
      </c>
      <c r="L574" s="54"/>
      <c r="M574" s="54" t="s">
        <v>222</v>
      </c>
      <c r="N574" s="54" t="s">
        <v>224</v>
      </c>
      <c r="O574" s="54" t="s">
        <v>47</v>
      </c>
      <c r="P574" s="56" t="s">
        <v>199</v>
      </c>
      <c r="Q574" s="57"/>
      <c r="R574" s="57"/>
      <c r="S574" s="57"/>
      <c r="T574" s="57">
        <f t="shared" ca="1" si="26"/>
        <v>37700</v>
      </c>
      <c r="U574" s="58">
        <f t="shared" ca="1" si="27"/>
        <v>33930</v>
      </c>
      <c r="V574" s="58">
        <f t="shared" ca="1" si="28"/>
        <v>32045</v>
      </c>
      <c r="W574" s="58">
        <f t="shared" ca="1" si="29"/>
        <v>30160</v>
      </c>
      <c r="X574" s="58">
        <f t="shared" ca="1" si="30"/>
        <v>26390</v>
      </c>
      <c r="Y574" s="18"/>
    </row>
    <row r="575" spans="1:25" ht="16" x14ac:dyDescent="0.15">
      <c r="A575" s="18"/>
      <c r="B575" s="54" t="s">
        <v>212</v>
      </c>
      <c r="C575" s="54" t="s">
        <v>60</v>
      </c>
      <c r="D575" s="54"/>
      <c r="E575" s="54" t="s">
        <v>221</v>
      </c>
      <c r="F575" s="54" t="s">
        <v>117</v>
      </c>
      <c r="G575" s="54" t="s">
        <v>217</v>
      </c>
      <c r="H575" s="54">
        <v>1350</v>
      </c>
      <c r="I575" s="55" t="str">
        <f t="shared" si="25"/>
        <v>CBFLX-FR-LVM-1800x750+1350</v>
      </c>
      <c r="J575" s="54" t="s">
        <v>211</v>
      </c>
      <c r="K575" s="54" t="s">
        <v>130</v>
      </c>
      <c r="L575" s="54"/>
      <c r="M575" s="54" t="s">
        <v>222</v>
      </c>
      <c r="N575" s="54" t="s">
        <v>224</v>
      </c>
      <c r="O575" s="54" t="s">
        <v>157</v>
      </c>
      <c r="P575" s="56" t="s">
        <v>199</v>
      </c>
      <c r="Q575" s="57"/>
      <c r="R575" s="57" t="s">
        <v>200</v>
      </c>
      <c r="S575" s="57"/>
      <c r="T575" s="57">
        <f t="shared" ca="1" si="26"/>
        <v>43100</v>
      </c>
      <c r="U575" s="58">
        <f t="shared" ca="1" si="27"/>
        <v>38790</v>
      </c>
      <c r="V575" s="58">
        <f t="shared" ca="1" si="28"/>
        <v>36635</v>
      </c>
      <c r="W575" s="58">
        <f t="shared" ca="1" si="29"/>
        <v>34480</v>
      </c>
      <c r="X575" s="58">
        <f t="shared" ca="1" si="30"/>
        <v>30169.999999999996</v>
      </c>
      <c r="Y575" s="18"/>
    </row>
    <row r="576" spans="1:25" ht="16" x14ac:dyDescent="0.15">
      <c r="A576" s="18"/>
      <c r="B576" s="54" t="s">
        <v>212</v>
      </c>
      <c r="C576" s="54" t="s">
        <v>60</v>
      </c>
      <c r="D576" s="54"/>
      <c r="E576" s="54" t="s">
        <v>221</v>
      </c>
      <c r="F576" s="54" t="s">
        <v>119</v>
      </c>
      <c r="G576" s="54" t="s">
        <v>217</v>
      </c>
      <c r="H576" s="54">
        <v>1350</v>
      </c>
      <c r="I576" s="55" t="str">
        <f t="shared" si="25"/>
        <v>CBFLX-FR-LVP-1800x750+1350</v>
      </c>
      <c r="J576" s="54" t="s">
        <v>211</v>
      </c>
      <c r="K576" s="54" t="s">
        <v>130</v>
      </c>
      <c r="L576" s="54"/>
      <c r="M576" s="54" t="s">
        <v>222</v>
      </c>
      <c r="N576" s="54" t="s">
        <v>224</v>
      </c>
      <c r="O576" s="54" t="s">
        <v>158</v>
      </c>
      <c r="P576" s="56" t="s">
        <v>199</v>
      </c>
      <c r="Q576" s="57"/>
      <c r="R576" s="57"/>
      <c r="S576" s="57"/>
      <c r="T576" s="57">
        <f t="shared" ca="1" si="26"/>
        <v>45800</v>
      </c>
      <c r="U576" s="58">
        <f t="shared" ca="1" si="27"/>
        <v>41220</v>
      </c>
      <c r="V576" s="58">
        <f t="shared" ca="1" si="28"/>
        <v>38930</v>
      </c>
      <c r="W576" s="58">
        <f t="shared" ca="1" si="29"/>
        <v>36640</v>
      </c>
      <c r="X576" s="58">
        <f t="shared" ca="1" si="30"/>
        <v>32059.999999999996</v>
      </c>
      <c r="Y576" s="18"/>
    </row>
    <row r="577" spans="1:25" ht="16" x14ac:dyDescent="0.15">
      <c r="A577" s="18"/>
      <c r="B577" s="54" t="s">
        <v>212</v>
      </c>
      <c r="C577" s="54" t="s">
        <v>60</v>
      </c>
      <c r="D577" s="54"/>
      <c r="E577" s="54" t="s">
        <v>221</v>
      </c>
      <c r="F577" s="54" t="s">
        <v>121</v>
      </c>
      <c r="G577" s="54" t="s">
        <v>217</v>
      </c>
      <c r="H577" s="54">
        <v>1350</v>
      </c>
      <c r="I577" s="55" t="str">
        <f t="shared" si="25"/>
        <v>CBFLX-FR-VNR-1800x750+1350</v>
      </c>
      <c r="J577" s="54" t="s">
        <v>211</v>
      </c>
      <c r="K577" s="54" t="s">
        <v>130</v>
      </c>
      <c r="L577" s="54"/>
      <c r="M577" s="54" t="s">
        <v>222</v>
      </c>
      <c r="N577" s="54" t="s">
        <v>224</v>
      </c>
      <c r="O577" s="54" t="s">
        <v>90</v>
      </c>
      <c r="P577" s="56" t="s">
        <v>199</v>
      </c>
      <c r="Q577" s="57"/>
      <c r="R577" s="57"/>
      <c r="S577" s="57"/>
      <c r="T577" s="57">
        <f t="shared" ca="1" si="26"/>
        <v>98500</v>
      </c>
      <c r="U577" s="58">
        <f t="shared" ca="1" si="27"/>
        <v>88650</v>
      </c>
      <c r="V577" s="58">
        <f t="shared" ca="1" si="28"/>
        <v>83725</v>
      </c>
      <c r="W577" s="58">
        <f t="shared" ca="1" si="29"/>
        <v>78800</v>
      </c>
      <c r="X577" s="58">
        <f t="shared" ca="1" si="30"/>
        <v>68950</v>
      </c>
      <c r="Y577" s="18"/>
    </row>
    <row r="578" spans="1:25" ht="16" x14ac:dyDescent="0.15">
      <c r="A578" s="18"/>
      <c r="B578" s="54" t="s">
        <v>212</v>
      </c>
      <c r="C578" s="54" t="s">
        <v>60</v>
      </c>
      <c r="D578" s="54"/>
      <c r="E578" s="54" t="s">
        <v>221</v>
      </c>
      <c r="F578" s="54" t="s">
        <v>123</v>
      </c>
      <c r="G578" s="54" t="s">
        <v>217</v>
      </c>
      <c r="H578" s="54">
        <v>1350</v>
      </c>
      <c r="I578" s="55" t="str">
        <f t="shared" si="25"/>
        <v>CBFLX-FR-GL-1800x750+1350</v>
      </c>
      <c r="J578" s="54" t="s">
        <v>211</v>
      </c>
      <c r="K578" s="54" t="s">
        <v>130</v>
      </c>
      <c r="L578" s="54"/>
      <c r="M578" s="54" t="s">
        <v>222</v>
      </c>
      <c r="N578" s="54" t="s">
        <v>224</v>
      </c>
      <c r="O578" s="54" t="s">
        <v>42</v>
      </c>
      <c r="P578" s="56" t="s">
        <v>199</v>
      </c>
      <c r="Q578" s="57"/>
      <c r="R578" s="57"/>
      <c r="S578" s="57"/>
      <c r="T578" s="57">
        <f t="shared" ca="1" si="26"/>
        <v>37700</v>
      </c>
      <c r="U578" s="58">
        <f t="shared" ca="1" si="27"/>
        <v>33930</v>
      </c>
      <c r="V578" s="58">
        <f t="shared" ca="1" si="28"/>
        <v>32045</v>
      </c>
      <c r="W578" s="58">
        <f t="shared" ca="1" si="29"/>
        <v>30160</v>
      </c>
      <c r="X578" s="58">
        <f t="shared" ca="1" si="30"/>
        <v>26390</v>
      </c>
      <c r="Y578" s="18"/>
    </row>
    <row r="579" spans="1:25" ht="16" x14ac:dyDescent="0.15">
      <c r="A579" s="18"/>
      <c r="B579" s="54" t="s">
        <v>212</v>
      </c>
      <c r="C579" s="54" t="s">
        <v>60</v>
      </c>
      <c r="D579" s="54"/>
      <c r="E579" s="54" t="s">
        <v>221</v>
      </c>
      <c r="F579" s="54" t="s">
        <v>65</v>
      </c>
      <c r="G579" s="54" t="s">
        <v>219</v>
      </c>
      <c r="H579" s="54">
        <v>1800</v>
      </c>
      <c r="I579" s="55" t="str">
        <f t="shared" si="25"/>
        <v>CBFLX-FR-PB-2100x900+1800</v>
      </c>
      <c r="J579" s="54" t="s">
        <v>211</v>
      </c>
      <c r="K579" s="54" t="s">
        <v>130</v>
      </c>
      <c r="L579" s="54"/>
      <c r="M579" s="54" t="s">
        <v>222</v>
      </c>
      <c r="N579" s="54" t="s">
        <v>220</v>
      </c>
      <c r="O579" s="54" t="s">
        <v>11</v>
      </c>
      <c r="P579" s="56" t="s">
        <v>199</v>
      </c>
      <c r="Q579" s="57"/>
      <c r="R579" s="57"/>
      <c r="S579" s="57"/>
      <c r="T579" s="57">
        <f t="shared" ca="1" si="26"/>
        <v>26700</v>
      </c>
      <c r="U579" s="58">
        <f t="shared" ca="1" si="27"/>
        <v>24030</v>
      </c>
      <c r="V579" s="58">
        <f t="shared" ca="1" si="28"/>
        <v>22695</v>
      </c>
      <c r="W579" s="58">
        <f t="shared" ca="1" si="29"/>
        <v>21360</v>
      </c>
      <c r="X579" s="58">
        <f t="shared" ca="1" si="30"/>
        <v>18690</v>
      </c>
      <c r="Y579" s="18"/>
    </row>
    <row r="580" spans="1:25" ht="16" x14ac:dyDescent="0.15">
      <c r="A580" s="18"/>
      <c r="B580" s="54" t="s">
        <v>212</v>
      </c>
      <c r="C580" s="54" t="s">
        <v>60</v>
      </c>
      <c r="D580" s="54"/>
      <c r="E580" s="54" t="s">
        <v>221</v>
      </c>
      <c r="F580" s="54" t="s">
        <v>112</v>
      </c>
      <c r="G580" s="54" t="s">
        <v>219</v>
      </c>
      <c r="H580" s="54">
        <v>1800</v>
      </c>
      <c r="I580" s="55" t="str">
        <f t="shared" si="25"/>
        <v>CBFLX-FR-PLM-2100x900+1800</v>
      </c>
      <c r="J580" s="54" t="s">
        <v>211</v>
      </c>
      <c r="K580" s="54" t="s">
        <v>130</v>
      </c>
      <c r="L580" s="54"/>
      <c r="M580" s="54" t="s">
        <v>222</v>
      </c>
      <c r="N580" s="54" t="s">
        <v>220</v>
      </c>
      <c r="O580" s="54" t="s">
        <v>31</v>
      </c>
      <c r="P580" s="56" t="s">
        <v>199</v>
      </c>
      <c r="Q580" s="57"/>
      <c r="R580" s="57"/>
      <c r="S580" s="57"/>
      <c r="T580" s="57">
        <f t="shared" ca="1" si="26"/>
        <v>29700</v>
      </c>
      <c r="U580" s="58">
        <f t="shared" ca="1" si="27"/>
        <v>26730</v>
      </c>
      <c r="V580" s="58">
        <f t="shared" ca="1" si="28"/>
        <v>25245</v>
      </c>
      <c r="W580" s="58">
        <f t="shared" ca="1" si="29"/>
        <v>23760</v>
      </c>
      <c r="X580" s="58">
        <f t="shared" ca="1" si="30"/>
        <v>20790</v>
      </c>
      <c r="Y580" s="18"/>
    </row>
    <row r="581" spans="1:25" ht="16" x14ac:dyDescent="0.15">
      <c r="A581" s="18"/>
      <c r="B581" s="54" t="s">
        <v>212</v>
      </c>
      <c r="C581" s="54" t="s">
        <v>60</v>
      </c>
      <c r="D581" s="54"/>
      <c r="E581" s="54" t="s">
        <v>221</v>
      </c>
      <c r="F581" s="54" t="s">
        <v>114</v>
      </c>
      <c r="G581" s="54" t="s">
        <v>219</v>
      </c>
      <c r="H581" s="54">
        <v>1800</v>
      </c>
      <c r="I581" s="55" t="str">
        <f t="shared" si="25"/>
        <v>CBFLX-FR-PoLM-2100x900+1800</v>
      </c>
      <c r="J581" s="54" t="s">
        <v>211</v>
      </c>
      <c r="K581" s="54" t="s">
        <v>130</v>
      </c>
      <c r="L581" s="54"/>
      <c r="M581" s="54" t="s">
        <v>222</v>
      </c>
      <c r="N581" s="54" t="s">
        <v>220</v>
      </c>
      <c r="O581" s="54" t="s">
        <v>47</v>
      </c>
      <c r="P581" s="56" t="s">
        <v>199</v>
      </c>
      <c r="Q581" s="57"/>
      <c r="R581" s="57"/>
      <c r="S581" s="57"/>
      <c r="T581" s="57">
        <f t="shared" ca="1" si="26"/>
        <v>46700</v>
      </c>
      <c r="U581" s="58">
        <f t="shared" ca="1" si="27"/>
        <v>42030</v>
      </c>
      <c r="V581" s="58">
        <f t="shared" ca="1" si="28"/>
        <v>39695</v>
      </c>
      <c r="W581" s="58">
        <f t="shared" ca="1" si="29"/>
        <v>37360</v>
      </c>
      <c r="X581" s="58">
        <f t="shared" ca="1" si="30"/>
        <v>32689.999999999996</v>
      </c>
      <c r="Y581" s="18"/>
    </row>
    <row r="582" spans="1:25" ht="16" x14ac:dyDescent="0.15">
      <c r="A582" s="18"/>
      <c r="B582" s="54" t="s">
        <v>212</v>
      </c>
      <c r="C582" s="54" t="s">
        <v>60</v>
      </c>
      <c r="D582" s="54"/>
      <c r="E582" s="54" t="s">
        <v>221</v>
      </c>
      <c r="F582" s="54" t="s">
        <v>117</v>
      </c>
      <c r="G582" s="54" t="s">
        <v>219</v>
      </c>
      <c r="H582" s="54">
        <v>1800</v>
      </c>
      <c r="I582" s="55" t="str">
        <f t="shared" si="25"/>
        <v>CBFLX-FR-LVM-2100x900+1800</v>
      </c>
      <c r="J582" s="54" t="s">
        <v>211</v>
      </c>
      <c r="K582" s="54" t="s">
        <v>130</v>
      </c>
      <c r="L582" s="54"/>
      <c r="M582" s="54" t="s">
        <v>222</v>
      </c>
      <c r="N582" s="54" t="s">
        <v>220</v>
      </c>
      <c r="O582" s="54" t="s">
        <v>157</v>
      </c>
      <c r="P582" s="56" t="s">
        <v>199</v>
      </c>
      <c r="Q582" s="57"/>
      <c r="R582" s="57"/>
      <c r="S582" s="57"/>
      <c r="T582" s="57">
        <f t="shared" ca="1" si="26"/>
        <v>54200</v>
      </c>
      <c r="U582" s="58">
        <f t="shared" ca="1" si="27"/>
        <v>48780</v>
      </c>
      <c r="V582" s="58">
        <f t="shared" ca="1" si="28"/>
        <v>46070</v>
      </c>
      <c r="W582" s="58">
        <f t="shared" ca="1" si="29"/>
        <v>43360</v>
      </c>
      <c r="X582" s="58">
        <f t="shared" ca="1" si="30"/>
        <v>37940</v>
      </c>
      <c r="Y582" s="18"/>
    </row>
    <row r="583" spans="1:25" ht="16" x14ac:dyDescent="0.15">
      <c r="A583" s="18"/>
      <c r="B583" s="54" t="s">
        <v>212</v>
      </c>
      <c r="C583" s="54" t="s">
        <v>60</v>
      </c>
      <c r="D583" s="54"/>
      <c r="E583" s="54" t="s">
        <v>221</v>
      </c>
      <c r="F583" s="54" t="s">
        <v>119</v>
      </c>
      <c r="G583" s="54" t="s">
        <v>219</v>
      </c>
      <c r="H583" s="54">
        <v>1800</v>
      </c>
      <c r="I583" s="55" t="str">
        <f t="shared" si="25"/>
        <v>CBFLX-FR-LVP-2100x900+1800</v>
      </c>
      <c r="J583" s="54" t="s">
        <v>211</v>
      </c>
      <c r="K583" s="54" t="s">
        <v>130</v>
      </c>
      <c r="L583" s="54"/>
      <c r="M583" s="54" t="s">
        <v>222</v>
      </c>
      <c r="N583" s="54" t="s">
        <v>220</v>
      </c>
      <c r="O583" s="54" t="s">
        <v>158</v>
      </c>
      <c r="P583" s="56" t="s">
        <v>199</v>
      </c>
      <c r="Q583" s="57"/>
      <c r="R583" s="57"/>
      <c r="S583" s="57"/>
      <c r="T583" s="57">
        <f t="shared" ca="1" si="26"/>
        <v>58000</v>
      </c>
      <c r="U583" s="58">
        <f t="shared" ca="1" si="27"/>
        <v>52200</v>
      </c>
      <c r="V583" s="58">
        <f t="shared" ca="1" si="28"/>
        <v>49300</v>
      </c>
      <c r="W583" s="58">
        <f t="shared" ca="1" si="29"/>
        <v>46400</v>
      </c>
      <c r="X583" s="58">
        <f t="shared" ca="1" si="30"/>
        <v>40600</v>
      </c>
      <c r="Y583" s="18"/>
    </row>
    <row r="584" spans="1:25" ht="16" x14ac:dyDescent="0.15">
      <c r="A584" s="18"/>
      <c r="B584" s="54" t="s">
        <v>212</v>
      </c>
      <c r="C584" s="54" t="s">
        <v>60</v>
      </c>
      <c r="D584" s="54"/>
      <c r="E584" s="54" t="s">
        <v>221</v>
      </c>
      <c r="F584" s="54" t="s">
        <v>121</v>
      </c>
      <c r="G584" s="54" t="s">
        <v>219</v>
      </c>
      <c r="H584" s="54">
        <v>1800</v>
      </c>
      <c r="I584" s="55" t="str">
        <f t="shared" si="25"/>
        <v>CBFLX-FR-VNR-2100x900+1800</v>
      </c>
      <c r="J584" s="54" t="s">
        <v>211</v>
      </c>
      <c r="K584" s="54" t="s">
        <v>130</v>
      </c>
      <c r="L584" s="54"/>
      <c r="M584" s="54" t="s">
        <v>222</v>
      </c>
      <c r="N584" s="54" t="s">
        <v>220</v>
      </c>
      <c r="O584" s="54" t="s">
        <v>90</v>
      </c>
      <c r="P584" s="56" t="s">
        <v>199</v>
      </c>
      <c r="Q584" s="57"/>
      <c r="R584" s="57"/>
      <c r="S584" s="57"/>
      <c r="T584" s="57">
        <f t="shared" ca="1" si="26"/>
        <v>131700</v>
      </c>
      <c r="U584" s="58">
        <f t="shared" ca="1" si="27"/>
        <v>118530</v>
      </c>
      <c r="V584" s="58">
        <f t="shared" ca="1" si="28"/>
        <v>111945</v>
      </c>
      <c r="W584" s="58">
        <f t="shared" ca="1" si="29"/>
        <v>105360</v>
      </c>
      <c r="X584" s="58">
        <f t="shared" ca="1" si="30"/>
        <v>92190</v>
      </c>
      <c r="Y584" s="18"/>
    </row>
    <row r="585" spans="1:25" ht="16" x14ac:dyDescent="0.15">
      <c r="A585" s="18"/>
      <c r="B585" s="54" t="s">
        <v>212</v>
      </c>
      <c r="C585" s="54" t="s">
        <v>60</v>
      </c>
      <c r="D585" s="54"/>
      <c r="E585" s="54" t="s">
        <v>221</v>
      </c>
      <c r="F585" s="54" t="s">
        <v>123</v>
      </c>
      <c r="G585" s="54" t="s">
        <v>219</v>
      </c>
      <c r="H585" s="54">
        <v>1800</v>
      </c>
      <c r="I585" s="55" t="str">
        <f t="shared" si="25"/>
        <v>CBFLX-FR-GL-2100x900+1800</v>
      </c>
      <c r="J585" s="54" t="s">
        <v>211</v>
      </c>
      <c r="K585" s="54" t="s">
        <v>130</v>
      </c>
      <c r="L585" s="54"/>
      <c r="M585" s="54" t="s">
        <v>222</v>
      </c>
      <c r="N585" s="54" t="s">
        <v>220</v>
      </c>
      <c r="O585" s="54" t="s">
        <v>42</v>
      </c>
      <c r="P585" s="56" t="s">
        <v>199</v>
      </c>
      <c r="Q585" s="57"/>
      <c r="R585" s="57"/>
      <c r="S585" s="57"/>
      <c r="T585" s="57">
        <f t="shared" ca="1" si="26"/>
        <v>46700</v>
      </c>
      <c r="U585" s="58">
        <f t="shared" ca="1" si="27"/>
        <v>42030</v>
      </c>
      <c r="V585" s="58">
        <f t="shared" ca="1" si="28"/>
        <v>39695</v>
      </c>
      <c r="W585" s="58">
        <f t="shared" ca="1" si="29"/>
        <v>37360</v>
      </c>
      <c r="X585" s="58">
        <f t="shared" ca="1" si="30"/>
        <v>32689.999999999996</v>
      </c>
      <c r="Y585" s="18"/>
    </row>
    <row r="586" spans="1:25" ht="16" x14ac:dyDescent="0.15">
      <c r="A586" s="18"/>
      <c r="B586" s="54" t="s">
        <v>212</v>
      </c>
      <c r="C586" s="54" t="s">
        <v>60</v>
      </c>
      <c r="D586" s="54"/>
      <c r="E586" s="54" t="s">
        <v>225</v>
      </c>
      <c r="F586" s="54" t="s">
        <v>65</v>
      </c>
      <c r="G586" s="54" t="s">
        <v>214</v>
      </c>
      <c r="H586" s="54" t="s">
        <v>131</v>
      </c>
      <c r="I586" s="55" t="str">
        <f t="shared" si="25"/>
        <v>CBFLX-TB-PB-1500x600+X</v>
      </c>
      <c r="J586" s="54" t="s">
        <v>211</v>
      </c>
      <c r="K586" s="54" t="s">
        <v>130</v>
      </c>
      <c r="L586" s="54"/>
      <c r="M586" s="54" t="s">
        <v>226</v>
      </c>
      <c r="N586" s="54" t="s">
        <v>214</v>
      </c>
      <c r="O586" s="54" t="s">
        <v>11</v>
      </c>
      <c r="P586" s="56" t="s">
        <v>199</v>
      </c>
      <c r="Q586" s="57"/>
      <c r="R586" s="57"/>
      <c r="S586" s="57"/>
      <c r="T586" s="57">
        <f t="shared" ca="1" si="26"/>
        <v>29900</v>
      </c>
      <c r="U586" s="58">
        <f t="shared" ca="1" si="27"/>
        <v>26910</v>
      </c>
      <c r="V586" s="58">
        <f t="shared" ca="1" si="28"/>
        <v>25415</v>
      </c>
      <c r="W586" s="58">
        <f t="shared" ca="1" si="29"/>
        <v>23920</v>
      </c>
      <c r="X586" s="58">
        <f t="shared" ca="1" si="30"/>
        <v>20930</v>
      </c>
      <c r="Y586" s="18"/>
    </row>
    <row r="587" spans="1:25" ht="16" x14ac:dyDescent="0.15">
      <c r="A587" s="18"/>
      <c r="B587" s="54" t="s">
        <v>212</v>
      </c>
      <c r="C587" s="54" t="s">
        <v>60</v>
      </c>
      <c r="D587" s="54"/>
      <c r="E587" s="54" t="s">
        <v>225</v>
      </c>
      <c r="F587" s="54" t="s">
        <v>112</v>
      </c>
      <c r="G587" s="54" t="s">
        <v>214</v>
      </c>
      <c r="H587" s="54" t="s">
        <v>131</v>
      </c>
      <c r="I587" s="55" t="str">
        <f t="shared" si="25"/>
        <v>CBFLX-TB-PLM-1500x600+X</v>
      </c>
      <c r="J587" s="54" t="s">
        <v>211</v>
      </c>
      <c r="K587" s="54" t="s">
        <v>130</v>
      </c>
      <c r="L587" s="54"/>
      <c r="M587" s="54" t="s">
        <v>226</v>
      </c>
      <c r="N587" s="54" t="s">
        <v>214</v>
      </c>
      <c r="O587" s="54" t="s">
        <v>31</v>
      </c>
      <c r="P587" s="56" t="s">
        <v>199</v>
      </c>
      <c r="Q587" s="57"/>
      <c r="R587" s="57"/>
      <c r="S587" s="57"/>
      <c r="T587" s="57">
        <f t="shared" ca="1" si="26"/>
        <v>33900</v>
      </c>
      <c r="U587" s="58">
        <f t="shared" ca="1" si="27"/>
        <v>30510</v>
      </c>
      <c r="V587" s="58">
        <f t="shared" ca="1" si="28"/>
        <v>28815</v>
      </c>
      <c r="W587" s="58">
        <f t="shared" ca="1" si="29"/>
        <v>27120</v>
      </c>
      <c r="X587" s="58">
        <f t="shared" ca="1" si="30"/>
        <v>23730</v>
      </c>
      <c r="Y587" s="18"/>
    </row>
    <row r="588" spans="1:25" ht="16" x14ac:dyDescent="0.15">
      <c r="A588" s="18"/>
      <c r="B588" s="54" t="s">
        <v>212</v>
      </c>
      <c r="C588" s="54" t="s">
        <v>60</v>
      </c>
      <c r="D588" s="54"/>
      <c r="E588" s="54" t="s">
        <v>225</v>
      </c>
      <c r="F588" s="54" t="s">
        <v>114</v>
      </c>
      <c r="G588" s="54" t="s">
        <v>214</v>
      </c>
      <c r="H588" s="54" t="s">
        <v>131</v>
      </c>
      <c r="I588" s="55" t="str">
        <f t="shared" si="25"/>
        <v>CBFLX-TB-PoLM-1500x600+X</v>
      </c>
      <c r="J588" s="54" t="s">
        <v>211</v>
      </c>
      <c r="K588" s="54" t="s">
        <v>130</v>
      </c>
      <c r="L588" s="54"/>
      <c r="M588" s="54" t="s">
        <v>226</v>
      </c>
      <c r="N588" s="54" t="s">
        <v>214</v>
      </c>
      <c r="O588" s="54" t="s">
        <v>47</v>
      </c>
      <c r="P588" s="56" t="s">
        <v>199</v>
      </c>
      <c r="Q588" s="57"/>
      <c r="R588" s="57"/>
      <c r="S588" s="57"/>
      <c r="T588" s="57">
        <f t="shared" ca="1" si="26"/>
        <v>56600</v>
      </c>
      <c r="U588" s="58">
        <f t="shared" ca="1" si="27"/>
        <v>50940</v>
      </c>
      <c r="V588" s="58">
        <f t="shared" ca="1" si="28"/>
        <v>48110</v>
      </c>
      <c r="W588" s="58">
        <f t="shared" ca="1" si="29"/>
        <v>45280</v>
      </c>
      <c r="X588" s="58">
        <f t="shared" ca="1" si="30"/>
        <v>39620</v>
      </c>
      <c r="Y588" s="18"/>
    </row>
    <row r="589" spans="1:25" ht="16" x14ac:dyDescent="0.15">
      <c r="A589" s="18"/>
      <c r="B589" s="54" t="s">
        <v>212</v>
      </c>
      <c r="C589" s="54" t="s">
        <v>60</v>
      </c>
      <c r="D589" s="54"/>
      <c r="E589" s="54" t="s">
        <v>225</v>
      </c>
      <c r="F589" s="54" t="s">
        <v>117</v>
      </c>
      <c r="G589" s="54" t="s">
        <v>214</v>
      </c>
      <c r="H589" s="54" t="s">
        <v>131</v>
      </c>
      <c r="I589" s="55" t="str">
        <f t="shared" si="25"/>
        <v>CBFLX-TB-LVM-1500x600+X</v>
      </c>
      <c r="J589" s="54" t="s">
        <v>211</v>
      </c>
      <c r="K589" s="54" t="s">
        <v>130</v>
      </c>
      <c r="L589" s="54"/>
      <c r="M589" s="54" t="s">
        <v>226</v>
      </c>
      <c r="N589" s="54" t="s">
        <v>214</v>
      </c>
      <c r="O589" s="54" t="s">
        <v>157</v>
      </c>
      <c r="P589" s="56" t="s">
        <v>199</v>
      </c>
      <c r="Q589" s="57"/>
      <c r="R589" s="57"/>
      <c r="S589" s="57"/>
      <c r="T589" s="57">
        <f t="shared" ca="1" si="26"/>
        <v>66700</v>
      </c>
      <c r="U589" s="58">
        <f t="shared" ca="1" si="27"/>
        <v>60030</v>
      </c>
      <c r="V589" s="58">
        <f t="shared" ca="1" si="28"/>
        <v>56695</v>
      </c>
      <c r="W589" s="58">
        <f t="shared" ca="1" si="29"/>
        <v>53360</v>
      </c>
      <c r="X589" s="58">
        <f t="shared" ca="1" si="30"/>
        <v>46690</v>
      </c>
      <c r="Y589" s="18"/>
    </row>
    <row r="590" spans="1:25" ht="16" x14ac:dyDescent="0.15">
      <c r="A590" s="18"/>
      <c r="B590" s="54" t="s">
        <v>212</v>
      </c>
      <c r="C590" s="54" t="s">
        <v>60</v>
      </c>
      <c r="D590" s="54"/>
      <c r="E590" s="54" t="s">
        <v>225</v>
      </c>
      <c r="F590" s="54" t="s">
        <v>119</v>
      </c>
      <c r="G590" s="54" t="s">
        <v>214</v>
      </c>
      <c r="H590" s="54" t="s">
        <v>131</v>
      </c>
      <c r="I590" s="55" t="str">
        <f t="shared" si="25"/>
        <v>CBFLX-TB-LVP-1500x600+X</v>
      </c>
      <c r="J590" s="54" t="s">
        <v>211</v>
      </c>
      <c r="K590" s="54" t="s">
        <v>130</v>
      </c>
      <c r="L590" s="54"/>
      <c r="M590" s="54" t="s">
        <v>226</v>
      </c>
      <c r="N590" s="54" t="s">
        <v>214</v>
      </c>
      <c r="O590" s="54" t="s">
        <v>158</v>
      </c>
      <c r="P590" s="56" t="s">
        <v>199</v>
      </c>
      <c r="Q590" s="57"/>
      <c r="R590" s="57"/>
      <c r="S590" s="57"/>
      <c r="T590" s="57">
        <f t="shared" ca="1" si="26"/>
        <v>71700</v>
      </c>
      <c r="U590" s="58">
        <f t="shared" ca="1" si="27"/>
        <v>64530</v>
      </c>
      <c r="V590" s="58">
        <f t="shared" ca="1" si="28"/>
        <v>60945</v>
      </c>
      <c r="W590" s="58">
        <f t="shared" ca="1" si="29"/>
        <v>57360</v>
      </c>
      <c r="X590" s="58">
        <f t="shared" ca="1" si="30"/>
        <v>50190</v>
      </c>
      <c r="Y590" s="18"/>
    </row>
    <row r="591" spans="1:25" ht="16" x14ac:dyDescent="0.15">
      <c r="A591" s="18"/>
      <c r="B591" s="54" t="s">
        <v>212</v>
      </c>
      <c r="C591" s="54" t="s">
        <v>60</v>
      </c>
      <c r="D591" s="54"/>
      <c r="E591" s="54" t="s">
        <v>225</v>
      </c>
      <c r="F591" s="54" t="s">
        <v>121</v>
      </c>
      <c r="G591" s="54" t="s">
        <v>214</v>
      </c>
      <c r="H591" s="54" t="s">
        <v>131</v>
      </c>
      <c r="I591" s="55" t="str">
        <f t="shared" si="25"/>
        <v>CBFLX-TB-VNR-1500x600+X</v>
      </c>
      <c r="J591" s="54" t="s">
        <v>211</v>
      </c>
      <c r="K591" s="54" t="s">
        <v>130</v>
      </c>
      <c r="L591" s="54"/>
      <c r="M591" s="54" t="s">
        <v>226</v>
      </c>
      <c r="N591" s="54" t="s">
        <v>214</v>
      </c>
      <c r="O591" s="54" t="s">
        <v>90</v>
      </c>
      <c r="P591" s="56" t="s">
        <v>199</v>
      </c>
      <c r="Q591" s="57"/>
      <c r="R591" s="57"/>
      <c r="S591" s="57"/>
      <c r="T591" s="57">
        <f t="shared" ca="1" si="26"/>
        <v>170000</v>
      </c>
      <c r="U591" s="58">
        <f t="shared" ca="1" si="27"/>
        <v>153000</v>
      </c>
      <c r="V591" s="58">
        <f t="shared" ca="1" si="28"/>
        <v>144500</v>
      </c>
      <c r="W591" s="58">
        <f t="shared" ca="1" si="29"/>
        <v>136000</v>
      </c>
      <c r="X591" s="58">
        <f t="shared" ca="1" si="30"/>
        <v>118999.99999999999</v>
      </c>
      <c r="Y591" s="18"/>
    </row>
    <row r="592" spans="1:25" ht="16" x14ac:dyDescent="0.15">
      <c r="A592" s="18"/>
      <c r="B592" s="54" t="s">
        <v>212</v>
      </c>
      <c r="C592" s="54" t="s">
        <v>60</v>
      </c>
      <c r="D592" s="54"/>
      <c r="E592" s="54" t="s">
        <v>225</v>
      </c>
      <c r="F592" s="54" t="s">
        <v>123</v>
      </c>
      <c r="G592" s="54" t="s">
        <v>214</v>
      </c>
      <c r="H592" s="54" t="s">
        <v>131</v>
      </c>
      <c r="I592" s="55" t="str">
        <f t="shared" si="25"/>
        <v>CBFLX-TB-GL-1500x600+X</v>
      </c>
      <c r="J592" s="54" t="s">
        <v>211</v>
      </c>
      <c r="K592" s="54" t="s">
        <v>130</v>
      </c>
      <c r="L592" s="54"/>
      <c r="M592" s="54" t="s">
        <v>226</v>
      </c>
      <c r="N592" s="54" t="s">
        <v>214</v>
      </c>
      <c r="O592" s="54" t="s">
        <v>42</v>
      </c>
      <c r="P592" s="56" t="s">
        <v>199</v>
      </c>
      <c r="Q592" s="57"/>
      <c r="R592" s="57"/>
      <c r="S592" s="57"/>
      <c r="T592" s="57">
        <f t="shared" ca="1" si="26"/>
        <v>56600</v>
      </c>
      <c r="U592" s="58">
        <f t="shared" ca="1" si="27"/>
        <v>50940</v>
      </c>
      <c r="V592" s="58">
        <f t="shared" ca="1" si="28"/>
        <v>48110</v>
      </c>
      <c r="W592" s="58">
        <f t="shared" ca="1" si="29"/>
        <v>45280</v>
      </c>
      <c r="X592" s="58">
        <f t="shared" ca="1" si="30"/>
        <v>39620</v>
      </c>
      <c r="Y592" s="18"/>
    </row>
    <row r="593" spans="1:25" ht="16" x14ac:dyDescent="0.15">
      <c r="A593" s="18"/>
      <c r="B593" s="54" t="s">
        <v>212</v>
      </c>
      <c r="C593" s="54" t="s">
        <v>60</v>
      </c>
      <c r="D593" s="54"/>
      <c r="E593" s="54" t="s">
        <v>225</v>
      </c>
      <c r="F593" s="54" t="s">
        <v>65</v>
      </c>
      <c r="G593" s="54" t="s">
        <v>217</v>
      </c>
      <c r="H593" s="54" t="s">
        <v>131</v>
      </c>
      <c r="I593" s="55" t="str">
        <f t="shared" si="25"/>
        <v>CBFLX-TB-PB-1800x750+X</v>
      </c>
      <c r="J593" s="54" t="s">
        <v>211</v>
      </c>
      <c r="K593" s="54" t="s">
        <v>130</v>
      </c>
      <c r="L593" s="54"/>
      <c r="M593" s="54" t="s">
        <v>226</v>
      </c>
      <c r="N593" s="54" t="s">
        <v>217</v>
      </c>
      <c r="O593" s="54" t="s">
        <v>11</v>
      </c>
      <c r="P593" s="56" t="s">
        <v>199</v>
      </c>
      <c r="Q593" s="57"/>
      <c r="R593" s="57"/>
      <c r="S593" s="57"/>
      <c r="T593" s="57">
        <f t="shared" ca="1" si="26"/>
        <v>35800</v>
      </c>
      <c r="U593" s="58">
        <f t="shared" ca="1" si="27"/>
        <v>32220</v>
      </c>
      <c r="V593" s="58">
        <f t="shared" ca="1" si="28"/>
        <v>30430</v>
      </c>
      <c r="W593" s="58">
        <f t="shared" ca="1" si="29"/>
        <v>28640</v>
      </c>
      <c r="X593" s="58">
        <f t="shared" ca="1" si="30"/>
        <v>25060</v>
      </c>
      <c r="Y593" s="18"/>
    </row>
    <row r="594" spans="1:25" ht="16" x14ac:dyDescent="0.15">
      <c r="A594" s="18"/>
      <c r="B594" s="54" t="s">
        <v>212</v>
      </c>
      <c r="C594" s="54" t="s">
        <v>60</v>
      </c>
      <c r="D594" s="54"/>
      <c r="E594" s="54" t="s">
        <v>225</v>
      </c>
      <c r="F594" s="54" t="s">
        <v>112</v>
      </c>
      <c r="G594" s="54" t="s">
        <v>217</v>
      </c>
      <c r="H594" s="54" t="s">
        <v>131</v>
      </c>
      <c r="I594" s="55" t="str">
        <f t="shared" si="25"/>
        <v>CBFLX-TB-PLM-1800x750+X</v>
      </c>
      <c r="J594" s="54" t="s">
        <v>211</v>
      </c>
      <c r="K594" s="54" t="s">
        <v>130</v>
      </c>
      <c r="L594" s="54"/>
      <c r="M594" s="54" t="s">
        <v>226</v>
      </c>
      <c r="N594" s="54" t="s">
        <v>217</v>
      </c>
      <c r="O594" s="54" t="s">
        <v>31</v>
      </c>
      <c r="P594" s="56" t="s">
        <v>199</v>
      </c>
      <c r="Q594" s="57"/>
      <c r="R594" s="57"/>
      <c r="S594" s="57"/>
      <c r="T594" s="57">
        <f t="shared" ca="1" si="26"/>
        <v>38000</v>
      </c>
      <c r="U594" s="58">
        <f t="shared" ca="1" si="27"/>
        <v>34200</v>
      </c>
      <c r="V594" s="58">
        <f t="shared" ca="1" si="28"/>
        <v>32300</v>
      </c>
      <c r="W594" s="58">
        <f t="shared" ca="1" si="29"/>
        <v>30400</v>
      </c>
      <c r="X594" s="58">
        <f t="shared" ca="1" si="30"/>
        <v>26600</v>
      </c>
      <c r="Y594" s="18"/>
    </row>
    <row r="595" spans="1:25" ht="16" x14ac:dyDescent="0.15">
      <c r="A595" s="18"/>
      <c r="B595" s="54" t="s">
        <v>212</v>
      </c>
      <c r="C595" s="54" t="s">
        <v>60</v>
      </c>
      <c r="D595" s="54"/>
      <c r="E595" s="54" t="s">
        <v>225</v>
      </c>
      <c r="F595" s="54" t="s">
        <v>114</v>
      </c>
      <c r="G595" s="54" t="s">
        <v>217</v>
      </c>
      <c r="H595" s="54" t="s">
        <v>131</v>
      </c>
      <c r="I595" s="55" t="str">
        <f t="shared" si="25"/>
        <v>CBFLX-TB-PoLM-1800x750+X</v>
      </c>
      <c r="J595" s="54" t="s">
        <v>211</v>
      </c>
      <c r="K595" s="54" t="s">
        <v>130</v>
      </c>
      <c r="L595" s="54"/>
      <c r="M595" s="54" t="s">
        <v>226</v>
      </c>
      <c r="N595" s="54" t="s">
        <v>217</v>
      </c>
      <c r="O595" s="54" t="s">
        <v>47</v>
      </c>
      <c r="P595" s="56" t="s">
        <v>199</v>
      </c>
      <c r="Q595" s="57"/>
      <c r="R595" s="57"/>
      <c r="S595" s="57"/>
      <c r="T595" s="57">
        <f t="shared" ca="1" si="26"/>
        <v>50100</v>
      </c>
      <c r="U595" s="58">
        <f t="shared" ca="1" si="27"/>
        <v>45090</v>
      </c>
      <c r="V595" s="58">
        <f t="shared" ca="1" si="28"/>
        <v>42585</v>
      </c>
      <c r="W595" s="58">
        <f t="shared" ca="1" si="29"/>
        <v>40080</v>
      </c>
      <c r="X595" s="58">
        <f t="shared" ca="1" si="30"/>
        <v>35070</v>
      </c>
      <c r="Y595" s="18"/>
    </row>
    <row r="596" spans="1:25" ht="16" x14ac:dyDescent="0.15">
      <c r="A596" s="18"/>
      <c r="B596" s="54" t="s">
        <v>212</v>
      </c>
      <c r="C596" s="54" t="s">
        <v>60</v>
      </c>
      <c r="D596" s="54"/>
      <c r="E596" s="54" t="s">
        <v>225</v>
      </c>
      <c r="F596" s="54" t="s">
        <v>117</v>
      </c>
      <c r="G596" s="54" t="s">
        <v>217</v>
      </c>
      <c r="H596" s="54" t="s">
        <v>131</v>
      </c>
      <c r="I596" s="55" t="str">
        <f t="shared" si="25"/>
        <v>CBFLX-TB-LVM-1800x750+X</v>
      </c>
      <c r="J596" s="54" t="s">
        <v>211</v>
      </c>
      <c r="K596" s="54" t="s">
        <v>130</v>
      </c>
      <c r="L596" s="54"/>
      <c r="M596" s="54" t="s">
        <v>226</v>
      </c>
      <c r="N596" s="54" t="s">
        <v>217</v>
      </c>
      <c r="O596" s="54" t="s">
        <v>157</v>
      </c>
      <c r="P596" s="56" t="s">
        <v>199</v>
      </c>
      <c r="Q596" s="57"/>
      <c r="R596" s="57"/>
      <c r="S596" s="57"/>
      <c r="T596" s="57">
        <f t="shared" ca="1" si="26"/>
        <v>61500</v>
      </c>
      <c r="U596" s="58">
        <f t="shared" ca="1" si="27"/>
        <v>55350</v>
      </c>
      <c r="V596" s="58">
        <f t="shared" ca="1" si="28"/>
        <v>52275</v>
      </c>
      <c r="W596" s="58">
        <f t="shared" ca="1" si="29"/>
        <v>49200</v>
      </c>
      <c r="X596" s="58">
        <f t="shared" ca="1" si="30"/>
        <v>43050</v>
      </c>
      <c r="Y596" s="18"/>
    </row>
    <row r="597" spans="1:25" ht="16" x14ac:dyDescent="0.15">
      <c r="A597" s="18"/>
      <c r="B597" s="54" t="s">
        <v>212</v>
      </c>
      <c r="C597" s="54" t="s">
        <v>60</v>
      </c>
      <c r="D597" s="54"/>
      <c r="E597" s="54" t="s">
        <v>225</v>
      </c>
      <c r="F597" s="54" t="s">
        <v>119</v>
      </c>
      <c r="G597" s="54" t="s">
        <v>217</v>
      </c>
      <c r="H597" s="54" t="s">
        <v>131</v>
      </c>
      <c r="I597" s="55" t="str">
        <f t="shared" si="25"/>
        <v>CBFLX-TB-LVP-1800x750+X</v>
      </c>
      <c r="J597" s="54" t="s">
        <v>211</v>
      </c>
      <c r="K597" s="54" t="s">
        <v>130</v>
      </c>
      <c r="L597" s="54"/>
      <c r="M597" s="54" t="s">
        <v>226</v>
      </c>
      <c r="N597" s="54" t="s">
        <v>217</v>
      </c>
      <c r="O597" s="54" t="s">
        <v>158</v>
      </c>
      <c r="P597" s="56" t="s">
        <v>199</v>
      </c>
      <c r="Q597" s="57"/>
      <c r="R597" s="57"/>
      <c r="S597" s="57"/>
      <c r="T597" s="57">
        <f t="shared" ca="1" si="26"/>
        <v>64200</v>
      </c>
      <c r="U597" s="58">
        <f t="shared" ca="1" si="27"/>
        <v>57780</v>
      </c>
      <c r="V597" s="58">
        <f t="shared" ca="1" si="28"/>
        <v>54570</v>
      </c>
      <c r="W597" s="58">
        <f t="shared" ca="1" si="29"/>
        <v>51360</v>
      </c>
      <c r="X597" s="58">
        <f t="shared" ca="1" si="30"/>
        <v>44940</v>
      </c>
      <c r="Y597" s="18"/>
    </row>
    <row r="598" spans="1:25" ht="16" x14ac:dyDescent="0.15">
      <c r="A598" s="18"/>
      <c r="B598" s="54" t="s">
        <v>212</v>
      </c>
      <c r="C598" s="54" t="s">
        <v>60</v>
      </c>
      <c r="D598" s="54"/>
      <c r="E598" s="54" t="s">
        <v>225</v>
      </c>
      <c r="F598" s="54" t="s">
        <v>121</v>
      </c>
      <c r="G598" s="54" t="s">
        <v>217</v>
      </c>
      <c r="H598" s="54" t="s">
        <v>131</v>
      </c>
      <c r="I598" s="55" t="str">
        <f t="shared" si="25"/>
        <v>CBFLX-TB-VNR-1800x750+X</v>
      </c>
      <c r="J598" s="54" t="s">
        <v>211</v>
      </c>
      <c r="K598" s="54" t="s">
        <v>130</v>
      </c>
      <c r="L598" s="54"/>
      <c r="M598" s="54" t="s">
        <v>226</v>
      </c>
      <c r="N598" s="54" t="s">
        <v>217</v>
      </c>
      <c r="O598" s="54" t="s">
        <v>90</v>
      </c>
      <c r="P598" s="56" t="s">
        <v>199</v>
      </c>
      <c r="Q598" s="57"/>
      <c r="R598" s="57"/>
      <c r="S598" s="57"/>
      <c r="T598" s="57">
        <f t="shared" ca="1" si="26"/>
        <v>116900</v>
      </c>
      <c r="U598" s="58">
        <f t="shared" ca="1" si="27"/>
        <v>105210</v>
      </c>
      <c r="V598" s="58">
        <f t="shared" ca="1" si="28"/>
        <v>99365</v>
      </c>
      <c r="W598" s="58">
        <f t="shared" ca="1" si="29"/>
        <v>93520</v>
      </c>
      <c r="X598" s="58">
        <f t="shared" ca="1" si="30"/>
        <v>81830</v>
      </c>
      <c r="Y598" s="18"/>
    </row>
    <row r="599" spans="1:25" ht="16" x14ac:dyDescent="0.15">
      <c r="A599" s="18"/>
      <c r="B599" s="54" t="s">
        <v>212</v>
      </c>
      <c r="C599" s="54" t="s">
        <v>60</v>
      </c>
      <c r="D599" s="54"/>
      <c r="E599" s="54" t="s">
        <v>225</v>
      </c>
      <c r="F599" s="54" t="s">
        <v>123</v>
      </c>
      <c r="G599" s="54" t="s">
        <v>217</v>
      </c>
      <c r="H599" s="54" t="s">
        <v>131</v>
      </c>
      <c r="I599" s="55" t="str">
        <f t="shared" si="25"/>
        <v>CBFLX-TB-GL-1800x750+X</v>
      </c>
      <c r="J599" s="54" t="s">
        <v>211</v>
      </c>
      <c r="K599" s="54" t="s">
        <v>130</v>
      </c>
      <c r="L599" s="54"/>
      <c r="M599" s="54" t="s">
        <v>226</v>
      </c>
      <c r="N599" s="54" t="s">
        <v>217</v>
      </c>
      <c r="O599" s="54" t="s">
        <v>42</v>
      </c>
      <c r="P599" s="56" t="s">
        <v>199</v>
      </c>
      <c r="Q599" s="57"/>
      <c r="R599" s="57"/>
      <c r="S599" s="57"/>
      <c r="T599" s="57">
        <f t="shared" ca="1" si="26"/>
        <v>56100</v>
      </c>
      <c r="U599" s="58">
        <f t="shared" ca="1" si="27"/>
        <v>50490</v>
      </c>
      <c r="V599" s="58">
        <f t="shared" ca="1" si="28"/>
        <v>47685</v>
      </c>
      <c r="W599" s="58">
        <f t="shared" ca="1" si="29"/>
        <v>44880</v>
      </c>
      <c r="X599" s="58">
        <f t="shared" ca="1" si="30"/>
        <v>39270</v>
      </c>
      <c r="Y599" s="18"/>
    </row>
    <row r="600" spans="1:25" ht="16" x14ac:dyDescent="0.15">
      <c r="A600" s="18"/>
      <c r="B600" s="54" t="s">
        <v>212</v>
      </c>
      <c r="C600" s="54" t="s">
        <v>60</v>
      </c>
      <c r="D600" s="54"/>
      <c r="E600" s="54" t="s">
        <v>225</v>
      </c>
      <c r="F600" s="54" t="s">
        <v>65</v>
      </c>
      <c r="G600" s="54" t="s">
        <v>219</v>
      </c>
      <c r="H600" s="54" t="s">
        <v>131</v>
      </c>
      <c r="I600" s="55" t="str">
        <f t="shared" si="25"/>
        <v>CBFLX-TB-PB-2100x900+X</v>
      </c>
      <c r="J600" s="54" t="s">
        <v>211</v>
      </c>
      <c r="K600" s="54" t="s">
        <v>130</v>
      </c>
      <c r="L600" s="54"/>
      <c r="M600" s="54" t="s">
        <v>226</v>
      </c>
      <c r="N600" s="54" t="s">
        <v>219</v>
      </c>
      <c r="O600" s="54" t="s">
        <v>11</v>
      </c>
      <c r="P600" s="56" t="s">
        <v>199</v>
      </c>
      <c r="Q600" s="57"/>
      <c r="R600" s="57"/>
      <c r="S600" s="57"/>
      <c r="T600" s="57">
        <f t="shared" ca="1" si="26"/>
        <v>39100</v>
      </c>
      <c r="U600" s="58">
        <f t="shared" ca="1" si="27"/>
        <v>35190</v>
      </c>
      <c r="V600" s="58">
        <f t="shared" ca="1" si="28"/>
        <v>33235</v>
      </c>
      <c r="W600" s="58">
        <f t="shared" ca="1" si="29"/>
        <v>31280</v>
      </c>
      <c r="X600" s="58">
        <f t="shared" ca="1" si="30"/>
        <v>27370</v>
      </c>
      <c r="Y600" s="18"/>
    </row>
    <row r="601" spans="1:25" ht="16" x14ac:dyDescent="0.15">
      <c r="A601" s="18"/>
      <c r="B601" s="54" t="s">
        <v>212</v>
      </c>
      <c r="C601" s="54" t="s">
        <v>60</v>
      </c>
      <c r="D601" s="54"/>
      <c r="E601" s="54" t="s">
        <v>225</v>
      </c>
      <c r="F601" s="54" t="s">
        <v>112</v>
      </c>
      <c r="G601" s="54" t="s">
        <v>219</v>
      </c>
      <c r="H601" s="54" t="s">
        <v>131</v>
      </c>
      <c r="I601" s="55" t="str">
        <f t="shared" si="25"/>
        <v>CBFLX-TB-PLM-2100x900+X</v>
      </c>
      <c r="J601" s="54" t="s">
        <v>211</v>
      </c>
      <c r="K601" s="54" t="s">
        <v>130</v>
      </c>
      <c r="L601" s="54"/>
      <c r="M601" s="54" t="s">
        <v>226</v>
      </c>
      <c r="N601" s="54" t="s">
        <v>219</v>
      </c>
      <c r="O601" s="54" t="s">
        <v>31</v>
      </c>
      <c r="P601" s="56" t="s">
        <v>199</v>
      </c>
      <c r="Q601" s="57"/>
      <c r="R601" s="57"/>
      <c r="S601" s="57"/>
      <c r="T601" s="57">
        <f t="shared" ca="1" si="26"/>
        <v>42100</v>
      </c>
      <c r="U601" s="58">
        <f t="shared" ca="1" si="27"/>
        <v>37890</v>
      </c>
      <c r="V601" s="58">
        <f t="shared" ca="1" si="28"/>
        <v>35785</v>
      </c>
      <c r="W601" s="58">
        <f t="shared" ca="1" si="29"/>
        <v>33680</v>
      </c>
      <c r="X601" s="58">
        <f t="shared" ca="1" si="30"/>
        <v>29469.999999999996</v>
      </c>
      <c r="Y601" s="18"/>
    </row>
    <row r="602" spans="1:25" ht="16" x14ac:dyDescent="0.15">
      <c r="A602" s="18"/>
      <c r="B602" s="54" t="s">
        <v>212</v>
      </c>
      <c r="C602" s="54" t="s">
        <v>60</v>
      </c>
      <c r="D602" s="54"/>
      <c r="E602" s="54" t="s">
        <v>225</v>
      </c>
      <c r="F602" s="54" t="s">
        <v>114</v>
      </c>
      <c r="G602" s="54" t="s">
        <v>219</v>
      </c>
      <c r="H602" s="54" t="s">
        <v>131</v>
      </c>
      <c r="I602" s="55" t="str">
        <f t="shared" si="25"/>
        <v>CBFLX-TB-PoLM-2100x900+X</v>
      </c>
      <c r="J602" s="54" t="s">
        <v>211</v>
      </c>
      <c r="K602" s="54" t="s">
        <v>130</v>
      </c>
      <c r="L602" s="54"/>
      <c r="M602" s="54" t="s">
        <v>226</v>
      </c>
      <c r="N602" s="54" t="s">
        <v>219</v>
      </c>
      <c r="O602" s="54" t="s">
        <v>47</v>
      </c>
      <c r="P602" s="56" t="s">
        <v>199</v>
      </c>
      <c r="Q602" s="57"/>
      <c r="R602" s="57"/>
      <c r="S602" s="57"/>
      <c r="T602" s="57">
        <f t="shared" ca="1" si="26"/>
        <v>59100</v>
      </c>
      <c r="U602" s="58">
        <f t="shared" ca="1" si="27"/>
        <v>53190</v>
      </c>
      <c r="V602" s="58">
        <f t="shared" ca="1" si="28"/>
        <v>50235</v>
      </c>
      <c r="W602" s="58">
        <f t="shared" ca="1" si="29"/>
        <v>47280</v>
      </c>
      <c r="X602" s="58">
        <f t="shared" ca="1" si="30"/>
        <v>41370</v>
      </c>
      <c r="Y602" s="18"/>
    </row>
    <row r="603" spans="1:25" ht="16" x14ac:dyDescent="0.15">
      <c r="A603" s="18"/>
      <c r="B603" s="54" t="s">
        <v>212</v>
      </c>
      <c r="C603" s="54" t="s">
        <v>60</v>
      </c>
      <c r="D603" s="54"/>
      <c r="E603" s="54" t="s">
        <v>225</v>
      </c>
      <c r="F603" s="54" t="s">
        <v>117</v>
      </c>
      <c r="G603" s="54" t="s">
        <v>219</v>
      </c>
      <c r="H603" s="54" t="s">
        <v>131</v>
      </c>
      <c r="I603" s="55" t="str">
        <f t="shared" si="25"/>
        <v>CBFLX-TB-LVM-2100x900+X</v>
      </c>
      <c r="J603" s="54" t="s">
        <v>211</v>
      </c>
      <c r="K603" s="54" t="s">
        <v>130</v>
      </c>
      <c r="L603" s="54"/>
      <c r="M603" s="54" t="s">
        <v>226</v>
      </c>
      <c r="N603" s="54" t="s">
        <v>219</v>
      </c>
      <c r="O603" s="54" t="s">
        <v>157</v>
      </c>
      <c r="P603" s="56" t="s">
        <v>199</v>
      </c>
      <c r="Q603" s="57"/>
      <c r="R603" s="57"/>
      <c r="S603" s="57"/>
      <c r="T603" s="57">
        <f t="shared" ca="1" si="26"/>
        <v>72600</v>
      </c>
      <c r="U603" s="58">
        <f t="shared" ca="1" si="27"/>
        <v>65340</v>
      </c>
      <c r="V603" s="58">
        <f t="shared" ca="1" si="28"/>
        <v>61710</v>
      </c>
      <c r="W603" s="58">
        <f t="shared" ca="1" si="29"/>
        <v>58080</v>
      </c>
      <c r="X603" s="58">
        <f t="shared" ca="1" si="30"/>
        <v>50820</v>
      </c>
      <c r="Y603" s="18"/>
    </row>
    <row r="604" spans="1:25" ht="16" x14ac:dyDescent="0.15">
      <c r="A604" s="18"/>
      <c r="B604" s="54" t="s">
        <v>212</v>
      </c>
      <c r="C604" s="54" t="s">
        <v>60</v>
      </c>
      <c r="D604" s="54"/>
      <c r="E604" s="54" t="s">
        <v>225</v>
      </c>
      <c r="F604" s="54" t="s">
        <v>119</v>
      </c>
      <c r="G604" s="54" t="s">
        <v>219</v>
      </c>
      <c r="H604" s="54" t="s">
        <v>131</v>
      </c>
      <c r="I604" s="55" t="str">
        <f t="shared" si="25"/>
        <v>CBFLX-TB-LVP-2100x900+X</v>
      </c>
      <c r="J604" s="54" t="s">
        <v>211</v>
      </c>
      <c r="K604" s="54" t="s">
        <v>130</v>
      </c>
      <c r="L604" s="54"/>
      <c r="M604" s="54" t="s">
        <v>226</v>
      </c>
      <c r="N604" s="54" t="s">
        <v>219</v>
      </c>
      <c r="O604" s="54" t="s">
        <v>158</v>
      </c>
      <c r="P604" s="56" t="s">
        <v>199</v>
      </c>
      <c r="Q604" s="57"/>
      <c r="R604" s="57"/>
      <c r="S604" s="57"/>
      <c r="T604" s="57">
        <f t="shared" ca="1" si="26"/>
        <v>76400</v>
      </c>
      <c r="U604" s="58">
        <f t="shared" ca="1" si="27"/>
        <v>68760</v>
      </c>
      <c r="V604" s="58">
        <f t="shared" ca="1" si="28"/>
        <v>64940</v>
      </c>
      <c r="W604" s="58">
        <f t="shared" ca="1" si="29"/>
        <v>61120</v>
      </c>
      <c r="X604" s="58">
        <f t="shared" ca="1" si="30"/>
        <v>53480</v>
      </c>
      <c r="Y604" s="18"/>
    </row>
    <row r="605" spans="1:25" ht="16" x14ac:dyDescent="0.15">
      <c r="A605" s="18"/>
      <c r="B605" s="54" t="s">
        <v>212</v>
      </c>
      <c r="C605" s="54" t="s">
        <v>60</v>
      </c>
      <c r="D605" s="54"/>
      <c r="E605" s="54" t="s">
        <v>225</v>
      </c>
      <c r="F605" s="54" t="s">
        <v>121</v>
      </c>
      <c r="G605" s="54" t="s">
        <v>219</v>
      </c>
      <c r="H605" s="54" t="s">
        <v>131</v>
      </c>
      <c r="I605" s="55" t="str">
        <f t="shared" si="25"/>
        <v>CBFLX-TB-VNR-2100x900+X</v>
      </c>
      <c r="J605" s="54" t="s">
        <v>211</v>
      </c>
      <c r="K605" s="54" t="s">
        <v>130</v>
      </c>
      <c r="L605" s="54"/>
      <c r="M605" s="54" t="s">
        <v>226</v>
      </c>
      <c r="N605" s="54" t="s">
        <v>219</v>
      </c>
      <c r="O605" s="54" t="s">
        <v>90</v>
      </c>
      <c r="P605" s="56" t="s">
        <v>199</v>
      </c>
      <c r="Q605" s="57"/>
      <c r="R605" s="57"/>
      <c r="S605" s="57"/>
      <c r="T605" s="57">
        <f t="shared" ca="1" si="26"/>
        <v>150100</v>
      </c>
      <c r="U605" s="58">
        <f t="shared" ca="1" si="27"/>
        <v>135090</v>
      </c>
      <c r="V605" s="58">
        <f t="shared" ca="1" si="28"/>
        <v>127585</v>
      </c>
      <c r="W605" s="58">
        <f t="shared" ca="1" si="29"/>
        <v>120080</v>
      </c>
      <c r="X605" s="58">
        <f t="shared" ca="1" si="30"/>
        <v>105070</v>
      </c>
      <c r="Y605" s="18"/>
    </row>
    <row r="606" spans="1:25" ht="16" x14ac:dyDescent="0.15">
      <c r="A606" s="18"/>
      <c r="B606" s="54" t="s">
        <v>212</v>
      </c>
      <c r="C606" s="54" t="s">
        <v>60</v>
      </c>
      <c r="D606" s="54"/>
      <c r="E606" s="54" t="s">
        <v>225</v>
      </c>
      <c r="F606" s="54" t="s">
        <v>123</v>
      </c>
      <c r="G606" s="54" t="s">
        <v>219</v>
      </c>
      <c r="H606" s="54" t="s">
        <v>131</v>
      </c>
      <c r="I606" s="55" t="str">
        <f t="shared" si="25"/>
        <v>CBFLX-TB-GL-2100x900+X</v>
      </c>
      <c r="J606" s="54" t="s">
        <v>211</v>
      </c>
      <c r="K606" s="54" t="s">
        <v>130</v>
      </c>
      <c r="L606" s="54"/>
      <c r="M606" s="54" t="s">
        <v>226</v>
      </c>
      <c r="N606" s="54" t="s">
        <v>219</v>
      </c>
      <c r="O606" s="54" t="s">
        <v>42</v>
      </c>
      <c r="P606" s="56" t="s">
        <v>199</v>
      </c>
      <c r="Q606" s="57"/>
      <c r="R606" s="57"/>
      <c r="S606" s="57"/>
      <c r="T606" s="57">
        <f t="shared" ca="1" si="26"/>
        <v>65100</v>
      </c>
      <c r="U606" s="58">
        <f t="shared" ca="1" si="27"/>
        <v>58590</v>
      </c>
      <c r="V606" s="58">
        <f t="shared" ca="1" si="28"/>
        <v>55335</v>
      </c>
      <c r="W606" s="58">
        <f t="shared" ca="1" si="29"/>
        <v>52080</v>
      </c>
      <c r="X606" s="58">
        <f t="shared" ca="1" si="30"/>
        <v>45570</v>
      </c>
      <c r="Y606" s="18"/>
    </row>
    <row r="607" spans="1:25" ht="16" x14ac:dyDescent="0.15">
      <c r="A607" s="18"/>
      <c r="B607" s="54" t="s">
        <v>212</v>
      </c>
      <c r="C607" s="54" t="s">
        <v>134</v>
      </c>
      <c r="D607" s="54"/>
      <c r="E607" s="54" t="s">
        <v>213</v>
      </c>
      <c r="F607" s="54" t="s">
        <v>65</v>
      </c>
      <c r="G607" s="59" t="s">
        <v>214</v>
      </c>
      <c r="H607" s="54">
        <v>1800</v>
      </c>
      <c r="I607" s="55" t="str">
        <f t="shared" si="25"/>
        <v>CBSTK-RST-PB-1500x600+1800</v>
      </c>
      <c r="J607" s="54" t="s">
        <v>211</v>
      </c>
      <c r="K607" s="54" t="s">
        <v>133</v>
      </c>
      <c r="L607" s="54"/>
      <c r="M607" s="54" t="s">
        <v>215</v>
      </c>
      <c r="N607" s="54" t="s">
        <v>216</v>
      </c>
      <c r="O607" s="54" t="s">
        <v>11</v>
      </c>
      <c r="P607" s="56" t="s">
        <v>199</v>
      </c>
      <c r="Q607" s="57"/>
      <c r="R607" s="57"/>
      <c r="S607" s="57"/>
      <c r="T607" s="57">
        <f t="shared" ca="1" si="26"/>
        <v>42300</v>
      </c>
      <c r="U607" s="58">
        <f t="shared" ca="1" si="27"/>
        <v>38070</v>
      </c>
      <c r="V607" s="58">
        <f t="shared" ca="1" si="28"/>
        <v>35955</v>
      </c>
      <c r="W607" s="58">
        <f t="shared" ca="1" si="29"/>
        <v>33840</v>
      </c>
      <c r="X607" s="58">
        <f t="shared" ca="1" si="30"/>
        <v>29609.999999999996</v>
      </c>
      <c r="Y607" s="18"/>
    </row>
    <row r="608" spans="1:25" ht="16" x14ac:dyDescent="0.15">
      <c r="A608" s="18"/>
      <c r="B608" s="54" t="s">
        <v>212</v>
      </c>
      <c r="C608" s="54" t="s">
        <v>134</v>
      </c>
      <c r="D608" s="54"/>
      <c r="E608" s="54" t="s">
        <v>213</v>
      </c>
      <c r="F608" s="54" t="s">
        <v>112</v>
      </c>
      <c r="G608" s="59" t="s">
        <v>214</v>
      </c>
      <c r="H608" s="54">
        <v>1800</v>
      </c>
      <c r="I608" s="55" t="str">
        <f t="shared" si="25"/>
        <v>CBSTK-RST-PLM-1500x600+1800</v>
      </c>
      <c r="J608" s="54" t="s">
        <v>211</v>
      </c>
      <c r="K608" s="54" t="s">
        <v>133</v>
      </c>
      <c r="L608" s="54"/>
      <c r="M608" s="54" t="s">
        <v>215</v>
      </c>
      <c r="N608" s="54" t="s">
        <v>216</v>
      </c>
      <c r="O608" s="54" t="s">
        <v>31</v>
      </c>
      <c r="P608" s="56" t="s">
        <v>199</v>
      </c>
      <c r="Q608" s="57"/>
      <c r="R608" s="57"/>
      <c r="S608" s="57"/>
      <c r="T608" s="57">
        <f t="shared" ca="1" si="26"/>
        <v>46300</v>
      </c>
      <c r="U608" s="58">
        <f t="shared" ca="1" si="27"/>
        <v>41670</v>
      </c>
      <c r="V608" s="58">
        <f t="shared" ca="1" si="28"/>
        <v>39355</v>
      </c>
      <c r="W608" s="58">
        <f t="shared" ca="1" si="29"/>
        <v>37040</v>
      </c>
      <c r="X608" s="58">
        <f t="shared" ca="1" si="30"/>
        <v>32409.999999999996</v>
      </c>
      <c r="Y608" s="18"/>
    </row>
    <row r="609" spans="1:25" ht="16" x14ac:dyDescent="0.15">
      <c r="A609" s="18"/>
      <c r="B609" s="54" t="s">
        <v>212</v>
      </c>
      <c r="C609" s="54" t="s">
        <v>134</v>
      </c>
      <c r="D609" s="54"/>
      <c r="E609" s="54" t="s">
        <v>213</v>
      </c>
      <c r="F609" s="54" t="s">
        <v>114</v>
      </c>
      <c r="G609" s="59" t="s">
        <v>214</v>
      </c>
      <c r="H609" s="54">
        <v>1800</v>
      </c>
      <c r="I609" s="55" t="str">
        <f t="shared" si="25"/>
        <v>CBSTK-RST-PoLM-1500x600+1800</v>
      </c>
      <c r="J609" s="54" t="s">
        <v>211</v>
      </c>
      <c r="K609" s="54" t="s">
        <v>133</v>
      </c>
      <c r="L609" s="54"/>
      <c r="M609" s="54" t="s">
        <v>215</v>
      </c>
      <c r="N609" s="54" t="s">
        <v>216</v>
      </c>
      <c r="O609" s="54" t="s">
        <v>47</v>
      </c>
      <c r="P609" s="56" t="s">
        <v>199</v>
      </c>
      <c r="Q609" s="57"/>
      <c r="R609" s="57"/>
      <c r="S609" s="57"/>
      <c r="T609" s="57">
        <f t="shared" ca="1" si="26"/>
        <v>69000</v>
      </c>
      <c r="U609" s="58">
        <f t="shared" ca="1" si="27"/>
        <v>62100</v>
      </c>
      <c r="V609" s="58">
        <f t="shared" ca="1" si="28"/>
        <v>58650</v>
      </c>
      <c r="W609" s="58">
        <f t="shared" ca="1" si="29"/>
        <v>55200</v>
      </c>
      <c r="X609" s="58">
        <f t="shared" ca="1" si="30"/>
        <v>48300</v>
      </c>
      <c r="Y609" s="18"/>
    </row>
    <row r="610" spans="1:25" ht="16" x14ac:dyDescent="0.15">
      <c r="A610" s="18"/>
      <c r="B610" s="54" t="s">
        <v>212</v>
      </c>
      <c r="C610" s="54" t="s">
        <v>134</v>
      </c>
      <c r="D610" s="54"/>
      <c r="E610" s="54" t="s">
        <v>213</v>
      </c>
      <c r="F610" s="54" t="s">
        <v>117</v>
      </c>
      <c r="G610" s="59" t="s">
        <v>214</v>
      </c>
      <c r="H610" s="54">
        <v>1800</v>
      </c>
      <c r="I610" s="55" t="str">
        <f t="shared" si="25"/>
        <v>CBSTK-RST-LVM-1500x600+1800</v>
      </c>
      <c r="J610" s="54" t="s">
        <v>211</v>
      </c>
      <c r="K610" s="54" t="s">
        <v>133</v>
      </c>
      <c r="L610" s="54"/>
      <c r="M610" s="54" t="s">
        <v>215</v>
      </c>
      <c r="N610" s="54" t="s">
        <v>216</v>
      </c>
      <c r="O610" s="54" t="s">
        <v>157</v>
      </c>
      <c r="P610" s="56" t="s">
        <v>199</v>
      </c>
      <c r="Q610" s="57"/>
      <c r="R610" s="57"/>
      <c r="S610" s="57"/>
      <c r="T610" s="57">
        <f t="shared" ca="1" si="26"/>
        <v>85100</v>
      </c>
      <c r="U610" s="58">
        <f t="shared" ca="1" si="27"/>
        <v>76590</v>
      </c>
      <c r="V610" s="58">
        <f t="shared" ca="1" si="28"/>
        <v>72335</v>
      </c>
      <c r="W610" s="58">
        <f t="shared" ca="1" si="29"/>
        <v>68080</v>
      </c>
      <c r="X610" s="58">
        <f t="shared" ca="1" si="30"/>
        <v>59569.999999999993</v>
      </c>
      <c r="Y610" s="18"/>
    </row>
    <row r="611" spans="1:25" ht="16" x14ac:dyDescent="0.15">
      <c r="A611" s="18"/>
      <c r="B611" s="54" t="s">
        <v>212</v>
      </c>
      <c r="C611" s="54" t="s">
        <v>134</v>
      </c>
      <c r="D611" s="54"/>
      <c r="E611" s="54" t="s">
        <v>213</v>
      </c>
      <c r="F611" s="54" t="s">
        <v>119</v>
      </c>
      <c r="G611" s="59" t="s">
        <v>214</v>
      </c>
      <c r="H611" s="54">
        <v>1800</v>
      </c>
      <c r="I611" s="55" t="str">
        <f t="shared" si="25"/>
        <v>CBSTK-RST-LVP-1500x600+1800</v>
      </c>
      <c r="J611" s="54" t="s">
        <v>211</v>
      </c>
      <c r="K611" s="54" t="s">
        <v>133</v>
      </c>
      <c r="L611" s="54"/>
      <c r="M611" s="54" t="s">
        <v>215</v>
      </c>
      <c r="N611" s="54" t="s">
        <v>216</v>
      </c>
      <c r="O611" s="54" t="s">
        <v>158</v>
      </c>
      <c r="P611" s="56" t="s">
        <v>199</v>
      </c>
      <c r="Q611" s="57"/>
      <c r="R611" s="57"/>
      <c r="S611" s="57"/>
      <c r="T611" s="57">
        <f t="shared" ca="1" si="26"/>
        <v>90100</v>
      </c>
      <c r="U611" s="58">
        <f t="shared" ca="1" si="27"/>
        <v>81090</v>
      </c>
      <c r="V611" s="58">
        <f t="shared" ca="1" si="28"/>
        <v>76585</v>
      </c>
      <c r="W611" s="58">
        <f t="shared" ca="1" si="29"/>
        <v>72080</v>
      </c>
      <c r="X611" s="58">
        <f t="shared" ca="1" si="30"/>
        <v>63069.999999999993</v>
      </c>
      <c r="Y611" s="18"/>
    </row>
    <row r="612" spans="1:25" ht="16" x14ac:dyDescent="0.15">
      <c r="A612" s="18"/>
      <c r="B612" s="54" t="s">
        <v>212</v>
      </c>
      <c r="C612" s="54" t="s">
        <v>134</v>
      </c>
      <c r="D612" s="54"/>
      <c r="E612" s="54" t="s">
        <v>213</v>
      </c>
      <c r="F612" s="54" t="s">
        <v>121</v>
      </c>
      <c r="G612" s="59" t="s">
        <v>214</v>
      </c>
      <c r="H612" s="54">
        <v>1800</v>
      </c>
      <c r="I612" s="55" t="str">
        <f t="shared" si="25"/>
        <v>CBSTK-RST-VNR-1500x600+1800</v>
      </c>
      <c r="J612" s="54" t="s">
        <v>211</v>
      </c>
      <c r="K612" s="54" t="s">
        <v>133</v>
      </c>
      <c r="L612" s="54"/>
      <c r="M612" s="54" t="s">
        <v>215</v>
      </c>
      <c r="N612" s="54" t="s">
        <v>216</v>
      </c>
      <c r="O612" s="54" t="s">
        <v>90</v>
      </c>
      <c r="P612" s="56" t="s">
        <v>199</v>
      </c>
      <c r="Q612" s="57"/>
      <c r="R612" s="57"/>
      <c r="S612" s="57"/>
      <c r="T612" s="57">
        <f t="shared" ca="1" si="26"/>
        <v>188400</v>
      </c>
      <c r="U612" s="58">
        <f t="shared" ca="1" si="27"/>
        <v>169560</v>
      </c>
      <c r="V612" s="58">
        <f t="shared" ca="1" si="28"/>
        <v>160140</v>
      </c>
      <c r="W612" s="58">
        <f t="shared" ca="1" si="29"/>
        <v>150720</v>
      </c>
      <c r="X612" s="58">
        <f t="shared" ca="1" si="30"/>
        <v>131880</v>
      </c>
      <c r="Y612" s="18"/>
    </row>
    <row r="613" spans="1:25" ht="16" x14ac:dyDescent="0.15">
      <c r="A613" s="18"/>
      <c r="B613" s="54" t="s">
        <v>212</v>
      </c>
      <c r="C613" s="54" t="s">
        <v>134</v>
      </c>
      <c r="D613" s="54"/>
      <c r="E613" s="54" t="s">
        <v>213</v>
      </c>
      <c r="F613" s="54" t="s">
        <v>123</v>
      </c>
      <c r="G613" s="59" t="s">
        <v>214</v>
      </c>
      <c r="H613" s="54">
        <v>1800</v>
      </c>
      <c r="I613" s="55" t="str">
        <f t="shared" si="25"/>
        <v>CBSTK-RST-GL-1500x600+1800</v>
      </c>
      <c r="J613" s="54" t="s">
        <v>211</v>
      </c>
      <c r="K613" s="54" t="s">
        <v>133</v>
      </c>
      <c r="L613" s="54"/>
      <c r="M613" s="54" t="s">
        <v>215</v>
      </c>
      <c r="N613" s="54" t="s">
        <v>216</v>
      </c>
      <c r="O613" s="54" t="s">
        <v>42</v>
      </c>
      <c r="P613" s="56" t="s">
        <v>199</v>
      </c>
      <c r="Q613" s="57"/>
      <c r="R613" s="57"/>
      <c r="S613" s="57"/>
      <c r="T613" s="57">
        <f t="shared" ca="1" si="26"/>
        <v>75000</v>
      </c>
      <c r="U613" s="58">
        <f t="shared" ca="1" si="27"/>
        <v>67500</v>
      </c>
      <c r="V613" s="58">
        <f t="shared" ca="1" si="28"/>
        <v>63750</v>
      </c>
      <c r="W613" s="58">
        <f t="shared" ca="1" si="29"/>
        <v>60000</v>
      </c>
      <c r="X613" s="58">
        <f t="shared" ca="1" si="30"/>
        <v>52500</v>
      </c>
      <c r="Y613" s="18"/>
    </row>
    <row r="614" spans="1:25" ht="16" x14ac:dyDescent="0.15">
      <c r="A614" s="18"/>
      <c r="B614" s="54" t="s">
        <v>212</v>
      </c>
      <c r="C614" s="54" t="s">
        <v>134</v>
      </c>
      <c r="D614" s="54"/>
      <c r="E614" s="54" t="s">
        <v>213</v>
      </c>
      <c r="F614" s="54" t="s">
        <v>65</v>
      </c>
      <c r="G614" s="59" t="s">
        <v>217</v>
      </c>
      <c r="H614" s="54">
        <v>1800</v>
      </c>
      <c r="I614" s="55" t="str">
        <f t="shared" si="25"/>
        <v>CBSTK-RST-PB-1800x750+1800</v>
      </c>
      <c r="J614" s="54" t="s">
        <v>211</v>
      </c>
      <c r="K614" s="54" t="s">
        <v>133</v>
      </c>
      <c r="L614" s="54"/>
      <c r="M614" s="54" t="s">
        <v>215</v>
      </c>
      <c r="N614" s="54" t="s">
        <v>218</v>
      </c>
      <c r="O614" s="54" t="s">
        <v>11</v>
      </c>
      <c r="P614" s="56" t="s">
        <v>199</v>
      </c>
      <c r="Q614" s="57"/>
      <c r="R614" s="57"/>
      <c r="S614" s="57"/>
      <c r="T614" s="57">
        <f t="shared" ca="1" si="26"/>
        <v>37400</v>
      </c>
      <c r="U614" s="58">
        <f t="shared" ca="1" si="27"/>
        <v>33660</v>
      </c>
      <c r="V614" s="58">
        <f t="shared" ca="1" si="28"/>
        <v>31790</v>
      </c>
      <c r="W614" s="58">
        <f t="shared" ca="1" si="29"/>
        <v>29920</v>
      </c>
      <c r="X614" s="58">
        <f t="shared" ca="1" si="30"/>
        <v>26180</v>
      </c>
      <c r="Y614" s="18"/>
    </row>
    <row r="615" spans="1:25" ht="16" x14ac:dyDescent="0.15">
      <c r="A615" s="18"/>
      <c r="B615" s="54" t="s">
        <v>212</v>
      </c>
      <c r="C615" s="54" t="s">
        <v>134</v>
      </c>
      <c r="D615" s="54"/>
      <c r="E615" s="54" t="s">
        <v>213</v>
      </c>
      <c r="F615" s="54" t="s">
        <v>112</v>
      </c>
      <c r="G615" s="59" t="s">
        <v>217</v>
      </c>
      <c r="H615" s="54">
        <v>1800</v>
      </c>
      <c r="I615" s="55" t="str">
        <f t="shared" si="25"/>
        <v>CBSTK-RST-PLM-1800x750+1800</v>
      </c>
      <c r="J615" s="54" t="s">
        <v>211</v>
      </c>
      <c r="K615" s="54" t="s">
        <v>133</v>
      </c>
      <c r="L615" s="54"/>
      <c r="M615" s="54" t="s">
        <v>215</v>
      </c>
      <c r="N615" s="54" t="s">
        <v>218</v>
      </c>
      <c r="O615" s="54" t="s">
        <v>31</v>
      </c>
      <c r="P615" s="56" t="s">
        <v>199</v>
      </c>
      <c r="Q615" s="57"/>
      <c r="R615" s="57"/>
      <c r="S615" s="57"/>
      <c r="T615" s="57">
        <f t="shared" ca="1" si="26"/>
        <v>39600</v>
      </c>
      <c r="U615" s="58">
        <f t="shared" ca="1" si="27"/>
        <v>35640</v>
      </c>
      <c r="V615" s="58">
        <f t="shared" ca="1" si="28"/>
        <v>33660</v>
      </c>
      <c r="W615" s="58">
        <f t="shared" ca="1" si="29"/>
        <v>31680</v>
      </c>
      <c r="X615" s="58">
        <f t="shared" ca="1" si="30"/>
        <v>27720</v>
      </c>
      <c r="Y615" s="18"/>
    </row>
    <row r="616" spans="1:25" ht="16" x14ac:dyDescent="0.15">
      <c r="A616" s="18"/>
      <c r="B616" s="54" t="s">
        <v>212</v>
      </c>
      <c r="C616" s="54" t="s">
        <v>134</v>
      </c>
      <c r="D616" s="54"/>
      <c r="E616" s="54" t="s">
        <v>213</v>
      </c>
      <c r="F616" s="54" t="s">
        <v>114</v>
      </c>
      <c r="G616" s="59" t="s">
        <v>217</v>
      </c>
      <c r="H616" s="54">
        <v>1800</v>
      </c>
      <c r="I616" s="55" t="str">
        <f t="shared" si="25"/>
        <v>CBSTK-RST-PoLM-1800x750+1800</v>
      </c>
      <c r="J616" s="54" t="s">
        <v>211</v>
      </c>
      <c r="K616" s="54" t="s">
        <v>133</v>
      </c>
      <c r="L616" s="54"/>
      <c r="M616" s="54" t="s">
        <v>215</v>
      </c>
      <c r="N616" s="54" t="s">
        <v>218</v>
      </c>
      <c r="O616" s="54" t="s">
        <v>47</v>
      </c>
      <c r="P616" s="56" t="s">
        <v>199</v>
      </c>
      <c r="Q616" s="57"/>
      <c r="R616" s="57"/>
      <c r="S616" s="57"/>
      <c r="T616" s="57">
        <f t="shared" ca="1" si="26"/>
        <v>51700</v>
      </c>
      <c r="U616" s="58">
        <f t="shared" ca="1" si="27"/>
        <v>46530</v>
      </c>
      <c r="V616" s="58">
        <f t="shared" ca="1" si="28"/>
        <v>43945</v>
      </c>
      <c r="W616" s="58">
        <f t="shared" ca="1" si="29"/>
        <v>41360</v>
      </c>
      <c r="X616" s="58">
        <f t="shared" ca="1" si="30"/>
        <v>36190</v>
      </c>
      <c r="Y616" s="18"/>
    </row>
    <row r="617" spans="1:25" ht="16" x14ac:dyDescent="0.15">
      <c r="A617" s="18"/>
      <c r="B617" s="54" t="s">
        <v>212</v>
      </c>
      <c r="C617" s="54" t="s">
        <v>134</v>
      </c>
      <c r="D617" s="54"/>
      <c r="E617" s="54" t="s">
        <v>213</v>
      </c>
      <c r="F617" s="54" t="s">
        <v>117</v>
      </c>
      <c r="G617" s="59" t="s">
        <v>217</v>
      </c>
      <c r="H617" s="54">
        <v>1800</v>
      </c>
      <c r="I617" s="55" t="str">
        <f t="shared" si="25"/>
        <v>CBSTK-RST-LVM-1800x750+1800</v>
      </c>
      <c r="J617" s="54" t="s">
        <v>211</v>
      </c>
      <c r="K617" s="54" t="s">
        <v>133</v>
      </c>
      <c r="L617" s="54"/>
      <c r="M617" s="54" t="s">
        <v>215</v>
      </c>
      <c r="N617" s="54" t="s">
        <v>218</v>
      </c>
      <c r="O617" s="54" t="s">
        <v>157</v>
      </c>
      <c r="P617" s="56" t="s">
        <v>199</v>
      </c>
      <c r="Q617" s="57"/>
      <c r="R617" s="57"/>
      <c r="S617" s="57"/>
      <c r="T617" s="57">
        <f t="shared" ca="1" si="26"/>
        <v>60100</v>
      </c>
      <c r="U617" s="58">
        <f t="shared" ca="1" si="27"/>
        <v>54090</v>
      </c>
      <c r="V617" s="58">
        <f t="shared" ca="1" si="28"/>
        <v>51085</v>
      </c>
      <c r="W617" s="58">
        <f t="shared" ca="1" si="29"/>
        <v>48080</v>
      </c>
      <c r="X617" s="58">
        <f t="shared" ca="1" si="30"/>
        <v>42070</v>
      </c>
      <c r="Y617" s="18"/>
    </row>
    <row r="618" spans="1:25" ht="16" x14ac:dyDescent="0.15">
      <c r="A618" s="18"/>
      <c r="B618" s="54" t="s">
        <v>212</v>
      </c>
      <c r="C618" s="54" t="s">
        <v>134</v>
      </c>
      <c r="D618" s="54"/>
      <c r="E618" s="54" t="s">
        <v>213</v>
      </c>
      <c r="F618" s="54" t="s">
        <v>119</v>
      </c>
      <c r="G618" s="59" t="s">
        <v>217</v>
      </c>
      <c r="H618" s="54">
        <v>1800</v>
      </c>
      <c r="I618" s="55" t="str">
        <f t="shared" si="25"/>
        <v>CBSTK-RST-LVP-1800x750+1800</v>
      </c>
      <c r="J618" s="54" t="s">
        <v>211</v>
      </c>
      <c r="K618" s="54" t="s">
        <v>133</v>
      </c>
      <c r="L618" s="54"/>
      <c r="M618" s="54" t="s">
        <v>215</v>
      </c>
      <c r="N618" s="54" t="s">
        <v>218</v>
      </c>
      <c r="O618" s="54" t="s">
        <v>158</v>
      </c>
      <c r="P618" s="56" t="s">
        <v>199</v>
      </c>
      <c r="Q618" s="57"/>
      <c r="R618" s="57"/>
      <c r="S618" s="57"/>
      <c r="T618" s="57">
        <f t="shared" ca="1" si="26"/>
        <v>62800</v>
      </c>
      <c r="U618" s="58">
        <f t="shared" ca="1" si="27"/>
        <v>56520</v>
      </c>
      <c r="V618" s="58">
        <f t="shared" ca="1" si="28"/>
        <v>53380</v>
      </c>
      <c r="W618" s="58">
        <f t="shared" ca="1" si="29"/>
        <v>50240</v>
      </c>
      <c r="X618" s="58">
        <f t="shared" ca="1" si="30"/>
        <v>43960</v>
      </c>
      <c r="Y618" s="18"/>
    </row>
    <row r="619" spans="1:25" ht="16" x14ac:dyDescent="0.15">
      <c r="A619" s="18"/>
      <c r="B619" s="54" t="s">
        <v>212</v>
      </c>
      <c r="C619" s="54" t="s">
        <v>134</v>
      </c>
      <c r="D619" s="54"/>
      <c r="E619" s="54" t="s">
        <v>213</v>
      </c>
      <c r="F619" s="54" t="s">
        <v>121</v>
      </c>
      <c r="G619" s="59" t="s">
        <v>217</v>
      </c>
      <c r="H619" s="54">
        <v>1800</v>
      </c>
      <c r="I619" s="55" t="str">
        <f t="shared" si="25"/>
        <v>CBSTK-RST-VNR-1800x750+1800</v>
      </c>
      <c r="J619" s="54" t="s">
        <v>211</v>
      </c>
      <c r="K619" s="54" t="s">
        <v>133</v>
      </c>
      <c r="L619" s="54"/>
      <c r="M619" s="54" t="s">
        <v>215</v>
      </c>
      <c r="N619" s="54" t="s">
        <v>218</v>
      </c>
      <c r="O619" s="54" t="s">
        <v>90</v>
      </c>
      <c r="P619" s="56" t="s">
        <v>199</v>
      </c>
      <c r="Q619" s="57"/>
      <c r="R619" s="57"/>
      <c r="S619" s="57"/>
      <c r="T619" s="57">
        <f t="shared" ca="1" si="26"/>
        <v>115500</v>
      </c>
      <c r="U619" s="58">
        <f t="shared" ca="1" si="27"/>
        <v>103950</v>
      </c>
      <c r="V619" s="58">
        <f t="shared" ca="1" si="28"/>
        <v>98175</v>
      </c>
      <c r="W619" s="58">
        <f t="shared" ca="1" si="29"/>
        <v>92400</v>
      </c>
      <c r="X619" s="58">
        <f t="shared" ca="1" si="30"/>
        <v>80850</v>
      </c>
      <c r="Y619" s="18"/>
    </row>
    <row r="620" spans="1:25" ht="16" x14ac:dyDescent="0.15">
      <c r="A620" s="18"/>
      <c r="B620" s="54" t="s">
        <v>212</v>
      </c>
      <c r="C620" s="54" t="s">
        <v>134</v>
      </c>
      <c r="D620" s="54"/>
      <c r="E620" s="54" t="s">
        <v>213</v>
      </c>
      <c r="F620" s="54" t="s">
        <v>123</v>
      </c>
      <c r="G620" s="59" t="s">
        <v>217</v>
      </c>
      <c r="H620" s="54">
        <v>1800</v>
      </c>
      <c r="I620" s="55" t="str">
        <f t="shared" si="25"/>
        <v>CBSTK-RST-GL-1800x750+1800</v>
      </c>
      <c r="J620" s="54" t="s">
        <v>211</v>
      </c>
      <c r="K620" s="54" t="s">
        <v>133</v>
      </c>
      <c r="L620" s="54"/>
      <c r="M620" s="54" t="s">
        <v>215</v>
      </c>
      <c r="N620" s="54" t="s">
        <v>218</v>
      </c>
      <c r="O620" s="54" t="s">
        <v>42</v>
      </c>
      <c r="P620" s="56" t="s">
        <v>199</v>
      </c>
      <c r="Q620" s="57"/>
      <c r="R620" s="57"/>
      <c r="S620" s="57"/>
      <c r="T620" s="57">
        <f t="shared" ca="1" si="26"/>
        <v>54700</v>
      </c>
      <c r="U620" s="58">
        <f t="shared" ca="1" si="27"/>
        <v>49230</v>
      </c>
      <c r="V620" s="58">
        <f t="shared" ca="1" si="28"/>
        <v>46495</v>
      </c>
      <c r="W620" s="58">
        <f t="shared" ca="1" si="29"/>
        <v>43760</v>
      </c>
      <c r="X620" s="58">
        <f t="shared" ca="1" si="30"/>
        <v>38290</v>
      </c>
      <c r="Y620" s="18"/>
    </row>
    <row r="621" spans="1:25" ht="16" x14ac:dyDescent="0.15">
      <c r="A621" s="18"/>
      <c r="B621" s="54" t="s">
        <v>212</v>
      </c>
      <c r="C621" s="54" t="s">
        <v>134</v>
      </c>
      <c r="D621" s="54"/>
      <c r="E621" s="54" t="s">
        <v>213</v>
      </c>
      <c r="F621" s="54" t="s">
        <v>65</v>
      </c>
      <c r="G621" s="59" t="s">
        <v>219</v>
      </c>
      <c r="H621" s="54">
        <v>1800</v>
      </c>
      <c r="I621" s="55" t="str">
        <f t="shared" si="25"/>
        <v>CBSTK-RST-PB-2100x900+1800</v>
      </c>
      <c r="J621" s="54" t="s">
        <v>211</v>
      </c>
      <c r="K621" s="54" t="s">
        <v>133</v>
      </c>
      <c r="L621" s="54"/>
      <c r="M621" s="54" t="s">
        <v>215</v>
      </c>
      <c r="N621" s="54" t="s">
        <v>220</v>
      </c>
      <c r="O621" s="54" t="s">
        <v>11</v>
      </c>
      <c r="P621" s="56" t="s">
        <v>199</v>
      </c>
      <c r="Q621" s="57"/>
      <c r="R621" s="57"/>
      <c r="S621" s="57"/>
      <c r="T621" s="57">
        <f t="shared" ca="1" si="26"/>
        <v>44100</v>
      </c>
      <c r="U621" s="58">
        <f t="shared" ca="1" si="27"/>
        <v>39690</v>
      </c>
      <c r="V621" s="58">
        <f t="shared" ca="1" si="28"/>
        <v>37485</v>
      </c>
      <c r="W621" s="58">
        <f t="shared" ca="1" si="29"/>
        <v>35280</v>
      </c>
      <c r="X621" s="58">
        <f t="shared" ca="1" si="30"/>
        <v>30869.999999999996</v>
      </c>
      <c r="Y621" s="18"/>
    </row>
    <row r="622" spans="1:25" ht="16" x14ac:dyDescent="0.15">
      <c r="A622" s="18"/>
      <c r="B622" s="54" t="s">
        <v>212</v>
      </c>
      <c r="C622" s="54" t="s">
        <v>134</v>
      </c>
      <c r="D622" s="54"/>
      <c r="E622" s="54" t="s">
        <v>213</v>
      </c>
      <c r="F622" s="54" t="s">
        <v>112</v>
      </c>
      <c r="G622" s="59" t="s">
        <v>219</v>
      </c>
      <c r="H622" s="54">
        <v>1800</v>
      </c>
      <c r="I622" s="55" t="str">
        <f t="shared" si="25"/>
        <v>CBSTK-RST-PLM-2100x900+1800</v>
      </c>
      <c r="J622" s="54" t="s">
        <v>211</v>
      </c>
      <c r="K622" s="54" t="s">
        <v>133</v>
      </c>
      <c r="L622" s="54"/>
      <c r="M622" s="54" t="s">
        <v>215</v>
      </c>
      <c r="N622" s="54" t="s">
        <v>220</v>
      </c>
      <c r="O622" s="54" t="s">
        <v>31</v>
      </c>
      <c r="P622" s="56" t="s">
        <v>199</v>
      </c>
      <c r="Q622" s="57"/>
      <c r="R622" s="57"/>
      <c r="S622" s="57"/>
      <c r="T622" s="57">
        <f t="shared" ca="1" si="26"/>
        <v>47100</v>
      </c>
      <c r="U622" s="58">
        <f t="shared" ca="1" si="27"/>
        <v>42390</v>
      </c>
      <c r="V622" s="58">
        <f t="shared" ca="1" si="28"/>
        <v>40035</v>
      </c>
      <c r="W622" s="58">
        <f t="shared" ca="1" si="29"/>
        <v>37680</v>
      </c>
      <c r="X622" s="58">
        <f t="shared" ca="1" si="30"/>
        <v>32970</v>
      </c>
      <c r="Y622" s="18"/>
    </row>
    <row r="623" spans="1:25" ht="16" x14ac:dyDescent="0.15">
      <c r="A623" s="18"/>
      <c r="B623" s="54" t="s">
        <v>212</v>
      </c>
      <c r="C623" s="54" t="s">
        <v>134</v>
      </c>
      <c r="D623" s="54"/>
      <c r="E623" s="54" t="s">
        <v>213</v>
      </c>
      <c r="F623" s="54" t="s">
        <v>114</v>
      </c>
      <c r="G623" s="59" t="s">
        <v>219</v>
      </c>
      <c r="H623" s="54">
        <v>1800</v>
      </c>
      <c r="I623" s="55" t="str">
        <f t="shared" si="25"/>
        <v>CBSTK-RST-PoLM-2100x900+1800</v>
      </c>
      <c r="J623" s="54" t="s">
        <v>211</v>
      </c>
      <c r="K623" s="54" t="s">
        <v>133</v>
      </c>
      <c r="L623" s="54"/>
      <c r="M623" s="54" t="s">
        <v>215</v>
      </c>
      <c r="N623" s="54" t="s">
        <v>220</v>
      </c>
      <c r="O623" s="54" t="s">
        <v>47</v>
      </c>
      <c r="P623" s="56" t="s">
        <v>199</v>
      </c>
      <c r="Q623" s="57"/>
      <c r="R623" s="57"/>
      <c r="S623" s="57"/>
      <c r="T623" s="57">
        <f t="shared" ca="1" si="26"/>
        <v>64100</v>
      </c>
      <c r="U623" s="58">
        <f t="shared" ca="1" si="27"/>
        <v>57690</v>
      </c>
      <c r="V623" s="58">
        <f t="shared" ca="1" si="28"/>
        <v>54485</v>
      </c>
      <c r="W623" s="58">
        <f t="shared" ca="1" si="29"/>
        <v>51280</v>
      </c>
      <c r="X623" s="58">
        <f t="shared" ca="1" si="30"/>
        <v>44870</v>
      </c>
      <c r="Y623" s="18"/>
    </row>
    <row r="624" spans="1:25" ht="16" x14ac:dyDescent="0.15">
      <c r="A624" s="18"/>
      <c r="B624" s="54" t="s">
        <v>212</v>
      </c>
      <c r="C624" s="54" t="s">
        <v>134</v>
      </c>
      <c r="D624" s="54"/>
      <c r="E624" s="54" t="s">
        <v>213</v>
      </c>
      <c r="F624" s="54" t="s">
        <v>117</v>
      </c>
      <c r="G624" s="59" t="s">
        <v>219</v>
      </c>
      <c r="H624" s="54">
        <v>1800</v>
      </c>
      <c r="I624" s="55" t="str">
        <f t="shared" si="25"/>
        <v>CBSTK-RST-LVM-2100x900+1800</v>
      </c>
      <c r="J624" s="54" t="s">
        <v>211</v>
      </c>
      <c r="K624" s="54" t="s">
        <v>133</v>
      </c>
      <c r="L624" s="54"/>
      <c r="M624" s="54" t="s">
        <v>215</v>
      </c>
      <c r="N624" s="54" t="s">
        <v>220</v>
      </c>
      <c r="O624" s="54" t="s">
        <v>157</v>
      </c>
      <c r="P624" s="56" t="s">
        <v>199</v>
      </c>
      <c r="Q624" s="57"/>
      <c r="R624" s="57"/>
      <c r="S624" s="57"/>
      <c r="T624" s="57">
        <f t="shared" ca="1" si="26"/>
        <v>76100</v>
      </c>
      <c r="U624" s="58">
        <f t="shared" ca="1" si="27"/>
        <v>68490</v>
      </c>
      <c r="V624" s="58">
        <f t="shared" ca="1" si="28"/>
        <v>64685</v>
      </c>
      <c r="W624" s="58">
        <f t="shared" ca="1" si="29"/>
        <v>60880</v>
      </c>
      <c r="X624" s="58">
        <f t="shared" ca="1" si="30"/>
        <v>53270</v>
      </c>
      <c r="Y624" s="18"/>
    </row>
    <row r="625" spans="1:25" ht="16" x14ac:dyDescent="0.15">
      <c r="A625" s="18"/>
      <c r="B625" s="54" t="s">
        <v>212</v>
      </c>
      <c r="C625" s="54" t="s">
        <v>134</v>
      </c>
      <c r="D625" s="54"/>
      <c r="E625" s="54" t="s">
        <v>213</v>
      </c>
      <c r="F625" s="54" t="s">
        <v>119</v>
      </c>
      <c r="G625" s="59" t="s">
        <v>219</v>
      </c>
      <c r="H625" s="54">
        <v>1800</v>
      </c>
      <c r="I625" s="55" t="str">
        <f t="shared" si="25"/>
        <v>CBSTK-RST-LVP-2100x900+1800</v>
      </c>
      <c r="J625" s="54" t="s">
        <v>211</v>
      </c>
      <c r="K625" s="54" t="s">
        <v>133</v>
      </c>
      <c r="L625" s="54"/>
      <c r="M625" s="54" t="s">
        <v>215</v>
      </c>
      <c r="N625" s="54" t="s">
        <v>220</v>
      </c>
      <c r="O625" s="54" t="s">
        <v>158</v>
      </c>
      <c r="P625" s="56" t="s">
        <v>199</v>
      </c>
      <c r="Q625" s="57"/>
      <c r="R625" s="57"/>
      <c r="S625" s="57"/>
      <c r="T625" s="57">
        <f t="shared" ca="1" si="26"/>
        <v>79900</v>
      </c>
      <c r="U625" s="58">
        <f t="shared" ca="1" si="27"/>
        <v>71910</v>
      </c>
      <c r="V625" s="58">
        <f t="shared" ca="1" si="28"/>
        <v>67915</v>
      </c>
      <c r="W625" s="58">
        <f t="shared" ca="1" si="29"/>
        <v>63920</v>
      </c>
      <c r="X625" s="58">
        <f t="shared" ca="1" si="30"/>
        <v>55930</v>
      </c>
      <c r="Y625" s="18"/>
    </row>
    <row r="626" spans="1:25" ht="16" x14ac:dyDescent="0.15">
      <c r="A626" s="18"/>
      <c r="B626" s="54" t="s">
        <v>212</v>
      </c>
      <c r="C626" s="54" t="s">
        <v>134</v>
      </c>
      <c r="D626" s="54"/>
      <c r="E626" s="54" t="s">
        <v>213</v>
      </c>
      <c r="F626" s="54" t="s">
        <v>121</v>
      </c>
      <c r="G626" s="59" t="s">
        <v>219</v>
      </c>
      <c r="H626" s="54">
        <v>1800</v>
      </c>
      <c r="I626" s="55" t="str">
        <f t="shared" si="25"/>
        <v>CBSTK-RST-VNR-2100x900+1800</v>
      </c>
      <c r="J626" s="54" t="s">
        <v>211</v>
      </c>
      <c r="K626" s="54" t="s">
        <v>133</v>
      </c>
      <c r="L626" s="54"/>
      <c r="M626" s="54" t="s">
        <v>215</v>
      </c>
      <c r="N626" s="54" t="s">
        <v>220</v>
      </c>
      <c r="O626" s="54" t="s">
        <v>90</v>
      </c>
      <c r="P626" s="56" t="s">
        <v>199</v>
      </c>
      <c r="Q626" s="57"/>
      <c r="R626" s="57"/>
      <c r="S626" s="57"/>
      <c r="T626" s="57">
        <f t="shared" ca="1" si="26"/>
        <v>153600</v>
      </c>
      <c r="U626" s="58">
        <f t="shared" ca="1" si="27"/>
        <v>138240</v>
      </c>
      <c r="V626" s="58">
        <f t="shared" ca="1" si="28"/>
        <v>130560</v>
      </c>
      <c r="W626" s="58">
        <f t="shared" ca="1" si="29"/>
        <v>122880</v>
      </c>
      <c r="X626" s="58">
        <f t="shared" ca="1" si="30"/>
        <v>107520</v>
      </c>
      <c r="Y626" s="18"/>
    </row>
    <row r="627" spans="1:25" ht="16" x14ac:dyDescent="0.15">
      <c r="A627" s="18"/>
      <c r="B627" s="54" t="s">
        <v>212</v>
      </c>
      <c r="C627" s="54" t="s">
        <v>134</v>
      </c>
      <c r="D627" s="54"/>
      <c r="E627" s="54" t="s">
        <v>213</v>
      </c>
      <c r="F627" s="54" t="s">
        <v>123</v>
      </c>
      <c r="G627" s="59" t="s">
        <v>219</v>
      </c>
      <c r="H627" s="54">
        <v>1800</v>
      </c>
      <c r="I627" s="55" t="str">
        <f t="shared" si="25"/>
        <v>CBSTK-RST-GL-2100x900+1800</v>
      </c>
      <c r="J627" s="54" t="s">
        <v>211</v>
      </c>
      <c r="K627" s="54" t="s">
        <v>133</v>
      </c>
      <c r="L627" s="54"/>
      <c r="M627" s="54" t="s">
        <v>215</v>
      </c>
      <c r="N627" s="54" t="s">
        <v>220</v>
      </c>
      <c r="O627" s="54" t="s">
        <v>42</v>
      </c>
      <c r="P627" s="56" t="s">
        <v>199</v>
      </c>
      <c r="Q627" s="57"/>
      <c r="R627" s="57"/>
      <c r="S627" s="57"/>
      <c r="T627" s="57">
        <f t="shared" ca="1" si="26"/>
        <v>68600</v>
      </c>
      <c r="U627" s="58">
        <f t="shared" ca="1" si="27"/>
        <v>61740</v>
      </c>
      <c r="V627" s="58">
        <f t="shared" ca="1" si="28"/>
        <v>58310</v>
      </c>
      <c r="W627" s="58">
        <f t="shared" ca="1" si="29"/>
        <v>54880</v>
      </c>
      <c r="X627" s="58">
        <f t="shared" ca="1" si="30"/>
        <v>48020</v>
      </c>
      <c r="Y627" s="18"/>
    </row>
    <row r="628" spans="1:25" ht="16" x14ac:dyDescent="0.15">
      <c r="A628" s="18"/>
      <c r="B628" s="54" t="s">
        <v>212</v>
      </c>
      <c r="C628" s="54" t="s">
        <v>134</v>
      </c>
      <c r="D628" s="54"/>
      <c r="E628" s="54" t="s">
        <v>221</v>
      </c>
      <c r="F628" s="54" t="s">
        <v>65</v>
      </c>
      <c r="G628" s="59" t="s">
        <v>214</v>
      </c>
      <c r="H628" s="54">
        <v>900</v>
      </c>
      <c r="I628" s="55" t="str">
        <f t="shared" si="25"/>
        <v>CBSTK-FR-PB-1500x600+900</v>
      </c>
      <c r="J628" s="54" t="s">
        <v>211</v>
      </c>
      <c r="K628" s="54" t="s">
        <v>133</v>
      </c>
      <c r="L628" s="54"/>
      <c r="M628" s="54" t="s">
        <v>222</v>
      </c>
      <c r="N628" s="54" t="s">
        <v>223</v>
      </c>
      <c r="O628" s="54" t="s">
        <v>11</v>
      </c>
      <c r="P628" s="56" t="s">
        <v>199</v>
      </c>
      <c r="Q628" s="57"/>
      <c r="R628" s="57"/>
      <c r="S628" s="57"/>
      <c r="T628" s="57">
        <f t="shared" ca="1" si="26"/>
        <v>50300</v>
      </c>
      <c r="U628" s="58">
        <f t="shared" ca="1" si="27"/>
        <v>45270</v>
      </c>
      <c r="V628" s="58">
        <f t="shared" ca="1" si="28"/>
        <v>42755</v>
      </c>
      <c r="W628" s="58">
        <f t="shared" ca="1" si="29"/>
        <v>40240</v>
      </c>
      <c r="X628" s="58">
        <f t="shared" ca="1" si="30"/>
        <v>35210</v>
      </c>
      <c r="Y628" s="18"/>
    </row>
    <row r="629" spans="1:25" ht="16" x14ac:dyDescent="0.15">
      <c r="A629" s="18"/>
      <c r="B629" s="54" t="s">
        <v>212</v>
      </c>
      <c r="C629" s="54" t="s">
        <v>134</v>
      </c>
      <c r="D629" s="54"/>
      <c r="E629" s="54" t="s">
        <v>221</v>
      </c>
      <c r="F629" s="54" t="s">
        <v>112</v>
      </c>
      <c r="G629" s="59" t="s">
        <v>214</v>
      </c>
      <c r="H629" s="54">
        <v>900</v>
      </c>
      <c r="I629" s="55" t="str">
        <f t="shared" si="25"/>
        <v>CBSTK-FR-PLM-1500x600+900</v>
      </c>
      <c r="J629" s="54" t="s">
        <v>211</v>
      </c>
      <c r="K629" s="54" t="s">
        <v>133</v>
      </c>
      <c r="L629" s="54"/>
      <c r="M629" s="54" t="s">
        <v>222</v>
      </c>
      <c r="N629" s="54" t="s">
        <v>223</v>
      </c>
      <c r="O629" s="54" t="s">
        <v>31</v>
      </c>
      <c r="P629" s="56" t="s">
        <v>199</v>
      </c>
      <c r="Q629" s="57"/>
      <c r="R629" s="57"/>
      <c r="S629" s="57"/>
      <c r="T629" s="57">
        <f t="shared" ca="1" si="26"/>
        <v>54300</v>
      </c>
      <c r="U629" s="58">
        <f t="shared" ca="1" si="27"/>
        <v>48870</v>
      </c>
      <c r="V629" s="58">
        <f t="shared" ca="1" si="28"/>
        <v>46155</v>
      </c>
      <c r="W629" s="58">
        <f t="shared" ca="1" si="29"/>
        <v>43440</v>
      </c>
      <c r="X629" s="58">
        <f t="shared" ca="1" si="30"/>
        <v>38010</v>
      </c>
      <c r="Y629" s="18"/>
    </row>
    <row r="630" spans="1:25" ht="16" x14ac:dyDescent="0.15">
      <c r="A630" s="18"/>
      <c r="B630" s="54" t="s">
        <v>212</v>
      </c>
      <c r="C630" s="54" t="s">
        <v>134</v>
      </c>
      <c r="D630" s="54"/>
      <c r="E630" s="54" t="s">
        <v>221</v>
      </c>
      <c r="F630" s="54" t="s">
        <v>114</v>
      </c>
      <c r="G630" s="59" t="s">
        <v>214</v>
      </c>
      <c r="H630" s="54">
        <v>900</v>
      </c>
      <c r="I630" s="55" t="str">
        <f t="shared" si="25"/>
        <v>CBSTK-FR-PoLM-1500x600+900</v>
      </c>
      <c r="J630" s="54" t="s">
        <v>211</v>
      </c>
      <c r="K630" s="54" t="s">
        <v>133</v>
      </c>
      <c r="L630" s="54"/>
      <c r="M630" s="54" t="s">
        <v>222</v>
      </c>
      <c r="N630" s="54" t="s">
        <v>223</v>
      </c>
      <c r="O630" s="54" t="s">
        <v>47</v>
      </c>
      <c r="P630" s="56" t="s">
        <v>199</v>
      </c>
      <c r="Q630" s="57"/>
      <c r="R630" s="57"/>
      <c r="S630" s="57"/>
      <c r="T630" s="57">
        <f t="shared" ca="1" si="26"/>
        <v>77000</v>
      </c>
      <c r="U630" s="58">
        <f t="shared" ca="1" si="27"/>
        <v>69300</v>
      </c>
      <c r="V630" s="58">
        <f t="shared" ca="1" si="28"/>
        <v>65450</v>
      </c>
      <c r="W630" s="58">
        <f t="shared" ca="1" si="29"/>
        <v>61600</v>
      </c>
      <c r="X630" s="58">
        <f t="shared" ca="1" si="30"/>
        <v>53900</v>
      </c>
      <c r="Y630" s="18"/>
    </row>
    <row r="631" spans="1:25" ht="16" x14ac:dyDescent="0.15">
      <c r="A631" s="18"/>
      <c r="B631" s="54" t="s">
        <v>212</v>
      </c>
      <c r="C631" s="54" t="s">
        <v>134</v>
      </c>
      <c r="D631" s="54"/>
      <c r="E631" s="54" t="s">
        <v>221</v>
      </c>
      <c r="F631" s="54" t="s">
        <v>117</v>
      </c>
      <c r="G631" s="59" t="s">
        <v>214</v>
      </c>
      <c r="H631" s="54">
        <v>900</v>
      </c>
      <c r="I631" s="55" t="str">
        <f t="shared" si="25"/>
        <v>CBSTK-FR-LVM-1500x600+900</v>
      </c>
      <c r="J631" s="54" t="s">
        <v>211</v>
      </c>
      <c r="K631" s="54" t="s">
        <v>133</v>
      </c>
      <c r="L631" s="54"/>
      <c r="M631" s="54" t="s">
        <v>222</v>
      </c>
      <c r="N631" s="54" t="s">
        <v>223</v>
      </c>
      <c r="O631" s="54" t="s">
        <v>157</v>
      </c>
      <c r="P631" s="56" t="s">
        <v>199</v>
      </c>
      <c r="Q631" s="57"/>
      <c r="R631" s="57"/>
      <c r="S631" s="57"/>
      <c r="T631" s="57">
        <f t="shared" ca="1" si="26"/>
        <v>93100</v>
      </c>
      <c r="U631" s="58">
        <f t="shared" ca="1" si="27"/>
        <v>83790</v>
      </c>
      <c r="V631" s="58">
        <f t="shared" ca="1" si="28"/>
        <v>79135</v>
      </c>
      <c r="W631" s="58">
        <f t="shared" ca="1" si="29"/>
        <v>74480</v>
      </c>
      <c r="X631" s="58">
        <f t="shared" ca="1" si="30"/>
        <v>65169.999999999993</v>
      </c>
      <c r="Y631" s="18"/>
    </row>
    <row r="632" spans="1:25" ht="16" x14ac:dyDescent="0.15">
      <c r="A632" s="18"/>
      <c r="B632" s="54" t="s">
        <v>212</v>
      </c>
      <c r="C632" s="54" t="s">
        <v>134</v>
      </c>
      <c r="D632" s="54"/>
      <c r="E632" s="54" t="s">
        <v>221</v>
      </c>
      <c r="F632" s="54" t="s">
        <v>119</v>
      </c>
      <c r="G632" s="59" t="s">
        <v>214</v>
      </c>
      <c r="H632" s="54">
        <v>900</v>
      </c>
      <c r="I632" s="55" t="str">
        <f t="shared" si="25"/>
        <v>CBSTK-FR-LVP-1500x600+900</v>
      </c>
      <c r="J632" s="54" t="s">
        <v>211</v>
      </c>
      <c r="K632" s="54" t="s">
        <v>133</v>
      </c>
      <c r="L632" s="54"/>
      <c r="M632" s="54" t="s">
        <v>222</v>
      </c>
      <c r="N632" s="54" t="s">
        <v>223</v>
      </c>
      <c r="O632" s="54" t="s">
        <v>158</v>
      </c>
      <c r="P632" s="56" t="s">
        <v>199</v>
      </c>
      <c r="Q632" s="57"/>
      <c r="R632" s="57"/>
      <c r="S632" s="57"/>
      <c r="T632" s="57">
        <f t="shared" ca="1" si="26"/>
        <v>98100</v>
      </c>
      <c r="U632" s="58">
        <f t="shared" ca="1" si="27"/>
        <v>88290</v>
      </c>
      <c r="V632" s="58">
        <f t="shared" ca="1" si="28"/>
        <v>83385</v>
      </c>
      <c r="W632" s="58">
        <f t="shared" ca="1" si="29"/>
        <v>78480</v>
      </c>
      <c r="X632" s="58">
        <f t="shared" ca="1" si="30"/>
        <v>68670</v>
      </c>
      <c r="Y632" s="18"/>
    </row>
    <row r="633" spans="1:25" ht="16" x14ac:dyDescent="0.15">
      <c r="A633" s="18"/>
      <c r="B633" s="54" t="s">
        <v>212</v>
      </c>
      <c r="C633" s="54" t="s">
        <v>134</v>
      </c>
      <c r="D633" s="54"/>
      <c r="E633" s="54" t="s">
        <v>221</v>
      </c>
      <c r="F633" s="54" t="s">
        <v>121</v>
      </c>
      <c r="G633" s="59" t="s">
        <v>214</v>
      </c>
      <c r="H633" s="54">
        <v>900</v>
      </c>
      <c r="I633" s="55" t="str">
        <f t="shared" si="25"/>
        <v>CBSTK-FR-VNR-1500x600+900</v>
      </c>
      <c r="J633" s="54" t="s">
        <v>211</v>
      </c>
      <c r="K633" s="54" t="s">
        <v>133</v>
      </c>
      <c r="L633" s="54"/>
      <c r="M633" s="54" t="s">
        <v>222</v>
      </c>
      <c r="N633" s="54" t="s">
        <v>223</v>
      </c>
      <c r="O633" s="54" t="s">
        <v>90</v>
      </c>
      <c r="P633" s="56" t="s">
        <v>199</v>
      </c>
      <c r="Q633" s="57"/>
      <c r="R633" s="57"/>
      <c r="S633" s="57"/>
      <c r="T633" s="57">
        <f t="shared" ca="1" si="26"/>
        <v>196400</v>
      </c>
      <c r="U633" s="58">
        <f t="shared" ca="1" si="27"/>
        <v>176760</v>
      </c>
      <c r="V633" s="58">
        <f t="shared" ca="1" si="28"/>
        <v>166940</v>
      </c>
      <c r="W633" s="58">
        <f t="shared" ca="1" si="29"/>
        <v>157120</v>
      </c>
      <c r="X633" s="58">
        <f t="shared" ca="1" si="30"/>
        <v>137480</v>
      </c>
      <c r="Y633" s="18"/>
    </row>
    <row r="634" spans="1:25" ht="16" x14ac:dyDescent="0.15">
      <c r="A634" s="18"/>
      <c r="B634" s="54" t="s">
        <v>212</v>
      </c>
      <c r="C634" s="54" t="s">
        <v>134</v>
      </c>
      <c r="D634" s="54"/>
      <c r="E634" s="54" t="s">
        <v>221</v>
      </c>
      <c r="F634" s="54" t="s">
        <v>123</v>
      </c>
      <c r="G634" s="59" t="s">
        <v>214</v>
      </c>
      <c r="H634" s="54">
        <v>900</v>
      </c>
      <c r="I634" s="55" t="str">
        <f t="shared" si="25"/>
        <v>CBSTK-FR-GL-1500x600+900</v>
      </c>
      <c r="J634" s="54" t="s">
        <v>211</v>
      </c>
      <c r="K634" s="54" t="s">
        <v>133</v>
      </c>
      <c r="L634" s="54"/>
      <c r="M634" s="54" t="s">
        <v>222</v>
      </c>
      <c r="N634" s="54" t="s">
        <v>223</v>
      </c>
      <c r="O634" s="54" t="s">
        <v>42</v>
      </c>
      <c r="P634" s="56" t="s">
        <v>199</v>
      </c>
      <c r="Q634" s="57"/>
      <c r="R634" s="57"/>
      <c r="S634" s="57"/>
      <c r="T634" s="57">
        <f t="shared" ca="1" si="26"/>
        <v>83000</v>
      </c>
      <c r="U634" s="58">
        <f t="shared" ca="1" si="27"/>
        <v>74700</v>
      </c>
      <c r="V634" s="58">
        <f t="shared" ca="1" si="28"/>
        <v>70550</v>
      </c>
      <c r="W634" s="58">
        <f t="shared" ca="1" si="29"/>
        <v>66400</v>
      </c>
      <c r="X634" s="58">
        <f t="shared" ca="1" si="30"/>
        <v>58099.999999999993</v>
      </c>
      <c r="Y634" s="18"/>
    </row>
    <row r="635" spans="1:25" ht="16" x14ac:dyDescent="0.15">
      <c r="A635" s="18"/>
      <c r="B635" s="54" t="s">
        <v>212</v>
      </c>
      <c r="C635" s="54" t="s">
        <v>134</v>
      </c>
      <c r="D635" s="54"/>
      <c r="E635" s="54" t="s">
        <v>221</v>
      </c>
      <c r="F635" s="54" t="s">
        <v>65</v>
      </c>
      <c r="G635" s="59" t="s">
        <v>217</v>
      </c>
      <c r="H635" s="54">
        <v>1350</v>
      </c>
      <c r="I635" s="55" t="str">
        <f t="shared" si="25"/>
        <v>CBSTK-FR-PB-1800x750+1350</v>
      </c>
      <c r="J635" s="54" t="s">
        <v>211</v>
      </c>
      <c r="K635" s="54" t="s">
        <v>133</v>
      </c>
      <c r="L635" s="54"/>
      <c r="M635" s="54" t="s">
        <v>222</v>
      </c>
      <c r="N635" s="54" t="s">
        <v>224</v>
      </c>
      <c r="O635" s="54" t="s">
        <v>11</v>
      </c>
      <c r="P635" s="56" t="s">
        <v>199</v>
      </c>
      <c r="Q635" s="57"/>
      <c r="R635" s="57"/>
      <c r="S635" s="57"/>
      <c r="T635" s="57">
        <f t="shared" ca="1" si="26"/>
        <v>31400</v>
      </c>
      <c r="U635" s="58">
        <f t="shared" ca="1" si="27"/>
        <v>28260</v>
      </c>
      <c r="V635" s="58">
        <f t="shared" ca="1" si="28"/>
        <v>26690</v>
      </c>
      <c r="W635" s="58">
        <f t="shared" ca="1" si="29"/>
        <v>25120</v>
      </c>
      <c r="X635" s="58">
        <f t="shared" ca="1" si="30"/>
        <v>21980</v>
      </c>
      <c r="Y635" s="18"/>
    </row>
    <row r="636" spans="1:25" ht="16" x14ac:dyDescent="0.15">
      <c r="A636" s="18"/>
      <c r="B636" s="54" t="s">
        <v>212</v>
      </c>
      <c r="C636" s="54" t="s">
        <v>134</v>
      </c>
      <c r="D636" s="54"/>
      <c r="E636" s="54" t="s">
        <v>221</v>
      </c>
      <c r="F636" s="54" t="s">
        <v>112</v>
      </c>
      <c r="G636" s="59" t="s">
        <v>217</v>
      </c>
      <c r="H636" s="54">
        <v>1350</v>
      </c>
      <c r="I636" s="55" t="str">
        <f t="shared" si="25"/>
        <v>CBSTK-FR-PLM-1800x750+1350</v>
      </c>
      <c r="J636" s="54" t="s">
        <v>211</v>
      </c>
      <c r="K636" s="54" t="s">
        <v>133</v>
      </c>
      <c r="L636" s="54"/>
      <c r="M636" s="54" t="s">
        <v>222</v>
      </c>
      <c r="N636" s="54" t="s">
        <v>224</v>
      </c>
      <c r="O636" s="54" t="s">
        <v>31</v>
      </c>
      <c r="P636" s="56" t="s">
        <v>199</v>
      </c>
      <c r="Q636" s="57"/>
      <c r="R636" s="57"/>
      <c r="S636" s="57"/>
      <c r="T636" s="57">
        <f t="shared" ca="1" si="26"/>
        <v>33600</v>
      </c>
      <c r="U636" s="58">
        <f t="shared" ca="1" si="27"/>
        <v>30240</v>
      </c>
      <c r="V636" s="58">
        <f t="shared" ca="1" si="28"/>
        <v>28560</v>
      </c>
      <c r="W636" s="58">
        <f t="shared" ca="1" si="29"/>
        <v>26880</v>
      </c>
      <c r="X636" s="58">
        <f t="shared" ca="1" si="30"/>
        <v>23520</v>
      </c>
      <c r="Y636" s="18"/>
    </row>
    <row r="637" spans="1:25" ht="16" x14ac:dyDescent="0.15">
      <c r="A637" s="18"/>
      <c r="B637" s="54" t="s">
        <v>212</v>
      </c>
      <c r="C637" s="54" t="s">
        <v>134</v>
      </c>
      <c r="D637" s="54"/>
      <c r="E637" s="54" t="s">
        <v>221</v>
      </c>
      <c r="F637" s="54" t="s">
        <v>114</v>
      </c>
      <c r="G637" s="59" t="s">
        <v>217</v>
      </c>
      <c r="H637" s="54">
        <v>1350</v>
      </c>
      <c r="I637" s="55" t="str">
        <f t="shared" si="25"/>
        <v>CBSTK-FR-PoLM-1800x750+1350</v>
      </c>
      <c r="J637" s="54" t="s">
        <v>211</v>
      </c>
      <c r="K637" s="54" t="s">
        <v>133</v>
      </c>
      <c r="L637" s="54"/>
      <c r="M637" s="54" t="s">
        <v>222</v>
      </c>
      <c r="N637" s="54" t="s">
        <v>224</v>
      </c>
      <c r="O637" s="54" t="s">
        <v>47</v>
      </c>
      <c r="P637" s="56" t="s">
        <v>199</v>
      </c>
      <c r="Q637" s="57"/>
      <c r="R637" s="57"/>
      <c r="S637" s="57"/>
      <c r="T637" s="57">
        <f t="shared" ca="1" si="26"/>
        <v>45700</v>
      </c>
      <c r="U637" s="58">
        <f t="shared" ca="1" si="27"/>
        <v>41130</v>
      </c>
      <c r="V637" s="58">
        <f t="shared" ca="1" si="28"/>
        <v>38845</v>
      </c>
      <c r="W637" s="58">
        <f t="shared" ca="1" si="29"/>
        <v>36560</v>
      </c>
      <c r="X637" s="58">
        <f t="shared" ca="1" si="30"/>
        <v>31989.999999999996</v>
      </c>
      <c r="Y637" s="18"/>
    </row>
    <row r="638" spans="1:25" ht="16" x14ac:dyDescent="0.15">
      <c r="A638" s="18"/>
      <c r="B638" s="54" t="s">
        <v>212</v>
      </c>
      <c r="C638" s="54" t="s">
        <v>134</v>
      </c>
      <c r="D638" s="54"/>
      <c r="E638" s="54" t="s">
        <v>221</v>
      </c>
      <c r="F638" s="54" t="s">
        <v>117</v>
      </c>
      <c r="G638" s="59" t="s">
        <v>217</v>
      </c>
      <c r="H638" s="54">
        <v>1350</v>
      </c>
      <c r="I638" s="55" t="str">
        <f t="shared" si="25"/>
        <v>CBSTK-FR-LVM-1800x750+1350</v>
      </c>
      <c r="J638" s="54" t="s">
        <v>211</v>
      </c>
      <c r="K638" s="54" t="s">
        <v>133</v>
      </c>
      <c r="L638" s="54"/>
      <c r="M638" s="54" t="s">
        <v>222</v>
      </c>
      <c r="N638" s="54" t="s">
        <v>224</v>
      </c>
      <c r="O638" s="54" t="s">
        <v>157</v>
      </c>
      <c r="P638" s="56" t="s">
        <v>199</v>
      </c>
      <c r="Q638" s="57"/>
      <c r="R638" s="57"/>
      <c r="S638" s="57"/>
      <c r="T638" s="57">
        <f t="shared" ca="1" si="26"/>
        <v>51100</v>
      </c>
      <c r="U638" s="58">
        <f t="shared" ca="1" si="27"/>
        <v>45990</v>
      </c>
      <c r="V638" s="58">
        <f t="shared" ca="1" si="28"/>
        <v>43435</v>
      </c>
      <c r="W638" s="58">
        <f t="shared" ca="1" si="29"/>
        <v>40880</v>
      </c>
      <c r="X638" s="58">
        <f t="shared" ca="1" si="30"/>
        <v>35770</v>
      </c>
      <c r="Y638" s="18"/>
    </row>
    <row r="639" spans="1:25" ht="16" x14ac:dyDescent="0.15">
      <c r="A639" s="18"/>
      <c r="B639" s="54" t="s">
        <v>212</v>
      </c>
      <c r="C639" s="54" t="s">
        <v>134</v>
      </c>
      <c r="D639" s="54"/>
      <c r="E639" s="54" t="s">
        <v>221</v>
      </c>
      <c r="F639" s="54" t="s">
        <v>119</v>
      </c>
      <c r="G639" s="59" t="s">
        <v>217</v>
      </c>
      <c r="H639" s="54">
        <v>1350</v>
      </c>
      <c r="I639" s="55" t="str">
        <f t="shared" si="25"/>
        <v>CBSTK-FR-LVP-1800x750+1350</v>
      </c>
      <c r="J639" s="54" t="s">
        <v>211</v>
      </c>
      <c r="K639" s="54" t="s">
        <v>133</v>
      </c>
      <c r="L639" s="54"/>
      <c r="M639" s="54" t="s">
        <v>222</v>
      </c>
      <c r="N639" s="54" t="s">
        <v>224</v>
      </c>
      <c r="O639" s="54" t="s">
        <v>158</v>
      </c>
      <c r="P639" s="56" t="s">
        <v>199</v>
      </c>
      <c r="Q639" s="57"/>
      <c r="R639" s="57"/>
      <c r="S639" s="57"/>
      <c r="T639" s="57">
        <f t="shared" ca="1" si="26"/>
        <v>53800</v>
      </c>
      <c r="U639" s="58">
        <f t="shared" ca="1" si="27"/>
        <v>48420</v>
      </c>
      <c r="V639" s="58">
        <f t="shared" ca="1" si="28"/>
        <v>45730</v>
      </c>
      <c r="W639" s="58">
        <f t="shared" ca="1" si="29"/>
        <v>43040</v>
      </c>
      <c r="X639" s="58">
        <f t="shared" ca="1" si="30"/>
        <v>37660</v>
      </c>
      <c r="Y639" s="18"/>
    </row>
    <row r="640" spans="1:25" ht="16" x14ac:dyDescent="0.15">
      <c r="A640" s="18"/>
      <c r="B640" s="54" t="s">
        <v>212</v>
      </c>
      <c r="C640" s="54" t="s">
        <v>134</v>
      </c>
      <c r="D640" s="54"/>
      <c r="E640" s="54" t="s">
        <v>221</v>
      </c>
      <c r="F640" s="54" t="s">
        <v>121</v>
      </c>
      <c r="G640" s="59" t="s">
        <v>217</v>
      </c>
      <c r="H640" s="54">
        <v>1350</v>
      </c>
      <c r="I640" s="55" t="str">
        <f t="shared" si="25"/>
        <v>CBSTK-FR-VNR-1800x750+1350</v>
      </c>
      <c r="J640" s="54" t="s">
        <v>211</v>
      </c>
      <c r="K640" s="54" t="s">
        <v>133</v>
      </c>
      <c r="L640" s="54"/>
      <c r="M640" s="54" t="s">
        <v>222</v>
      </c>
      <c r="N640" s="54" t="s">
        <v>224</v>
      </c>
      <c r="O640" s="54" t="s">
        <v>90</v>
      </c>
      <c r="P640" s="56" t="s">
        <v>199</v>
      </c>
      <c r="Q640" s="57"/>
      <c r="R640" s="57"/>
      <c r="S640" s="57"/>
      <c r="T640" s="57">
        <f t="shared" ca="1" si="26"/>
        <v>106500</v>
      </c>
      <c r="U640" s="58">
        <f t="shared" ca="1" si="27"/>
        <v>95850</v>
      </c>
      <c r="V640" s="58">
        <f t="shared" ca="1" si="28"/>
        <v>90525</v>
      </c>
      <c r="W640" s="58">
        <f t="shared" ca="1" si="29"/>
        <v>85200</v>
      </c>
      <c r="X640" s="58">
        <f t="shared" ca="1" si="30"/>
        <v>74550</v>
      </c>
      <c r="Y640" s="18"/>
    </row>
    <row r="641" spans="1:25" ht="16" x14ac:dyDescent="0.15">
      <c r="A641" s="18"/>
      <c r="B641" s="54" t="s">
        <v>212</v>
      </c>
      <c r="C641" s="54" t="s">
        <v>134</v>
      </c>
      <c r="D641" s="54"/>
      <c r="E641" s="54" t="s">
        <v>221</v>
      </c>
      <c r="F641" s="54" t="s">
        <v>123</v>
      </c>
      <c r="G641" s="59" t="s">
        <v>217</v>
      </c>
      <c r="H641" s="54">
        <v>1350</v>
      </c>
      <c r="I641" s="55" t="str">
        <f t="shared" si="25"/>
        <v>CBSTK-FR-GL-1800x750+1350</v>
      </c>
      <c r="J641" s="54" t="s">
        <v>211</v>
      </c>
      <c r="K641" s="54" t="s">
        <v>133</v>
      </c>
      <c r="L641" s="54"/>
      <c r="M641" s="54" t="s">
        <v>222</v>
      </c>
      <c r="N641" s="54" t="s">
        <v>224</v>
      </c>
      <c r="O641" s="54" t="s">
        <v>42</v>
      </c>
      <c r="P641" s="56" t="s">
        <v>199</v>
      </c>
      <c r="Q641" s="57"/>
      <c r="R641" s="57"/>
      <c r="S641" s="57"/>
      <c r="T641" s="57">
        <f t="shared" ca="1" si="26"/>
        <v>45700</v>
      </c>
      <c r="U641" s="58">
        <f t="shared" ca="1" si="27"/>
        <v>41130</v>
      </c>
      <c r="V641" s="58">
        <f t="shared" ca="1" si="28"/>
        <v>38845</v>
      </c>
      <c r="W641" s="58">
        <f t="shared" ca="1" si="29"/>
        <v>36560</v>
      </c>
      <c r="X641" s="58">
        <f t="shared" ca="1" si="30"/>
        <v>31989.999999999996</v>
      </c>
      <c r="Y641" s="18"/>
    </row>
    <row r="642" spans="1:25" ht="16" x14ac:dyDescent="0.15">
      <c r="A642" s="18"/>
      <c r="B642" s="54" t="s">
        <v>212</v>
      </c>
      <c r="C642" s="54" t="s">
        <v>134</v>
      </c>
      <c r="D642" s="54"/>
      <c r="E642" s="54" t="s">
        <v>221</v>
      </c>
      <c r="F642" s="54" t="s">
        <v>65</v>
      </c>
      <c r="G642" s="59" t="s">
        <v>219</v>
      </c>
      <c r="H642" s="54">
        <v>1800</v>
      </c>
      <c r="I642" s="55" t="str">
        <f t="shared" si="25"/>
        <v>CBSTK-FR-PB-2100x900+1800</v>
      </c>
      <c r="J642" s="54" t="s">
        <v>211</v>
      </c>
      <c r="K642" s="54" t="s">
        <v>133</v>
      </c>
      <c r="L642" s="54"/>
      <c r="M642" s="54" t="s">
        <v>222</v>
      </c>
      <c r="N642" s="54" t="s">
        <v>220</v>
      </c>
      <c r="O642" s="54" t="s">
        <v>11</v>
      </c>
      <c r="P642" s="56" t="s">
        <v>199</v>
      </c>
      <c r="Q642" s="57"/>
      <c r="R642" s="57"/>
      <c r="S642" s="57"/>
      <c r="T642" s="57">
        <f t="shared" ca="1" si="26"/>
        <v>35100</v>
      </c>
      <c r="U642" s="58">
        <f t="shared" ca="1" si="27"/>
        <v>31590</v>
      </c>
      <c r="V642" s="58">
        <f t="shared" ca="1" si="28"/>
        <v>29835</v>
      </c>
      <c r="W642" s="58">
        <f t="shared" ca="1" si="29"/>
        <v>28080</v>
      </c>
      <c r="X642" s="58">
        <f t="shared" ca="1" si="30"/>
        <v>24570</v>
      </c>
      <c r="Y642" s="18"/>
    </row>
    <row r="643" spans="1:25" ht="16" x14ac:dyDescent="0.15">
      <c r="A643" s="18"/>
      <c r="B643" s="54" t="s">
        <v>212</v>
      </c>
      <c r="C643" s="54" t="s">
        <v>134</v>
      </c>
      <c r="D643" s="54"/>
      <c r="E643" s="54" t="s">
        <v>221</v>
      </c>
      <c r="F643" s="54" t="s">
        <v>112</v>
      </c>
      <c r="G643" s="59" t="s">
        <v>219</v>
      </c>
      <c r="H643" s="54">
        <v>1800</v>
      </c>
      <c r="I643" s="55" t="str">
        <f t="shared" si="25"/>
        <v>CBSTK-FR-PLM-2100x900+1800</v>
      </c>
      <c r="J643" s="54" t="s">
        <v>211</v>
      </c>
      <c r="K643" s="54" t="s">
        <v>133</v>
      </c>
      <c r="L643" s="54"/>
      <c r="M643" s="54" t="s">
        <v>222</v>
      </c>
      <c r="N643" s="54" t="s">
        <v>220</v>
      </c>
      <c r="O643" s="54" t="s">
        <v>31</v>
      </c>
      <c r="P643" s="56" t="s">
        <v>199</v>
      </c>
      <c r="Q643" s="57"/>
      <c r="R643" s="57"/>
      <c r="S643" s="57"/>
      <c r="T643" s="57">
        <f t="shared" ca="1" si="26"/>
        <v>38100</v>
      </c>
      <c r="U643" s="58">
        <f t="shared" ca="1" si="27"/>
        <v>34290</v>
      </c>
      <c r="V643" s="58">
        <f t="shared" ca="1" si="28"/>
        <v>32385</v>
      </c>
      <c r="W643" s="58">
        <f t="shared" ca="1" si="29"/>
        <v>30480</v>
      </c>
      <c r="X643" s="58">
        <f t="shared" ca="1" si="30"/>
        <v>26670</v>
      </c>
      <c r="Y643" s="18"/>
    </row>
    <row r="644" spans="1:25" ht="16" x14ac:dyDescent="0.15">
      <c r="A644" s="18"/>
      <c r="B644" s="54" t="s">
        <v>212</v>
      </c>
      <c r="C644" s="54" t="s">
        <v>134</v>
      </c>
      <c r="D644" s="54"/>
      <c r="E644" s="54" t="s">
        <v>221</v>
      </c>
      <c r="F644" s="54" t="s">
        <v>114</v>
      </c>
      <c r="G644" s="59" t="s">
        <v>219</v>
      </c>
      <c r="H644" s="54">
        <v>1800</v>
      </c>
      <c r="I644" s="55" t="str">
        <f t="shared" si="25"/>
        <v>CBSTK-FR-PoLM-2100x900+1800</v>
      </c>
      <c r="J644" s="54" t="s">
        <v>211</v>
      </c>
      <c r="K644" s="54" t="s">
        <v>133</v>
      </c>
      <c r="L644" s="54"/>
      <c r="M644" s="54" t="s">
        <v>222</v>
      </c>
      <c r="N644" s="54" t="s">
        <v>220</v>
      </c>
      <c r="O644" s="54" t="s">
        <v>47</v>
      </c>
      <c r="P644" s="56" t="s">
        <v>199</v>
      </c>
      <c r="Q644" s="57"/>
      <c r="R644" s="57"/>
      <c r="S644" s="57"/>
      <c r="T644" s="57">
        <f t="shared" ca="1" si="26"/>
        <v>55100</v>
      </c>
      <c r="U644" s="58">
        <f t="shared" ca="1" si="27"/>
        <v>49590</v>
      </c>
      <c r="V644" s="58">
        <f t="shared" ca="1" si="28"/>
        <v>46835</v>
      </c>
      <c r="W644" s="58">
        <f t="shared" ca="1" si="29"/>
        <v>44080</v>
      </c>
      <c r="X644" s="58">
        <f t="shared" ca="1" si="30"/>
        <v>38570</v>
      </c>
      <c r="Y644" s="18"/>
    </row>
    <row r="645" spans="1:25" ht="16" x14ac:dyDescent="0.15">
      <c r="A645" s="18"/>
      <c r="B645" s="54" t="s">
        <v>212</v>
      </c>
      <c r="C645" s="54" t="s">
        <v>134</v>
      </c>
      <c r="D645" s="54"/>
      <c r="E645" s="54" t="s">
        <v>221</v>
      </c>
      <c r="F645" s="54" t="s">
        <v>117</v>
      </c>
      <c r="G645" s="59" t="s">
        <v>219</v>
      </c>
      <c r="H645" s="54">
        <v>1800</v>
      </c>
      <c r="I645" s="55" t="str">
        <f t="shared" si="25"/>
        <v>CBSTK-FR-LVM-2100x900+1800</v>
      </c>
      <c r="J645" s="54" t="s">
        <v>211</v>
      </c>
      <c r="K645" s="54" t="s">
        <v>133</v>
      </c>
      <c r="L645" s="54"/>
      <c r="M645" s="54" t="s">
        <v>222</v>
      </c>
      <c r="N645" s="54" t="s">
        <v>220</v>
      </c>
      <c r="O645" s="54" t="s">
        <v>157</v>
      </c>
      <c r="P645" s="56" t="s">
        <v>199</v>
      </c>
      <c r="Q645" s="57"/>
      <c r="R645" s="57"/>
      <c r="S645" s="57"/>
      <c r="T645" s="57">
        <f t="shared" ca="1" si="26"/>
        <v>62600</v>
      </c>
      <c r="U645" s="58">
        <f t="shared" ca="1" si="27"/>
        <v>56340</v>
      </c>
      <c r="V645" s="58">
        <f t="shared" ca="1" si="28"/>
        <v>53210</v>
      </c>
      <c r="W645" s="58">
        <f t="shared" ca="1" si="29"/>
        <v>50080</v>
      </c>
      <c r="X645" s="58">
        <f t="shared" ca="1" si="30"/>
        <v>43820</v>
      </c>
      <c r="Y645" s="18"/>
    </row>
    <row r="646" spans="1:25" ht="16" x14ac:dyDescent="0.15">
      <c r="A646" s="18"/>
      <c r="B646" s="54" t="s">
        <v>212</v>
      </c>
      <c r="C646" s="54" t="s">
        <v>134</v>
      </c>
      <c r="D646" s="54"/>
      <c r="E646" s="54" t="s">
        <v>221</v>
      </c>
      <c r="F646" s="54" t="s">
        <v>119</v>
      </c>
      <c r="G646" s="59" t="s">
        <v>219</v>
      </c>
      <c r="H646" s="54">
        <v>1800</v>
      </c>
      <c r="I646" s="55" t="str">
        <f t="shared" si="25"/>
        <v>CBSTK-FR-LVP-2100x900+1800</v>
      </c>
      <c r="J646" s="54" t="s">
        <v>211</v>
      </c>
      <c r="K646" s="54" t="s">
        <v>133</v>
      </c>
      <c r="L646" s="54"/>
      <c r="M646" s="54" t="s">
        <v>222</v>
      </c>
      <c r="N646" s="54" t="s">
        <v>220</v>
      </c>
      <c r="O646" s="54" t="s">
        <v>158</v>
      </c>
      <c r="P646" s="56" t="s">
        <v>199</v>
      </c>
      <c r="Q646" s="57"/>
      <c r="R646" s="57"/>
      <c r="S646" s="57"/>
      <c r="T646" s="57">
        <f t="shared" ca="1" si="26"/>
        <v>66400</v>
      </c>
      <c r="U646" s="58">
        <f t="shared" ca="1" si="27"/>
        <v>59760</v>
      </c>
      <c r="V646" s="58">
        <f t="shared" ca="1" si="28"/>
        <v>56440</v>
      </c>
      <c r="W646" s="58">
        <f t="shared" ca="1" si="29"/>
        <v>53120</v>
      </c>
      <c r="X646" s="58">
        <f t="shared" ca="1" si="30"/>
        <v>46480</v>
      </c>
      <c r="Y646" s="18"/>
    </row>
    <row r="647" spans="1:25" ht="16" x14ac:dyDescent="0.15">
      <c r="A647" s="18"/>
      <c r="B647" s="54" t="s">
        <v>212</v>
      </c>
      <c r="C647" s="54" t="s">
        <v>134</v>
      </c>
      <c r="D647" s="54"/>
      <c r="E647" s="54" t="s">
        <v>221</v>
      </c>
      <c r="F647" s="54" t="s">
        <v>121</v>
      </c>
      <c r="G647" s="59" t="s">
        <v>219</v>
      </c>
      <c r="H647" s="54">
        <v>1800</v>
      </c>
      <c r="I647" s="55" t="str">
        <f t="shared" si="25"/>
        <v>CBSTK-FR-VNR-2100x900+1800</v>
      </c>
      <c r="J647" s="54" t="s">
        <v>211</v>
      </c>
      <c r="K647" s="54" t="s">
        <v>133</v>
      </c>
      <c r="L647" s="54"/>
      <c r="M647" s="54" t="s">
        <v>222</v>
      </c>
      <c r="N647" s="54" t="s">
        <v>220</v>
      </c>
      <c r="O647" s="54" t="s">
        <v>90</v>
      </c>
      <c r="P647" s="56" t="s">
        <v>199</v>
      </c>
      <c r="Q647" s="57"/>
      <c r="R647" s="57"/>
      <c r="S647" s="57"/>
      <c r="T647" s="57">
        <f t="shared" ca="1" si="26"/>
        <v>140100</v>
      </c>
      <c r="U647" s="58">
        <f t="shared" ca="1" si="27"/>
        <v>126090</v>
      </c>
      <c r="V647" s="58">
        <f t="shared" ca="1" si="28"/>
        <v>119085</v>
      </c>
      <c r="W647" s="58">
        <f t="shared" ca="1" si="29"/>
        <v>112080</v>
      </c>
      <c r="X647" s="58">
        <f t="shared" ca="1" si="30"/>
        <v>98070</v>
      </c>
      <c r="Y647" s="18"/>
    </row>
    <row r="648" spans="1:25" ht="16" x14ac:dyDescent="0.15">
      <c r="A648" s="18"/>
      <c r="B648" s="54" t="s">
        <v>212</v>
      </c>
      <c r="C648" s="54" t="s">
        <v>134</v>
      </c>
      <c r="D648" s="54"/>
      <c r="E648" s="54" t="s">
        <v>221</v>
      </c>
      <c r="F648" s="54" t="s">
        <v>123</v>
      </c>
      <c r="G648" s="59" t="s">
        <v>219</v>
      </c>
      <c r="H648" s="54">
        <v>1800</v>
      </c>
      <c r="I648" s="55" t="str">
        <f t="shared" si="25"/>
        <v>CBSTK-FR-GL-2100x900+1800</v>
      </c>
      <c r="J648" s="54" t="s">
        <v>211</v>
      </c>
      <c r="K648" s="54" t="s">
        <v>133</v>
      </c>
      <c r="L648" s="54"/>
      <c r="M648" s="54" t="s">
        <v>222</v>
      </c>
      <c r="N648" s="54" t="s">
        <v>220</v>
      </c>
      <c r="O648" s="54" t="s">
        <v>42</v>
      </c>
      <c r="P648" s="56" t="s">
        <v>199</v>
      </c>
      <c r="Q648" s="57"/>
      <c r="R648" s="57"/>
      <c r="S648" s="57"/>
      <c r="T648" s="57">
        <f t="shared" ca="1" si="26"/>
        <v>55100</v>
      </c>
      <c r="U648" s="58">
        <f t="shared" ca="1" si="27"/>
        <v>49590</v>
      </c>
      <c r="V648" s="58">
        <f t="shared" ca="1" si="28"/>
        <v>46835</v>
      </c>
      <c r="W648" s="58">
        <f t="shared" ca="1" si="29"/>
        <v>44080</v>
      </c>
      <c r="X648" s="58">
        <f t="shared" ca="1" si="30"/>
        <v>38570</v>
      </c>
      <c r="Y648" s="18"/>
    </row>
    <row r="649" spans="1:25" ht="16" x14ac:dyDescent="0.15">
      <c r="A649" s="18"/>
      <c r="B649" s="54" t="s">
        <v>212</v>
      </c>
      <c r="C649" s="54" t="s">
        <v>134</v>
      </c>
      <c r="D649" s="54"/>
      <c r="E649" s="54" t="s">
        <v>225</v>
      </c>
      <c r="F649" s="54" t="s">
        <v>65</v>
      </c>
      <c r="G649" s="59" t="s">
        <v>214</v>
      </c>
      <c r="H649" s="54" t="s">
        <v>131</v>
      </c>
      <c r="I649" s="55" t="str">
        <f t="shared" si="25"/>
        <v>CBSTK-TB-PB-1500x600+X</v>
      </c>
      <c r="J649" s="54" t="s">
        <v>211</v>
      </c>
      <c r="K649" s="54" t="s">
        <v>133</v>
      </c>
      <c r="L649" s="54"/>
      <c r="M649" s="54" t="s">
        <v>226</v>
      </c>
      <c r="N649" s="54" t="s">
        <v>214</v>
      </c>
      <c r="O649" s="54" t="s">
        <v>11</v>
      </c>
      <c r="P649" s="56" t="s">
        <v>199</v>
      </c>
      <c r="Q649" s="57"/>
      <c r="R649" s="57"/>
      <c r="S649" s="57"/>
      <c r="T649" s="57">
        <f t="shared" ca="1" si="26"/>
        <v>38300</v>
      </c>
      <c r="U649" s="58">
        <f t="shared" ca="1" si="27"/>
        <v>34470</v>
      </c>
      <c r="V649" s="58">
        <f t="shared" ca="1" si="28"/>
        <v>32555</v>
      </c>
      <c r="W649" s="58">
        <f t="shared" ca="1" si="29"/>
        <v>30640</v>
      </c>
      <c r="X649" s="58">
        <f t="shared" ca="1" si="30"/>
        <v>26810</v>
      </c>
      <c r="Y649" s="18"/>
    </row>
    <row r="650" spans="1:25" ht="16" x14ac:dyDescent="0.15">
      <c r="A650" s="18"/>
      <c r="B650" s="54" t="s">
        <v>212</v>
      </c>
      <c r="C650" s="54" t="s">
        <v>134</v>
      </c>
      <c r="D650" s="54"/>
      <c r="E650" s="54" t="s">
        <v>225</v>
      </c>
      <c r="F650" s="54" t="s">
        <v>112</v>
      </c>
      <c r="G650" s="59" t="s">
        <v>214</v>
      </c>
      <c r="H650" s="54" t="s">
        <v>131</v>
      </c>
      <c r="I650" s="55" t="str">
        <f t="shared" si="25"/>
        <v>CBSTK-TB-PLM-1500x600+X</v>
      </c>
      <c r="J650" s="54" t="s">
        <v>211</v>
      </c>
      <c r="K650" s="54" t="s">
        <v>133</v>
      </c>
      <c r="L650" s="54"/>
      <c r="M650" s="54" t="s">
        <v>226</v>
      </c>
      <c r="N650" s="54" t="s">
        <v>214</v>
      </c>
      <c r="O650" s="54" t="s">
        <v>31</v>
      </c>
      <c r="P650" s="56" t="s">
        <v>199</v>
      </c>
      <c r="Q650" s="57"/>
      <c r="R650" s="57"/>
      <c r="S650" s="57"/>
      <c r="T650" s="57">
        <f t="shared" ca="1" si="26"/>
        <v>42300</v>
      </c>
      <c r="U650" s="58">
        <f t="shared" ca="1" si="27"/>
        <v>38070</v>
      </c>
      <c r="V650" s="58">
        <f t="shared" ca="1" si="28"/>
        <v>35955</v>
      </c>
      <c r="W650" s="58">
        <f t="shared" ca="1" si="29"/>
        <v>33840</v>
      </c>
      <c r="X650" s="58">
        <f t="shared" ca="1" si="30"/>
        <v>29609.999999999996</v>
      </c>
      <c r="Y650" s="18"/>
    </row>
    <row r="651" spans="1:25" ht="16" x14ac:dyDescent="0.15">
      <c r="A651" s="18"/>
      <c r="B651" s="54" t="s">
        <v>212</v>
      </c>
      <c r="C651" s="54" t="s">
        <v>134</v>
      </c>
      <c r="D651" s="54"/>
      <c r="E651" s="54" t="s">
        <v>225</v>
      </c>
      <c r="F651" s="54" t="s">
        <v>114</v>
      </c>
      <c r="G651" s="59" t="s">
        <v>214</v>
      </c>
      <c r="H651" s="54" t="s">
        <v>131</v>
      </c>
      <c r="I651" s="55" t="str">
        <f t="shared" si="25"/>
        <v>CBSTK-TB-PoLM-1500x600+X</v>
      </c>
      <c r="J651" s="54" t="s">
        <v>211</v>
      </c>
      <c r="K651" s="54" t="s">
        <v>133</v>
      </c>
      <c r="L651" s="54"/>
      <c r="M651" s="54" t="s">
        <v>226</v>
      </c>
      <c r="N651" s="54" t="s">
        <v>214</v>
      </c>
      <c r="O651" s="54" t="s">
        <v>47</v>
      </c>
      <c r="P651" s="56" t="s">
        <v>199</v>
      </c>
      <c r="Q651" s="57"/>
      <c r="R651" s="57"/>
      <c r="S651" s="57"/>
      <c r="T651" s="57">
        <f t="shared" ca="1" si="26"/>
        <v>65000</v>
      </c>
      <c r="U651" s="58">
        <f t="shared" ca="1" si="27"/>
        <v>58500</v>
      </c>
      <c r="V651" s="58">
        <f t="shared" ca="1" si="28"/>
        <v>55250</v>
      </c>
      <c r="W651" s="58">
        <f t="shared" ca="1" si="29"/>
        <v>52000</v>
      </c>
      <c r="X651" s="58">
        <f t="shared" ca="1" si="30"/>
        <v>45500</v>
      </c>
      <c r="Y651" s="18"/>
    </row>
    <row r="652" spans="1:25" ht="16" x14ac:dyDescent="0.15">
      <c r="A652" s="18"/>
      <c r="B652" s="54" t="s">
        <v>212</v>
      </c>
      <c r="C652" s="54" t="s">
        <v>134</v>
      </c>
      <c r="D652" s="54"/>
      <c r="E652" s="54" t="s">
        <v>225</v>
      </c>
      <c r="F652" s="54" t="s">
        <v>117</v>
      </c>
      <c r="G652" s="59" t="s">
        <v>214</v>
      </c>
      <c r="H652" s="54" t="s">
        <v>131</v>
      </c>
      <c r="I652" s="55" t="str">
        <f t="shared" si="25"/>
        <v>CBSTK-TB-LVM-1500x600+X</v>
      </c>
      <c r="J652" s="54" t="s">
        <v>211</v>
      </c>
      <c r="K652" s="54" t="s">
        <v>133</v>
      </c>
      <c r="L652" s="54"/>
      <c r="M652" s="54" t="s">
        <v>226</v>
      </c>
      <c r="N652" s="54" t="s">
        <v>214</v>
      </c>
      <c r="O652" s="54" t="s">
        <v>157</v>
      </c>
      <c r="P652" s="56" t="s">
        <v>199</v>
      </c>
      <c r="Q652" s="57"/>
      <c r="R652" s="57"/>
      <c r="S652" s="57"/>
      <c r="T652" s="57">
        <f t="shared" ca="1" si="26"/>
        <v>75100</v>
      </c>
      <c r="U652" s="58">
        <f t="shared" ca="1" si="27"/>
        <v>67590</v>
      </c>
      <c r="V652" s="58">
        <f t="shared" ca="1" si="28"/>
        <v>63835</v>
      </c>
      <c r="W652" s="58">
        <f t="shared" ca="1" si="29"/>
        <v>60080</v>
      </c>
      <c r="X652" s="58">
        <f t="shared" ca="1" si="30"/>
        <v>52570</v>
      </c>
      <c r="Y652" s="18"/>
    </row>
    <row r="653" spans="1:25" ht="16" x14ac:dyDescent="0.15">
      <c r="A653" s="18"/>
      <c r="B653" s="54" t="s">
        <v>212</v>
      </c>
      <c r="C653" s="54" t="s">
        <v>134</v>
      </c>
      <c r="D653" s="54"/>
      <c r="E653" s="54" t="s">
        <v>225</v>
      </c>
      <c r="F653" s="54" t="s">
        <v>119</v>
      </c>
      <c r="G653" s="59" t="s">
        <v>214</v>
      </c>
      <c r="H653" s="54" t="s">
        <v>131</v>
      </c>
      <c r="I653" s="55" t="str">
        <f t="shared" si="25"/>
        <v>CBSTK-TB-LVP-1500x600+X</v>
      </c>
      <c r="J653" s="54" t="s">
        <v>211</v>
      </c>
      <c r="K653" s="54" t="s">
        <v>133</v>
      </c>
      <c r="L653" s="54"/>
      <c r="M653" s="54" t="s">
        <v>226</v>
      </c>
      <c r="N653" s="54" t="s">
        <v>214</v>
      </c>
      <c r="O653" s="54" t="s">
        <v>158</v>
      </c>
      <c r="P653" s="56" t="s">
        <v>199</v>
      </c>
      <c r="Q653" s="57"/>
      <c r="R653" s="57"/>
      <c r="S653" s="57"/>
      <c r="T653" s="57">
        <f t="shared" ca="1" si="26"/>
        <v>80100</v>
      </c>
      <c r="U653" s="58">
        <f t="shared" ca="1" si="27"/>
        <v>72090</v>
      </c>
      <c r="V653" s="58">
        <f t="shared" ca="1" si="28"/>
        <v>68085</v>
      </c>
      <c r="W653" s="58">
        <f t="shared" ca="1" si="29"/>
        <v>64080</v>
      </c>
      <c r="X653" s="58">
        <f t="shared" ca="1" si="30"/>
        <v>56070</v>
      </c>
      <c r="Y653" s="18"/>
    </row>
    <row r="654" spans="1:25" ht="16" x14ac:dyDescent="0.15">
      <c r="A654" s="18"/>
      <c r="B654" s="54" t="s">
        <v>212</v>
      </c>
      <c r="C654" s="54" t="s">
        <v>134</v>
      </c>
      <c r="D654" s="54"/>
      <c r="E654" s="54" t="s">
        <v>225</v>
      </c>
      <c r="F654" s="54" t="s">
        <v>121</v>
      </c>
      <c r="G654" s="59" t="s">
        <v>214</v>
      </c>
      <c r="H654" s="54" t="s">
        <v>131</v>
      </c>
      <c r="I654" s="55" t="str">
        <f t="shared" si="25"/>
        <v>CBSTK-TB-VNR-1500x600+X</v>
      </c>
      <c r="J654" s="54" t="s">
        <v>211</v>
      </c>
      <c r="K654" s="54" t="s">
        <v>133</v>
      </c>
      <c r="L654" s="54"/>
      <c r="M654" s="54" t="s">
        <v>226</v>
      </c>
      <c r="N654" s="54" t="s">
        <v>214</v>
      </c>
      <c r="O654" s="54" t="s">
        <v>90</v>
      </c>
      <c r="P654" s="56" t="s">
        <v>199</v>
      </c>
      <c r="Q654" s="57"/>
      <c r="R654" s="57"/>
      <c r="S654" s="57"/>
      <c r="T654" s="57">
        <f t="shared" ca="1" si="26"/>
        <v>178400</v>
      </c>
      <c r="U654" s="58">
        <f t="shared" ca="1" si="27"/>
        <v>160560</v>
      </c>
      <c r="V654" s="58">
        <f t="shared" ca="1" si="28"/>
        <v>151640</v>
      </c>
      <c r="W654" s="58">
        <f t="shared" ca="1" si="29"/>
        <v>142720</v>
      </c>
      <c r="X654" s="58">
        <f t="shared" ca="1" si="30"/>
        <v>124879.99999999999</v>
      </c>
      <c r="Y654" s="18"/>
    </row>
    <row r="655" spans="1:25" ht="16" x14ac:dyDescent="0.15">
      <c r="A655" s="18"/>
      <c r="B655" s="54" t="s">
        <v>212</v>
      </c>
      <c r="C655" s="54" t="s">
        <v>134</v>
      </c>
      <c r="D655" s="54"/>
      <c r="E655" s="54" t="s">
        <v>225</v>
      </c>
      <c r="F655" s="54" t="s">
        <v>123</v>
      </c>
      <c r="G655" s="59" t="s">
        <v>214</v>
      </c>
      <c r="H655" s="54" t="s">
        <v>131</v>
      </c>
      <c r="I655" s="55" t="str">
        <f t="shared" si="25"/>
        <v>CBSTK-TB-GL-1500x600+X</v>
      </c>
      <c r="J655" s="54" t="s">
        <v>211</v>
      </c>
      <c r="K655" s="54" t="s">
        <v>133</v>
      </c>
      <c r="L655" s="54"/>
      <c r="M655" s="54" t="s">
        <v>226</v>
      </c>
      <c r="N655" s="54" t="s">
        <v>214</v>
      </c>
      <c r="O655" s="54" t="s">
        <v>42</v>
      </c>
      <c r="P655" s="56" t="s">
        <v>199</v>
      </c>
      <c r="Q655" s="57"/>
      <c r="R655" s="57"/>
      <c r="S655" s="57"/>
      <c r="T655" s="57">
        <f t="shared" ca="1" si="26"/>
        <v>65000</v>
      </c>
      <c r="U655" s="58">
        <f t="shared" ca="1" si="27"/>
        <v>58500</v>
      </c>
      <c r="V655" s="58">
        <f t="shared" ca="1" si="28"/>
        <v>55250</v>
      </c>
      <c r="W655" s="58">
        <f t="shared" ca="1" si="29"/>
        <v>52000</v>
      </c>
      <c r="X655" s="58">
        <f t="shared" ca="1" si="30"/>
        <v>45500</v>
      </c>
      <c r="Y655" s="18"/>
    </row>
    <row r="656" spans="1:25" ht="16" x14ac:dyDescent="0.15">
      <c r="A656" s="18"/>
      <c r="B656" s="54" t="s">
        <v>212</v>
      </c>
      <c r="C656" s="54" t="s">
        <v>134</v>
      </c>
      <c r="D656" s="54"/>
      <c r="E656" s="54" t="s">
        <v>225</v>
      </c>
      <c r="F656" s="54" t="s">
        <v>65</v>
      </c>
      <c r="G656" s="59" t="s">
        <v>217</v>
      </c>
      <c r="H656" s="54" t="s">
        <v>131</v>
      </c>
      <c r="I656" s="55" t="str">
        <f t="shared" si="25"/>
        <v>CBSTK-TB-PB-1800x750+X</v>
      </c>
      <c r="J656" s="54" t="s">
        <v>211</v>
      </c>
      <c r="K656" s="54" t="s">
        <v>133</v>
      </c>
      <c r="L656" s="54"/>
      <c r="M656" s="54" t="s">
        <v>226</v>
      </c>
      <c r="N656" s="54" t="s">
        <v>217</v>
      </c>
      <c r="O656" s="54" t="s">
        <v>11</v>
      </c>
      <c r="P656" s="56" t="s">
        <v>199</v>
      </c>
      <c r="Q656" s="57"/>
      <c r="R656" s="57"/>
      <c r="S656" s="57"/>
      <c r="T656" s="57">
        <f t="shared" ca="1" si="26"/>
        <v>78200</v>
      </c>
      <c r="U656" s="58">
        <f t="shared" ca="1" si="27"/>
        <v>70380</v>
      </c>
      <c r="V656" s="58">
        <f t="shared" ca="1" si="28"/>
        <v>66470</v>
      </c>
      <c r="W656" s="58">
        <f t="shared" ca="1" si="29"/>
        <v>62560</v>
      </c>
      <c r="X656" s="58">
        <f t="shared" ca="1" si="30"/>
        <v>54740</v>
      </c>
      <c r="Y656" s="18"/>
    </row>
    <row r="657" spans="1:25" ht="16" x14ac:dyDescent="0.15">
      <c r="A657" s="18"/>
      <c r="B657" s="54" t="s">
        <v>212</v>
      </c>
      <c r="C657" s="54" t="s">
        <v>134</v>
      </c>
      <c r="D657" s="54"/>
      <c r="E657" s="54" t="s">
        <v>225</v>
      </c>
      <c r="F657" s="54" t="s">
        <v>112</v>
      </c>
      <c r="G657" s="59" t="s">
        <v>217</v>
      </c>
      <c r="H657" s="54" t="s">
        <v>131</v>
      </c>
      <c r="I657" s="55" t="str">
        <f t="shared" si="25"/>
        <v>CBSTK-TB-PLM-1800x750+X</v>
      </c>
      <c r="J657" s="54" t="s">
        <v>211</v>
      </c>
      <c r="K657" s="54" t="s">
        <v>133</v>
      </c>
      <c r="L657" s="54"/>
      <c r="M657" s="54" t="s">
        <v>226</v>
      </c>
      <c r="N657" s="54" t="s">
        <v>217</v>
      </c>
      <c r="O657" s="54" t="s">
        <v>31</v>
      </c>
      <c r="P657" s="56" t="s">
        <v>199</v>
      </c>
      <c r="Q657" s="57"/>
      <c r="R657" s="57"/>
      <c r="S657" s="57"/>
      <c r="T657" s="57">
        <f t="shared" ca="1" si="26"/>
        <v>80400</v>
      </c>
      <c r="U657" s="58">
        <f t="shared" ca="1" si="27"/>
        <v>72360</v>
      </c>
      <c r="V657" s="58">
        <f t="shared" ca="1" si="28"/>
        <v>68340</v>
      </c>
      <c r="W657" s="58">
        <f t="shared" ca="1" si="29"/>
        <v>64320</v>
      </c>
      <c r="X657" s="58">
        <f t="shared" ca="1" si="30"/>
        <v>56280</v>
      </c>
      <c r="Y657" s="18"/>
    </row>
    <row r="658" spans="1:25" ht="16" x14ac:dyDescent="0.15">
      <c r="A658" s="18"/>
      <c r="B658" s="54" t="s">
        <v>212</v>
      </c>
      <c r="C658" s="54" t="s">
        <v>134</v>
      </c>
      <c r="D658" s="54"/>
      <c r="E658" s="54" t="s">
        <v>225</v>
      </c>
      <c r="F658" s="54" t="s">
        <v>114</v>
      </c>
      <c r="G658" s="59" t="s">
        <v>217</v>
      </c>
      <c r="H658" s="54" t="s">
        <v>131</v>
      </c>
      <c r="I658" s="55" t="str">
        <f t="shared" si="25"/>
        <v>CBSTK-TB-PoLM-1800x750+X</v>
      </c>
      <c r="J658" s="54" t="s">
        <v>211</v>
      </c>
      <c r="K658" s="54" t="s">
        <v>133</v>
      </c>
      <c r="L658" s="54"/>
      <c r="M658" s="54" t="s">
        <v>226</v>
      </c>
      <c r="N658" s="54" t="s">
        <v>217</v>
      </c>
      <c r="O658" s="54" t="s">
        <v>47</v>
      </c>
      <c r="P658" s="56" t="s">
        <v>199</v>
      </c>
      <c r="Q658" s="57"/>
      <c r="R658" s="57"/>
      <c r="S658" s="57"/>
      <c r="T658" s="57">
        <f t="shared" ca="1" si="26"/>
        <v>92500</v>
      </c>
      <c r="U658" s="58">
        <f t="shared" ca="1" si="27"/>
        <v>83250</v>
      </c>
      <c r="V658" s="58">
        <f t="shared" ca="1" si="28"/>
        <v>78625</v>
      </c>
      <c r="W658" s="58">
        <f t="shared" ca="1" si="29"/>
        <v>74000</v>
      </c>
      <c r="X658" s="58">
        <f t="shared" ca="1" si="30"/>
        <v>64749.999999999993</v>
      </c>
      <c r="Y658" s="18"/>
    </row>
    <row r="659" spans="1:25" ht="16" x14ac:dyDescent="0.15">
      <c r="A659" s="18"/>
      <c r="B659" s="54" t="s">
        <v>212</v>
      </c>
      <c r="C659" s="54" t="s">
        <v>134</v>
      </c>
      <c r="D659" s="54"/>
      <c r="E659" s="54" t="s">
        <v>225</v>
      </c>
      <c r="F659" s="54" t="s">
        <v>117</v>
      </c>
      <c r="G659" s="59" t="s">
        <v>217</v>
      </c>
      <c r="H659" s="54" t="s">
        <v>131</v>
      </c>
      <c r="I659" s="55" t="str">
        <f t="shared" si="25"/>
        <v>CBSTK-TB-LVM-1800x750+X</v>
      </c>
      <c r="J659" s="54" t="s">
        <v>211</v>
      </c>
      <c r="K659" s="54" t="s">
        <v>133</v>
      </c>
      <c r="L659" s="54"/>
      <c r="M659" s="54" t="s">
        <v>226</v>
      </c>
      <c r="N659" s="54" t="s">
        <v>217</v>
      </c>
      <c r="O659" s="54" t="s">
        <v>157</v>
      </c>
      <c r="P659" s="56" t="s">
        <v>199</v>
      </c>
      <c r="Q659" s="57"/>
      <c r="R659" s="57"/>
      <c r="S659" s="57"/>
      <c r="T659" s="57">
        <f t="shared" ca="1" si="26"/>
        <v>103900</v>
      </c>
      <c r="U659" s="58">
        <f t="shared" ca="1" si="27"/>
        <v>93510</v>
      </c>
      <c r="V659" s="58">
        <f t="shared" ca="1" si="28"/>
        <v>88315</v>
      </c>
      <c r="W659" s="58">
        <f t="shared" ca="1" si="29"/>
        <v>83120</v>
      </c>
      <c r="X659" s="58">
        <f t="shared" ca="1" si="30"/>
        <v>72730</v>
      </c>
      <c r="Y659" s="18"/>
    </row>
    <row r="660" spans="1:25" ht="16" x14ac:dyDescent="0.15">
      <c r="A660" s="18"/>
      <c r="B660" s="54" t="s">
        <v>212</v>
      </c>
      <c r="C660" s="54" t="s">
        <v>134</v>
      </c>
      <c r="D660" s="54"/>
      <c r="E660" s="54" t="s">
        <v>225</v>
      </c>
      <c r="F660" s="54" t="s">
        <v>119</v>
      </c>
      <c r="G660" s="59" t="s">
        <v>217</v>
      </c>
      <c r="H660" s="54" t="s">
        <v>131</v>
      </c>
      <c r="I660" s="55" t="str">
        <f t="shared" si="25"/>
        <v>CBSTK-TB-LVP-1800x750+X</v>
      </c>
      <c r="J660" s="54" t="s">
        <v>211</v>
      </c>
      <c r="K660" s="54" t="s">
        <v>133</v>
      </c>
      <c r="L660" s="54"/>
      <c r="M660" s="54" t="s">
        <v>226</v>
      </c>
      <c r="N660" s="54" t="s">
        <v>217</v>
      </c>
      <c r="O660" s="54" t="s">
        <v>158</v>
      </c>
      <c r="P660" s="56" t="s">
        <v>199</v>
      </c>
      <c r="Q660" s="57"/>
      <c r="R660" s="57"/>
      <c r="S660" s="57"/>
      <c r="T660" s="57">
        <f t="shared" ca="1" si="26"/>
        <v>106600</v>
      </c>
      <c r="U660" s="58">
        <f t="shared" ca="1" si="27"/>
        <v>95940</v>
      </c>
      <c r="V660" s="58">
        <f t="shared" ca="1" si="28"/>
        <v>90610</v>
      </c>
      <c r="W660" s="58">
        <f t="shared" ca="1" si="29"/>
        <v>85280</v>
      </c>
      <c r="X660" s="58">
        <f t="shared" ca="1" si="30"/>
        <v>74620</v>
      </c>
      <c r="Y660" s="18"/>
    </row>
    <row r="661" spans="1:25" ht="16" x14ac:dyDescent="0.15">
      <c r="A661" s="18"/>
      <c r="B661" s="54" t="s">
        <v>212</v>
      </c>
      <c r="C661" s="54" t="s">
        <v>134</v>
      </c>
      <c r="D661" s="54"/>
      <c r="E661" s="54" t="s">
        <v>225</v>
      </c>
      <c r="F661" s="54" t="s">
        <v>121</v>
      </c>
      <c r="G661" s="59" t="s">
        <v>217</v>
      </c>
      <c r="H661" s="54" t="s">
        <v>131</v>
      </c>
      <c r="I661" s="55" t="str">
        <f t="shared" si="25"/>
        <v>CBSTK-TB-VNR-1800x750+X</v>
      </c>
      <c r="J661" s="54" t="s">
        <v>211</v>
      </c>
      <c r="K661" s="54" t="s">
        <v>133</v>
      </c>
      <c r="L661" s="54"/>
      <c r="M661" s="54" t="s">
        <v>226</v>
      </c>
      <c r="N661" s="54" t="s">
        <v>217</v>
      </c>
      <c r="O661" s="54" t="s">
        <v>90</v>
      </c>
      <c r="P661" s="56" t="s">
        <v>199</v>
      </c>
      <c r="Q661" s="57"/>
      <c r="R661" s="57"/>
      <c r="S661" s="57"/>
      <c r="T661" s="57">
        <f t="shared" ca="1" si="26"/>
        <v>159300</v>
      </c>
      <c r="U661" s="58">
        <f t="shared" ca="1" si="27"/>
        <v>143370</v>
      </c>
      <c r="V661" s="58">
        <f t="shared" ca="1" si="28"/>
        <v>135405</v>
      </c>
      <c r="W661" s="58">
        <f t="shared" ca="1" si="29"/>
        <v>127440</v>
      </c>
      <c r="X661" s="58">
        <f t="shared" ca="1" si="30"/>
        <v>111510</v>
      </c>
      <c r="Y661" s="18"/>
    </row>
    <row r="662" spans="1:25" ht="16" x14ac:dyDescent="0.15">
      <c r="A662" s="18"/>
      <c r="B662" s="54" t="s">
        <v>212</v>
      </c>
      <c r="C662" s="54" t="s">
        <v>134</v>
      </c>
      <c r="D662" s="54"/>
      <c r="E662" s="54" t="s">
        <v>225</v>
      </c>
      <c r="F662" s="54" t="s">
        <v>123</v>
      </c>
      <c r="G662" s="59" t="s">
        <v>217</v>
      </c>
      <c r="H662" s="54" t="s">
        <v>131</v>
      </c>
      <c r="I662" s="55" t="str">
        <f t="shared" si="25"/>
        <v>CBSTK-TB-GL-1800x750+X</v>
      </c>
      <c r="J662" s="54" t="s">
        <v>211</v>
      </c>
      <c r="K662" s="54" t="s">
        <v>133</v>
      </c>
      <c r="L662" s="54"/>
      <c r="M662" s="54" t="s">
        <v>226</v>
      </c>
      <c r="N662" s="54" t="s">
        <v>217</v>
      </c>
      <c r="O662" s="54" t="s">
        <v>42</v>
      </c>
      <c r="P662" s="56" t="s">
        <v>199</v>
      </c>
      <c r="Q662" s="57"/>
      <c r="R662" s="57"/>
      <c r="S662" s="57"/>
      <c r="T662" s="57">
        <f t="shared" ca="1" si="26"/>
        <v>98500</v>
      </c>
      <c r="U662" s="58">
        <f t="shared" ca="1" si="27"/>
        <v>88650</v>
      </c>
      <c r="V662" s="58">
        <f t="shared" ca="1" si="28"/>
        <v>83725</v>
      </c>
      <c r="W662" s="58">
        <f t="shared" ca="1" si="29"/>
        <v>78800</v>
      </c>
      <c r="X662" s="58">
        <f t="shared" ca="1" si="30"/>
        <v>68950</v>
      </c>
      <c r="Y662" s="18"/>
    </row>
    <row r="663" spans="1:25" ht="16" x14ac:dyDescent="0.15">
      <c r="A663" s="18"/>
      <c r="B663" s="54" t="s">
        <v>212</v>
      </c>
      <c r="C663" s="54" t="s">
        <v>134</v>
      </c>
      <c r="D663" s="54"/>
      <c r="E663" s="54" t="s">
        <v>225</v>
      </c>
      <c r="F663" s="54" t="s">
        <v>65</v>
      </c>
      <c r="G663" s="59" t="s">
        <v>219</v>
      </c>
      <c r="H663" s="54" t="s">
        <v>131</v>
      </c>
      <c r="I663" s="55" t="str">
        <f t="shared" si="25"/>
        <v>CBSTK-TB-PB-2100x900+X</v>
      </c>
      <c r="J663" s="54" t="s">
        <v>211</v>
      </c>
      <c r="K663" s="54" t="s">
        <v>133</v>
      </c>
      <c r="L663" s="54"/>
      <c r="M663" s="54" t="s">
        <v>226</v>
      </c>
      <c r="N663" s="54" t="s">
        <v>219</v>
      </c>
      <c r="O663" s="54" t="s">
        <v>11</v>
      </c>
      <c r="P663" s="56" t="s">
        <v>199</v>
      </c>
      <c r="Q663" s="57"/>
      <c r="R663" s="57"/>
      <c r="S663" s="57"/>
      <c r="T663" s="57">
        <f t="shared" ca="1" si="26"/>
        <v>81100</v>
      </c>
      <c r="U663" s="58">
        <f t="shared" ca="1" si="27"/>
        <v>72990</v>
      </c>
      <c r="V663" s="58">
        <f t="shared" ca="1" si="28"/>
        <v>68935</v>
      </c>
      <c r="W663" s="58">
        <f t="shared" ca="1" si="29"/>
        <v>64880</v>
      </c>
      <c r="X663" s="58">
        <f t="shared" ca="1" si="30"/>
        <v>56770</v>
      </c>
      <c r="Y663" s="18"/>
    </row>
    <row r="664" spans="1:25" ht="16" x14ac:dyDescent="0.15">
      <c r="A664" s="18"/>
      <c r="B664" s="54" t="s">
        <v>212</v>
      </c>
      <c r="C664" s="54" t="s">
        <v>134</v>
      </c>
      <c r="D664" s="54"/>
      <c r="E664" s="54" t="s">
        <v>225</v>
      </c>
      <c r="F664" s="54" t="s">
        <v>112</v>
      </c>
      <c r="G664" s="59" t="s">
        <v>219</v>
      </c>
      <c r="H664" s="54" t="s">
        <v>131</v>
      </c>
      <c r="I664" s="55" t="str">
        <f t="shared" si="25"/>
        <v>CBSTK-TB-PLM-2100x900+X</v>
      </c>
      <c r="J664" s="54" t="s">
        <v>211</v>
      </c>
      <c r="K664" s="54" t="s">
        <v>133</v>
      </c>
      <c r="L664" s="54"/>
      <c r="M664" s="54" t="s">
        <v>226</v>
      </c>
      <c r="N664" s="54" t="s">
        <v>219</v>
      </c>
      <c r="O664" s="54" t="s">
        <v>31</v>
      </c>
      <c r="P664" s="56" t="s">
        <v>199</v>
      </c>
      <c r="Q664" s="57"/>
      <c r="R664" s="57"/>
      <c r="S664" s="57"/>
      <c r="T664" s="57">
        <f t="shared" ca="1" si="26"/>
        <v>84100</v>
      </c>
      <c r="U664" s="58">
        <f t="shared" ca="1" si="27"/>
        <v>75690</v>
      </c>
      <c r="V664" s="58">
        <f t="shared" ca="1" si="28"/>
        <v>71485</v>
      </c>
      <c r="W664" s="58">
        <f t="shared" ca="1" si="29"/>
        <v>67280</v>
      </c>
      <c r="X664" s="58">
        <f t="shared" ca="1" si="30"/>
        <v>58869.999999999993</v>
      </c>
      <c r="Y664" s="18"/>
    </row>
    <row r="665" spans="1:25" ht="16" x14ac:dyDescent="0.15">
      <c r="A665" s="18"/>
      <c r="B665" s="54" t="s">
        <v>212</v>
      </c>
      <c r="C665" s="54" t="s">
        <v>134</v>
      </c>
      <c r="D665" s="54"/>
      <c r="E665" s="54" t="s">
        <v>225</v>
      </c>
      <c r="F665" s="54" t="s">
        <v>114</v>
      </c>
      <c r="G665" s="59" t="s">
        <v>219</v>
      </c>
      <c r="H665" s="54" t="s">
        <v>131</v>
      </c>
      <c r="I665" s="55" t="str">
        <f t="shared" si="25"/>
        <v>CBSTK-TB-PoLM-2100x900+X</v>
      </c>
      <c r="J665" s="54" t="s">
        <v>211</v>
      </c>
      <c r="K665" s="54" t="s">
        <v>133</v>
      </c>
      <c r="L665" s="54"/>
      <c r="M665" s="54" t="s">
        <v>226</v>
      </c>
      <c r="N665" s="54" t="s">
        <v>219</v>
      </c>
      <c r="O665" s="54" t="s">
        <v>47</v>
      </c>
      <c r="P665" s="56" t="s">
        <v>199</v>
      </c>
      <c r="Q665" s="57"/>
      <c r="R665" s="57"/>
      <c r="S665" s="57"/>
      <c r="T665" s="57">
        <f t="shared" ca="1" si="26"/>
        <v>101100</v>
      </c>
      <c r="U665" s="58">
        <f t="shared" ca="1" si="27"/>
        <v>90990</v>
      </c>
      <c r="V665" s="58">
        <f t="shared" ca="1" si="28"/>
        <v>85935</v>
      </c>
      <c r="W665" s="58">
        <f t="shared" ca="1" si="29"/>
        <v>80880</v>
      </c>
      <c r="X665" s="58">
        <f t="shared" ca="1" si="30"/>
        <v>70770</v>
      </c>
      <c r="Y665" s="18"/>
    </row>
    <row r="666" spans="1:25" ht="16" x14ac:dyDescent="0.15">
      <c r="A666" s="18"/>
      <c r="B666" s="54" t="s">
        <v>212</v>
      </c>
      <c r="C666" s="54" t="s">
        <v>134</v>
      </c>
      <c r="D666" s="54"/>
      <c r="E666" s="54" t="s">
        <v>225</v>
      </c>
      <c r="F666" s="54" t="s">
        <v>117</v>
      </c>
      <c r="G666" s="59" t="s">
        <v>219</v>
      </c>
      <c r="H666" s="54" t="s">
        <v>131</v>
      </c>
      <c r="I666" s="55" t="str">
        <f t="shared" si="25"/>
        <v>CBSTK-TB-LVM-2100x900+X</v>
      </c>
      <c r="J666" s="54" t="s">
        <v>211</v>
      </c>
      <c r="K666" s="54" t="s">
        <v>133</v>
      </c>
      <c r="L666" s="54"/>
      <c r="M666" s="54" t="s">
        <v>226</v>
      </c>
      <c r="N666" s="54" t="s">
        <v>219</v>
      </c>
      <c r="O666" s="54" t="s">
        <v>157</v>
      </c>
      <c r="P666" s="56" t="s">
        <v>199</v>
      </c>
      <c r="Q666" s="57"/>
      <c r="R666" s="57"/>
      <c r="S666" s="57"/>
      <c r="T666" s="57">
        <f t="shared" ca="1" si="26"/>
        <v>114600</v>
      </c>
      <c r="U666" s="58">
        <f t="shared" ca="1" si="27"/>
        <v>103140</v>
      </c>
      <c r="V666" s="58">
        <f t="shared" ca="1" si="28"/>
        <v>97410</v>
      </c>
      <c r="W666" s="58">
        <f t="shared" ca="1" si="29"/>
        <v>91680</v>
      </c>
      <c r="X666" s="58">
        <f t="shared" ca="1" si="30"/>
        <v>80220</v>
      </c>
      <c r="Y666" s="18"/>
    </row>
    <row r="667" spans="1:25" ht="16" x14ac:dyDescent="0.15">
      <c r="A667" s="18"/>
      <c r="B667" s="54" t="s">
        <v>212</v>
      </c>
      <c r="C667" s="54" t="s">
        <v>134</v>
      </c>
      <c r="D667" s="54"/>
      <c r="E667" s="54" t="s">
        <v>225</v>
      </c>
      <c r="F667" s="54" t="s">
        <v>119</v>
      </c>
      <c r="G667" s="59" t="s">
        <v>219</v>
      </c>
      <c r="H667" s="54" t="s">
        <v>131</v>
      </c>
      <c r="I667" s="55" t="str">
        <f t="shared" si="25"/>
        <v>CBSTK-TB-LVP-2100x900+X</v>
      </c>
      <c r="J667" s="54" t="s">
        <v>211</v>
      </c>
      <c r="K667" s="54" t="s">
        <v>133</v>
      </c>
      <c r="L667" s="54"/>
      <c r="M667" s="54" t="s">
        <v>226</v>
      </c>
      <c r="N667" s="54" t="s">
        <v>219</v>
      </c>
      <c r="O667" s="54" t="s">
        <v>158</v>
      </c>
      <c r="P667" s="56" t="s">
        <v>199</v>
      </c>
      <c r="Q667" s="57"/>
      <c r="R667" s="57"/>
      <c r="S667" s="57"/>
      <c r="T667" s="57">
        <f t="shared" ca="1" si="26"/>
        <v>118400</v>
      </c>
      <c r="U667" s="58">
        <f t="shared" ca="1" si="27"/>
        <v>106560</v>
      </c>
      <c r="V667" s="58">
        <f t="shared" ca="1" si="28"/>
        <v>100640</v>
      </c>
      <c r="W667" s="58">
        <f t="shared" ca="1" si="29"/>
        <v>94720</v>
      </c>
      <c r="X667" s="58">
        <f t="shared" ca="1" si="30"/>
        <v>82880</v>
      </c>
      <c r="Y667" s="18"/>
    </row>
    <row r="668" spans="1:25" ht="16" x14ac:dyDescent="0.15">
      <c r="A668" s="18"/>
      <c r="B668" s="54" t="s">
        <v>212</v>
      </c>
      <c r="C668" s="54" t="s">
        <v>134</v>
      </c>
      <c r="D668" s="54"/>
      <c r="E668" s="54" t="s">
        <v>225</v>
      </c>
      <c r="F668" s="54" t="s">
        <v>121</v>
      </c>
      <c r="G668" s="59" t="s">
        <v>219</v>
      </c>
      <c r="H668" s="54" t="s">
        <v>131</v>
      </c>
      <c r="I668" s="55" t="str">
        <f t="shared" si="25"/>
        <v>CBSTK-TB-VNR-2100x900+X</v>
      </c>
      <c r="J668" s="54" t="s">
        <v>211</v>
      </c>
      <c r="K668" s="54" t="s">
        <v>133</v>
      </c>
      <c r="L668" s="54"/>
      <c r="M668" s="54" t="s">
        <v>226</v>
      </c>
      <c r="N668" s="54" t="s">
        <v>219</v>
      </c>
      <c r="O668" s="54" t="s">
        <v>90</v>
      </c>
      <c r="P668" s="56" t="s">
        <v>199</v>
      </c>
      <c r="Q668" s="57"/>
      <c r="R668" s="57"/>
      <c r="S668" s="57"/>
      <c r="T668" s="57">
        <f t="shared" ca="1" si="26"/>
        <v>192100</v>
      </c>
      <c r="U668" s="58">
        <f t="shared" ca="1" si="27"/>
        <v>172890</v>
      </c>
      <c r="V668" s="58">
        <f t="shared" ca="1" si="28"/>
        <v>163285</v>
      </c>
      <c r="W668" s="58">
        <f t="shared" ca="1" si="29"/>
        <v>153680</v>
      </c>
      <c r="X668" s="58">
        <f t="shared" ca="1" si="30"/>
        <v>134470</v>
      </c>
      <c r="Y668" s="18"/>
    </row>
    <row r="669" spans="1:25" ht="16" x14ac:dyDescent="0.15">
      <c r="A669" s="18"/>
      <c r="B669" s="54" t="s">
        <v>212</v>
      </c>
      <c r="C669" s="54" t="s">
        <v>134</v>
      </c>
      <c r="D669" s="54"/>
      <c r="E669" s="54" t="s">
        <v>225</v>
      </c>
      <c r="F669" s="54" t="s">
        <v>123</v>
      </c>
      <c r="G669" s="59" t="s">
        <v>219</v>
      </c>
      <c r="H669" s="54" t="s">
        <v>131</v>
      </c>
      <c r="I669" s="55" t="str">
        <f t="shared" si="25"/>
        <v>CBSTK-TB-GL-2100x900+X</v>
      </c>
      <c r="J669" s="54" t="s">
        <v>211</v>
      </c>
      <c r="K669" s="54" t="s">
        <v>133</v>
      </c>
      <c r="L669" s="54"/>
      <c r="M669" s="54" t="s">
        <v>226</v>
      </c>
      <c r="N669" s="54" t="s">
        <v>219</v>
      </c>
      <c r="O669" s="54" t="s">
        <v>42</v>
      </c>
      <c r="P669" s="56" t="s">
        <v>199</v>
      </c>
      <c r="Q669" s="57"/>
      <c r="R669" s="57"/>
      <c r="S669" s="57"/>
      <c r="T669" s="57">
        <f t="shared" ca="1" si="26"/>
        <v>107100</v>
      </c>
      <c r="U669" s="58">
        <f t="shared" ca="1" si="27"/>
        <v>96390</v>
      </c>
      <c r="V669" s="58">
        <f t="shared" ca="1" si="28"/>
        <v>91035</v>
      </c>
      <c r="W669" s="58">
        <f t="shared" ca="1" si="29"/>
        <v>85680</v>
      </c>
      <c r="X669" s="58">
        <f t="shared" ca="1" si="30"/>
        <v>74970</v>
      </c>
      <c r="Y669" s="18"/>
    </row>
    <row r="670" spans="1:25" ht="16" x14ac:dyDescent="0.15">
      <c r="A670" s="18"/>
      <c r="B670" s="54" t="s">
        <v>212</v>
      </c>
      <c r="C670" s="54" t="s">
        <v>136</v>
      </c>
      <c r="D670" s="54"/>
      <c r="E670" s="54" t="s">
        <v>213</v>
      </c>
      <c r="F670" s="54" t="s">
        <v>65</v>
      </c>
      <c r="G670" s="59" t="s">
        <v>214</v>
      </c>
      <c r="H670" s="54">
        <v>1800</v>
      </c>
      <c r="I670" s="55" t="str">
        <f t="shared" si="25"/>
        <v>CBLP-RST-PB-1500x600+1800</v>
      </c>
      <c r="J670" s="54" t="s">
        <v>211</v>
      </c>
      <c r="K670" s="54" t="s">
        <v>94</v>
      </c>
      <c r="L670" s="54"/>
      <c r="M670" s="54" t="s">
        <v>215</v>
      </c>
      <c r="N670" s="54" t="s">
        <v>216</v>
      </c>
      <c r="O670" s="54" t="s">
        <v>11</v>
      </c>
      <c r="P670" s="56" t="s">
        <v>199</v>
      </c>
      <c r="Q670" s="57"/>
      <c r="R670" s="57"/>
      <c r="S670" s="57"/>
      <c r="T670" s="57">
        <f t="shared" ca="1" si="26"/>
        <v>84300</v>
      </c>
      <c r="U670" s="58">
        <f t="shared" ca="1" si="27"/>
        <v>75870</v>
      </c>
      <c r="V670" s="58">
        <f t="shared" ca="1" si="28"/>
        <v>71655</v>
      </c>
      <c r="W670" s="58">
        <f t="shared" ca="1" si="29"/>
        <v>67440</v>
      </c>
      <c r="X670" s="58">
        <f t="shared" ca="1" si="30"/>
        <v>59009.999999999993</v>
      </c>
      <c r="Y670" s="18"/>
    </row>
    <row r="671" spans="1:25" ht="16" x14ac:dyDescent="0.15">
      <c r="A671" s="18"/>
      <c r="B671" s="54" t="s">
        <v>212</v>
      </c>
      <c r="C671" s="54" t="s">
        <v>136</v>
      </c>
      <c r="D671" s="54"/>
      <c r="E671" s="54" t="s">
        <v>213</v>
      </c>
      <c r="F671" s="54" t="s">
        <v>112</v>
      </c>
      <c r="G671" s="59" t="s">
        <v>214</v>
      </c>
      <c r="H671" s="54">
        <v>1800</v>
      </c>
      <c r="I671" s="55" t="str">
        <f t="shared" si="25"/>
        <v>CBLP-RST-PLM-1500x600+1800</v>
      </c>
      <c r="J671" s="54" t="s">
        <v>211</v>
      </c>
      <c r="K671" s="54" t="s">
        <v>94</v>
      </c>
      <c r="L671" s="54"/>
      <c r="M671" s="54" t="s">
        <v>215</v>
      </c>
      <c r="N671" s="54" t="s">
        <v>216</v>
      </c>
      <c r="O671" s="54" t="s">
        <v>31</v>
      </c>
      <c r="P671" s="56" t="s">
        <v>199</v>
      </c>
      <c r="Q671" s="57"/>
      <c r="R671" s="57"/>
      <c r="S671" s="57"/>
      <c r="T671" s="57">
        <f t="shared" ca="1" si="26"/>
        <v>88300</v>
      </c>
      <c r="U671" s="58">
        <f t="shared" ca="1" si="27"/>
        <v>79470</v>
      </c>
      <c r="V671" s="58">
        <f t="shared" ca="1" si="28"/>
        <v>75055</v>
      </c>
      <c r="W671" s="58">
        <f t="shared" ca="1" si="29"/>
        <v>70640</v>
      </c>
      <c r="X671" s="58">
        <f t="shared" ca="1" si="30"/>
        <v>61809.999999999993</v>
      </c>
      <c r="Y671" s="18"/>
    </row>
    <row r="672" spans="1:25" ht="16" x14ac:dyDescent="0.15">
      <c r="A672" s="18"/>
      <c r="B672" s="54" t="s">
        <v>212</v>
      </c>
      <c r="C672" s="54" t="s">
        <v>136</v>
      </c>
      <c r="D672" s="54"/>
      <c r="E672" s="54" t="s">
        <v>213</v>
      </c>
      <c r="F672" s="54" t="s">
        <v>114</v>
      </c>
      <c r="G672" s="59" t="s">
        <v>214</v>
      </c>
      <c r="H672" s="54">
        <v>1800</v>
      </c>
      <c r="I672" s="55" t="str">
        <f t="shared" si="25"/>
        <v>CBLP-RST-PoLM-1500x600+1800</v>
      </c>
      <c r="J672" s="54" t="s">
        <v>211</v>
      </c>
      <c r="K672" s="54" t="s">
        <v>94</v>
      </c>
      <c r="L672" s="54"/>
      <c r="M672" s="54" t="s">
        <v>215</v>
      </c>
      <c r="N672" s="54" t="s">
        <v>216</v>
      </c>
      <c r="O672" s="54" t="s">
        <v>47</v>
      </c>
      <c r="P672" s="56" t="s">
        <v>199</v>
      </c>
      <c r="Q672" s="57"/>
      <c r="R672" s="57"/>
      <c r="S672" s="57"/>
      <c r="T672" s="57">
        <f t="shared" ca="1" si="26"/>
        <v>111000</v>
      </c>
      <c r="U672" s="58">
        <f t="shared" ca="1" si="27"/>
        <v>99900</v>
      </c>
      <c r="V672" s="58">
        <f t="shared" ca="1" si="28"/>
        <v>94350</v>
      </c>
      <c r="W672" s="58">
        <f t="shared" ca="1" si="29"/>
        <v>88800</v>
      </c>
      <c r="X672" s="58">
        <f t="shared" ca="1" si="30"/>
        <v>77700</v>
      </c>
      <c r="Y672" s="18"/>
    </row>
    <row r="673" spans="1:25" ht="16" x14ac:dyDescent="0.15">
      <c r="A673" s="18"/>
      <c r="B673" s="54" t="s">
        <v>212</v>
      </c>
      <c r="C673" s="54" t="s">
        <v>136</v>
      </c>
      <c r="D673" s="54"/>
      <c r="E673" s="54" t="s">
        <v>213</v>
      </c>
      <c r="F673" s="54" t="s">
        <v>117</v>
      </c>
      <c r="G673" s="59" t="s">
        <v>214</v>
      </c>
      <c r="H673" s="54">
        <v>1800</v>
      </c>
      <c r="I673" s="55" t="str">
        <f t="shared" si="25"/>
        <v>CBLP-RST-LVM-1500x600+1800</v>
      </c>
      <c r="J673" s="54" t="s">
        <v>211</v>
      </c>
      <c r="K673" s="54" t="s">
        <v>94</v>
      </c>
      <c r="L673" s="54"/>
      <c r="M673" s="54" t="s">
        <v>215</v>
      </c>
      <c r="N673" s="54" t="s">
        <v>216</v>
      </c>
      <c r="O673" s="54" t="s">
        <v>157</v>
      </c>
      <c r="P673" s="56" t="s">
        <v>199</v>
      </c>
      <c r="Q673" s="57"/>
      <c r="R673" s="57"/>
      <c r="S673" s="57"/>
      <c r="T673" s="57">
        <f t="shared" ca="1" si="26"/>
        <v>127100</v>
      </c>
      <c r="U673" s="58">
        <f t="shared" ca="1" si="27"/>
        <v>114390</v>
      </c>
      <c r="V673" s="58">
        <f t="shared" ca="1" si="28"/>
        <v>108035</v>
      </c>
      <c r="W673" s="58">
        <f t="shared" ca="1" si="29"/>
        <v>101680</v>
      </c>
      <c r="X673" s="58">
        <f t="shared" ca="1" si="30"/>
        <v>88970</v>
      </c>
      <c r="Y673" s="18"/>
    </row>
    <row r="674" spans="1:25" ht="16" x14ac:dyDescent="0.15">
      <c r="A674" s="18"/>
      <c r="B674" s="54" t="s">
        <v>212</v>
      </c>
      <c r="C674" s="54" t="s">
        <v>136</v>
      </c>
      <c r="D674" s="54"/>
      <c r="E674" s="54" t="s">
        <v>213</v>
      </c>
      <c r="F674" s="54" t="s">
        <v>119</v>
      </c>
      <c r="G674" s="59" t="s">
        <v>214</v>
      </c>
      <c r="H674" s="54">
        <v>1800</v>
      </c>
      <c r="I674" s="55" t="str">
        <f t="shared" si="25"/>
        <v>CBLP-RST-LVP-1500x600+1800</v>
      </c>
      <c r="J674" s="54" t="s">
        <v>211</v>
      </c>
      <c r="K674" s="54" t="s">
        <v>94</v>
      </c>
      <c r="L674" s="54"/>
      <c r="M674" s="54" t="s">
        <v>215</v>
      </c>
      <c r="N674" s="54" t="s">
        <v>216</v>
      </c>
      <c r="O674" s="54" t="s">
        <v>158</v>
      </c>
      <c r="P674" s="56" t="s">
        <v>199</v>
      </c>
      <c r="Q674" s="57"/>
      <c r="R674" s="57"/>
      <c r="S674" s="57"/>
      <c r="T674" s="57">
        <f t="shared" ca="1" si="26"/>
        <v>132100</v>
      </c>
      <c r="U674" s="58">
        <f t="shared" ca="1" si="27"/>
        <v>118890</v>
      </c>
      <c r="V674" s="58">
        <f t="shared" ca="1" si="28"/>
        <v>112285</v>
      </c>
      <c r="W674" s="58">
        <f t="shared" ca="1" si="29"/>
        <v>105680</v>
      </c>
      <c r="X674" s="58">
        <f t="shared" ca="1" si="30"/>
        <v>92470</v>
      </c>
      <c r="Y674" s="18"/>
    </row>
    <row r="675" spans="1:25" ht="16" x14ac:dyDescent="0.15">
      <c r="A675" s="18"/>
      <c r="B675" s="54" t="s">
        <v>212</v>
      </c>
      <c r="C675" s="54" t="s">
        <v>136</v>
      </c>
      <c r="D675" s="54"/>
      <c r="E675" s="54" t="s">
        <v>213</v>
      </c>
      <c r="F675" s="54" t="s">
        <v>121</v>
      </c>
      <c r="G675" s="59" t="s">
        <v>214</v>
      </c>
      <c r="H675" s="54">
        <v>1800</v>
      </c>
      <c r="I675" s="55" t="str">
        <f t="shared" si="25"/>
        <v>CBLP-RST-VNR-1500x600+1800</v>
      </c>
      <c r="J675" s="54" t="s">
        <v>211</v>
      </c>
      <c r="K675" s="54" t="s">
        <v>94</v>
      </c>
      <c r="L675" s="54"/>
      <c r="M675" s="54" t="s">
        <v>215</v>
      </c>
      <c r="N675" s="54" t="s">
        <v>216</v>
      </c>
      <c r="O675" s="54" t="s">
        <v>90</v>
      </c>
      <c r="P675" s="56" t="s">
        <v>199</v>
      </c>
      <c r="Q675" s="57"/>
      <c r="R675" s="57"/>
      <c r="S675" s="57"/>
      <c r="T675" s="57">
        <f t="shared" ca="1" si="26"/>
        <v>230400</v>
      </c>
      <c r="U675" s="58">
        <f t="shared" ca="1" si="27"/>
        <v>207360</v>
      </c>
      <c r="V675" s="58">
        <f t="shared" ca="1" si="28"/>
        <v>195840</v>
      </c>
      <c r="W675" s="58">
        <f t="shared" ca="1" si="29"/>
        <v>184320</v>
      </c>
      <c r="X675" s="58">
        <f t="shared" ca="1" si="30"/>
        <v>161280</v>
      </c>
      <c r="Y675" s="18"/>
    </row>
    <row r="676" spans="1:25" ht="16" x14ac:dyDescent="0.15">
      <c r="A676" s="18"/>
      <c r="B676" s="54" t="s">
        <v>212</v>
      </c>
      <c r="C676" s="54" t="s">
        <v>136</v>
      </c>
      <c r="D676" s="54"/>
      <c r="E676" s="54" t="s">
        <v>213</v>
      </c>
      <c r="F676" s="54" t="s">
        <v>123</v>
      </c>
      <c r="G676" s="59" t="s">
        <v>214</v>
      </c>
      <c r="H676" s="54">
        <v>1800</v>
      </c>
      <c r="I676" s="55" t="str">
        <f t="shared" si="25"/>
        <v>CBLP-RST-GL-1500x600+1800</v>
      </c>
      <c r="J676" s="54" t="s">
        <v>211</v>
      </c>
      <c r="K676" s="54" t="s">
        <v>94</v>
      </c>
      <c r="L676" s="54"/>
      <c r="M676" s="54" t="s">
        <v>215</v>
      </c>
      <c r="N676" s="54" t="s">
        <v>216</v>
      </c>
      <c r="O676" s="54" t="s">
        <v>42</v>
      </c>
      <c r="P676" s="56" t="s">
        <v>199</v>
      </c>
      <c r="Q676" s="57"/>
      <c r="R676" s="57"/>
      <c r="S676" s="57"/>
      <c r="T676" s="57">
        <f t="shared" ca="1" si="26"/>
        <v>117000</v>
      </c>
      <c r="U676" s="58">
        <f t="shared" ca="1" si="27"/>
        <v>105300</v>
      </c>
      <c r="V676" s="58">
        <f t="shared" ca="1" si="28"/>
        <v>99450</v>
      </c>
      <c r="W676" s="58">
        <f t="shared" ca="1" si="29"/>
        <v>93600</v>
      </c>
      <c r="X676" s="58">
        <f t="shared" ca="1" si="30"/>
        <v>81900</v>
      </c>
      <c r="Y676" s="18"/>
    </row>
    <row r="677" spans="1:25" ht="16" x14ac:dyDescent="0.15">
      <c r="A677" s="18"/>
      <c r="B677" s="54" t="s">
        <v>212</v>
      </c>
      <c r="C677" s="54" t="s">
        <v>136</v>
      </c>
      <c r="D677" s="54"/>
      <c r="E677" s="54" t="s">
        <v>213</v>
      </c>
      <c r="F677" s="54" t="s">
        <v>65</v>
      </c>
      <c r="G677" s="59" t="s">
        <v>217</v>
      </c>
      <c r="H677" s="54">
        <v>1800</v>
      </c>
      <c r="I677" s="55" t="str">
        <f t="shared" si="25"/>
        <v>CBLP-RST-PB-1800x750+1800</v>
      </c>
      <c r="J677" s="54" t="s">
        <v>211</v>
      </c>
      <c r="K677" s="54" t="s">
        <v>94</v>
      </c>
      <c r="L677" s="54"/>
      <c r="M677" s="54" t="s">
        <v>215</v>
      </c>
      <c r="N677" s="54" t="s">
        <v>218</v>
      </c>
      <c r="O677" s="54" t="s">
        <v>11</v>
      </c>
      <c r="P677" s="56" t="s">
        <v>199</v>
      </c>
      <c r="Q677" s="57"/>
      <c r="R677" s="57"/>
      <c r="S677" s="57"/>
      <c r="T677" s="57">
        <f t="shared" ca="1" si="26"/>
        <v>122200</v>
      </c>
      <c r="U677" s="58">
        <f t="shared" ca="1" si="27"/>
        <v>109980</v>
      </c>
      <c r="V677" s="58">
        <f t="shared" ca="1" si="28"/>
        <v>103870</v>
      </c>
      <c r="W677" s="58">
        <f t="shared" ca="1" si="29"/>
        <v>97760</v>
      </c>
      <c r="X677" s="58">
        <f t="shared" ca="1" si="30"/>
        <v>85540</v>
      </c>
      <c r="Y677" s="18"/>
    </row>
    <row r="678" spans="1:25" ht="16" x14ac:dyDescent="0.15">
      <c r="A678" s="18"/>
      <c r="B678" s="54" t="s">
        <v>212</v>
      </c>
      <c r="C678" s="54" t="s">
        <v>136</v>
      </c>
      <c r="D678" s="54"/>
      <c r="E678" s="54" t="s">
        <v>213</v>
      </c>
      <c r="F678" s="54" t="s">
        <v>112</v>
      </c>
      <c r="G678" s="59" t="s">
        <v>217</v>
      </c>
      <c r="H678" s="54">
        <v>1800</v>
      </c>
      <c r="I678" s="55" t="str">
        <f t="shared" si="25"/>
        <v>CBLP-RST-PLM-1800x750+1800</v>
      </c>
      <c r="J678" s="54" t="s">
        <v>211</v>
      </c>
      <c r="K678" s="54" t="s">
        <v>94</v>
      </c>
      <c r="L678" s="54"/>
      <c r="M678" s="54" t="s">
        <v>215</v>
      </c>
      <c r="N678" s="54" t="s">
        <v>218</v>
      </c>
      <c r="O678" s="54" t="s">
        <v>31</v>
      </c>
      <c r="P678" s="56" t="s">
        <v>199</v>
      </c>
      <c r="Q678" s="57"/>
      <c r="R678" s="57"/>
      <c r="S678" s="57"/>
      <c r="T678" s="57">
        <f t="shared" ca="1" si="26"/>
        <v>124400</v>
      </c>
      <c r="U678" s="58">
        <f t="shared" ca="1" si="27"/>
        <v>111960</v>
      </c>
      <c r="V678" s="58">
        <f t="shared" ca="1" si="28"/>
        <v>105740</v>
      </c>
      <c r="W678" s="58">
        <f t="shared" ca="1" si="29"/>
        <v>99520</v>
      </c>
      <c r="X678" s="58">
        <f t="shared" ca="1" si="30"/>
        <v>87080</v>
      </c>
      <c r="Y678" s="18"/>
    </row>
    <row r="679" spans="1:25" ht="16" x14ac:dyDescent="0.15">
      <c r="A679" s="18"/>
      <c r="B679" s="54" t="s">
        <v>212</v>
      </c>
      <c r="C679" s="54" t="s">
        <v>136</v>
      </c>
      <c r="D679" s="54"/>
      <c r="E679" s="54" t="s">
        <v>213</v>
      </c>
      <c r="F679" s="54" t="s">
        <v>114</v>
      </c>
      <c r="G679" s="59" t="s">
        <v>217</v>
      </c>
      <c r="H679" s="54">
        <v>1800</v>
      </c>
      <c r="I679" s="55" t="str">
        <f t="shared" si="25"/>
        <v>CBLP-RST-PoLM-1800x750+1800</v>
      </c>
      <c r="J679" s="54" t="s">
        <v>211</v>
      </c>
      <c r="K679" s="54" t="s">
        <v>94</v>
      </c>
      <c r="L679" s="54"/>
      <c r="M679" s="54" t="s">
        <v>215</v>
      </c>
      <c r="N679" s="54" t="s">
        <v>218</v>
      </c>
      <c r="O679" s="54" t="s">
        <v>47</v>
      </c>
      <c r="P679" s="56" t="s">
        <v>199</v>
      </c>
      <c r="Q679" s="57"/>
      <c r="R679" s="57"/>
      <c r="S679" s="57"/>
      <c r="T679" s="57">
        <f t="shared" ca="1" si="26"/>
        <v>136500</v>
      </c>
      <c r="U679" s="58">
        <f t="shared" ca="1" si="27"/>
        <v>122850</v>
      </c>
      <c r="V679" s="58">
        <f t="shared" ca="1" si="28"/>
        <v>116025</v>
      </c>
      <c r="W679" s="58">
        <f t="shared" ca="1" si="29"/>
        <v>109200</v>
      </c>
      <c r="X679" s="58">
        <f t="shared" ca="1" si="30"/>
        <v>95550</v>
      </c>
      <c r="Y679" s="18"/>
    </row>
    <row r="680" spans="1:25" ht="16" x14ac:dyDescent="0.15">
      <c r="A680" s="18"/>
      <c r="B680" s="54" t="s">
        <v>212</v>
      </c>
      <c r="C680" s="54" t="s">
        <v>136</v>
      </c>
      <c r="D680" s="54"/>
      <c r="E680" s="54" t="s">
        <v>213</v>
      </c>
      <c r="F680" s="54" t="s">
        <v>117</v>
      </c>
      <c r="G680" s="59" t="s">
        <v>217</v>
      </c>
      <c r="H680" s="54">
        <v>1800</v>
      </c>
      <c r="I680" s="55" t="str">
        <f t="shared" si="25"/>
        <v>CBLP-RST-LVM-1800x750+1800</v>
      </c>
      <c r="J680" s="54" t="s">
        <v>211</v>
      </c>
      <c r="K680" s="54" t="s">
        <v>94</v>
      </c>
      <c r="L680" s="54"/>
      <c r="M680" s="54" t="s">
        <v>215</v>
      </c>
      <c r="N680" s="54" t="s">
        <v>218</v>
      </c>
      <c r="O680" s="54" t="s">
        <v>157</v>
      </c>
      <c r="P680" s="56" t="s">
        <v>199</v>
      </c>
      <c r="Q680" s="57"/>
      <c r="R680" s="57"/>
      <c r="S680" s="57"/>
      <c r="T680" s="57">
        <f t="shared" ca="1" si="26"/>
        <v>144900</v>
      </c>
      <c r="U680" s="58">
        <f t="shared" ca="1" si="27"/>
        <v>130410</v>
      </c>
      <c r="V680" s="58">
        <f t="shared" ca="1" si="28"/>
        <v>123165</v>
      </c>
      <c r="W680" s="58">
        <f t="shared" ca="1" si="29"/>
        <v>115920</v>
      </c>
      <c r="X680" s="58">
        <f t="shared" ca="1" si="30"/>
        <v>101430</v>
      </c>
      <c r="Y680" s="18"/>
    </row>
    <row r="681" spans="1:25" ht="16" x14ac:dyDescent="0.15">
      <c r="A681" s="18"/>
      <c r="B681" s="54" t="s">
        <v>212</v>
      </c>
      <c r="C681" s="54" t="s">
        <v>136</v>
      </c>
      <c r="D681" s="54"/>
      <c r="E681" s="54" t="s">
        <v>213</v>
      </c>
      <c r="F681" s="54" t="s">
        <v>119</v>
      </c>
      <c r="G681" s="59" t="s">
        <v>217</v>
      </c>
      <c r="H681" s="54">
        <v>1800</v>
      </c>
      <c r="I681" s="55" t="str">
        <f t="shared" si="25"/>
        <v>CBLP-RST-LVP-1800x750+1800</v>
      </c>
      <c r="J681" s="54" t="s">
        <v>211</v>
      </c>
      <c r="K681" s="54" t="s">
        <v>94</v>
      </c>
      <c r="L681" s="54"/>
      <c r="M681" s="54" t="s">
        <v>215</v>
      </c>
      <c r="N681" s="54" t="s">
        <v>218</v>
      </c>
      <c r="O681" s="54" t="s">
        <v>158</v>
      </c>
      <c r="P681" s="56" t="s">
        <v>199</v>
      </c>
      <c r="Q681" s="57"/>
      <c r="R681" s="57"/>
      <c r="S681" s="57"/>
      <c r="T681" s="57">
        <f t="shared" ca="1" si="26"/>
        <v>147600</v>
      </c>
      <c r="U681" s="58">
        <f t="shared" ca="1" si="27"/>
        <v>132840</v>
      </c>
      <c r="V681" s="58">
        <f t="shared" ca="1" si="28"/>
        <v>125460</v>
      </c>
      <c r="W681" s="58">
        <f t="shared" ca="1" si="29"/>
        <v>118080</v>
      </c>
      <c r="X681" s="58">
        <f t="shared" ca="1" si="30"/>
        <v>103320</v>
      </c>
      <c r="Y681" s="18"/>
    </row>
    <row r="682" spans="1:25" ht="16" x14ac:dyDescent="0.15">
      <c r="A682" s="18"/>
      <c r="B682" s="54" t="s">
        <v>212</v>
      </c>
      <c r="C682" s="54" t="s">
        <v>136</v>
      </c>
      <c r="D682" s="54"/>
      <c r="E682" s="54" t="s">
        <v>213</v>
      </c>
      <c r="F682" s="54" t="s">
        <v>121</v>
      </c>
      <c r="G682" s="59" t="s">
        <v>217</v>
      </c>
      <c r="H682" s="54">
        <v>1800</v>
      </c>
      <c r="I682" s="55" t="str">
        <f t="shared" si="25"/>
        <v>CBLP-RST-VNR-1800x750+1800</v>
      </c>
      <c r="J682" s="54" t="s">
        <v>211</v>
      </c>
      <c r="K682" s="54" t="s">
        <v>94</v>
      </c>
      <c r="L682" s="54"/>
      <c r="M682" s="54" t="s">
        <v>215</v>
      </c>
      <c r="N682" s="54" t="s">
        <v>218</v>
      </c>
      <c r="O682" s="54" t="s">
        <v>90</v>
      </c>
      <c r="P682" s="56" t="s">
        <v>199</v>
      </c>
      <c r="Q682" s="57"/>
      <c r="R682" s="57"/>
      <c r="S682" s="57"/>
      <c r="T682" s="57">
        <f t="shared" ca="1" si="26"/>
        <v>200300</v>
      </c>
      <c r="U682" s="58">
        <f t="shared" ca="1" si="27"/>
        <v>180270</v>
      </c>
      <c r="V682" s="58">
        <f t="shared" ca="1" si="28"/>
        <v>170255</v>
      </c>
      <c r="W682" s="58">
        <f t="shared" ca="1" si="29"/>
        <v>160240</v>
      </c>
      <c r="X682" s="58">
        <f t="shared" ca="1" si="30"/>
        <v>140210</v>
      </c>
      <c r="Y682" s="18"/>
    </row>
    <row r="683" spans="1:25" ht="16" x14ac:dyDescent="0.15">
      <c r="A683" s="18"/>
      <c r="B683" s="54" t="s">
        <v>212</v>
      </c>
      <c r="C683" s="54" t="s">
        <v>136</v>
      </c>
      <c r="D683" s="54"/>
      <c r="E683" s="54" t="s">
        <v>213</v>
      </c>
      <c r="F683" s="54" t="s">
        <v>123</v>
      </c>
      <c r="G683" s="59" t="s">
        <v>217</v>
      </c>
      <c r="H683" s="54">
        <v>1800</v>
      </c>
      <c r="I683" s="55" t="str">
        <f t="shared" si="25"/>
        <v>CBLP-RST-GL-1800x750+1800</v>
      </c>
      <c r="J683" s="54" t="s">
        <v>211</v>
      </c>
      <c r="K683" s="54" t="s">
        <v>94</v>
      </c>
      <c r="L683" s="54"/>
      <c r="M683" s="54" t="s">
        <v>215</v>
      </c>
      <c r="N683" s="54" t="s">
        <v>218</v>
      </c>
      <c r="O683" s="54" t="s">
        <v>42</v>
      </c>
      <c r="P683" s="56" t="s">
        <v>199</v>
      </c>
      <c r="Q683" s="57"/>
      <c r="R683" s="57"/>
      <c r="S683" s="57"/>
      <c r="T683" s="57">
        <f t="shared" ca="1" si="26"/>
        <v>139500</v>
      </c>
      <c r="U683" s="58">
        <f t="shared" ca="1" si="27"/>
        <v>125550</v>
      </c>
      <c r="V683" s="58">
        <f t="shared" ca="1" si="28"/>
        <v>118575</v>
      </c>
      <c r="W683" s="58">
        <f t="shared" ca="1" si="29"/>
        <v>111600</v>
      </c>
      <c r="X683" s="58">
        <f t="shared" ca="1" si="30"/>
        <v>97650</v>
      </c>
      <c r="Y683" s="18"/>
    </row>
    <row r="684" spans="1:25" ht="16" x14ac:dyDescent="0.15">
      <c r="A684" s="18"/>
      <c r="B684" s="54" t="s">
        <v>212</v>
      </c>
      <c r="C684" s="54" t="s">
        <v>136</v>
      </c>
      <c r="D684" s="54"/>
      <c r="E684" s="54" t="s">
        <v>213</v>
      </c>
      <c r="F684" s="54" t="s">
        <v>65</v>
      </c>
      <c r="G684" s="59" t="s">
        <v>219</v>
      </c>
      <c r="H684" s="54">
        <v>1800</v>
      </c>
      <c r="I684" s="55" t="str">
        <f t="shared" si="25"/>
        <v>CBLP-RST-PB-2100x900+1800</v>
      </c>
      <c r="J684" s="54" t="s">
        <v>211</v>
      </c>
      <c r="K684" s="54" t="s">
        <v>94</v>
      </c>
      <c r="L684" s="54"/>
      <c r="M684" s="54" t="s">
        <v>215</v>
      </c>
      <c r="N684" s="54" t="s">
        <v>220</v>
      </c>
      <c r="O684" s="54" t="s">
        <v>11</v>
      </c>
      <c r="P684" s="56" t="s">
        <v>199</v>
      </c>
      <c r="Q684" s="57"/>
      <c r="R684" s="57"/>
      <c r="S684" s="57"/>
      <c r="T684" s="57">
        <f t="shared" ca="1" si="26"/>
        <v>128100</v>
      </c>
      <c r="U684" s="58">
        <f t="shared" ca="1" si="27"/>
        <v>115290</v>
      </c>
      <c r="V684" s="58">
        <f t="shared" ca="1" si="28"/>
        <v>108885</v>
      </c>
      <c r="W684" s="58">
        <f t="shared" ca="1" si="29"/>
        <v>102480</v>
      </c>
      <c r="X684" s="58">
        <f t="shared" ca="1" si="30"/>
        <v>89670</v>
      </c>
      <c r="Y684" s="18"/>
    </row>
    <row r="685" spans="1:25" ht="16" x14ac:dyDescent="0.15">
      <c r="A685" s="18"/>
      <c r="B685" s="54" t="s">
        <v>212</v>
      </c>
      <c r="C685" s="54" t="s">
        <v>136</v>
      </c>
      <c r="D685" s="54"/>
      <c r="E685" s="54" t="s">
        <v>213</v>
      </c>
      <c r="F685" s="54" t="s">
        <v>112</v>
      </c>
      <c r="G685" s="59" t="s">
        <v>219</v>
      </c>
      <c r="H685" s="54">
        <v>1800</v>
      </c>
      <c r="I685" s="55" t="str">
        <f t="shared" si="25"/>
        <v>CBLP-RST-PLM-2100x900+1800</v>
      </c>
      <c r="J685" s="54" t="s">
        <v>211</v>
      </c>
      <c r="K685" s="54" t="s">
        <v>94</v>
      </c>
      <c r="L685" s="54"/>
      <c r="M685" s="54" t="s">
        <v>215</v>
      </c>
      <c r="N685" s="54" t="s">
        <v>220</v>
      </c>
      <c r="O685" s="54" t="s">
        <v>31</v>
      </c>
      <c r="P685" s="56" t="s">
        <v>199</v>
      </c>
      <c r="Q685" s="57"/>
      <c r="R685" s="57"/>
      <c r="S685" s="57"/>
      <c r="T685" s="57">
        <f t="shared" ca="1" si="26"/>
        <v>131100</v>
      </c>
      <c r="U685" s="58">
        <f t="shared" ca="1" si="27"/>
        <v>117990</v>
      </c>
      <c r="V685" s="58">
        <f t="shared" ca="1" si="28"/>
        <v>111435</v>
      </c>
      <c r="W685" s="58">
        <f t="shared" ca="1" si="29"/>
        <v>104880</v>
      </c>
      <c r="X685" s="58">
        <f t="shared" ca="1" si="30"/>
        <v>91770</v>
      </c>
      <c r="Y685" s="18"/>
    </row>
    <row r="686" spans="1:25" ht="16" x14ac:dyDescent="0.15">
      <c r="A686" s="18"/>
      <c r="B686" s="54" t="s">
        <v>212</v>
      </c>
      <c r="C686" s="54" t="s">
        <v>136</v>
      </c>
      <c r="D686" s="54"/>
      <c r="E686" s="54" t="s">
        <v>213</v>
      </c>
      <c r="F686" s="54" t="s">
        <v>114</v>
      </c>
      <c r="G686" s="59" t="s">
        <v>219</v>
      </c>
      <c r="H686" s="54">
        <v>1800</v>
      </c>
      <c r="I686" s="55" t="str">
        <f t="shared" si="25"/>
        <v>CBLP-RST-PoLM-2100x900+1800</v>
      </c>
      <c r="J686" s="54" t="s">
        <v>211</v>
      </c>
      <c r="K686" s="54" t="s">
        <v>94</v>
      </c>
      <c r="L686" s="54"/>
      <c r="M686" s="54" t="s">
        <v>215</v>
      </c>
      <c r="N686" s="54" t="s">
        <v>220</v>
      </c>
      <c r="O686" s="54" t="s">
        <v>47</v>
      </c>
      <c r="P686" s="56" t="s">
        <v>199</v>
      </c>
      <c r="Q686" s="57"/>
      <c r="R686" s="57"/>
      <c r="S686" s="57"/>
      <c r="T686" s="57">
        <f t="shared" ca="1" si="26"/>
        <v>148100</v>
      </c>
      <c r="U686" s="58">
        <f t="shared" ca="1" si="27"/>
        <v>133290</v>
      </c>
      <c r="V686" s="58">
        <f t="shared" ca="1" si="28"/>
        <v>125885</v>
      </c>
      <c r="W686" s="58">
        <f t="shared" ca="1" si="29"/>
        <v>118480</v>
      </c>
      <c r="X686" s="58">
        <f t="shared" ca="1" si="30"/>
        <v>103670</v>
      </c>
      <c r="Y686" s="18"/>
    </row>
    <row r="687" spans="1:25" ht="16" x14ac:dyDescent="0.15">
      <c r="A687" s="18"/>
      <c r="B687" s="54" t="s">
        <v>212</v>
      </c>
      <c r="C687" s="54" t="s">
        <v>136</v>
      </c>
      <c r="D687" s="54"/>
      <c r="E687" s="54" t="s">
        <v>213</v>
      </c>
      <c r="F687" s="54" t="s">
        <v>117</v>
      </c>
      <c r="G687" s="59" t="s">
        <v>219</v>
      </c>
      <c r="H687" s="54">
        <v>1800</v>
      </c>
      <c r="I687" s="55" t="str">
        <f t="shared" si="25"/>
        <v>CBLP-RST-LVM-2100x900+1800</v>
      </c>
      <c r="J687" s="54" t="s">
        <v>211</v>
      </c>
      <c r="K687" s="54" t="s">
        <v>94</v>
      </c>
      <c r="L687" s="54"/>
      <c r="M687" s="54" t="s">
        <v>215</v>
      </c>
      <c r="N687" s="54" t="s">
        <v>220</v>
      </c>
      <c r="O687" s="54" t="s">
        <v>157</v>
      </c>
      <c r="P687" s="56" t="s">
        <v>199</v>
      </c>
      <c r="Q687" s="57"/>
      <c r="R687" s="57"/>
      <c r="S687" s="57"/>
      <c r="T687" s="57">
        <f t="shared" ca="1" si="26"/>
        <v>160100</v>
      </c>
      <c r="U687" s="58">
        <f t="shared" ca="1" si="27"/>
        <v>144090</v>
      </c>
      <c r="V687" s="58">
        <f t="shared" ca="1" si="28"/>
        <v>136085</v>
      </c>
      <c r="W687" s="58">
        <f t="shared" ca="1" si="29"/>
        <v>128080</v>
      </c>
      <c r="X687" s="58">
        <f t="shared" ca="1" si="30"/>
        <v>112070</v>
      </c>
      <c r="Y687" s="18"/>
    </row>
    <row r="688" spans="1:25" ht="16" x14ac:dyDescent="0.15">
      <c r="A688" s="18"/>
      <c r="B688" s="54" t="s">
        <v>212</v>
      </c>
      <c r="C688" s="54" t="s">
        <v>136</v>
      </c>
      <c r="D688" s="54"/>
      <c r="E688" s="54" t="s">
        <v>213</v>
      </c>
      <c r="F688" s="54" t="s">
        <v>119</v>
      </c>
      <c r="G688" s="59" t="s">
        <v>219</v>
      </c>
      <c r="H688" s="54">
        <v>1800</v>
      </c>
      <c r="I688" s="55" t="str">
        <f t="shared" si="25"/>
        <v>CBLP-RST-LVP-2100x900+1800</v>
      </c>
      <c r="J688" s="54" t="s">
        <v>211</v>
      </c>
      <c r="K688" s="54" t="s">
        <v>94</v>
      </c>
      <c r="L688" s="54"/>
      <c r="M688" s="54" t="s">
        <v>215</v>
      </c>
      <c r="N688" s="54" t="s">
        <v>220</v>
      </c>
      <c r="O688" s="54" t="s">
        <v>158</v>
      </c>
      <c r="P688" s="56" t="s">
        <v>199</v>
      </c>
      <c r="Q688" s="57"/>
      <c r="R688" s="57"/>
      <c r="S688" s="57"/>
      <c r="T688" s="57">
        <f t="shared" ca="1" si="26"/>
        <v>163900</v>
      </c>
      <c r="U688" s="58">
        <f t="shared" ca="1" si="27"/>
        <v>147510</v>
      </c>
      <c r="V688" s="58">
        <f t="shared" ca="1" si="28"/>
        <v>139315</v>
      </c>
      <c r="W688" s="58">
        <f t="shared" ca="1" si="29"/>
        <v>131120</v>
      </c>
      <c r="X688" s="58">
        <f t="shared" ca="1" si="30"/>
        <v>114729.99999999999</v>
      </c>
      <c r="Y688" s="18"/>
    </row>
    <row r="689" spans="1:25" ht="16" x14ac:dyDescent="0.15">
      <c r="A689" s="18"/>
      <c r="B689" s="54" t="s">
        <v>212</v>
      </c>
      <c r="C689" s="54" t="s">
        <v>136</v>
      </c>
      <c r="D689" s="54"/>
      <c r="E689" s="54" t="s">
        <v>213</v>
      </c>
      <c r="F689" s="54" t="s">
        <v>121</v>
      </c>
      <c r="G689" s="59" t="s">
        <v>219</v>
      </c>
      <c r="H689" s="54">
        <v>1800</v>
      </c>
      <c r="I689" s="55" t="str">
        <f t="shared" si="25"/>
        <v>CBLP-RST-VNR-2100x900+1800</v>
      </c>
      <c r="J689" s="54" t="s">
        <v>211</v>
      </c>
      <c r="K689" s="54" t="s">
        <v>94</v>
      </c>
      <c r="L689" s="54"/>
      <c r="M689" s="54" t="s">
        <v>215</v>
      </c>
      <c r="N689" s="54" t="s">
        <v>220</v>
      </c>
      <c r="O689" s="54" t="s">
        <v>90</v>
      </c>
      <c r="P689" s="56" t="s">
        <v>199</v>
      </c>
      <c r="Q689" s="57"/>
      <c r="R689" s="57"/>
      <c r="S689" s="57"/>
      <c r="T689" s="57">
        <f t="shared" ca="1" si="26"/>
        <v>237600</v>
      </c>
      <c r="U689" s="58">
        <f t="shared" ca="1" si="27"/>
        <v>213840</v>
      </c>
      <c r="V689" s="58">
        <f t="shared" ca="1" si="28"/>
        <v>201960</v>
      </c>
      <c r="W689" s="58">
        <f t="shared" ca="1" si="29"/>
        <v>190080</v>
      </c>
      <c r="X689" s="58">
        <f t="shared" ca="1" si="30"/>
        <v>166320</v>
      </c>
      <c r="Y689" s="18"/>
    </row>
    <row r="690" spans="1:25" ht="16" x14ac:dyDescent="0.15">
      <c r="A690" s="18"/>
      <c r="B690" s="54" t="s">
        <v>212</v>
      </c>
      <c r="C690" s="54" t="s">
        <v>136</v>
      </c>
      <c r="D690" s="54"/>
      <c r="E690" s="54" t="s">
        <v>213</v>
      </c>
      <c r="F690" s="54" t="s">
        <v>123</v>
      </c>
      <c r="G690" s="59" t="s">
        <v>219</v>
      </c>
      <c r="H690" s="54">
        <v>1800</v>
      </c>
      <c r="I690" s="55" t="str">
        <f t="shared" si="25"/>
        <v>CBLP-RST-GL-2100x900+1800</v>
      </c>
      <c r="J690" s="54" t="s">
        <v>211</v>
      </c>
      <c r="K690" s="54" t="s">
        <v>94</v>
      </c>
      <c r="L690" s="54"/>
      <c r="M690" s="54" t="s">
        <v>215</v>
      </c>
      <c r="N690" s="54" t="s">
        <v>220</v>
      </c>
      <c r="O690" s="54" t="s">
        <v>42</v>
      </c>
      <c r="P690" s="56" t="s">
        <v>199</v>
      </c>
      <c r="Q690" s="57"/>
      <c r="R690" s="57"/>
      <c r="S690" s="57"/>
      <c r="T690" s="57">
        <f t="shared" ca="1" si="26"/>
        <v>152600</v>
      </c>
      <c r="U690" s="58">
        <f t="shared" ca="1" si="27"/>
        <v>137340</v>
      </c>
      <c r="V690" s="58">
        <f t="shared" ca="1" si="28"/>
        <v>129710</v>
      </c>
      <c r="W690" s="58">
        <f t="shared" ca="1" si="29"/>
        <v>122080</v>
      </c>
      <c r="X690" s="58">
        <f t="shared" ca="1" si="30"/>
        <v>106820</v>
      </c>
      <c r="Y690" s="18"/>
    </row>
    <row r="691" spans="1:25" ht="16" x14ac:dyDescent="0.15">
      <c r="A691" s="18"/>
      <c r="B691" s="54" t="s">
        <v>212</v>
      </c>
      <c r="C691" s="54" t="s">
        <v>136</v>
      </c>
      <c r="D691" s="54"/>
      <c r="E691" s="54" t="s">
        <v>221</v>
      </c>
      <c r="F691" s="54" t="s">
        <v>65</v>
      </c>
      <c r="G691" s="59" t="s">
        <v>214</v>
      </c>
      <c r="H691" s="54">
        <v>900</v>
      </c>
      <c r="I691" s="55" t="str">
        <f t="shared" si="25"/>
        <v>CBLP-FR-PB-1500x600+900</v>
      </c>
      <c r="J691" s="54" t="s">
        <v>211</v>
      </c>
      <c r="K691" s="54" t="s">
        <v>94</v>
      </c>
      <c r="L691" s="54"/>
      <c r="M691" s="54" t="s">
        <v>222</v>
      </c>
      <c r="N691" s="54" t="s">
        <v>223</v>
      </c>
      <c r="O691" s="54" t="s">
        <v>11</v>
      </c>
      <c r="P691" s="56" t="s">
        <v>199</v>
      </c>
      <c r="Q691" s="57"/>
      <c r="R691" s="57"/>
      <c r="S691" s="57"/>
      <c r="T691" s="57">
        <f t="shared" ca="1" si="26"/>
        <v>134300</v>
      </c>
      <c r="U691" s="58">
        <f t="shared" ca="1" si="27"/>
        <v>120870</v>
      </c>
      <c r="V691" s="58">
        <f t="shared" ca="1" si="28"/>
        <v>114155</v>
      </c>
      <c r="W691" s="58">
        <f t="shared" ca="1" si="29"/>
        <v>107440</v>
      </c>
      <c r="X691" s="58">
        <f t="shared" ca="1" si="30"/>
        <v>94010</v>
      </c>
      <c r="Y691" s="18"/>
    </row>
    <row r="692" spans="1:25" ht="16" x14ac:dyDescent="0.15">
      <c r="A692" s="18"/>
      <c r="B692" s="54" t="s">
        <v>212</v>
      </c>
      <c r="C692" s="54" t="s">
        <v>136</v>
      </c>
      <c r="D692" s="54"/>
      <c r="E692" s="54" t="s">
        <v>221</v>
      </c>
      <c r="F692" s="54" t="s">
        <v>112</v>
      </c>
      <c r="G692" s="59" t="s">
        <v>214</v>
      </c>
      <c r="H692" s="54">
        <v>900</v>
      </c>
      <c r="I692" s="55" t="str">
        <f t="shared" si="25"/>
        <v>CBLP-FR-PLM-1500x600+900</v>
      </c>
      <c r="J692" s="54" t="s">
        <v>211</v>
      </c>
      <c r="K692" s="54" t="s">
        <v>94</v>
      </c>
      <c r="L692" s="54"/>
      <c r="M692" s="54" t="s">
        <v>222</v>
      </c>
      <c r="N692" s="54" t="s">
        <v>223</v>
      </c>
      <c r="O692" s="54" t="s">
        <v>31</v>
      </c>
      <c r="P692" s="56" t="s">
        <v>199</v>
      </c>
      <c r="Q692" s="57"/>
      <c r="R692" s="57"/>
      <c r="S692" s="57"/>
      <c r="T692" s="57">
        <f t="shared" ca="1" si="26"/>
        <v>138300</v>
      </c>
      <c r="U692" s="58">
        <f t="shared" ca="1" si="27"/>
        <v>124470</v>
      </c>
      <c r="V692" s="58">
        <f t="shared" ca="1" si="28"/>
        <v>117555</v>
      </c>
      <c r="W692" s="58">
        <f t="shared" ca="1" si="29"/>
        <v>110640</v>
      </c>
      <c r="X692" s="58">
        <f t="shared" ca="1" si="30"/>
        <v>96810</v>
      </c>
      <c r="Y692" s="18"/>
    </row>
    <row r="693" spans="1:25" ht="16" x14ac:dyDescent="0.15">
      <c r="A693" s="18"/>
      <c r="B693" s="54" t="s">
        <v>212</v>
      </c>
      <c r="C693" s="54" t="s">
        <v>136</v>
      </c>
      <c r="D693" s="54"/>
      <c r="E693" s="54" t="s">
        <v>221</v>
      </c>
      <c r="F693" s="54" t="s">
        <v>114</v>
      </c>
      <c r="G693" s="59" t="s">
        <v>214</v>
      </c>
      <c r="H693" s="54">
        <v>900</v>
      </c>
      <c r="I693" s="55" t="str">
        <f t="shared" si="25"/>
        <v>CBLP-FR-PoLM-1500x600+900</v>
      </c>
      <c r="J693" s="54" t="s">
        <v>211</v>
      </c>
      <c r="K693" s="54" t="s">
        <v>94</v>
      </c>
      <c r="L693" s="54"/>
      <c r="M693" s="54" t="s">
        <v>222</v>
      </c>
      <c r="N693" s="54" t="s">
        <v>223</v>
      </c>
      <c r="O693" s="54" t="s">
        <v>47</v>
      </c>
      <c r="P693" s="56" t="s">
        <v>199</v>
      </c>
      <c r="Q693" s="57"/>
      <c r="R693" s="57"/>
      <c r="S693" s="57"/>
      <c r="T693" s="57">
        <f t="shared" ca="1" si="26"/>
        <v>161000</v>
      </c>
      <c r="U693" s="58">
        <f t="shared" ca="1" si="27"/>
        <v>144900</v>
      </c>
      <c r="V693" s="58">
        <f t="shared" ca="1" si="28"/>
        <v>136850</v>
      </c>
      <c r="W693" s="58">
        <f t="shared" ca="1" si="29"/>
        <v>128800</v>
      </c>
      <c r="X693" s="58">
        <f t="shared" ca="1" si="30"/>
        <v>112700</v>
      </c>
      <c r="Y693" s="18"/>
    </row>
    <row r="694" spans="1:25" ht="16" x14ac:dyDescent="0.15">
      <c r="A694" s="18"/>
      <c r="B694" s="54" t="s">
        <v>212</v>
      </c>
      <c r="C694" s="54" t="s">
        <v>136</v>
      </c>
      <c r="D694" s="54"/>
      <c r="E694" s="54" t="s">
        <v>221</v>
      </c>
      <c r="F694" s="54" t="s">
        <v>117</v>
      </c>
      <c r="G694" s="59" t="s">
        <v>214</v>
      </c>
      <c r="H694" s="54">
        <v>900</v>
      </c>
      <c r="I694" s="55" t="str">
        <f t="shared" si="25"/>
        <v>CBLP-FR-LVM-1500x600+900</v>
      </c>
      <c r="J694" s="54" t="s">
        <v>211</v>
      </c>
      <c r="K694" s="54" t="s">
        <v>94</v>
      </c>
      <c r="L694" s="54"/>
      <c r="M694" s="54" t="s">
        <v>222</v>
      </c>
      <c r="N694" s="54" t="s">
        <v>223</v>
      </c>
      <c r="O694" s="54" t="s">
        <v>157</v>
      </c>
      <c r="P694" s="56" t="s">
        <v>199</v>
      </c>
      <c r="Q694" s="57"/>
      <c r="R694" s="57"/>
      <c r="S694" s="57"/>
      <c r="T694" s="57">
        <f t="shared" ca="1" si="26"/>
        <v>177100</v>
      </c>
      <c r="U694" s="58">
        <f t="shared" ca="1" si="27"/>
        <v>159390</v>
      </c>
      <c r="V694" s="58">
        <f t="shared" ca="1" si="28"/>
        <v>150535</v>
      </c>
      <c r="W694" s="58">
        <f t="shared" ca="1" si="29"/>
        <v>141680</v>
      </c>
      <c r="X694" s="58">
        <f t="shared" ca="1" si="30"/>
        <v>123969.99999999999</v>
      </c>
      <c r="Y694" s="18"/>
    </row>
    <row r="695" spans="1:25" ht="16" x14ac:dyDescent="0.15">
      <c r="A695" s="18"/>
      <c r="B695" s="54" t="s">
        <v>212</v>
      </c>
      <c r="C695" s="54" t="s">
        <v>136</v>
      </c>
      <c r="D695" s="54"/>
      <c r="E695" s="54" t="s">
        <v>221</v>
      </c>
      <c r="F695" s="54" t="s">
        <v>119</v>
      </c>
      <c r="G695" s="59" t="s">
        <v>214</v>
      </c>
      <c r="H695" s="54">
        <v>900</v>
      </c>
      <c r="I695" s="55" t="str">
        <f t="shared" si="25"/>
        <v>CBLP-FR-LVP-1500x600+900</v>
      </c>
      <c r="J695" s="54" t="s">
        <v>211</v>
      </c>
      <c r="K695" s="54" t="s">
        <v>94</v>
      </c>
      <c r="L695" s="54"/>
      <c r="M695" s="54" t="s">
        <v>222</v>
      </c>
      <c r="N695" s="54" t="s">
        <v>223</v>
      </c>
      <c r="O695" s="54" t="s">
        <v>158</v>
      </c>
      <c r="P695" s="56" t="s">
        <v>199</v>
      </c>
      <c r="Q695" s="57"/>
      <c r="R695" s="57"/>
      <c r="S695" s="57"/>
      <c r="T695" s="57">
        <f t="shared" ca="1" si="26"/>
        <v>182100</v>
      </c>
      <c r="U695" s="58">
        <f t="shared" ca="1" si="27"/>
        <v>163890</v>
      </c>
      <c r="V695" s="58">
        <f t="shared" ca="1" si="28"/>
        <v>154785</v>
      </c>
      <c r="W695" s="58">
        <f t="shared" ca="1" si="29"/>
        <v>145680</v>
      </c>
      <c r="X695" s="58">
        <f t="shared" ca="1" si="30"/>
        <v>127469.99999999999</v>
      </c>
      <c r="Y695" s="18"/>
    </row>
    <row r="696" spans="1:25" ht="16" x14ac:dyDescent="0.15">
      <c r="A696" s="18"/>
      <c r="B696" s="54" t="s">
        <v>212</v>
      </c>
      <c r="C696" s="54" t="s">
        <v>136</v>
      </c>
      <c r="D696" s="54"/>
      <c r="E696" s="54" t="s">
        <v>221</v>
      </c>
      <c r="F696" s="54" t="s">
        <v>121</v>
      </c>
      <c r="G696" s="59" t="s">
        <v>214</v>
      </c>
      <c r="H696" s="54">
        <v>900</v>
      </c>
      <c r="I696" s="55" t="str">
        <f t="shared" si="25"/>
        <v>CBLP-FR-VNR-1500x600+900</v>
      </c>
      <c r="J696" s="54" t="s">
        <v>211</v>
      </c>
      <c r="K696" s="54" t="s">
        <v>94</v>
      </c>
      <c r="L696" s="54"/>
      <c r="M696" s="54" t="s">
        <v>222</v>
      </c>
      <c r="N696" s="54" t="s">
        <v>223</v>
      </c>
      <c r="O696" s="54" t="s">
        <v>90</v>
      </c>
      <c r="P696" s="56" t="s">
        <v>199</v>
      </c>
      <c r="Q696" s="57"/>
      <c r="R696" s="57"/>
      <c r="S696" s="57"/>
      <c r="T696" s="57">
        <f t="shared" ca="1" si="26"/>
        <v>280400</v>
      </c>
      <c r="U696" s="58">
        <f t="shared" ca="1" si="27"/>
        <v>252360</v>
      </c>
      <c r="V696" s="58">
        <f t="shared" ca="1" si="28"/>
        <v>238340</v>
      </c>
      <c r="W696" s="58">
        <f t="shared" ca="1" si="29"/>
        <v>224320</v>
      </c>
      <c r="X696" s="58">
        <f t="shared" ca="1" si="30"/>
        <v>196280</v>
      </c>
      <c r="Y696" s="18"/>
    </row>
    <row r="697" spans="1:25" ht="16" x14ac:dyDescent="0.15">
      <c r="A697" s="18"/>
      <c r="B697" s="54" t="s">
        <v>212</v>
      </c>
      <c r="C697" s="54" t="s">
        <v>136</v>
      </c>
      <c r="D697" s="54"/>
      <c r="E697" s="54" t="s">
        <v>221</v>
      </c>
      <c r="F697" s="54" t="s">
        <v>123</v>
      </c>
      <c r="G697" s="59" t="s">
        <v>214</v>
      </c>
      <c r="H697" s="54">
        <v>900</v>
      </c>
      <c r="I697" s="55" t="str">
        <f t="shared" si="25"/>
        <v>CBLP-FR-GL-1500x600+900</v>
      </c>
      <c r="J697" s="54" t="s">
        <v>211</v>
      </c>
      <c r="K697" s="54" t="s">
        <v>94</v>
      </c>
      <c r="L697" s="54"/>
      <c r="M697" s="54" t="s">
        <v>222</v>
      </c>
      <c r="N697" s="54" t="s">
        <v>223</v>
      </c>
      <c r="O697" s="54" t="s">
        <v>42</v>
      </c>
      <c r="P697" s="56" t="s">
        <v>199</v>
      </c>
      <c r="Q697" s="57"/>
      <c r="R697" s="57"/>
      <c r="S697" s="57"/>
      <c r="T697" s="57">
        <f t="shared" ca="1" si="26"/>
        <v>167000</v>
      </c>
      <c r="U697" s="58">
        <f t="shared" ca="1" si="27"/>
        <v>150300</v>
      </c>
      <c r="V697" s="58">
        <f t="shared" ca="1" si="28"/>
        <v>141950</v>
      </c>
      <c r="W697" s="58">
        <f t="shared" ca="1" si="29"/>
        <v>133600</v>
      </c>
      <c r="X697" s="58">
        <f t="shared" ca="1" si="30"/>
        <v>116899.99999999999</v>
      </c>
      <c r="Y697" s="18"/>
    </row>
    <row r="698" spans="1:25" ht="16" x14ac:dyDescent="0.15">
      <c r="A698" s="18"/>
      <c r="B698" s="54" t="s">
        <v>212</v>
      </c>
      <c r="C698" s="54" t="s">
        <v>136</v>
      </c>
      <c r="D698" s="54"/>
      <c r="E698" s="54" t="s">
        <v>221</v>
      </c>
      <c r="F698" s="54" t="s">
        <v>65</v>
      </c>
      <c r="G698" s="59" t="s">
        <v>217</v>
      </c>
      <c r="H698" s="54">
        <v>1350</v>
      </c>
      <c r="I698" s="55" t="str">
        <f t="shared" si="25"/>
        <v>CBLP-FR-PB-1800x750+1350</v>
      </c>
      <c r="J698" s="54" t="s">
        <v>211</v>
      </c>
      <c r="K698" s="54" t="s">
        <v>94</v>
      </c>
      <c r="L698" s="54"/>
      <c r="M698" s="54" t="s">
        <v>222</v>
      </c>
      <c r="N698" s="54" t="s">
        <v>224</v>
      </c>
      <c r="O698" s="54" t="s">
        <v>11</v>
      </c>
      <c r="P698" s="56" t="s">
        <v>199</v>
      </c>
      <c r="Q698" s="57"/>
      <c r="R698" s="57"/>
      <c r="S698" s="57"/>
      <c r="T698" s="57">
        <f t="shared" ca="1" si="26"/>
        <v>116200</v>
      </c>
      <c r="U698" s="58">
        <f t="shared" ca="1" si="27"/>
        <v>104580</v>
      </c>
      <c r="V698" s="58">
        <f t="shared" ca="1" si="28"/>
        <v>98770</v>
      </c>
      <c r="W698" s="58">
        <f t="shared" ca="1" si="29"/>
        <v>92960</v>
      </c>
      <c r="X698" s="58">
        <f t="shared" ca="1" si="30"/>
        <v>81340</v>
      </c>
      <c r="Y698" s="18"/>
    </row>
    <row r="699" spans="1:25" ht="16" x14ac:dyDescent="0.15">
      <c r="A699" s="18"/>
      <c r="B699" s="54" t="s">
        <v>212</v>
      </c>
      <c r="C699" s="54" t="s">
        <v>136</v>
      </c>
      <c r="D699" s="54"/>
      <c r="E699" s="54" t="s">
        <v>221</v>
      </c>
      <c r="F699" s="54" t="s">
        <v>112</v>
      </c>
      <c r="G699" s="59" t="s">
        <v>217</v>
      </c>
      <c r="H699" s="54">
        <v>1350</v>
      </c>
      <c r="I699" s="55" t="str">
        <f t="shared" si="25"/>
        <v>CBLP-FR-PLM-1800x750+1350</v>
      </c>
      <c r="J699" s="54" t="s">
        <v>211</v>
      </c>
      <c r="K699" s="54" t="s">
        <v>94</v>
      </c>
      <c r="L699" s="54"/>
      <c r="M699" s="54" t="s">
        <v>222</v>
      </c>
      <c r="N699" s="54" t="s">
        <v>224</v>
      </c>
      <c r="O699" s="54" t="s">
        <v>31</v>
      </c>
      <c r="P699" s="56" t="s">
        <v>199</v>
      </c>
      <c r="Q699" s="57"/>
      <c r="R699" s="57"/>
      <c r="S699" s="57"/>
      <c r="T699" s="57">
        <f t="shared" ca="1" si="26"/>
        <v>118400</v>
      </c>
      <c r="U699" s="58">
        <f t="shared" ca="1" si="27"/>
        <v>106560</v>
      </c>
      <c r="V699" s="58">
        <f t="shared" ca="1" si="28"/>
        <v>100640</v>
      </c>
      <c r="W699" s="58">
        <f t="shared" ca="1" si="29"/>
        <v>94720</v>
      </c>
      <c r="X699" s="58">
        <f t="shared" ca="1" si="30"/>
        <v>82880</v>
      </c>
      <c r="Y699" s="18"/>
    </row>
    <row r="700" spans="1:25" ht="16" x14ac:dyDescent="0.15">
      <c r="A700" s="18"/>
      <c r="B700" s="54" t="s">
        <v>212</v>
      </c>
      <c r="C700" s="54" t="s">
        <v>136</v>
      </c>
      <c r="D700" s="54"/>
      <c r="E700" s="54" t="s">
        <v>221</v>
      </c>
      <c r="F700" s="54" t="s">
        <v>114</v>
      </c>
      <c r="G700" s="59" t="s">
        <v>217</v>
      </c>
      <c r="H700" s="54">
        <v>1350</v>
      </c>
      <c r="I700" s="55" t="str">
        <f t="shared" si="25"/>
        <v>CBLP-FR-PoLM-1800x750+1350</v>
      </c>
      <c r="J700" s="54" t="s">
        <v>211</v>
      </c>
      <c r="K700" s="54" t="s">
        <v>94</v>
      </c>
      <c r="L700" s="54"/>
      <c r="M700" s="54" t="s">
        <v>222</v>
      </c>
      <c r="N700" s="54" t="s">
        <v>224</v>
      </c>
      <c r="O700" s="54" t="s">
        <v>47</v>
      </c>
      <c r="P700" s="56" t="s">
        <v>199</v>
      </c>
      <c r="Q700" s="57"/>
      <c r="R700" s="57"/>
      <c r="S700" s="57"/>
      <c r="T700" s="57">
        <f t="shared" ca="1" si="26"/>
        <v>130500</v>
      </c>
      <c r="U700" s="58">
        <f t="shared" ca="1" si="27"/>
        <v>117450</v>
      </c>
      <c r="V700" s="58">
        <f t="shared" ca="1" si="28"/>
        <v>110925</v>
      </c>
      <c r="W700" s="58">
        <f t="shared" ca="1" si="29"/>
        <v>104400</v>
      </c>
      <c r="X700" s="58">
        <f t="shared" ca="1" si="30"/>
        <v>91350</v>
      </c>
      <c r="Y700" s="18"/>
    </row>
    <row r="701" spans="1:25" ht="16" x14ac:dyDescent="0.15">
      <c r="A701" s="18"/>
      <c r="B701" s="54" t="s">
        <v>212</v>
      </c>
      <c r="C701" s="54" t="s">
        <v>136</v>
      </c>
      <c r="D701" s="54"/>
      <c r="E701" s="54" t="s">
        <v>221</v>
      </c>
      <c r="F701" s="54" t="s">
        <v>117</v>
      </c>
      <c r="G701" s="59" t="s">
        <v>217</v>
      </c>
      <c r="H701" s="54">
        <v>1350</v>
      </c>
      <c r="I701" s="55" t="str">
        <f t="shared" si="25"/>
        <v>CBLP-FR-LVM-1800x750+1350</v>
      </c>
      <c r="J701" s="54" t="s">
        <v>211</v>
      </c>
      <c r="K701" s="54" t="s">
        <v>94</v>
      </c>
      <c r="L701" s="54"/>
      <c r="M701" s="54" t="s">
        <v>222</v>
      </c>
      <c r="N701" s="54" t="s">
        <v>224</v>
      </c>
      <c r="O701" s="54" t="s">
        <v>157</v>
      </c>
      <c r="P701" s="56" t="s">
        <v>199</v>
      </c>
      <c r="Q701" s="57"/>
      <c r="R701" s="57"/>
      <c r="S701" s="57"/>
      <c r="T701" s="57">
        <f t="shared" ca="1" si="26"/>
        <v>135900</v>
      </c>
      <c r="U701" s="58">
        <f t="shared" ca="1" si="27"/>
        <v>122310</v>
      </c>
      <c r="V701" s="58">
        <f t="shared" ca="1" si="28"/>
        <v>115515</v>
      </c>
      <c r="W701" s="58">
        <f t="shared" ca="1" si="29"/>
        <v>108720</v>
      </c>
      <c r="X701" s="58">
        <f t="shared" ca="1" si="30"/>
        <v>95130</v>
      </c>
      <c r="Y701" s="18"/>
    </row>
    <row r="702" spans="1:25" ht="16" x14ac:dyDescent="0.15">
      <c r="A702" s="18"/>
      <c r="B702" s="54" t="s">
        <v>212</v>
      </c>
      <c r="C702" s="54" t="s">
        <v>136</v>
      </c>
      <c r="D702" s="54"/>
      <c r="E702" s="54" t="s">
        <v>221</v>
      </c>
      <c r="F702" s="54" t="s">
        <v>119</v>
      </c>
      <c r="G702" s="59" t="s">
        <v>217</v>
      </c>
      <c r="H702" s="54">
        <v>1350</v>
      </c>
      <c r="I702" s="55" t="str">
        <f t="shared" si="25"/>
        <v>CBLP-FR-LVP-1800x750+1350</v>
      </c>
      <c r="J702" s="54" t="s">
        <v>211</v>
      </c>
      <c r="K702" s="54" t="s">
        <v>94</v>
      </c>
      <c r="L702" s="54"/>
      <c r="M702" s="54" t="s">
        <v>222</v>
      </c>
      <c r="N702" s="54" t="s">
        <v>224</v>
      </c>
      <c r="O702" s="54" t="s">
        <v>158</v>
      </c>
      <c r="P702" s="56" t="s">
        <v>199</v>
      </c>
      <c r="Q702" s="57"/>
      <c r="R702" s="57"/>
      <c r="S702" s="57"/>
      <c r="T702" s="57">
        <f t="shared" ca="1" si="26"/>
        <v>138600</v>
      </c>
      <c r="U702" s="58">
        <f t="shared" ca="1" si="27"/>
        <v>124740</v>
      </c>
      <c r="V702" s="58">
        <f t="shared" ca="1" si="28"/>
        <v>117810</v>
      </c>
      <c r="W702" s="58">
        <f t="shared" ca="1" si="29"/>
        <v>110880</v>
      </c>
      <c r="X702" s="58">
        <f t="shared" ca="1" si="30"/>
        <v>97020</v>
      </c>
      <c r="Y702" s="18"/>
    </row>
    <row r="703" spans="1:25" ht="16" x14ac:dyDescent="0.15">
      <c r="A703" s="18"/>
      <c r="B703" s="54" t="s">
        <v>212</v>
      </c>
      <c r="C703" s="54" t="s">
        <v>136</v>
      </c>
      <c r="D703" s="54"/>
      <c r="E703" s="54" t="s">
        <v>221</v>
      </c>
      <c r="F703" s="54" t="s">
        <v>121</v>
      </c>
      <c r="G703" s="59" t="s">
        <v>217</v>
      </c>
      <c r="H703" s="54">
        <v>1350</v>
      </c>
      <c r="I703" s="55" t="str">
        <f t="shared" si="25"/>
        <v>CBLP-FR-VNR-1800x750+1350</v>
      </c>
      <c r="J703" s="54" t="s">
        <v>211</v>
      </c>
      <c r="K703" s="54" t="s">
        <v>94</v>
      </c>
      <c r="L703" s="54"/>
      <c r="M703" s="54" t="s">
        <v>222</v>
      </c>
      <c r="N703" s="54" t="s">
        <v>224</v>
      </c>
      <c r="O703" s="54" t="s">
        <v>90</v>
      </c>
      <c r="P703" s="56" t="s">
        <v>199</v>
      </c>
      <c r="Q703" s="57"/>
      <c r="R703" s="57"/>
      <c r="S703" s="57"/>
      <c r="T703" s="57">
        <f t="shared" ca="1" si="26"/>
        <v>191300</v>
      </c>
      <c r="U703" s="58">
        <f t="shared" ca="1" si="27"/>
        <v>172170</v>
      </c>
      <c r="V703" s="58">
        <f t="shared" ca="1" si="28"/>
        <v>162605</v>
      </c>
      <c r="W703" s="58">
        <f t="shared" ca="1" si="29"/>
        <v>153040</v>
      </c>
      <c r="X703" s="58">
        <f t="shared" ca="1" si="30"/>
        <v>133910</v>
      </c>
      <c r="Y703" s="18"/>
    </row>
    <row r="704" spans="1:25" ht="16" x14ac:dyDescent="0.15">
      <c r="A704" s="18"/>
      <c r="B704" s="54" t="s">
        <v>212</v>
      </c>
      <c r="C704" s="54" t="s">
        <v>136</v>
      </c>
      <c r="D704" s="54"/>
      <c r="E704" s="54" t="s">
        <v>221</v>
      </c>
      <c r="F704" s="54" t="s">
        <v>123</v>
      </c>
      <c r="G704" s="59" t="s">
        <v>217</v>
      </c>
      <c r="H704" s="54">
        <v>1350</v>
      </c>
      <c r="I704" s="55" t="str">
        <f t="shared" si="25"/>
        <v>CBLP-FR-GL-1800x750+1350</v>
      </c>
      <c r="J704" s="54" t="s">
        <v>211</v>
      </c>
      <c r="K704" s="54" t="s">
        <v>94</v>
      </c>
      <c r="L704" s="54"/>
      <c r="M704" s="54" t="s">
        <v>222</v>
      </c>
      <c r="N704" s="54" t="s">
        <v>224</v>
      </c>
      <c r="O704" s="54" t="s">
        <v>42</v>
      </c>
      <c r="P704" s="56" t="s">
        <v>199</v>
      </c>
      <c r="Q704" s="57"/>
      <c r="R704" s="57"/>
      <c r="S704" s="57"/>
      <c r="T704" s="57">
        <f t="shared" ca="1" si="26"/>
        <v>130500</v>
      </c>
      <c r="U704" s="58">
        <f t="shared" ca="1" si="27"/>
        <v>117450</v>
      </c>
      <c r="V704" s="58">
        <f t="shared" ca="1" si="28"/>
        <v>110925</v>
      </c>
      <c r="W704" s="58">
        <f t="shared" ca="1" si="29"/>
        <v>104400</v>
      </c>
      <c r="X704" s="58">
        <f t="shared" ca="1" si="30"/>
        <v>91350</v>
      </c>
      <c r="Y704" s="18"/>
    </row>
    <row r="705" spans="1:25" ht="16" x14ac:dyDescent="0.15">
      <c r="A705" s="18"/>
      <c r="B705" s="54" t="s">
        <v>212</v>
      </c>
      <c r="C705" s="54" t="s">
        <v>136</v>
      </c>
      <c r="D705" s="54"/>
      <c r="E705" s="54" t="s">
        <v>221</v>
      </c>
      <c r="F705" s="54" t="s">
        <v>65</v>
      </c>
      <c r="G705" s="59" t="s">
        <v>219</v>
      </c>
      <c r="H705" s="54">
        <v>1800</v>
      </c>
      <c r="I705" s="55" t="str">
        <f t="shared" si="25"/>
        <v>CBLP-FR-PB-2100x900+1800</v>
      </c>
      <c r="J705" s="54" t="s">
        <v>211</v>
      </c>
      <c r="K705" s="54" t="s">
        <v>94</v>
      </c>
      <c r="L705" s="54"/>
      <c r="M705" s="54" t="s">
        <v>222</v>
      </c>
      <c r="N705" s="54" t="s">
        <v>220</v>
      </c>
      <c r="O705" s="54" t="s">
        <v>11</v>
      </c>
      <c r="P705" s="56" t="s">
        <v>199</v>
      </c>
      <c r="Q705" s="57"/>
      <c r="R705" s="57"/>
      <c r="S705" s="57"/>
      <c r="T705" s="57">
        <f t="shared" ca="1" si="26"/>
        <v>119100</v>
      </c>
      <c r="U705" s="58">
        <f t="shared" ca="1" si="27"/>
        <v>107190</v>
      </c>
      <c r="V705" s="58">
        <f t="shared" ca="1" si="28"/>
        <v>101235</v>
      </c>
      <c r="W705" s="58">
        <f t="shared" ca="1" si="29"/>
        <v>95280</v>
      </c>
      <c r="X705" s="58">
        <f t="shared" ca="1" si="30"/>
        <v>83370</v>
      </c>
      <c r="Y705" s="18"/>
    </row>
    <row r="706" spans="1:25" ht="16" x14ac:dyDescent="0.15">
      <c r="A706" s="18"/>
      <c r="B706" s="54" t="s">
        <v>212</v>
      </c>
      <c r="C706" s="54" t="s">
        <v>136</v>
      </c>
      <c r="D706" s="54"/>
      <c r="E706" s="54" t="s">
        <v>221</v>
      </c>
      <c r="F706" s="54" t="s">
        <v>112</v>
      </c>
      <c r="G706" s="59" t="s">
        <v>219</v>
      </c>
      <c r="H706" s="54">
        <v>1800</v>
      </c>
      <c r="I706" s="55" t="str">
        <f t="shared" si="25"/>
        <v>CBLP-FR-PLM-2100x900+1800</v>
      </c>
      <c r="J706" s="54" t="s">
        <v>211</v>
      </c>
      <c r="K706" s="54" t="s">
        <v>94</v>
      </c>
      <c r="L706" s="54"/>
      <c r="M706" s="54" t="s">
        <v>222</v>
      </c>
      <c r="N706" s="54" t="s">
        <v>220</v>
      </c>
      <c r="O706" s="54" t="s">
        <v>31</v>
      </c>
      <c r="P706" s="56" t="s">
        <v>199</v>
      </c>
      <c r="Q706" s="57"/>
      <c r="R706" s="57"/>
      <c r="S706" s="57"/>
      <c r="T706" s="57">
        <f t="shared" ca="1" si="26"/>
        <v>122100</v>
      </c>
      <c r="U706" s="58">
        <f t="shared" ca="1" si="27"/>
        <v>109890</v>
      </c>
      <c r="V706" s="58">
        <f t="shared" ca="1" si="28"/>
        <v>103785</v>
      </c>
      <c r="W706" s="58">
        <f t="shared" ca="1" si="29"/>
        <v>97680</v>
      </c>
      <c r="X706" s="58">
        <f t="shared" ca="1" si="30"/>
        <v>85470</v>
      </c>
      <c r="Y706" s="18"/>
    </row>
    <row r="707" spans="1:25" ht="16" x14ac:dyDescent="0.15">
      <c r="A707" s="18"/>
      <c r="B707" s="54" t="s">
        <v>212</v>
      </c>
      <c r="C707" s="54" t="s">
        <v>136</v>
      </c>
      <c r="D707" s="54"/>
      <c r="E707" s="54" t="s">
        <v>221</v>
      </c>
      <c r="F707" s="54" t="s">
        <v>114</v>
      </c>
      <c r="G707" s="59" t="s">
        <v>219</v>
      </c>
      <c r="H707" s="54">
        <v>1800</v>
      </c>
      <c r="I707" s="55" t="str">
        <f t="shared" si="25"/>
        <v>CBLP-FR-PoLM-2100x900+1800</v>
      </c>
      <c r="J707" s="54" t="s">
        <v>211</v>
      </c>
      <c r="K707" s="54" t="s">
        <v>94</v>
      </c>
      <c r="L707" s="54"/>
      <c r="M707" s="54" t="s">
        <v>222</v>
      </c>
      <c r="N707" s="54" t="s">
        <v>220</v>
      </c>
      <c r="O707" s="54" t="s">
        <v>47</v>
      </c>
      <c r="P707" s="56" t="s">
        <v>199</v>
      </c>
      <c r="Q707" s="57"/>
      <c r="R707" s="57"/>
      <c r="S707" s="57"/>
      <c r="T707" s="57">
        <f t="shared" ca="1" si="26"/>
        <v>139100</v>
      </c>
      <c r="U707" s="58">
        <f t="shared" ca="1" si="27"/>
        <v>125190</v>
      </c>
      <c r="V707" s="58">
        <f t="shared" ca="1" si="28"/>
        <v>118235</v>
      </c>
      <c r="W707" s="58">
        <f t="shared" ca="1" si="29"/>
        <v>111280</v>
      </c>
      <c r="X707" s="58">
        <f t="shared" ca="1" si="30"/>
        <v>97370</v>
      </c>
      <c r="Y707" s="18"/>
    </row>
    <row r="708" spans="1:25" ht="16" x14ac:dyDescent="0.15">
      <c r="A708" s="18"/>
      <c r="B708" s="54" t="s">
        <v>212</v>
      </c>
      <c r="C708" s="54" t="s">
        <v>136</v>
      </c>
      <c r="D708" s="54"/>
      <c r="E708" s="54" t="s">
        <v>221</v>
      </c>
      <c r="F708" s="54" t="s">
        <v>117</v>
      </c>
      <c r="G708" s="59" t="s">
        <v>219</v>
      </c>
      <c r="H708" s="54">
        <v>1800</v>
      </c>
      <c r="I708" s="55" t="str">
        <f t="shared" si="25"/>
        <v>CBLP-FR-LVM-2100x900+1800</v>
      </c>
      <c r="J708" s="54" t="s">
        <v>211</v>
      </c>
      <c r="K708" s="54" t="s">
        <v>94</v>
      </c>
      <c r="L708" s="54"/>
      <c r="M708" s="54" t="s">
        <v>222</v>
      </c>
      <c r="N708" s="54" t="s">
        <v>220</v>
      </c>
      <c r="O708" s="54" t="s">
        <v>157</v>
      </c>
      <c r="P708" s="56" t="s">
        <v>199</v>
      </c>
      <c r="Q708" s="57"/>
      <c r="R708" s="57"/>
      <c r="S708" s="57"/>
      <c r="T708" s="57">
        <f t="shared" ca="1" si="26"/>
        <v>146600</v>
      </c>
      <c r="U708" s="58">
        <f t="shared" ca="1" si="27"/>
        <v>131940</v>
      </c>
      <c r="V708" s="58">
        <f t="shared" ca="1" si="28"/>
        <v>124610</v>
      </c>
      <c r="W708" s="58">
        <f t="shared" ca="1" si="29"/>
        <v>117280</v>
      </c>
      <c r="X708" s="58">
        <f t="shared" ca="1" si="30"/>
        <v>102620</v>
      </c>
      <c r="Y708" s="18"/>
    </row>
    <row r="709" spans="1:25" ht="16" x14ac:dyDescent="0.15">
      <c r="A709" s="18"/>
      <c r="B709" s="54" t="s">
        <v>212</v>
      </c>
      <c r="C709" s="54" t="s">
        <v>136</v>
      </c>
      <c r="D709" s="54"/>
      <c r="E709" s="54" t="s">
        <v>221</v>
      </c>
      <c r="F709" s="54" t="s">
        <v>119</v>
      </c>
      <c r="G709" s="59" t="s">
        <v>219</v>
      </c>
      <c r="H709" s="54">
        <v>1800</v>
      </c>
      <c r="I709" s="55" t="str">
        <f t="shared" si="25"/>
        <v>CBLP-FR-LVP-2100x900+1800</v>
      </c>
      <c r="J709" s="54" t="s">
        <v>211</v>
      </c>
      <c r="K709" s="54" t="s">
        <v>94</v>
      </c>
      <c r="L709" s="54"/>
      <c r="M709" s="54" t="s">
        <v>222</v>
      </c>
      <c r="N709" s="54" t="s">
        <v>220</v>
      </c>
      <c r="O709" s="54" t="s">
        <v>158</v>
      </c>
      <c r="P709" s="56" t="s">
        <v>199</v>
      </c>
      <c r="Q709" s="57"/>
      <c r="R709" s="57"/>
      <c r="S709" s="57"/>
      <c r="T709" s="57">
        <f t="shared" ca="1" si="26"/>
        <v>150400</v>
      </c>
      <c r="U709" s="58">
        <f t="shared" ca="1" si="27"/>
        <v>135360</v>
      </c>
      <c r="V709" s="58">
        <f t="shared" ca="1" si="28"/>
        <v>127840</v>
      </c>
      <c r="W709" s="58">
        <f t="shared" ca="1" si="29"/>
        <v>120320</v>
      </c>
      <c r="X709" s="58">
        <f t="shared" ca="1" si="30"/>
        <v>105280</v>
      </c>
      <c r="Y709" s="18"/>
    </row>
    <row r="710" spans="1:25" ht="16" x14ac:dyDescent="0.15">
      <c r="A710" s="18"/>
      <c r="B710" s="54" t="s">
        <v>212</v>
      </c>
      <c r="C710" s="54" t="s">
        <v>136</v>
      </c>
      <c r="D710" s="54"/>
      <c r="E710" s="54" t="s">
        <v>221</v>
      </c>
      <c r="F710" s="54" t="s">
        <v>121</v>
      </c>
      <c r="G710" s="59" t="s">
        <v>219</v>
      </c>
      <c r="H710" s="54">
        <v>1800</v>
      </c>
      <c r="I710" s="55" t="str">
        <f t="shared" si="25"/>
        <v>CBLP-FR-VNR-2100x900+1800</v>
      </c>
      <c r="J710" s="54" t="s">
        <v>211</v>
      </c>
      <c r="K710" s="54" t="s">
        <v>94</v>
      </c>
      <c r="L710" s="54"/>
      <c r="M710" s="54" t="s">
        <v>222</v>
      </c>
      <c r="N710" s="54" t="s">
        <v>220</v>
      </c>
      <c r="O710" s="54" t="s">
        <v>90</v>
      </c>
      <c r="P710" s="56" t="s">
        <v>199</v>
      </c>
      <c r="Q710" s="57"/>
      <c r="R710" s="57"/>
      <c r="S710" s="57"/>
      <c r="T710" s="57">
        <f t="shared" ca="1" si="26"/>
        <v>224100</v>
      </c>
      <c r="U710" s="58">
        <f t="shared" ca="1" si="27"/>
        <v>201690</v>
      </c>
      <c r="V710" s="58">
        <f t="shared" ca="1" si="28"/>
        <v>190485</v>
      </c>
      <c r="W710" s="58">
        <f t="shared" ca="1" si="29"/>
        <v>179280</v>
      </c>
      <c r="X710" s="58">
        <f t="shared" ca="1" si="30"/>
        <v>156870</v>
      </c>
      <c r="Y710" s="18"/>
    </row>
    <row r="711" spans="1:25" ht="16" x14ac:dyDescent="0.15">
      <c r="A711" s="18"/>
      <c r="B711" s="54" t="s">
        <v>212</v>
      </c>
      <c r="C711" s="54" t="s">
        <v>136</v>
      </c>
      <c r="D711" s="54"/>
      <c r="E711" s="54" t="s">
        <v>221</v>
      </c>
      <c r="F711" s="54" t="s">
        <v>123</v>
      </c>
      <c r="G711" s="59" t="s">
        <v>219</v>
      </c>
      <c r="H711" s="54">
        <v>1800</v>
      </c>
      <c r="I711" s="55" t="str">
        <f t="shared" si="25"/>
        <v>CBLP-FR-GL-2100x900+1800</v>
      </c>
      <c r="J711" s="54" t="s">
        <v>211</v>
      </c>
      <c r="K711" s="54" t="s">
        <v>94</v>
      </c>
      <c r="L711" s="54"/>
      <c r="M711" s="54" t="s">
        <v>222</v>
      </c>
      <c r="N711" s="54" t="s">
        <v>220</v>
      </c>
      <c r="O711" s="54" t="s">
        <v>42</v>
      </c>
      <c r="P711" s="56" t="s">
        <v>199</v>
      </c>
      <c r="Q711" s="57"/>
      <c r="R711" s="57"/>
      <c r="S711" s="57"/>
      <c r="T711" s="57">
        <f t="shared" ca="1" si="26"/>
        <v>139100</v>
      </c>
      <c r="U711" s="58">
        <f t="shared" ca="1" si="27"/>
        <v>125190</v>
      </c>
      <c r="V711" s="58">
        <f t="shared" ca="1" si="28"/>
        <v>118235</v>
      </c>
      <c r="W711" s="58">
        <f t="shared" ca="1" si="29"/>
        <v>111280</v>
      </c>
      <c r="X711" s="58">
        <f t="shared" ca="1" si="30"/>
        <v>97370</v>
      </c>
      <c r="Y711" s="18"/>
    </row>
    <row r="712" spans="1:25" ht="16" x14ac:dyDescent="0.15">
      <c r="A712" s="18"/>
      <c r="B712" s="54" t="s">
        <v>212</v>
      </c>
      <c r="C712" s="54" t="s">
        <v>136</v>
      </c>
      <c r="D712" s="54"/>
      <c r="E712" s="54" t="s">
        <v>225</v>
      </c>
      <c r="F712" s="54" t="s">
        <v>65</v>
      </c>
      <c r="G712" s="59" t="s">
        <v>214</v>
      </c>
      <c r="H712" s="54" t="s">
        <v>131</v>
      </c>
      <c r="I712" s="55" t="str">
        <f t="shared" si="25"/>
        <v>CBLP-TB-PB-1500x600+X</v>
      </c>
      <c r="J712" s="54" t="s">
        <v>211</v>
      </c>
      <c r="K712" s="54" t="s">
        <v>94</v>
      </c>
      <c r="L712" s="54"/>
      <c r="M712" s="54" t="s">
        <v>226</v>
      </c>
      <c r="N712" s="54" t="s">
        <v>214</v>
      </c>
      <c r="O712" s="54" t="s">
        <v>11</v>
      </c>
      <c r="P712" s="56" t="s">
        <v>199</v>
      </c>
      <c r="Q712" s="57"/>
      <c r="R712" s="57"/>
      <c r="S712" s="57"/>
      <c r="T712" s="57">
        <f t="shared" ca="1" si="26"/>
        <v>111200</v>
      </c>
      <c r="U712" s="58">
        <f t="shared" ca="1" si="27"/>
        <v>100080</v>
      </c>
      <c r="V712" s="58">
        <f t="shared" ca="1" si="28"/>
        <v>94520</v>
      </c>
      <c r="W712" s="58">
        <f t="shared" ca="1" si="29"/>
        <v>88960</v>
      </c>
      <c r="X712" s="58">
        <f t="shared" ca="1" si="30"/>
        <v>77840</v>
      </c>
      <c r="Y712" s="18"/>
    </row>
    <row r="713" spans="1:25" ht="16" x14ac:dyDescent="0.15">
      <c r="A713" s="18"/>
      <c r="B713" s="54" t="s">
        <v>212</v>
      </c>
      <c r="C713" s="54" t="s">
        <v>136</v>
      </c>
      <c r="D713" s="54"/>
      <c r="E713" s="54" t="s">
        <v>225</v>
      </c>
      <c r="F713" s="54" t="s">
        <v>112</v>
      </c>
      <c r="G713" s="59" t="s">
        <v>214</v>
      </c>
      <c r="H713" s="54" t="s">
        <v>131</v>
      </c>
      <c r="I713" s="55" t="str">
        <f t="shared" si="25"/>
        <v>CBLP-TB-PLM-1500x600+X</v>
      </c>
      <c r="J713" s="54" t="s">
        <v>211</v>
      </c>
      <c r="K713" s="54" t="s">
        <v>94</v>
      </c>
      <c r="L713" s="54"/>
      <c r="M713" s="54" t="s">
        <v>226</v>
      </c>
      <c r="N713" s="54" t="s">
        <v>214</v>
      </c>
      <c r="O713" s="54" t="s">
        <v>31</v>
      </c>
      <c r="P713" s="56" t="s">
        <v>199</v>
      </c>
      <c r="Q713" s="57"/>
      <c r="R713" s="57"/>
      <c r="S713" s="57"/>
      <c r="T713" s="57">
        <f t="shared" ca="1" si="26"/>
        <v>126300</v>
      </c>
      <c r="U713" s="58">
        <f t="shared" ca="1" si="27"/>
        <v>113670</v>
      </c>
      <c r="V713" s="58">
        <f t="shared" ca="1" si="28"/>
        <v>107355</v>
      </c>
      <c r="W713" s="58">
        <f t="shared" ca="1" si="29"/>
        <v>101040</v>
      </c>
      <c r="X713" s="58">
        <f t="shared" ca="1" si="30"/>
        <v>88410</v>
      </c>
      <c r="Y713" s="18"/>
    </row>
    <row r="714" spans="1:25" ht="16" x14ac:dyDescent="0.15">
      <c r="A714" s="18"/>
      <c r="B714" s="54" t="s">
        <v>212</v>
      </c>
      <c r="C714" s="54" t="s">
        <v>136</v>
      </c>
      <c r="D714" s="54"/>
      <c r="E714" s="54" t="s">
        <v>225</v>
      </c>
      <c r="F714" s="54" t="s">
        <v>114</v>
      </c>
      <c r="G714" s="59" t="s">
        <v>214</v>
      </c>
      <c r="H714" s="54" t="s">
        <v>131</v>
      </c>
      <c r="I714" s="55" t="str">
        <f t="shared" si="25"/>
        <v>CBLP-TB-PoLM-1500x600+X</v>
      </c>
      <c r="J714" s="54" t="s">
        <v>211</v>
      </c>
      <c r="K714" s="54" t="s">
        <v>94</v>
      </c>
      <c r="L714" s="54"/>
      <c r="M714" s="54" t="s">
        <v>226</v>
      </c>
      <c r="N714" s="54" t="s">
        <v>214</v>
      </c>
      <c r="O714" s="54" t="s">
        <v>47</v>
      </c>
      <c r="P714" s="56" t="s">
        <v>199</v>
      </c>
      <c r="Q714" s="57"/>
      <c r="R714" s="57"/>
      <c r="S714" s="57"/>
      <c r="T714" s="57">
        <f t="shared" ca="1" si="26"/>
        <v>149000</v>
      </c>
      <c r="U714" s="58">
        <f t="shared" ca="1" si="27"/>
        <v>134100</v>
      </c>
      <c r="V714" s="58">
        <f t="shared" ca="1" si="28"/>
        <v>126650</v>
      </c>
      <c r="W714" s="58">
        <f t="shared" ca="1" si="29"/>
        <v>119200</v>
      </c>
      <c r="X714" s="58">
        <f t="shared" ca="1" si="30"/>
        <v>104300</v>
      </c>
      <c r="Y714" s="18"/>
    </row>
    <row r="715" spans="1:25" ht="16" x14ac:dyDescent="0.15">
      <c r="A715" s="18"/>
      <c r="B715" s="54" t="s">
        <v>212</v>
      </c>
      <c r="C715" s="54" t="s">
        <v>136</v>
      </c>
      <c r="D715" s="54"/>
      <c r="E715" s="54" t="s">
        <v>225</v>
      </c>
      <c r="F715" s="54" t="s">
        <v>117</v>
      </c>
      <c r="G715" s="59" t="s">
        <v>214</v>
      </c>
      <c r="H715" s="54" t="s">
        <v>131</v>
      </c>
      <c r="I715" s="55" t="str">
        <f t="shared" si="25"/>
        <v>CBLP-TB-LVM-1500x600+X</v>
      </c>
      <c r="J715" s="54" t="s">
        <v>211</v>
      </c>
      <c r="K715" s="54" t="s">
        <v>94</v>
      </c>
      <c r="L715" s="54"/>
      <c r="M715" s="54" t="s">
        <v>226</v>
      </c>
      <c r="N715" s="54" t="s">
        <v>214</v>
      </c>
      <c r="O715" s="54" t="s">
        <v>157</v>
      </c>
      <c r="P715" s="56" t="s">
        <v>199</v>
      </c>
      <c r="Q715" s="57"/>
      <c r="R715" s="57"/>
      <c r="S715" s="57"/>
      <c r="T715" s="57">
        <f t="shared" ca="1" si="26"/>
        <v>159100</v>
      </c>
      <c r="U715" s="58">
        <f t="shared" ca="1" si="27"/>
        <v>143190</v>
      </c>
      <c r="V715" s="58">
        <f t="shared" ca="1" si="28"/>
        <v>135235</v>
      </c>
      <c r="W715" s="58">
        <f t="shared" ca="1" si="29"/>
        <v>127280</v>
      </c>
      <c r="X715" s="58">
        <f t="shared" ca="1" si="30"/>
        <v>111370</v>
      </c>
      <c r="Y715" s="18"/>
    </row>
    <row r="716" spans="1:25" ht="16" x14ac:dyDescent="0.15">
      <c r="A716" s="18"/>
      <c r="B716" s="54" t="s">
        <v>212</v>
      </c>
      <c r="C716" s="54" t="s">
        <v>136</v>
      </c>
      <c r="D716" s="54"/>
      <c r="E716" s="54" t="s">
        <v>225</v>
      </c>
      <c r="F716" s="54" t="s">
        <v>119</v>
      </c>
      <c r="G716" s="59" t="s">
        <v>214</v>
      </c>
      <c r="H716" s="54" t="s">
        <v>131</v>
      </c>
      <c r="I716" s="55" t="str">
        <f t="shared" si="25"/>
        <v>CBLP-TB-LVP-1500x600+X</v>
      </c>
      <c r="J716" s="54" t="s">
        <v>211</v>
      </c>
      <c r="K716" s="54" t="s">
        <v>94</v>
      </c>
      <c r="L716" s="54"/>
      <c r="M716" s="54" t="s">
        <v>226</v>
      </c>
      <c r="N716" s="54" t="s">
        <v>214</v>
      </c>
      <c r="O716" s="54" t="s">
        <v>158</v>
      </c>
      <c r="P716" s="56" t="s">
        <v>199</v>
      </c>
      <c r="Q716" s="57"/>
      <c r="R716" s="57"/>
      <c r="S716" s="57"/>
      <c r="T716" s="57">
        <f t="shared" ca="1" si="26"/>
        <v>164100</v>
      </c>
      <c r="U716" s="58">
        <f t="shared" ca="1" si="27"/>
        <v>147690</v>
      </c>
      <c r="V716" s="58">
        <f t="shared" ca="1" si="28"/>
        <v>139485</v>
      </c>
      <c r="W716" s="58">
        <f t="shared" ca="1" si="29"/>
        <v>131280</v>
      </c>
      <c r="X716" s="58">
        <f t="shared" ca="1" si="30"/>
        <v>114869.99999999999</v>
      </c>
      <c r="Y716" s="18"/>
    </row>
    <row r="717" spans="1:25" ht="16" x14ac:dyDescent="0.15">
      <c r="A717" s="18"/>
      <c r="B717" s="54" t="s">
        <v>212</v>
      </c>
      <c r="C717" s="54" t="s">
        <v>136</v>
      </c>
      <c r="D717" s="54"/>
      <c r="E717" s="54" t="s">
        <v>225</v>
      </c>
      <c r="F717" s="54" t="s">
        <v>121</v>
      </c>
      <c r="G717" s="59" t="s">
        <v>214</v>
      </c>
      <c r="H717" s="54" t="s">
        <v>131</v>
      </c>
      <c r="I717" s="55" t="str">
        <f t="shared" si="25"/>
        <v>CBLP-TB-VNR-1500x600+X</v>
      </c>
      <c r="J717" s="54" t="s">
        <v>211</v>
      </c>
      <c r="K717" s="54" t="s">
        <v>94</v>
      </c>
      <c r="L717" s="54"/>
      <c r="M717" s="54" t="s">
        <v>226</v>
      </c>
      <c r="N717" s="54" t="s">
        <v>214</v>
      </c>
      <c r="O717" s="54" t="s">
        <v>90</v>
      </c>
      <c r="P717" s="56" t="s">
        <v>199</v>
      </c>
      <c r="Q717" s="57"/>
      <c r="R717" s="57"/>
      <c r="S717" s="57"/>
      <c r="T717" s="57">
        <f t="shared" ca="1" si="26"/>
        <v>262400</v>
      </c>
      <c r="U717" s="58">
        <f t="shared" ca="1" si="27"/>
        <v>236160</v>
      </c>
      <c r="V717" s="58">
        <f t="shared" ca="1" si="28"/>
        <v>223040</v>
      </c>
      <c r="W717" s="58">
        <f t="shared" ca="1" si="29"/>
        <v>209920</v>
      </c>
      <c r="X717" s="58">
        <f t="shared" ca="1" si="30"/>
        <v>183680</v>
      </c>
      <c r="Y717" s="18"/>
    </row>
    <row r="718" spans="1:25" ht="16" x14ac:dyDescent="0.15">
      <c r="A718" s="18"/>
      <c r="B718" s="54" t="s">
        <v>212</v>
      </c>
      <c r="C718" s="54" t="s">
        <v>136</v>
      </c>
      <c r="D718" s="54"/>
      <c r="E718" s="54" t="s">
        <v>225</v>
      </c>
      <c r="F718" s="54" t="s">
        <v>123</v>
      </c>
      <c r="G718" s="59" t="s">
        <v>214</v>
      </c>
      <c r="H718" s="54" t="s">
        <v>131</v>
      </c>
      <c r="I718" s="55" t="str">
        <f t="shared" si="25"/>
        <v>CBLP-TB-GL-1500x600+X</v>
      </c>
      <c r="J718" s="54" t="s">
        <v>211</v>
      </c>
      <c r="K718" s="54" t="s">
        <v>94</v>
      </c>
      <c r="L718" s="54"/>
      <c r="M718" s="54" t="s">
        <v>226</v>
      </c>
      <c r="N718" s="54" t="s">
        <v>214</v>
      </c>
      <c r="O718" s="54" t="s">
        <v>42</v>
      </c>
      <c r="P718" s="56" t="s">
        <v>199</v>
      </c>
      <c r="Q718" s="57"/>
      <c r="R718" s="57"/>
      <c r="S718" s="57"/>
      <c r="T718" s="57">
        <f t="shared" ca="1" si="26"/>
        <v>149000</v>
      </c>
      <c r="U718" s="58">
        <f t="shared" ca="1" si="27"/>
        <v>134100</v>
      </c>
      <c r="V718" s="58">
        <f t="shared" ca="1" si="28"/>
        <v>126650</v>
      </c>
      <c r="W718" s="58">
        <f t="shared" ca="1" si="29"/>
        <v>119200</v>
      </c>
      <c r="X718" s="58">
        <f t="shared" ca="1" si="30"/>
        <v>104300</v>
      </c>
      <c r="Y718" s="18"/>
    </row>
    <row r="719" spans="1:25" ht="16" x14ac:dyDescent="0.15">
      <c r="A719" s="18"/>
      <c r="B719" s="54" t="s">
        <v>212</v>
      </c>
      <c r="C719" s="54" t="s">
        <v>136</v>
      </c>
      <c r="D719" s="54"/>
      <c r="E719" s="54" t="s">
        <v>225</v>
      </c>
      <c r="F719" s="54" t="s">
        <v>65</v>
      </c>
      <c r="G719" s="59" t="s">
        <v>217</v>
      </c>
      <c r="H719" s="54" t="s">
        <v>131</v>
      </c>
      <c r="I719" s="55" t="str">
        <f t="shared" si="25"/>
        <v>CBLP-TB-PB-1800x750+X</v>
      </c>
      <c r="J719" s="54" t="s">
        <v>211</v>
      </c>
      <c r="K719" s="54" t="s">
        <v>94</v>
      </c>
      <c r="L719" s="54"/>
      <c r="M719" s="54" t="s">
        <v>226</v>
      </c>
      <c r="N719" s="54" t="s">
        <v>217</v>
      </c>
      <c r="O719" s="54" t="s">
        <v>11</v>
      </c>
      <c r="P719" s="56" t="s">
        <v>199</v>
      </c>
      <c r="Q719" s="57"/>
      <c r="R719" s="57"/>
      <c r="S719" s="57"/>
      <c r="T719" s="57">
        <f t="shared" ca="1" si="26"/>
        <v>0</v>
      </c>
      <c r="U719" s="58">
        <f t="shared" ca="1" si="27"/>
        <v>0</v>
      </c>
      <c r="V719" s="58">
        <f t="shared" ca="1" si="28"/>
        <v>0</v>
      </c>
      <c r="W719" s="58">
        <f t="shared" ca="1" si="29"/>
        <v>0</v>
      </c>
      <c r="X719" s="58">
        <f t="shared" ca="1" si="30"/>
        <v>0</v>
      </c>
      <c r="Y719" s="18"/>
    </row>
    <row r="720" spans="1:25" ht="16" x14ac:dyDescent="0.15">
      <c r="A720" s="18"/>
      <c r="B720" s="54" t="s">
        <v>212</v>
      </c>
      <c r="C720" s="54" t="s">
        <v>136</v>
      </c>
      <c r="D720" s="54"/>
      <c r="E720" s="54" t="s">
        <v>225</v>
      </c>
      <c r="F720" s="54" t="s">
        <v>112</v>
      </c>
      <c r="G720" s="59" t="s">
        <v>217</v>
      </c>
      <c r="H720" s="54" t="s">
        <v>131</v>
      </c>
      <c r="I720" s="55" t="str">
        <f t="shared" si="25"/>
        <v>CBLP-TB-PLM-1800x750+X</v>
      </c>
      <c r="J720" s="54" t="s">
        <v>211</v>
      </c>
      <c r="K720" s="54" t="s">
        <v>94</v>
      </c>
      <c r="L720" s="54"/>
      <c r="M720" s="54" t="s">
        <v>226</v>
      </c>
      <c r="N720" s="54" t="s">
        <v>217</v>
      </c>
      <c r="O720" s="54" t="s">
        <v>31</v>
      </c>
      <c r="P720" s="56" t="s">
        <v>199</v>
      </c>
      <c r="Q720" s="57"/>
      <c r="R720" s="57"/>
      <c r="S720" s="57"/>
      <c r="T720" s="57">
        <f t="shared" ca="1" si="26"/>
        <v>0</v>
      </c>
      <c r="U720" s="58">
        <f t="shared" ca="1" si="27"/>
        <v>0</v>
      </c>
      <c r="V720" s="58">
        <f t="shared" ca="1" si="28"/>
        <v>0</v>
      </c>
      <c r="W720" s="58">
        <f t="shared" ca="1" si="29"/>
        <v>0</v>
      </c>
      <c r="X720" s="58">
        <f t="shared" ca="1" si="30"/>
        <v>0</v>
      </c>
      <c r="Y720" s="18"/>
    </row>
    <row r="721" spans="1:25" ht="16" x14ac:dyDescent="0.15">
      <c r="A721" s="18"/>
      <c r="B721" s="54" t="s">
        <v>212</v>
      </c>
      <c r="C721" s="54" t="s">
        <v>136</v>
      </c>
      <c r="D721" s="54"/>
      <c r="E721" s="54" t="s">
        <v>225</v>
      </c>
      <c r="F721" s="54" t="s">
        <v>114</v>
      </c>
      <c r="G721" s="59" t="s">
        <v>217</v>
      </c>
      <c r="H721" s="54" t="s">
        <v>131</v>
      </c>
      <c r="I721" s="55" t="str">
        <f t="shared" si="25"/>
        <v>CBLP-TB-PoLM-1800x750+X</v>
      </c>
      <c r="J721" s="54" t="s">
        <v>211</v>
      </c>
      <c r="K721" s="54" t="s">
        <v>94</v>
      </c>
      <c r="L721" s="54"/>
      <c r="M721" s="54" t="s">
        <v>226</v>
      </c>
      <c r="N721" s="54" t="s">
        <v>217</v>
      </c>
      <c r="O721" s="54" t="s">
        <v>47</v>
      </c>
      <c r="P721" s="56" t="s">
        <v>199</v>
      </c>
      <c r="Q721" s="57"/>
      <c r="R721" s="57"/>
      <c r="S721" s="57"/>
      <c r="T721" s="57">
        <f t="shared" ca="1" si="26"/>
        <v>0</v>
      </c>
      <c r="U721" s="58">
        <f t="shared" ca="1" si="27"/>
        <v>0</v>
      </c>
      <c r="V721" s="58">
        <f t="shared" ca="1" si="28"/>
        <v>0</v>
      </c>
      <c r="W721" s="58">
        <f t="shared" ca="1" si="29"/>
        <v>0</v>
      </c>
      <c r="X721" s="58">
        <f t="shared" ca="1" si="30"/>
        <v>0</v>
      </c>
      <c r="Y721" s="18"/>
    </row>
    <row r="722" spans="1:25" ht="16" x14ac:dyDescent="0.15">
      <c r="A722" s="18"/>
      <c r="B722" s="54" t="s">
        <v>212</v>
      </c>
      <c r="C722" s="54" t="s">
        <v>136</v>
      </c>
      <c r="D722" s="54"/>
      <c r="E722" s="54" t="s">
        <v>225</v>
      </c>
      <c r="F722" s="54" t="s">
        <v>117</v>
      </c>
      <c r="G722" s="59" t="s">
        <v>217</v>
      </c>
      <c r="H722" s="54" t="s">
        <v>131</v>
      </c>
      <c r="I722" s="55" t="str">
        <f t="shared" si="25"/>
        <v>CBLP-TB-LVM-1800x750+X</v>
      </c>
      <c r="J722" s="54" t="s">
        <v>211</v>
      </c>
      <c r="K722" s="54" t="s">
        <v>94</v>
      </c>
      <c r="L722" s="54"/>
      <c r="M722" s="54" t="s">
        <v>226</v>
      </c>
      <c r="N722" s="54" t="s">
        <v>217</v>
      </c>
      <c r="O722" s="54" t="s">
        <v>157</v>
      </c>
      <c r="P722" s="56" t="s">
        <v>199</v>
      </c>
      <c r="Q722" s="57"/>
      <c r="R722" s="57"/>
      <c r="S722" s="57"/>
      <c r="T722" s="57">
        <f t="shared" ca="1" si="26"/>
        <v>0</v>
      </c>
      <c r="U722" s="58">
        <f t="shared" ca="1" si="27"/>
        <v>0</v>
      </c>
      <c r="V722" s="58">
        <f t="shared" ca="1" si="28"/>
        <v>0</v>
      </c>
      <c r="W722" s="58">
        <f t="shared" ca="1" si="29"/>
        <v>0</v>
      </c>
      <c r="X722" s="58">
        <f t="shared" ca="1" si="30"/>
        <v>0</v>
      </c>
      <c r="Y722" s="18"/>
    </row>
    <row r="723" spans="1:25" ht="16" x14ac:dyDescent="0.15">
      <c r="A723" s="18"/>
      <c r="B723" s="54" t="s">
        <v>212</v>
      </c>
      <c r="C723" s="54" t="s">
        <v>136</v>
      </c>
      <c r="D723" s="54"/>
      <c r="E723" s="54" t="s">
        <v>225</v>
      </c>
      <c r="F723" s="54" t="s">
        <v>119</v>
      </c>
      <c r="G723" s="59" t="s">
        <v>217</v>
      </c>
      <c r="H723" s="54" t="s">
        <v>131</v>
      </c>
      <c r="I723" s="55" t="str">
        <f t="shared" si="25"/>
        <v>CBLP-TB-LVP-1800x750+X</v>
      </c>
      <c r="J723" s="54" t="s">
        <v>211</v>
      </c>
      <c r="K723" s="54" t="s">
        <v>94</v>
      </c>
      <c r="L723" s="54"/>
      <c r="M723" s="54" t="s">
        <v>226</v>
      </c>
      <c r="N723" s="54" t="s">
        <v>217</v>
      </c>
      <c r="O723" s="54" t="s">
        <v>158</v>
      </c>
      <c r="P723" s="56" t="s">
        <v>199</v>
      </c>
      <c r="Q723" s="57"/>
      <c r="R723" s="57"/>
      <c r="S723" s="57"/>
      <c r="T723" s="57">
        <f t="shared" ca="1" si="26"/>
        <v>0</v>
      </c>
      <c r="U723" s="58">
        <f t="shared" ca="1" si="27"/>
        <v>0</v>
      </c>
      <c r="V723" s="58">
        <f t="shared" ca="1" si="28"/>
        <v>0</v>
      </c>
      <c r="W723" s="58">
        <f t="shared" ca="1" si="29"/>
        <v>0</v>
      </c>
      <c r="X723" s="58">
        <f t="shared" ca="1" si="30"/>
        <v>0</v>
      </c>
      <c r="Y723" s="18"/>
    </row>
    <row r="724" spans="1:25" ht="16" x14ac:dyDescent="0.15">
      <c r="A724" s="18"/>
      <c r="B724" s="54" t="s">
        <v>212</v>
      </c>
      <c r="C724" s="54" t="s">
        <v>136</v>
      </c>
      <c r="D724" s="54"/>
      <c r="E724" s="54" t="s">
        <v>225</v>
      </c>
      <c r="F724" s="54" t="s">
        <v>121</v>
      </c>
      <c r="G724" s="59" t="s">
        <v>217</v>
      </c>
      <c r="H724" s="54" t="s">
        <v>131</v>
      </c>
      <c r="I724" s="55" t="str">
        <f t="shared" si="25"/>
        <v>CBLP-TB-VNR-1800x750+X</v>
      </c>
      <c r="J724" s="54" t="s">
        <v>211</v>
      </c>
      <c r="K724" s="54" t="s">
        <v>94</v>
      </c>
      <c r="L724" s="54"/>
      <c r="M724" s="54" t="s">
        <v>226</v>
      </c>
      <c r="N724" s="54" t="s">
        <v>217</v>
      </c>
      <c r="O724" s="54" t="s">
        <v>90</v>
      </c>
      <c r="P724" s="56" t="s">
        <v>199</v>
      </c>
      <c r="Q724" s="57"/>
      <c r="R724" s="57"/>
      <c r="S724" s="57"/>
      <c r="T724" s="57">
        <f t="shared" ca="1" si="26"/>
        <v>0</v>
      </c>
      <c r="U724" s="58">
        <f t="shared" ca="1" si="27"/>
        <v>0</v>
      </c>
      <c r="V724" s="58">
        <f t="shared" ca="1" si="28"/>
        <v>0</v>
      </c>
      <c r="W724" s="58">
        <f t="shared" ca="1" si="29"/>
        <v>0</v>
      </c>
      <c r="X724" s="58">
        <f t="shared" ca="1" si="30"/>
        <v>0</v>
      </c>
      <c r="Y724" s="18"/>
    </row>
    <row r="725" spans="1:25" ht="16" x14ac:dyDescent="0.15">
      <c r="A725" s="18"/>
      <c r="B725" s="54" t="s">
        <v>212</v>
      </c>
      <c r="C725" s="54" t="s">
        <v>136</v>
      </c>
      <c r="D725" s="54"/>
      <c r="E725" s="54" t="s">
        <v>225</v>
      </c>
      <c r="F725" s="54" t="s">
        <v>123</v>
      </c>
      <c r="G725" s="59" t="s">
        <v>217</v>
      </c>
      <c r="H725" s="54" t="s">
        <v>131</v>
      </c>
      <c r="I725" s="55" t="str">
        <f t="shared" si="25"/>
        <v>CBLP-TB-GL-1800x750+X</v>
      </c>
      <c r="J725" s="54" t="s">
        <v>211</v>
      </c>
      <c r="K725" s="54" t="s">
        <v>94</v>
      </c>
      <c r="L725" s="54"/>
      <c r="M725" s="54" t="s">
        <v>226</v>
      </c>
      <c r="N725" s="54" t="s">
        <v>217</v>
      </c>
      <c r="O725" s="54" t="s">
        <v>42</v>
      </c>
      <c r="P725" s="56" t="s">
        <v>199</v>
      </c>
      <c r="Q725" s="57"/>
      <c r="R725" s="57"/>
      <c r="S725" s="57"/>
      <c r="T725" s="57">
        <f t="shared" ca="1" si="26"/>
        <v>0</v>
      </c>
      <c r="U725" s="58">
        <f t="shared" ca="1" si="27"/>
        <v>0</v>
      </c>
      <c r="V725" s="58">
        <f t="shared" ca="1" si="28"/>
        <v>0</v>
      </c>
      <c r="W725" s="58">
        <f t="shared" ca="1" si="29"/>
        <v>0</v>
      </c>
      <c r="X725" s="58">
        <f t="shared" ca="1" si="30"/>
        <v>0</v>
      </c>
      <c r="Y725" s="18"/>
    </row>
    <row r="726" spans="1:25" ht="16" x14ac:dyDescent="0.15">
      <c r="A726" s="18"/>
      <c r="B726" s="54" t="s">
        <v>212</v>
      </c>
      <c r="C726" s="54" t="s">
        <v>136</v>
      </c>
      <c r="D726" s="54"/>
      <c r="E726" s="54" t="s">
        <v>225</v>
      </c>
      <c r="F726" s="54" t="s">
        <v>65</v>
      </c>
      <c r="G726" s="59" t="s">
        <v>219</v>
      </c>
      <c r="H726" s="54" t="s">
        <v>131</v>
      </c>
      <c r="I726" s="55" t="str">
        <f t="shared" si="25"/>
        <v>CBLP-TB-PB-2100x900+X</v>
      </c>
      <c r="J726" s="54" t="s">
        <v>211</v>
      </c>
      <c r="K726" s="54" t="s">
        <v>94</v>
      </c>
      <c r="L726" s="54"/>
      <c r="M726" s="54" t="s">
        <v>226</v>
      </c>
      <c r="N726" s="54" t="s">
        <v>219</v>
      </c>
      <c r="O726" s="54" t="s">
        <v>11</v>
      </c>
      <c r="P726" s="56" t="s">
        <v>199</v>
      </c>
      <c r="Q726" s="57"/>
      <c r="R726" s="57"/>
      <c r="S726" s="57"/>
      <c r="T726" s="57">
        <f t="shared" ca="1" si="26"/>
        <v>0</v>
      </c>
      <c r="U726" s="58">
        <f t="shared" ca="1" si="27"/>
        <v>0</v>
      </c>
      <c r="V726" s="58">
        <f t="shared" ca="1" si="28"/>
        <v>0</v>
      </c>
      <c r="W726" s="58">
        <f t="shared" ca="1" si="29"/>
        <v>0</v>
      </c>
      <c r="X726" s="58">
        <f t="shared" ca="1" si="30"/>
        <v>0</v>
      </c>
      <c r="Y726" s="18"/>
    </row>
    <row r="727" spans="1:25" ht="16" x14ac:dyDescent="0.15">
      <c r="A727" s="18"/>
      <c r="B727" s="54" t="s">
        <v>212</v>
      </c>
      <c r="C727" s="54" t="s">
        <v>136</v>
      </c>
      <c r="D727" s="54"/>
      <c r="E727" s="54" t="s">
        <v>225</v>
      </c>
      <c r="F727" s="54" t="s">
        <v>112</v>
      </c>
      <c r="G727" s="59" t="s">
        <v>219</v>
      </c>
      <c r="H727" s="54" t="s">
        <v>131</v>
      </c>
      <c r="I727" s="55" t="str">
        <f t="shared" si="25"/>
        <v>CBLP-TB-PLM-2100x900+X</v>
      </c>
      <c r="J727" s="54" t="s">
        <v>211</v>
      </c>
      <c r="K727" s="54" t="s">
        <v>94</v>
      </c>
      <c r="L727" s="54"/>
      <c r="M727" s="54" t="s">
        <v>226</v>
      </c>
      <c r="N727" s="54" t="s">
        <v>219</v>
      </c>
      <c r="O727" s="54" t="s">
        <v>31</v>
      </c>
      <c r="P727" s="56" t="s">
        <v>199</v>
      </c>
      <c r="Q727" s="57"/>
      <c r="R727" s="57"/>
      <c r="S727" s="57"/>
      <c r="T727" s="57">
        <f t="shared" ca="1" si="26"/>
        <v>0</v>
      </c>
      <c r="U727" s="58">
        <f t="shared" ca="1" si="27"/>
        <v>0</v>
      </c>
      <c r="V727" s="58">
        <f t="shared" ca="1" si="28"/>
        <v>0</v>
      </c>
      <c r="W727" s="58">
        <f t="shared" ca="1" si="29"/>
        <v>0</v>
      </c>
      <c r="X727" s="58">
        <f t="shared" ca="1" si="30"/>
        <v>0</v>
      </c>
      <c r="Y727" s="18"/>
    </row>
    <row r="728" spans="1:25" ht="16" x14ac:dyDescent="0.15">
      <c r="A728" s="18"/>
      <c r="B728" s="54" t="s">
        <v>212</v>
      </c>
      <c r="C728" s="54" t="s">
        <v>136</v>
      </c>
      <c r="D728" s="54"/>
      <c r="E728" s="54" t="s">
        <v>225</v>
      </c>
      <c r="F728" s="54" t="s">
        <v>114</v>
      </c>
      <c r="G728" s="59" t="s">
        <v>219</v>
      </c>
      <c r="H728" s="54" t="s">
        <v>131</v>
      </c>
      <c r="I728" s="55" t="str">
        <f t="shared" si="25"/>
        <v>CBLP-TB-PoLM-2100x900+X</v>
      </c>
      <c r="J728" s="54" t="s">
        <v>211</v>
      </c>
      <c r="K728" s="54" t="s">
        <v>94</v>
      </c>
      <c r="L728" s="54"/>
      <c r="M728" s="54" t="s">
        <v>226</v>
      </c>
      <c r="N728" s="54" t="s">
        <v>219</v>
      </c>
      <c r="O728" s="54" t="s">
        <v>47</v>
      </c>
      <c r="P728" s="56" t="s">
        <v>199</v>
      </c>
      <c r="Q728" s="57"/>
      <c r="R728" s="57"/>
      <c r="S728" s="57"/>
      <c r="T728" s="57">
        <f t="shared" ca="1" si="26"/>
        <v>0</v>
      </c>
      <c r="U728" s="58">
        <f t="shared" ca="1" si="27"/>
        <v>0</v>
      </c>
      <c r="V728" s="58">
        <f t="shared" ca="1" si="28"/>
        <v>0</v>
      </c>
      <c r="W728" s="58">
        <f t="shared" ca="1" si="29"/>
        <v>0</v>
      </c>
      <c r="X728" s="58">
        <f t="shared" ca="1" si="30"/>
        <v>0</v>
      </c>
      <c r="Y728" s="18"/>
    </row>
    <row r="729" spans="1:25" ht="16" x14ac:dyDescent="0.15">
      <c r="A729" s="18"/>
      <c r="B729" s="54" t="s">
        <v>212</v>
      </c>
      <c r="C729" s="54" t="s">
        <v>136</v>
      </c>
      <c r="D729" s="54"/>
      <c r="E729" s="54" t="s">
        <v>225</v>
      </c>
      <c r="F729" s="54" t="s">
        <v>117</v>
      </c>
      <c r="G729" s="59" t="s">
        <v>219</v>
      </c>
      <c r="H729" s="54" t="s">
        <v>131</v>
      </c>
      <c r="I729" s="55" t="str">
        <f t="shared" si="25"/>
        <v>CBLP-TB-LVM-2100x900+X</v>
      </c>
      <c r="J729" s="54" t="s">
        <v>211</v>
      </c>
      <c r="K729" s="54" t="s">
        <v>94</v>
      </c>
      <c r="L729" s="54"/>
      <c r="M729" s="54" t="s">
        <v>226</v>
      </c>
      <c r="N729" s="54" t="s">
        <v>219</v>
      </c>
      <c r="O729" s="54" t="s">
        <v>157</v>
      </c>
      <c r="P729" s="56" t="s">
        <v>199</v>
      </c>
      <c r="Q729" s="57"/>
      <c r="R729" s="57"/>
      <c r="S729" s="57"/>
      <c r="T729" s="57">
        <f t="shared" ca="1" si="26"/>
        <v>0</v>
      </c>
      <c r="U729" s="58">
        <f t="shared" ca="1" si="27"/>
        <v>0</v>
      </c>
      <c r="V729" s="58">
        <f t="shared" ca="1" si="28"/>
        <v>0</v>
      </c>
      <c r="W729" s="58">
        <f t="shared" ca="1" si="29"/>
        <v>0</v>
      </c>
      <c r="X729" s="58">
        <f t="shared" ca="1" si="30"/>
        <v>0</v>
      </c>
      <c r="Y729" s="18"/>
    </row>
    <row r="730" spans="1:25" ht="16" x14ac:dyDescent="0.15">
      <c r="A730" s="18"/>
      <c r="B730" s="54" t="s">
        <v>212</v>
      </c>
      <c r="C730" s="54" t="s">
        <v>136</v>
      </c>
      <c r="D730" s="54"/>
      <c r="E730" s="54" t="s">
        <v>225</v>
      </c>
      <c r="F730" s="54" t="s">
        <v>119</v>
      </c>
      <c r="G730" s="59" t="s">
        <v>219</v>
      </c>
      <c r="H730" s="54" t="s">
        <v>131</v>
      </c>
      <c r="I730" s="55" t="str">
        <f t="shared" si="25"/>
        <v>CBLP-TB-LVP-2100x900+X</v>
      </c>
      <c r="J730" s="54" t="s">
        <v>211</v>
      </c>
      <c r="K730" s="54" t="s">
        <v>94</v>
      </c>
      <c r="L730" s="54"/>
      <c r="M730" s="54" t="s">
        <v>226</v>
      </c>
      <c r="N730" s="54" t="s">
        <v>219</v>
      </c>
      <c r="O730" s="54" t="s">
        <v>158</v>
      </c>
      <c r="P730" s="56" t="s">
        <v>199</v>
      </c>
      <c r="Q730" s="57"/>
      <c r="R730" s="57"/>
      <c r="S730" s="57"/>
      <c r="T730" s="57">
        <f t="shared" ca="1" si="26"/>
        <v>0</v>
      </c>
      <c r="U730" s="58">
        <f t="shared" ca="1" si="27"/>
        <v>0</v>
      </c>
      <c r="V730" s="58">
        <f t="shared" ca="1" si="28"/>
        <v>0</v>
      </c>
      <c r="W730" s="58">
        <f t="shared" ca="1" si="29"/>
        <v>0</v>
      </c>
      <c r="X730" s="58">
        <f t="shared" ca="1" si="30"/>
        <v>0</v>
      </c>
      <c r="Y730" s="18"/>
    </row>
    <row r="731" spans="1:25" ht="16" x14ac:dyDescent="0.15">
      <c r="A731" s="18"/>
      <c r="B731" s="54" t="s">
        <v>212</v>
      </c>
      <c r="C731" s="54" t="s">
        <v>136</v>
      </c>
      <c r="D731" s="54"/>
      <c r="E731" s="54" t="s">
        <v>225</v>
      </c>
      <c r="F731" s="54" t="s">
        <v>121</v>
      </c>
      <c r="G731" s="59" t="s">
        <v>219</v>
      </c>
      <c r="H731" s="54" t="s">
        <v>131</v>
      </c>
      <c r="I731" s="55" t="str">
        <f t="shared" si="25"/>
        <v>CBLP-TB-VNR-2100x900+X</v>
      </c>
      <c r="J731" s="54" t="s">
        <v>211</v>
      </c>
      <c r="K731" s="54" t="s">
        <v>94</v>
      </c>
      <c r="L731" s="54"/>
      <c r="M731" s="54" t="s">
        <v>226</v>
      </c>
      <c r="N731" s="54" t="s">
        <v>219</v>
      </c>
      <c r="O731" s="54" t="s">
        <v>90</v>
      </c>
      <c r="P731" s="56" t="s">
        <v>199</v>
      </c>
      <c r="Q731" s="57"/>
      <c r="R731" s="57"/>
      <c r="S731" s="57"/>
      <c r="T731" s="57">
        <f t="shared" ca="1" si="26"/>
        <v>0</v>
      </c>
      <c r="U731" s="58">
        <f t="shared" ca="1" si="27"/>
        <v>0</v>
      </c>
      <c r="V731" s="58">
        <f t="shared" ca="1" si="28"/>
        <v>0</v>
      </c>
      <c r="W731" s="58">
        <f t="shared" ca="1" si="29"/>
        <v>0</v>
      </c>
      <c r="X731" s="58">
        <f t="shared" ca="1" si="30"/>
        <v>0</v>
      </c>
      <c r="Y731" s="18"/>
    </row>
    <row r="732" spans="1:25" ht="16" x14ac:dyDescent="0.15">
      <c r="A732" s="18"/>
      <c r="B732" s="54" t="s">
        <v>212</v>
      </c>
      <c r="C732" s="54" t="s">
        <v>136</v>
      </c>
      <c r="D732" s="54"/>
      <c r="E732" s="54" t="s">
        <v>225</v>
      </c>
      <c r="F732" s="54" t="s">
        <v>123</v>
      </c>
      <c r="G732" s="59" t="s">
        <v>219</v>
      </c>
      <c r="H732" s="54" t="s">
        <v>131</v>
      </c>
      <c r="I732" s="55" t="str">
        <f t="shared" si="25"/>
        <v>CBLP-TB-GL-2100x900+X</v>
      </c>
      <c r="J732" s="54" t="s">
        <v>211</v>
      </c>
      <c r="K732" s="54" t="s">
        <v>94</v>
      </c>
      <c r="L732" s="54"/>
      <c r="M732" s="54" t="s">
        <v>226</v>
      </c>
      <c r="N732" s="54" t="s">
        <v>219</v>
      </c>
      <c r="O732" s="54" t="s">
        <v>42</v>
      </c>
      <c r="P732" s="56" t="s">
        <v>199</v>
      </c>
      <c r="Q732" s="57"/>
      <c r="R732" s="57"/>
      <c r="S732" s="57"/>
      <c r="T732" s="57">
        <f t="shared" ca="1" si="26"/>
        <v>0</v>
      </c>
      <c r="U732" s="58">
        <f t="shared" ca="1" si="27"/>
        <v>0</v>
      </c>
      <c r="V732" s="58">
        <f t="shared" ca="1" si="28"/>
        <v>0</v>
      </c>
      <c r="W732" s="58">
        <f t="shared" ca="1" si="29"/>
        <v>0</v>
      </c>
      <c r="X732" s="58">
        <f t="shared" ca="1" si="30"/>
        <v>0</v>
      </c>
      <c r="Y732" s="18"/>
    </row>
    <row r="733" spans="1:25" ht="14" x14ac:dyDescent="0.1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3"/>
      <c r="R733" s="3"/>
      <c r="S733" s="3"/>
      <c r="T733" s="3"/>
      <c r="U733" s="5"/>
      <c r="V733" s="5"/>
      <c r="W733" s="5"/>
      <c r="X733" s="5"/>
      <c r="Y733" s="18"/>
    </row>
    <row r="734" spans="1:25" ht="43.5" customHeight="1" x14ac:dyDescent="0.15">
      <c r="A734" s="18"/>
      <c r="B734" s="60"/>
      <c r="C734" s="60"/>
      <c r="D734" s="60"/>
      <c r="E734" s="60"/>
      <c r="F734" s="60"/>
      <c r="G734" s="60"/>
      <c r="H734" s="60"/>
      <c r="I734" s="90" t="s">
        <v>229</v>
      </c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53"/>
      <c r="V734" s="53"/>
      <c r="W734" s="53"/>
      <c r="X734" s="53"/>
      <c r="Y734" s="18"/>
    </row>
    <row r="735" spans="1:25" ht="15" x14ac:dyDescent="0.15">
      <c r="A735" s="18"/>
      <c r="B735" s="61"/>
      <c r="C735" s="61"/>
      <c r="D735" s="61"/>
      <c r="E735" s="61"/>
      <c r="F735" s="61"/>
      <c r="G735" s="61"/>
      <c r="H735" s="61"/>
      <c r="I735" s="62"/>
      <c r="J735" s="61" t="s">
        <v>229</v>
      </c>
      <c r="K735" s="61" t="s">
        <v>230</v>
      </c>
      <c r="L735" s="61"/>
      <c r="M735" s="61"/>
      <c r="N735" s="61" t="s">
        <v>231</v>
      </c>
      <c r="O735" s="61" t="s">
        <v>11</v>
      </c>
      <c r="P735" s="63"/>
      <c r="Q735" s="64"/>
      <c r="R735" s="64"/>
      <c r="S735" s="64"/>
      <c r="T735" s="64">
        <v>7000</v>
      </c>
      <c r="U735" s="58">
        <f>T735*0.9</f>
        <v>6300</v>
      </c>
      <c r="V735" s="58">
        <f>T735*0.85</f>
        <v>5950</v>
      </c>
      <c r="W735" s="58">
        <f>T735*0.8</f>
        <v>5600</v>
      </c>
      <c r="X735" s="58">
        <f>T735*0.7</f>
        <v>4900</v>
      </c>
      <c r="Y735" s="18"/>
    </row>
    <row r="736" spans="1:25" ht="15" x14ac:dyDescent="0.15">
      <c r="A736" s="18"/>
      <c r="B736" s="61"/>
      <c r="C736" s="61"/>
      <c r="D736" s="61"/>
      <c r="E736" s="61"/>
      <c r="F736" s="61"/>
      <c r="G736" s="61"/>
      <c r="H736" s="61"/>
      <c r="I736" s="62"/>
      <c r="J736" s="61"/>
      <c r="K736" s="61"/>
      <c r="L736" s="61"/>
      <c r="M736" s="61"/>
      <c r="N736" s="61" t="s">
        <v>231</v>
      </c>
      <c r="O736" s="61" t="s">
        <v>31</v>
      </c>
      <c r="P736" s="63"/>
      <c r="Q736" s="64"/>
      <c r="R736" s="64"/>
      <c r="S736" s="64"/>
      <c r="T736" s="64">
        <v>7500</v>
      </c>
      <c r="U736" s="58"/>
      <c r="V736" s="58"/>
      <c r="W736" s="58"/>
      <c r="X736" s="58"/>
      <c r="Y736" s="18"/>
    </row>
    <row r="737" spans="1:25" ht="15" x14ac:dyDescent="0.15">
      <c r="A737" s="18"/>
      <c r="B737" s="61"/>
      <c r="C737" s="61"/>
      <c r="D737" s="61"/>
      <c r="E737" s="61"/>
      <c r="F737" s="61"/>
      <c r="G737" s="61"/>
      <c r="H737" s="61"/>
      <c r="I737" s="62"/>
      <c r="J737" s="61"/>
      <c r="K737" s="61"/>
      <c r="L737" s="61"/>
      <c r="M737" s="61"/>
      <c r="N737" s="61" t="s">
        <v>231</v>
      </c>
      <c r="O737" s="61" t="s">
        <v>47</v>
      </c>
      <c r="P737" s="63"/>
      <c r="Q737" s="64"/>
      <c r="R737" s="64"/>
      <c r="S737" s="64"/>
      <c r="T737" s="64">
        <v>10500</v>
      </c>
      <c r="U737" s="58"/>
      <c r="V737" s="58"/>
      <c r="W737" s="58"/>
      <c r="X737" s="58"/>
      <c r="Y737" s="18"/>
    </row>
    <row r="738" spans="1:25" ht="15" x14ac:dyDescent="0.15">
      <c r="A738" s="18"/>
      <c r="B738" s="61"/>
      <c r="C738" s="61"/>
      <c r="D738" s="61"/>
      <c r="E738" s="61"/>
      <c r="F738" s="61"/>
      <c r="G738" s="61"/>
      <c r="H738" s="61"/>
      <c r="I738" s="62"/>
      <c r="J738" s="61"/>
      <c r="K738" s="61"/>
      <c r="L738" s="61"/>
      <c r="M738" s="61"/>
      <c r="N738" s="61" t="s">
        <v>231</v>
      </c>
      <c r="O738" s="61" t="s">
        <v>157</v>
      </c>
      <c r="P738" s="63"/>
      <c r="Q738" s="64"/>
      <c r="R738" s="64"/>
      <c r="S738" s="64"/>
      <c r="T738" s="64">
        <v>14500</v>
      </c>
      <c r="U738" s="58"/>
      <c r="V738" s="58"/>
      <c r="W738" s="58"/>
      <c r="X738" s="58"/>
      <c r="Y738" s="18"/>
    </row>
    <row r="739" spans="1:25" ht="15" x14ac:dyDescent="0.15">
      <c r="A739" s="18"/>
      <c r="B739" s="61"/>
      <c r="C739" s="61"/>
      <c r="D739" s="61"/>
      <c r="E739" s="61"/>
      <c r="F739" s="61"/>
      <c r="G739" s="61"/>
      <c r="H739" s="61"/>
      <c r="I739" s="62"/>
      <c r="J739" s="61"/>
      <c r="K739" s="61"/>
      <c r="L739" s="61"/>
      <c r="M739" s="61"/>
      <c r="N739" s="61" t="s">
        <v>231</v>
      </c>
      <c r="O739" s="61" t="s">
        <v>158</v>
      </c>
      <c r="P739" s="63"/>
      <c r="Q739" s="64"/>
      <c r="R739" s="64"/>
      <c r="S739" s="64"/>
      <c r="T739" s="64">
        <v>16500</v>
      </c>
      <c r="U739" s="58"/>
      <c r="V739" s="58"/>
      <c r="W739" s="58"/>
      <c r="X739" s="58"/>
      <c r="Y739" s="18"/>
    </row>
    <row r="740" spans="1:25" ht="15" x14ac:dyDescent="0.15">
      <c r="A740" s="18"/>
      <c r="B740" s="61"/>
      <c r="C740" s="61"/>
      <c r="D740" s="61"/>
      <c r="E740" s="61"/>
      <c r="F740" s="61"/>
      <c r="G740" s="61"/>
      <c r="H740" s="61"/>
      <c r="I740" s="62"/>
      <c r="J740" s="61"/>
      <c r="K740" s="61"/>
      <c r="L740" s="61"/>
      <c r="M740" s="61"/>
      <c r="N740" s="61" t="s">
        <v>231</v>
      </c>
      <c r="O740" s="61" t="s">
        <v>90</v>
      </c>
      <c r="P740" s="63"/>
      <c r="Q740" s="64"/>
      <c r="R740" s="64"/>
      <c r="S740" s="64"/>
      <c r="T740" s="64">
        <v>21500</v>
      </c>
      <c r="U740" s="58"/>
      <c r="V740" s="58"/>
      <c r="W740" s="58"/>
      <c r="X740" s="58"/>
      <c r="Y740" s="18"/>
    </row>
    <row r="741" spans="1:25" ht="15" x14ac:dyDescent="0.15">
      <c r="A741" s="18"/>
      <c r="B741" s="61"/>
      <c r="C741" s="61"/>
      <c r="D741" s="61"/>
      <c r="E741" s="61"/>
      <c r="F741" s="61"/>
      <c r="G741" s="61"/>
      <c r="H741" s="61"/>
      <c r="I741" s="62"/>
      <c r="J741" s="61"/>
      <c r="K741" s="61"/>
      <c r="L741" s="61"/>
      <c r="M741" s="61"/>
      <c r="N741" s="61"/>
      <c r="O741" s="61" t="s">
        <v>11</v>
      </c>
      <c r="P741" s="63"/>
      <c r="Q741" s="64"/>
      <c r="R741" s="64"/>
      <c r="S741" s="64"/>
      <c r="T741" s="64" t="s">
        <v>232</v>
      </c>
      <c r="U741" s="58"/>
      <c r="V741" s="58"/>
      <c r="W741" s="58"/>
      <c r="X741" s="58"/>
      <c r="Y741" s="18"/>
    </row>
    <row r="742" spans="1:25" ht="15" x14ac:dyDescent="0.15">
      <c r="A742" s="18"/>
      <c r="B742" s="61"/>
      <c r="C742" s="61"/>
      <c r="D742" s="61"/>
      <c r="E742" s="61"/>
      <c r="F742" s="61"/>
      <c r="G742" s="61"/>
      <c r="H742" s="61"/>
      <c r="I742" s="62"/>
      <c r="J742" s="61" t="s">
        <v>229</v>
      </c>
      <c r="K742" s="61" t="s">
        <v>233</v>
      </c>
      <c r="L742" s="61"/>
      <c r="M742" s="61"/>
      <c r="N742" s="61"/>
      <c r="O742" s="61" t="s">
        <v>31</v>
      </c>
      <c r="P742" s="63"/>
      <c r="Q742" s="64"/>
      <c r="R742" s="64"/>
      <c r="S742" s="64"/>
      <c r="T742" s="64" t="s">
        <v>234</v>
      </c>
      <c r="U742" s="58" t="e">
        <f t="shared" ref="U742:U746" si="31">T742*0.9</f>
        <v>#VALUE!</v>
      </c>
      <c r="V742" s="58" t="e">
        <f t="shared" ref="V742:V746" si="32">T742*0.85</f>
        <v>#VALUE!</v>
      </c>
      <c r="W742" s="58" t="e">
        <f t="shared" ref="W742:W746" si="33">T742*0.8</f>
        <v>#VALUE!</v>
      </c>
      <c r="X742" s="58" t="e">
        <f t="shared" ref="X742:X746" si="34">T742*0.7</f>
        <v>#VALUE!</v>
      </c>
      <c r="Y742" s="18"/>
    </row>
    <row r="743" spans="1:25" ht="15" x14ac:dyDescent="0.15">
      <c r="A743" s="18"/>
      <c r="B743" s="61"/>
      <c r="C743" s="61"/>
      <c r="D743" s="61"/>
      <c r="E743" s="61"/>
      <c r="F743" s="61"/>
      <c r="G743" s="61"/>
      <c r="H743" s="61"/>
      <c r="I743" s="62"/>
      <c r="J743" s="61" t="s">
        <v>229</v>
      </c>
      <c r="K743" s="61" t="s">
        <v>235</v>
      </c>
      <c r="L743" s="61"/>
      <c r="M743" s="61"/>
      <c r="N743" s="61"/>
      <c r="O743" s="61" t="s">
        <v>47</v>
      </c>
      <c r="P743" s="63"/>
      <c r="Q743" s="64"/>
      <c r="R743" s="64"/>
      <c r="S743" s="64"/>
      <c r="T743" s="64" t="s">
        <v>236</v>
      </c>
      <c r="U743" s="58" t="e">
        <f t="shared" si="31"/>
        <v>#VALUE!</v>
      </c>
      <c r="V743" s="58" t="e">
        <f t="shared" si="32"/>
        <v>#VALUE!</v>
      </c>
      <c r="W743" s="58" t="e">
        <f t="shared" si="33"/>
        <v>#VALUE!</v>
      </c>
      <c r="X743" s="58" t="e">
        <f t="shared" si="34"/>
        <v>#VALUE!</v>
      </c>
      <c r="Y743" s="18"/>
    </row>
    <row r="744" spans="1:25" ht="15" x14ac:dyDescent="0.15">
      <c r="A744" s="18"/>
      <c r="B744" s="61"/>
      <c r="C744" s="61"/>
      <c r="D744" s="61"/>
      <c r="E744" s="61"/>
      <c r="F744" s="61"/>
      <c r="G744" s="61"/>
      <c r="H744" s="61"/>
      <c r="I744" s="62"/>
      <c r="J744" s="61" t="s">
        <v>229</v>
      </c>
      <c r="K744" s="61" t="s">
        <v>237</v>
      </c>
      <c r="L744" s="61"/>
      <c r="M744" s="61"/>
      <c r="N744" s="61"/>
      <c r="O744" s="61" t="s">
        <v>157</v>
      </c>
      <c r="P744" s="63"/>
      <c r="Q744" s="64"/>
      <c r="R744" s="64"/>
      <c r="S744" s="64"/>
      <c r="T744" s="64" t="s">
        <v>238</v>
      </c>
      <c r="U744" s="58" t="e">
        <f t="shared" si="31"/>
        <v>#VALUE!</v>
      </c>
      <c r="V744" s="58" t="e">
        <f t="shared" si="32"/>
        <v>#VALUE!</v>
      </c>
      <c r="W744" s="58" t="e">
        <f t="shared" si="33"/>
        <v>#VALUE!</v>
      </c>
      <c r="X744" s="58" t="e">
        <f t="shared" si="34"/>
        <v>#VALUE!</v>
      </c>
      <c r="Y744" s="18"/>
    </row>
    <row r="745" spans="1:25" ht="15" x14ac:dyDescent="0.15">
      <c r="A745" s="18"/>
      <c r="B745" s="61"/>
      <c r="C745" s="61"/>
      <c r="D745" s="61"/>
      <c r="E745" s="61"/>
      <c r="F745" s="61"/>
      <c r="G745" s="61"/>
      <c r="H745" s="61"/>
      <c r="I745" s="62"/>
      <c r="J745" s="61" t="s">
        <v>229</v>
      </c>
      <c r="K745" s="61" t="s">
        <v>239</v>
      </c>
      <c r="L745" s="61"/>
      <c r="M745" s="61"/>
      <c r="N745" s="61"/>
      <c r="O745" s="61" t="s">
        <v>158</v>
      </c>
      <c r="P745" s="63"/>
      <c r="Q745" s="64"/>
      <c r="R745" s="64"/>
      <c r="S745" s="64"/>
      <c r="T745" s="64" t="s">
        <v>240</v>
      </c>
      <c r="U745" s="58" t="e">
        <f t="shared" si="31"/>
        <v>#VALUE!</v>
      </c>
      <c r="V745" s="58" t="e">
        <f t="shared" si="32"/>
        <v>#VALUE!</v>
      </c>
      <c r="W745" s="58" t="e">
        <f t="shared" si="33"/>
        <v>#VALUE!</v>
      </c>
      <c r="X745" s="58" t="e">
        <f t="shared" si="34"/>
        <v>#VALUE!</v>
      </c>
      <c r="Y745" s="18"/>
    </row>
    <row r="746" spans="1:25" ht="15" x14ac:dyDescent="0.15">
      <c r="A746" s="18"/>
      <c r="B746" s="61"/>
      <c r="C746" s="61"/>
      <c r="D746" s="61"/>
      <c r="E746" s="61"/>
      <c r="F746" s="61"/>
      <c r="G746" s="61"/>
      <c r="H746" s="61"/>
      <c r="I746" s="62"/>
      <c r="J746" s="61" t="s">
        <v>229</v>
      </c>
      <c r="K746" s="61" t="s">
        <v>241</v>
      </c>
      <c r="L746" s="61"/>
      <c r="M746" s="61"/>
      <c r="N746" s="61"/>
      <c r="O746" s="61" t="s">
        <v>90</v>
      </c>
      <c r="P746" s="63"/>
      <c r="Q746" s="64"/>
      <c r="R746" s="64"/>
      <c r="S746" s="64"/>
      <c r="T746" s="64" t="s">
        <v>242</v>
      </c>
      <c r="U746" s="58" t="e">
        <f t="shared" si="31"/>
        <v>#VALUE!</v>
      </c>
      <c r="V746" s="58" t="e">
        <f t="shared" si="32"/>
        <v>#VALUE!</v>
      </c>
      <c r="W746" s="58" t="e">
        <f t="shared" si="33"/>
        <v>#VALUE!</v>
      </c>
      <c r="X746" s="58" t="e">
        <f t="shared" si="34"/>
        <v>#VALUE!</v>
      </c>
      <c r="Y746" s="18"/>
    </row>
    <row r="747" spans="1:25" ht="14" x14ac:dyDescent="0.1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3"/>
      <c r="R747" s="3"/>
      <c r="S747" s="3"/>
      <c r="T747" s="3"/>
      <c r="U747" s="5"/>
      <c r="V747" s="5"/>
      <c r="W747" s="5"/>
      <c r="X747" s="5"/>
      <c r="Y747" s="18"/>
    </row>
  </sheetData>
  <mergeCells count="5">
    <mergeCell ref="B2:H2"/>
    <mergeCell ref="I3:T3"/>
    <mergeCell ref="I421:T421"/>
    <mergeCell ref="I543:T543"/>
    <mergeCell ref="I734:T73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77"/>
  <sheetViews>
    <sheetView workbookViewId="0"/>
  </sheetViews>
  <sheetFormatPr baseColWidth="10" defaultColWidth="12.6640625" defaultRowHeight="15.75" customHeight="1" x14ac:dyDescent="0.15"/>
  <cols>
    <col min="1" max="1" width="2.83203125" customWidth="1"/>
    <col min="2" max="2" width="20.33203125" customWidth="1"/>
    <col min="3" max="3" width="19.33203125" customWidth="1"/>
    <col min="4" max="6" width="25.5" customWidth="1"/>
    <col min="7" max="13" width="18.6640625" customWidth="1"/>
    <col min="14" max="14" width="2.83203125" customWidth="1"/>
  </cols>
  <sheetData>
    <row r="1" spans="1:14" ht="13" x14ac:dyDescent="0.15">
      <c r="A1" s="91"/>
      <c r="B1" s="91"/>
      <c r="C1" s="87"/>
      <c r="D1" s="87"/>
      <c r="E1" s="87"/>
      <c r="F1" s="87"/>
      <c r="G1" s="87"/>
      <c r="H1" s="87"/>
      <c r="I1" s="87"/>
      <c r="J1" s="87"/>
      <c r="K1" s="87"/>
      <c r="L1" s="2"/>
      <c r="M1" s="2"/>
      <c r="N1" s="91"/>
    </row>
    <row r="2" spans="1:14" ht="13" x14ac:dyDescent="0.15">
      <c r="A2" s="87"/>
      <c r="B2" s="4" t="s">
        <v>0</v>
      </c>
      <c r="C2" s="6" t="s">
        <v>1</v>
      </c>
      <c r="D2" s="4" t="s">
        <v>2</v>
      </c>
      <c r="E2" s="6" t="s">
        <v>3</v>
      </c>
      <c r="F2" s="4" t="s">
        <v>4</v>
      </c>
      <c r="G2" s="6" t="s">
        <v>5</v>
      </c>
      <c r="H2" s="4" t="s">
        <v>6</v>
      </c>
      <c r="I2" s="6" t="s">
        <v>5</v>
      </c>
      <c r="J2" s="4" t="s">
        <v>9</v>
      </c>
      <c r="K2" s="6" t="s">
        <v>1</v>
      </c>
      <c r="L2" s="6" t="s">
        <v>10</v>
      </c>
      <c r="M2" s="6"/>
      <c r="N2" s="87"/>
    </row>
    <row r="3" spans="1:14" ht="13" x14ac:dyDescent="0.15">
      <c r="A3" s="87"/>
      <c r="B3" s="8" t="s">
        <v>11</v>
      </c>
      <c r="C3" s="8" t="s">
        <v>12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19</v>
      </c>
      <c r="I3" s="8" t="s">
        <v>21</v>
      </c>
      <c r="J3" s="8" t="s">
        <v>23</v>
      </c>
      <c r="K3" s="8" t="s">
        <v>25</v>
      </c>
      <c r="L3" s="8" t="s">
        <v>27</v>
      </c>
      <c r="M3" s="8" t="s">
        <v>21</v>
      </c>
      <c r="N3" s="87"/>
    </row>
    <row r="4" spans="1:14" ht="13" x14ac:dyDescent="0.15">
      <c r="A4" s="87"/>
      <c r="B4" s="11" t="s">
        <v>31</v>
      </c>
      <c r="C4" s="11" t="s">
        <v>32</v>
      </c>
      <c r="D4" s="11" t="s">
        <v>33</v>
      </c>
      <c r="E4" s="11" t="s">
        <v>35</v>
      </c>
      <c r="F4" s="11" t="s">
        <v>36</v>
      </c>
      <c r="G4" s="11" t="s">
        <v>21</v>
      </c>
      <c r="H4" s="11" t="s">
        <v>38</v>
      </c>
      <c r="I4" s="11" t="s">
        <v>40</v>
      </c>
      <c r="J4" s="11" t="s">
        <v>42</v>
      </c>
      <c r="K4" s="11" t="s">
        <v>44</v>
      </c>
      <c r="L4" s="11" t="s">
        <v>46</v>
      </c>
      <c r="M4" s="11" t="s">
        <v>17</v>
      </c>
      <c r="N4" s="87"/>
    </row>
    <row r="5" spans="1:14" ht="13" x14ac:dyDescent="0.15">
      <c r="A5" s="87"/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52</v>
      </c>
      <c r="H5" s="8" t="s">
        <v>53</v>
      </c>
      <c r="I5" s="8" t="s">
        <v>17</v>
      </c>
      <c r="J5" s="8" t="s">
        <v>55</v>
      </c>
      <c r="K5" s="8" t="s">
        <v>56</v>
      </c>
      <c r="L5" s="92"/>
      <c r="M5" s="93"/>
      <c r="N5" s="87"/>
    </row>
    <row r="6" spans="1:14" ht="13" x14ac:dyDescent="0.15">
      <c r="A6" s="87"/>
      <c r="B6" s="11" t="s">
        <v>70</v>
      </c>
      <c r="C6" s="11" t="s">
        <v>74</v>
      </c>
      <c r="D6" s="11" t="s">
        <v>77</v>
      </c>
      <c r="E6" s="11" t="s">
        <v>80</v>
      </c>
      <c r="F6" s="11" t="s">
        <v>82</v>
      </c>
      <c r="G6" s="11" t="s">
        <v>83</v>
      </c>
      <c r="H6" s="92"/>
      <c r="I6" s="98"/>
      <c r="J6" s="98"/>
      <c r="K6" s="93"/>
      <c r="L6" s="94"/>
      <c r="M6" s="95"/>
      <c r="N6" s="87"/>
    </row>
    <row r="7" spans="1:14" ht="13" x14ac:dyDescent="0.15">
      <c r="A7" s="87"/>
      <c r="B7" s="8" t="s">
        <v>84</v>
      </c>
      <c r="C7" s="8" t="s">
        <v>85</v>
      </c>
      <c r="D7" s="8" t="s">
        <v>87</v>
      </c>
      <c r="E7" s="8" t="s">
        <v>40</v>
      </c>
      <c r="F7" s="8" t="s">
        <v>88</v>
      </c>
      <c r="G7" s="8" t="s">
        <v>89</v>
      </c>
      <c r="H7" s="94"/>
      <c r="I7" s="87"/>
      <c r="J7" s="87"/>
      <c r="K7" s="95"/>
      <c r="L7" s="94"/>
      <c r="M7" s="95"/>
      <c r="N7" s="87"/>
    </row>
    <row r="8" spans="1:14" ht="13" x14ac:dyDescent="0.15">
      <c r="A8" s="87"/>
      <c r="B8" s="11" t="s">
        <v>90</v>
      </c>
      <c r="C8" s="11" t="s">
        <v>91</v>
      </c>
      <c r="D8" s="11" t="s">
        <v>92</v>
      </c>
      <c r="E8" s="11" t="s">
        <v>93</v>
      </c>
      <c r="F8" s="92"/>
      <c r="G8" s="93"/>
      <c r="H8" s="94"/>
      <c r="I8" s="87"/>
      <c r="J8" s="87"/>
      <c r="K8" s="95"/>
      <c r="L8" s="94"/>
      <c r="M8" s="95"/>
      <c r="N8" s="87"/>
    </row>
    <row r="9" spans="1:14" ht="13" x14ac:dyDescent="0.15">
      <c r="A9" s="87"/>
      <c r="B9" s="8" t="s">
        <v>42</v>
      </c>
      <c r="C9" s="8" t="s">
        <v>48</v>
      </c>
      <c r="D9" s="8" t="s">
        <v>94</v>
      </c>
      <c r="E9" s="8" t="s">
        <v>52</v>
      </c>
      <c r="F9" s="94"/>
      <c r="G9" s="95"/>
      <c r="H9" s="94"/>
      <c r="I9" s="87"/>
      <c r="J9" s="87"/>
      <c r="K9" s="95"/>
      <c r="L9" s="94"/>
      <c r="M9" s="95"/>
      <c r="N9" s="87"/>
    </row>
    <row r="10" spans="1:14" ht="13" x14ac:dyDescent="0.15">
      <c r="A10" s="87"/>
      <c r="B10" s="11" t="s">
        <v>97</v>
      </c>
      <c r="C10" s="11" t="s">
        <v>98</v>
      </c>
      <c r="D10" s="11" t="s">
        <v>99</v>
      </c>
      <c r="E10" s="11" t="s">
        <v>100</v>
      </c>
      <c r="F10" s="94"/>
      <c r="G10" s="95"/>
      <c r="H10" s="94"/>
      <c r="I10" s="87"/>
      <c r="J10" s="87"/>
      <c r="K10" s="95"/>
      <c r="L10" s="94"/>
      <c r="M10" s="95"/>
      <c r="N10" s="87"/>
    </row>
    <row r="11" spans="1:14" ht="13" x14ac:dyDescent="0.15">
      <c r="A11" s="87"/>
      <c r="B11" s="8" t="s">
        <v>101</v>
      </c>
      <c r="C11" s="8">
        <f>60000/1.6</f>
        <v>37500</v>
      </c>
      <c r="D11" s="8" t="s">
        <v>102</v>
      </c>
      <c r="E11" s="8" t="s">
        <v>103</v>
      </c>
      <c r="F11" s="94"/>
      <c r="G11" s="95"/>
      <c r="H11" s="94"/>
      <c r="I11" s="87"/>
      <c r="J11" s="87"/>
      <c r="K11" s="95"/>
      <c r="L11" s="94"/>
      <c r="M11" s="95"/>
      <c r="N11" s="87"/>
    </row>
    <row r="12" spans="1:14" ht="13" x14ac:dyDescent="0.15">
      <c r="A12" s="87"/>
      <c r="B12" s="100"/>
      <c r="C12" s="101"/>
      <c r="D12" s="11" t="s">
        <v>104</v>
      </c>
      <c r="E12" s="11" t="s">
        <v>105</v>
      </c>
      <c r="F12" s="96"/>
      <c r="G12" s="97"/>
      <c r="H12" s="96"/>
      <c r="I12" s="99"/>
      <c r="J12" s="99"/>
      <c r="K12" s="97"/>
      <c r="L12" s="96"/>
      <c r="M12" s="97"/>
      <c r="N12" s="87"/>
    </row>
    <row r="13" spans="1:14" ht="13" x14ac:dyDescent="0.15">
      <c r="A13" s="87"/>
      <c r="B13" s="91"/>
      <c r="C13" s="87"/>
      <c r="D13" s="87"/>
      <c r="E13" s="87"/>
      <c r="F13" s="87"/>
      <c r="G13" s="87"/>
      <c r="H13" s="87"/>
      <c r="I13" s="87"/>
      <c r="J13" s="87"/>
      <c r="K13" s="87"/>
      <c r="L13" s="2"/>
      <c r="M13" s="2"/>
      <c r="N13" s="87"/>
    </row>
    <row r="14" spans="1:14" ht="13" x14ac:dyDescent="0.1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6" spans="1:14" ht="102.75" customHeight="1" x14ac:dyDescent="0.15">
      <c r="B16" s="31" t="s">
        <v>106</v>
      </c>
      <c r="C16" s="32">
        <v>2</v>
      </c>
    </row>
    <row r="19" spans="1:14" ht="13" x14ac:dyDescent="0.15">
      <c r="B19" s="102" t="s">
        <v>0</v>
      </c>
      <c r="C19" s="87"/>
      <c r="D19" s="87"/>
      <c r="E19" s="87"/>
      <c r="F19" s="87"/>
      <c r="G19" s="34"/>
      <c r="L19" s="34"/>
      <c r="M19" s="34"/>
    </row>
    <row r="20" spans="1:14" ht="13" x14ac:dyDescent="0.15">
      <c r="A20" s="35"/>
      <c r="B20" s="6" t="s">
        <v>108</v>
      </c>
      <c r="C20" s="6" t="s">
        <v>109</v>
      </c>
      <c r="D20" s="103" t="s">
        <v>110</v>
      </c>
      <c r="E20" s="87"/>
      <c r="F20" s="87"/>
      <c r="G20" s="34"/>
      <c r="I20" s="35"/>
      <c r="J20" s="35"/>
      <c r="K20" s="35"/>
      <c r="L20" s="35"/>
      <c r="M20" s="35"/>
      <c r="N20" s="35"/>
    </row>
    <row r="21" spans="1:14" ht="31.5" customHeight="1" x14ac:dyDescent="0.15">
      <c r="A21" s="36"/>
      <c r="B21" s="37" t="s">
        <v>11</v>
      </c>
      <c r="C21" s="37" t="s">
        <v>65</v>
      </c>
      <c r="D21" s="104" t="s">
        <v>111</v>
      </c>
      <c r="E21" s="105"/>
      <c r="F21" s="105"/>
      <c r="G21" s="34"/>
      <c r="I21" s="36"/>
      <c r="J21" s="36"/>
      <c r="K21" s="36"/>
      <c r="L21" s="36"/>
      <c r="M21" s="36"/>
      <c r="N21" s="36"/>
    </row>
    <row r="22" spans="1:14" ht="31.5" customHeight="1" x14ac:dyDescent="0.15">
      <c r="A22" s="36"/>
      <c r="B22" s="37" t="s">
        <v>31</v>
      </c>
      <c r="C22" s="37" t="s">
        <v>112</v>
      </c>
      <c r="D22" s="104" t="s">
        <v>113</v>
      </c>
      <c r="E22" s="105"/>
      <c r="F22" s="105"/>
      <c r="G22" s="34"/>
      <c r="I22" s="36"/>
      <c r="J22" s="36"/>
      <c r="K22" s="36"/>
      <c r="L22" s="36"/>
      <c r="M22" s="36"/>
      <c r="N22" s="36"/>
    </row>
    <row r="23" spans="1:14" ht="31.5" customHeight="1" x14ac:dyDescent="0.15">
      <c r="A23" s="36"/>
      <c r="B23" s="37" t="s">
        <v>47</v>
      </c>
      <c r="C23" s="37" t="s">
        <v>114</v>
      </c>
      <c r="D23" s="104" t="s">
        <v>115</v>
      </c>
      <c r="E23" s="105"/>
      <c r="F23" s="105"/>
      <c r="G23" s="34"/>
      <c r="I23" s="36"/>
      <c r="J23" s="36"/>
      <c r="K23" s="36"/>
      <c r="L23" s="36"/>
      <c r="M23" s="36"/>
      <c r="N23" s="36"/>
    </row>
    <row r="24" spans="1:14" ht="31.5" customHeight="1" x14ac:dyDescent="0.15">
      <c r="A24" s="36"/>
      <c r="B24" s="37" t="s">
        <v>70</v>
      </c>
      <c r="C24" s="37" t="s">
        <v>117</v>
      </c>
      <c r="D24" s="104" t="s">
        <v>118</v>
      </c>
      <c r="E24" s="105"/>
      <c r="F24" s="105"/>
      <c r="G24" s="34"/>
      <c r="I24" s="36"/>
      <c r="J24" s="36"/>
      <c r="K24" s="36"/>
      <c r="L24" s="36"/>
      <c r="M24" s="36"/>
      <c r="N24" s="36"/>
    </row>
    <row r="25" spans="1:14" ht="31.5" customHeight="1" x14ac:dyDescent="0.15">
      <c r="A25" s="36"/>
      <c r="B25" s="37" t="s">
        <v>84</v>
      </c>
      <c r="C25" s="37" t="s">
        <v>119</v>
      </c>
      <c r="D25" s="104" t="s">
        <v>120</v>
      </c>
      <c r="E25" s="105"/>
      <c r="F25" s="105"/>
      <c r="G25" s="34"/>
      <c r="I25" s="36"/>
      <c r="J25" s="36"/>
      <c r="K25" s="36"/>
      <c r="L25" s="36"/>
      <c r="M25" s="36"/>
      <c r="N25" s="36"/>
    </row>
    <row r="26" spans="1:14" ht="31.5" customHeight="1" x14ac:dyDescent="0.15">
      <c r="A26" s="36"/>
      <c r="B26" s="37" t="s">
        <v>90</v>
      </c>
      <c r="C26" s="37" t="s">
        <v>121</v>
      </c>
      <c r="D26" s="104" t="s">
        <v>122</v>
      </c>
      <c r="E26" s="105"/>
      <c r="F26" s="105"/>
      <c r="G26" s="34"/>
      <c r="I26" s="36"/>
      <c r="J26" s="36"/>
      <c r="K26" s="36"/>
      <c r="L26" s="36"/>
      <c r="M26" s="36"/>
      <c r="N26" s="36"/>
    </row>
    <row r="27" spans="1:14" ht="31.5" customHeight="1" x14ac:dyDescent="0.15">
      <c r="A27" s="36"/>
      <c r="B27" s="37" t="s">
        <v>42</v>
      </c>
      <c r="C27" s="37" t="s">
        <v>123</v>
      </c>
      <c r="D27" s="104" t="s">
        <v>124</v>
      </c>
      <c r="E27" s="105"/>
      <c r="F27" s="105"/>
      <c r="G27" s="34"/>
      <c r="I27" s="36"/>
      <c r="J27" s="36"/>
      <c r="K27" s="36"/>
      <c r="L27" s="36"/>
      <c r="M27" s="36"/>
      <c r="N27" s="36"/>
    </row>
    <row r="28" spans="1:14" ht="31.5" customHeight="1" x14ac:dyDescent="0.15">
      <c r="A28" s="36"/>
      <c r="B28" s="37" t="s">
        <v>97</v>
      </c>
      <c r="C28" s="37" t="s">
        <v>125</v>
      </c>
      <c r="D28" s="104" t="s">
        <v>126</v>
      </c>
      <c r="E28" s="105"/>
      <c r="F28" s="105"/>
      <c r="G28" s="34"/>
      <c r="I28" s="36"/>
      <c r="J28" s="36"/>
      <c r="K28" s="36"/>
      <c r="L28" s="36"/>
      <c r="M28" s="36"/>
      <c r="N28" s="36"/>
    </row>
    <row r="29" spans="1:14" ht="31.5" customHeight="1" x14ac:dyDescent="0.15">
      <c r="A29" s="36"/>
      <c r="B29" s="37" t="s">
        <v>101</v>
      </c>
      <c r="C29" s="37" t="s">
        <v>127</v>
      </c>
      <c r="D29" s="104" t="s">
        <v>128</v>
      </c>
      <c r="E29" s="105"/>
      <c r="F29" s="105"/>
      <c r="G29" s="34"/>
      <c r="I29" s="36"/>
      <c r="J29" s="36"/>
      <c r="K29" s="36"/>
      <c r="L29" s="36"/>
      <c r="M29" s="36"/>
      <c r="N29" s="36"/>
    </row>
    <row r="30" spans="1:14" ht="13" x14ac:dyDescent="0.15">
      <c r="B30" s="34"/>
      <c r="C30" s="34"/>
      <c r="D30" s="34"/>
      <c r="E30" s="34"/>
      <c r="F30" s="36"/>
      <c r="G30" s="34"/>
      <c r="I30" s="36"/>
      <c r="J30" s="36"/>
      <c r="K30" s="36"/>
      <c r="L30" s="36"/>
      <c r="M30" s="36"/>
      <c r="N30" s="36"/>
    </row>
    <row r="31" spans="1:14" ht="13" x14ac:dyDescent="0.15">
      <c r="B31" s="106" t="s">
        <v>2</v>
      </c>
      <c r="C31" s="87"/>
      <c r="D31" s="87"/>
      <c r="E31" s="87"/>
      <c r="F31" s="87"/>
      <c r="G31" s="34"/>
      <c r="L31" s="34"/>
      <c r="M31" s="34"/>
    </row>
    <row r="32" spans="1:14" ht="13" x14ac:dyDescent="0.15">
      <c r="A32" s="35"/>
      <c r="B32" s="6" t="s">
        <v>108</v>
      </c>
      <c r="C32" s="6" t="s">
        <v>109</v>
      </c>
      <c r="D32" s="103" t="s">
        <v>110</v>
      </c>
      <c r="E32" s="87"/>
      <c r="F32" s="87"/>
      <c r="G32" s="35"/>
      <c r="H32" s="35"/>
      <c r="I32" s="35"/>
      <c r="J32" s="35"/>
      <c r="K32" s="35"/>
      <c r="L32" s="35"/>
      <c r="M32" s="35"/>
      <c r="N32" s="35"/>
    </row>
    <row r="33" spans="1:14" ht="13" x14ac:dyDescent="0.15">
      <c r="B33" s="40" t="s">
        <v>130</v>
      </c>
      <c r="C33" s="41" t="s">
        <v>60</v>
      </c>
      <c r="D33" s="107" t="s">
        <v>132</v>
      </c>
      <c r="E33" s="105"/>
      <c r="F33" s="105"/>
      <c r="G33" s="34"/>
    </row>
    <row r="34" spans="1:14" ht="13" x14ac:dyDescent="0.15">
      <c r="B34" s="40" t="s">
        <v>133</v>
      </c>
      <c r="C34" s="41" t="s">
        <v>134</v>
      </c>
      <c r="D34" s="107" t="s">
        <v>135</v>
      </c>
      <c r="E34" s="105"/>
      <c r="F34" s="105"/>
      <c r="G34" s="34"/>
    </row>
    <row r="35" spans="1:14" ht="13" x14ac:dyDescent="0.15">
      <c r="B35" s="40" t="s">
        <v>94</v>
      </c>
      <c r="C35" s="41" t="s">
        <v>136</v>
      </c>
      <c r="D35" s="107" t="s">
        <v>137</v>
      </c>
      <c r="E35" s="105"/>
      <c r="F35" s="105"/>
      <c r="G35" s="34"/>
    </row>
    <row r="36" spans="1:14" ht="13" x14ac:dyDescent="0.15">
      <c r="B36" s="40" t="s">
        <v>99</v>
      </c>
      <c r="C36" s="41" t="s">
        <v>138</v>
      </c>
      <c r="D36" s="107" t="s">
        <v>139</v>
      </c>
      <c r="E36" s="105"/>
      <c r="F36" s="105"/>
      <c r="G36" s="34"/>
    </row>
    <row r="37" spans="1:14" ht="13" x14ac:dyDescent="0.15">
      <c r="B37" s="40" t="s">
        <v>102</v>
      </c>
      <c r="C37" s="41" t="s">
        <v>140</v>
      </c>
      <c r="D37" s="107" t="s">
        <v>141</v>
      </c>
      <c r="E37" s="105"/>
      <c r="F37" s="105"/>
      <c r="G37" s="34"/>
    </row>
    <row r="38" spans="1:14" ht="13" x14ac:dyDescent="0.15">
      <c r="B38" s="34"/>
      <c r="D38" s="34"/>
      <c r="E38" s="34"/>
      <c r="F38" s="34"/>
      <c r="G38" s="34"/>
    </row>
    <row r="39" spans="1:14" ht="13" x14ac:dyDescent="0.15">
      <c r="B39" s="106" t="s">
        <v>142</v>
      </c>
      <c r="C39" s="87"/>
      <c r="D39" s="87"/>
      <c r="E39" s="87"/>
      <c r="F39" s="87"/>
      <c r="G39" s="34"/>
      <c r="L39" s="34"/>
      <c r="M39" s="34"/>
    </row>
    <row r="40" spans="1:14" ht="13" x14ac:dyDescent="0.15">
      <c r="A40" s="35"/>
      <c r="B40" s="6" t="s">
        <v>108</v>
      </c>
      <c r="C40" s="6"/>
      <c r="D40" s="103" t="s">
        <v>110</v>
      </c>
      <c r="E40" s="87"/>
      <c r="F40" s="87"/>
      <c r="G40" s="35"/>
      <c r="H40" s="35"/>
      <c r="I40" s="35"/>
      <c r="J40" s="35"/>
      <c r="K40" s="35"/>
      <c r="L40" s="35"/>
      <c r="M40" s="35"/>
      <c r="N40" s="35"/>
    </row>
    <row r="41" spans="1:14" ht="13" x14ac:dyDescent="0.15">
      <c r="B41" s="40" t="s">
        <v>16</v>
      </c>
      <c r="D41" s="107" t="s">
        <v>143</v>
      </c>
      <c r="E41" s="105"/>
      <c r="F41" s="105"/>
      <c r="G41" s="34"/>
    </row>
    <row r="42" spans="1:14" ht="13" x14ac:dyDescent="0.15">
      <c r="B42" s="40" t="s">
        <v>36</v>
      </c>
      <c r="D42" s="107" t="s">
        <v>144</v>
      </c>
      <c r="E42" s="105"/>
      <c r="F42" s="105"/>
      <c r="G42" s="34"/>
    </row>
    <row r="43" spans="1:14" ht="13" x14ac:dyDescent="0.15">
      <c r="B43" s="40" t="s">
        <v>51</v>
      </c>
      <c r="D43" s="107" t="s">
        <v>145</v>
      </c>
      <c r="E43" s="105"/>
      <c r="F43" s="105"/>
      <c r="G43" s="34"/>
    </row>
    <row r="44" spans="1:14" ht="13" x14ac:dyDescent="0.15">
      <c r="B44" s="40" t="s">
        <v>82</v>
      </c>
      <c r="D44" s="107" t="s">
        <v>146</v>
      </c>
      <c r="E44" s="105"/>
      <c r="F44" s="105"/>
      <c r="G44" s="34"/>
    </row>
    <row r="45" spans="1:14" ht="13" x14ac:dyDescent="0.15">
      <c r="B45" s="40" t="s">
        <v>88</v>
      </c>
      <c r="D45" s="107" t="s">
        <v>147</v>
      </c>
      <c r="E45" s="105"/>
      <c r="F45" s="105"/>
      <c r="G45" s="34"/>
    </row>
    <row r="46" spans="1:14" ht="13" x14ac:dyDescent="0.15">
      <c r="B46" s="40" t="s">
        <v>19</v>
      </c>
      <c r="D46" s="107" t="s">
        <v>149</v>
      </c>
      <c r="E46" s="105"/>
      <c r="F46" s="105"/>
      <c r="G46" s="34"/>
    </row>
    <row r="47" spans="1:14" ht="13" x14ac:dyDescent="0.15">
      <c r="B47" s="40" t="s">
        <v>38</v>
      </c>
      <c r="D47" s="107" t="s">
        <v>150</v>
      </c>
      <c r="E47" s="105"/>
      <c r="F47" s="105"/>
      <c r="G47" s="34"/>
    </row>
    <row r="48" spans="1:14" ht="13" x14ac:dyDescent="0.15">
      <c r="B48" s="40" t="s">
        <v>53</v>
      </c>
      <c r="D48" s="107" t="s">
        <v>151</v>
      </c>
      <c r="E48" s="105"/>
      <c r="F48" s="105"/>
      <c r="G48" s="34"/>
    </row>
    <row r="49" spans="1:14" ht="13" x14ac:dyDescent="0.15">
      <c r="B49" s="34"/>
      <c r="C49" s="34"/>
      <c r="D49" s="34"/>
      <c r="E49" s="34"/>
      <c r="F49" s="34"/>
      <c r="G49" s="34"/>
    </row>
    <row r="50" spans="1:14" ht="13" x14ac:dyDescent="0.15">
      <c r="B50" s="106" t="s">
        <v>152</v>
      </c>
      <c r="C50" s="87"/>
      <c r="D50" s="87"/>
      <c r="E50" s="87"/>
      <c r="F50" s="87"/>
      <c r="G50" s="34"/>
      <c r="L50" s="34"/>
      <c r="M50" s="34"/>
    </row>
    <row r="51" spans="1:14" ht="13" x14ac:dyDescent="0.15">
      <c r="A51" s="35"/>
      <c r="B51" s="6" t="s">
        <v>108</v>
      </c>
      <c r="C51" s="6" t="s">
        <v>109</v>
      </c>
      <c r="D51" s="103" t="s">
        <v>110</v>
      </c>
      <c r="E51" s="87"/>
      <c r="F51" s="87"/>
      <c r="G51" s="35"/>
      <c r="H51" s="35"/>
      <c r="I51" s="35"/>
      <c r="J51" s="35"/>
      <c r="K51" s="35"/>
      <c r="L51" s="35"/>
      <c r="M51" s="35"/>
      <c r="N51" s="35"/>
    </row>
    <row r="52" spans="1:14" ht="13" x14ac:dyDescent="0.15">
      <c r="B52" s="40" t="s">
        <v>23</v>
      </c>
      <c r="C52" s="42" t="s">
        <v>66</v>
      </c>
      <c r="D52" s="107" t="s">
        <v>153</v>
      </c>
      <c r="E52" s="105"/>
      <c r="F52" s="105"/>
      <c r="G52" s="34"/>
    </row>
    <row r="53" spans="1:14" ht="13" x14ac:dyDescent="0.15">
      <c r="B53" s="40" t="s">
        <v>42</v>
      </c>
      <c r="C53" s="42" t="s">
        <v>116</v>
      </c>
      <c r="D53" s="107" t="s">
        <v>154</v>
      </c>
      <c r="E53" s="105"/>
      <c r="F53" s="105"/>
      <c r="G53" s="34"/>
    </row>
    <row r="54" spans="1:14" ht="13" x14ac:dyDescent="0.15">
      <c r="B54" s="40" t="s">
        <v>55</v>
      </c>
      <c r="C54" s="42" t="s">
        <v>131</v>
      </c>
      <c r="D54" s="107"/>
      <c r="E54" s="105"/>
      <c r="F54" s="105"/>
      <c r="G54" s="34"/>
    </row>
    <row r="55" spans="1:14" ht="13" x14ac:dyDescent="0.15">
      <c r="B55" s="34"/>
      <c r="C55" s="34"/>
      <c r="D55" s="34"/>
      <c r="E55" s="34"/>
      <c r="F55" s="34"/>
      <c r="G55" s="34"/>
      <c r="H55" s="34"/>
    </row>
    <row r="56" spans="1:14" ht="13" x14ac:dyDescent="0.15">
      <c r="B56" s="106" t="s">
        <v>10</v>
      </c>
      <c r="C56" s="87"/>
      <c r="D56" s="87"/>
      <c r="E56" s="87"/>
      <c r="F56" s="34"/>
      <c r="G56" s="34"/>
      <c r="L56" s="34"/>
      <c r="M56" s="34"/>
    </row>
    <row r="57" spans="1:14" ht="13" x14ac:dyDescent="0.15">
      <c r="A57" s="35"/>
      <c r="B57" s="6" t="s">
        <v>108</v>
      </c>
      <c r="C57" s="6" t="s">
        <v>109</v>
      </c>
      <c r="D57" s="103" t="s">
        <v>110</v>
      </c>
      <c r="E57" s="87"/>
      <c r="F57" s="87"/>
      <c r="G57" s="35"/>
      <c r="H57" s="35"/>
      <c r="I57" s="35"/>
      <c r="J57" s="35"/>
      <c r="K57" s="35"/>
      <c r="L57" s="35"/>
      <c r="M57" s="35"/>
      <c r="N57" s="35"/>
    </row>
    <row r="58" spans="1:14" ht="13" x14ac:dyDescent="0.15">
      <c r="B58" s="40" t="s">
        <v>27</v>
      </c>
      <c r="D58" s="107" t="s">
        <v>155</v>
      </c>
      <c r="E58" s="105"/>
      <c r="F58" s="105"/>
      <c r="G58" s="34"/>
    </row>
    <row r="59" spans="1:14" ht="13" x14ac:dyDescent="0.15">
      <c r="B59" s="40" t="s">
        <v>46</v>
      </c>
      <c r="D59" s="107" t="s">
        <v>156</v>
      </c>
      <c r="E59" s="105"/>
      <c r="F59" s="105"/>
      <c r="G59" s="34"/>
    </row>
    <row r="60" spans="1:14" ht="13" x14ac:dyDescent="0.15">
      <c r="B60" s="34"/>
      <c r="C60" s="34"/>
      <c r="D60" s="34"/>
      <c r="E60" s="34"/>
      <c r="F60" s="34"/>
      <c r="G60" s="34"/>
      <c r="H60" s="34"/>
    </row>
    <row r="61" spans="1:14" ht="13" x14ac:dyDescent="0.15">
      <c r="B61" s="34"/>
      <c r="C61" s="34"/>
      <c r="D61" s="34"/>
      <c r="E61" s="34"/>
      <c r="F61" s="34"/>
      <c r="G61" s="34"/>
      <c r="H61" s="34"/>
    </row>
    <row r="62" spans="1:14" ht="13" x14ac:dyDescent="0.15">
      <c r="B62" s="34"/>
      <c r="C62" s="34"/>
      <c r="D62" s="34"/>
      <c r="E62" s="34"/>
      <c r="F62" s="34"/>
      <c r="G62" s="34"/>
    </row>
    <row r="63" spans="1:14" ht="13" x14ac:dyDescent="0.15">
      <c r="B63" s="34"/>
      <c r="C63" s="34"/>
      <c r="D63" s="34"/>
      <c r="E63" s="34"/>
      <c r="F63" s="34"/>
      <c r="G63" s="34"/>
    </row>
    <row r="64" spans="1:14" ht="13" x14ac:dyDescent="0.15">
      <c r="B64" s="34"/>
      <c r="C64" s="34"/>
      <c r="D64" s="34"/>
      <c r="E64" s="34"/>
      <c r="F64" s="34"/>
      <c r="G64" s="34"/>
    </row>
    <row r="65" spans="2:7" ht="13" x14ac:dyDescent="0.15">
      <c r="B65" s="34"/>
      <c r="C65" s="34"/>
      <c r="D65" s="34"/>
      <c r="E65" s="34"/>
      <c r="F65" s="34"/>
      <c r="G65" s="34"/>
    </row>
    <row r="66" spans="2:7" ht="13" x14ac:dyDescent="0.15">
      <c r="B66" s="34"/>
      <c r="C66" s="34"/>
      <c r="D66" s="34"/>
      <c r="E66" s="34"/>
      <c r="F66" s="34"/>
      <c r="G66" s="34"/>
    </row>
    <row r="67" spans="2:7" ht="13" x14ac:dyDescent="0.15">
      <c r="B67" s="34"/>
      <c r="C67" s="34"/>
      <c r="D67" s="34"/>
      <c r="E67" s="34"/>
      <c r="F67" s="34"/>
      <c r="G67" s="34"/>
    </row>
    <row r="68" spans="2:7" ht="13" x14ac:dyDescent="0.15">
      <c r="B68" s="34"/>
      <c r="C68" s="34"/>
      <c r="D68" s="34"/>
      <c r="E68" s="34"/>
      <c r="F68" s="34"/>
      <c r="G68" s="34"/>
    </row>
    <row r="69" spans="2:7" ht="13" x14ac:dyDescent="0.15">
      <c r="B69" s="34"/>
      <c r="C69" s="34"/>
      <c r="D69" s="34"/>
      <c r="E69" s="34"/>
      <c r="F69" s="34"/>
      <c r="G69" s="34"/>
    </row>
    <row r="70" spans="2:7" ht="13" x14ac:dyDescent="0.15">
      <c r="B70" s="34"/>
      <c r="C70" s="34"/>
      <c r="D70" s="34"/>
      <c r="E70" s="34"/>
      <c r="F70" s="34"/>
      <c r="G70" s="34"/>
    </row>
    <row r="71" spans="2:7" ht="13" x14ac:dyDescent="0.15">
      <c r="B71" s="34"/>
      <c r="C71" s="34"/>
      <c r="D71" s="34"/>
      <c r="E71" s="34"/>
      <c r="F71" s="34"/>
      <c r="G71" s="34"/>
    </row>
    <row r="72" spans="2:7" ht="13" x14ac:dyDescent="0.15">
      <c r="B72" s="34"/>
      <c r="C72" s="34"/>
      <c r="D72" s="34"/>
      <c r="E72" s="34"/>
      <c r="F72" s="34"/>
      <c r="G72" s="34"/>
    </row>
    <row r="73" spans="2:7" ht="13" x14ac:dyDescent="0.15">
      <c r="B73" s="34"/>
      <c r="C73" s="34"/>
      <c r="D73" s="34"/>
      <c r="E73" s="34"/>
      <c r="F73" s="34"/>
      <c r="G73" s="34"/>
    </row>
    <row r="74" spans="2:7" ht="13" x14ac:dyDescent="0.15">
      <c r="B74" s="34"/>
      <c r="C74" s="34"/>
      <c r="D74" s="34"/>
      <c r="E74" s="34"/>
      <c r="F74" s="34"/>
      <c r="G74" s="34"/>
    </row>
    <row r="75" spans="2:7" ht="13" x14ac:dyDescent="0.15">
      <c r="B75" s="34"/>
      <c r="C75" s="34"/>
      <c r="D75" s="34"/>
      <c r="E75" s="34"/>
      <c r="F75" s="34"/>
      <c r="G75" s="34"/>
    </row>
    <row r="76" spans="2:7" ht="13" x14ac:dyDescent="0.15">
      <c r="B76" s="34"/>
      <c r="C76" s="34"/>
      <c r="D76" s="34"/>
      <c r="E76" s="34"/>
      <c r="F76" s="34"/>
      <c r="G76" s="34"/>
    </row>
    <row r="77" spans="2:7" ht="13" x14ac:dyDescent="0.15">
      <c r="B77" s="34"/>
      <c r="C77" s="34"/>
      <c r="D77" s="34"/>
      <c r="E77" s="34"/>
      <c r="F77" s="34"/>
      <c r="G77" s="34"/>
    </row>
  </sheetData>
  <mergeCells count="45">
    <mergeCell ref="D46:F46"/>
    <mergeCell ref="D47:F47"/>
    <mergeCell ref="D57:F57"/>
    <mergeCell ref="D58:F58"/>
    <mergeCell ref="D59:F59"/>
    <mergeCell ref="D48:F48"/>
    <mergeCell ref="B50:F50"/>
    <mergeCell ref="D51:F51"/>
    <mergeCell ref="D52:F52"/>
    <mergeCell ref="D53:F53"/>
    <mergeCell ref="D54:F54"/>
    <mergeCell ref="B56:E56"/>
    <mergeCell ref="D41:F41"/>
    <mergeCell ref="D42:F42"/>
    <mergeCell ref="D43:F43"/>
    <mergeCell ref="D44:F44"/>
    <mergeCell ref="D45:F45"/>
    <mergeCell ref="D35:F35"/>
    <mergeCell ref="D36:F36"/>
    <mergeCell ref="D37:F37"/>
    <mergeCell ref="B39:F39"/>
    <mergeCell ref="D40:F40"/>
    <mergeCell ref="D29:F29"/>
    <mergeCell ref="B31:F31"/>
    <mergeCell ref="D32:F32"/>
    <mergeCell ref="D33:F33"/>
    <mergeCell ref="D34:F34"/>
    <mergeCell ref="D24:F24"/>
    <mergeCell ref="D25:F25"/>
    <mergeCell ref="D26:F26"/>
    <mergeCell ref="D27:F27"/>
    <mergeCell ref="D28:F28"/>
    <mergeCell ref="B19:F19"/>
    <mergeCell ref="D20:F20"/>
    <mergeCell ref="D21:F21"/>
    <mergeCell ref="D22:F22"/>
    <mergeCell ref="D23:F23"/>
    <mergeCell ref="A1:A13"/>
    <mergeCell ref="B1:K1"/>
    <mergeCell ref="N1:N13"/>
    <mergeCell ref="L5:M12"/>
    <mergeCell ref="H6:K12"/>
    <mergeCell ref="F8:G12"/>
    <mergeCell ref="B13:K13"/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87"/>
  <sheetViews>
    <sheetView workbookViewId="0"/>
  </sheetViews>
  <sheetFormatPr baseColWidth="10" defaultColWidth="12.6640625" defaultRowHeight="15.75" customHeight="1" x14ac:dyDescent="0.15"/>
  <cols>
    <col min="1" max="18" width="17" customWidth="1"/>
  </cols>
  <sheetData>
    <row r="1" spans="1:18" ht="30" customHeight="1" x14ac:dyDescent="0.15">
      <c r="A1" s="108" t="s">
        <v>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ht="14.25" customHeight="1" x14ac:dyDescent="0.3">
      <c r="A2" s="109" t="str">
        <f>PRICELIST!I4</f>
        <v>WFLX-LNR-SH-PB-900-F</v>
      </c>
      <c r="B2" s="87"/>
      <c r="C2" s="87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22"/>
      <c r="Q2" s="22"/>
      <c r="R2" s="17"/>
    </row>
    <row r="3" spans="1:18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>
        <v>1200</v>
      </c>
      <c r="F3" s="19">
        <v>900</v>
      </c>
      <c r="G3" s="19">
        <v>600</v>
      </c>
      <c r="H3" s="19" t="s">
        <v>67</v>
      </c>
      <c r="I3" s="19" t="s">
        <v>68</v>
      </c>
      <c r="J3" s="19" t="s">
        <v>69</v>
      </c>
      <c r="K3" s="19" t="s">
        <v>71</v>
      </c>
      <c r="L3" s="19" t="s">
        <v>72</v>
      </c>
      <c r="M3" s="19" t="s">
        <v>73</v>
      </c>
      <c r="N3" s="19" t="s">
        <v>75</v>
      </c>
      <c r="O3" s="19" t="s">
        <v>76</v>
      </c>
      <c r="P3" s="24" t="s">
        <v>78</v>
      </c>
      <c r="Q3" s="24" t="s">
        <v>79</v>
      </c>
      <c r="R3" s="19" t="s">
        <v>81</v>
      </c>
    </row>
    <row r="4" spans="1:18" ht="14.25" customHeight="1" x14ac:dyDescent="0.15">
      <c r="A4" s="21"/>
      <c r="B4" s="21"/>
      <c r="C4" s="21"/>
      <c r="D4" s="21"/>
      <c r="E4" s="23" t="str">
        <f>'MASTER DATA'!E5</f>
        <v>2100</v>
      </c>
      <c r="F4" s="23" t="str">
        <f>'MASTER DATA'!E4</f>
        <v>1900</v>
      </c>
      <c r="G4" s="23" t="str">
        <f>'MASTER DATA'!E3</f>
        <v>1800</v>
      </c>
      <c r="H4" s="21">
        <v>380</v>
      </c>
      <c r="I4" s="23" t="str">
        <f>'MASTER DATA'!K3</f>
        <v>4800</v>
      </c>
      <c r="J4" s="23" t="str">
        <f>'MASTER DATA'!I3</f>
        <v>1000</v>
      </c>
      <c r="K4" s="21">
        <v>375</v>
      </c>
      <c r="L4" s="21">
        <v>585</v>
      </c>
      <c r="M4" s="23" t="str">
        <f>'MASTER DATA'!G4</f>
        <v>1000</v>
      </c>
      <c r="N4" s="21">
        <v>3300</v>
      </c>
      <c r="O4" s="21"/>
      <c r="P4" s="27"/>
      <c r="Q4" s="27">
        <f>'MASTER DATA'!C16</f>
        <v>2</v>
      </c>
      <c r="R4" s="21"/>
    </row>
    <row r="5" spans="1:18" ht="14.25" customHeight="1" x14ac:dyDescent="0.15">
      <c r="A5" s="19">
        <v>6</v>
      </c>
      <c r="B5" s="19">
        <f>0.9*3</f>
        <v>2.7</v>
      </c>
      <c r="C5" s="19">
        <v>1.2</v>
      </c>
      <c r="D5" s="19">
        <f>B5*C5</f>
        <v>3.24</v>
      </c>
      <c r="E5" s="19"/>
      <c r="F5" s="19"/>
      <c r="G5" s="19"/>
      <c r="H5" s="19"/>
      <c r="I5" s="19">
        <f>B5*0.4</f>
        <v>1.08</v>
      </c>
      <c r="J5" s="19">
        <v>2</v>
      </c>
      <c r="K5" s="19">
        <f t="shared" ref="K5:L5" si="0">A5</f>
        <v>6</v>
      </c>
      <c r="L5" s="19">
        <f t="shared" si="0"/>
        <v>2.7</v>
      </c>
      <c r="M5" s="19">
        <f>A5</f>
        <v>6</v>
      </c>
      <c r="N5" s="19">
        <f>(1.2*0.4)*2</f>
        <v>0.96</v>
      </c>
      <c r="O5" s="19"/>
      <c r="P5" s="24"/>
      <c r="Q5" s="24"/>
      <c r="R5" s="19"/>
    </row>
    <row r="6" spans="1:18" ht="14.25" customHeight="1" x14ac:dyDescent="0.15">
      <c r="A6" s="19"/>
      <c r="B6" s="19"/>
      <c r="C6" s="19"/>
      <c r="D6" s="26" t="str">
        <f>'MASTER DATA'!C3</f>
        <v>2200</v>
      </c>
      <c r="E6" s="19">
        <v>2</v>
      </c>
      <c r="F6" s="19">
        <v>0</v>
      </c>
      <c r="G6" s="19">
        <v>0</v>
      </c>
      <c r="H6" s="19">
        <f>B5*2</f>
        <v>5.4</v>
      </c>
      <c r="I6" s="19"/>
      <c r="J6" s="19"/>
      <c r="K6" s="19"/>
      <c r="L6" s="19"/>
      <c r="M6" s="19"/>
      <c r="N6" s="28"/>
      <c r="O6" s="19"/>
      <c r="P6" s="24"/>
      <c r="Q6" s="24"/>
      <c r="R6" s="19"/>
    </row>
    <row r="7" spans="1:18" ht="14.25" customHeight="1" x14ac:dyDescent="0.15">
      <c r="A7" s="19"/>
      <c r="B7" s="19"/>
      <c r="C7" s="19"/>
      <c r="D7" s="19">
        <f>D5*D6</f>
        <v>7128.0000000000009</v>
      </c>
      <c r="E7" s="19">
        <f>E6*E4</f>
        <v>4200</v>
      </c>
      <c r="F7" s="19">
        <f t="shared" ref="F7:H7" si="1">F4*F6</f>
        <v>0</v>
      </c>
      <c r="G7" s="19">
        <f t="shared" si="1"/>
        <v>0</v>
      </c>
      <c r="H7" s="19">
        <f t="shared" si="1"/>
        <v>2052</v>
      </c>
      <c r="I7" s="19">
        <f t="shared" ref="I7:N7" si="2">I4*I5</f>
        <v>5184</v>
      </c>
      <c r="J7" s="19">
        <f t="shared" si="2"/>
        <v>2000</v>
      </c>
      <c r="K7" s="19">
        <f t="shared" si="2"/>
        <v>2250</v>
      </c>
      <c r="L7" s="19">
        <f t="shared" si="2"/>
        <v>1579.5</v>
      </c>
      <c r="M7" s="19">
        <f t="shared" si="2"/>
        <v>6000</v>
      </c>
      <c r="N7" s="19">
        <f t="shared" si="2"/>
        <v>3168</v>
      </c>
      <c r="O7" s="19">
        <f>SUM(D7:N7)</f>
        <v>33561.5</v>
      </c>
      <c r="P7" s="24">
        <f>O7/A5</f>
        <v>5593.583333333333</v>
      </c>
      <c r="Q7" s="24">
        <f>P7*Q4</f>
        <v>11187.166666666666</v>
      </c>
      <c r="R7" s="19">
        <f>MROUND(Q7,100)</f>
        <v>11200</v>
      </c>
    </row>
    <row r="8" spans="1:18" ht="14.25" customHeight="1" x14ac:dyDescent="0.1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9"/>
      <c r="Q8" s="39"/>
    </row>
    <row r="9" spans="1:18" ht="14.25" customHeight="1" x14ac:dyDescent="0.3">
      <c r="A9" s="109" t="str">
        <f>PRICELIST!I5</f>
        <v>WFLX-LNR-SH-PB-900-G</v>
      </c>
      <c r="B9" s="87"/>
      <c r="C9" s="87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22"/>
      <c r="Q9" s="22"/>
      <c r="R9" s="17"/>
    </row>
    <row r="10" spans="1:18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>
        <v>1200</v>
      </c>
      <c r="F10" s="19">
        <v>900</v>
      </c>
      <c r="G10" s="19">
        <v>600</v>
      </c>
      <c r="H10" s="19" t="s">
        <v>67</v>
      </c>
      <c r="I10" s="19" t="s">
        <v>68</v>
      </c>
      <c r="J10" s="19" t="s">
        <v>69</v>
      </c>
      <c r="K10" s="19" t="s">
        <v>71</v>
      </c>
      <c r="L10" s="19" t="s">
        <v>72</v>
      </c>
      <c r="M10" s="19" t="s">
        <v>73</v>
      </c>
      <c r="N10" s="19" t="s">
        <v>75</v>
      </c>
      <c r="O10" s="19" t="s">
        <v>76</v>
      </c>
      <c r="P10" s="24" t="s">
        <v>78</v>
      </c>
      <c r="Q10" s="24" t="s">
        <v>79</v>
      </c>
      <c r="R10" s="19" t="s">
        <v>81</v>
      </c>
    </row>
    <row r="11" spans="1:18" ht="14.25" customHeight="1" x14ac:dyDescent="0.15">
      <c r="A11" s="21"/>
      <c r="B11" s="21"/>
      <c r="C11" s="21"/>
      <c r="D11" s="21"/>
      <c r="E11" s="23" t="str">
        <f t="shared" ref="E11:H11" si="3">E4</f>
        <v>2100</v>
      </c>
      <c r="F11" s="23" t="str">
        <f t="shared" si="3"/>
        <v>1900</v>
      </c>
      <c r="G11" s="23" t="str">
        <f t="shared" si="3"/>
        <v>1800</v>
      </c>
      <c r="H11" s="23">
        <f t="shared" si="3"/>
        <v>380</v>
      </c>
      <c r="I11" s="23" t="str">
        <f>'MASTER DATA'!K4</f>
        <v>5500</v>
      </c>
      <c r="J11" s="23" t="str">
        <f t="shared" ref="J11:R11" si="4">J4</f>
        <v>1000</v>
      </c>
      <c r="K11" s="23">
        <f t="shared" si="4"/>
        <v>375</v>
      </c>
      <c r="L11" s="23">
        <f t="shared" si="4"/>
        <v>585</v>
      </c>
      <c r="M11" s="23" t="str">
        <f t="shared" si="4"/>
        <v>1000</v>
      </c>
      <c r="N11" s="23">
        <f t="shared" si="4"/>
        <v>3300</v>
      </c>
      <c r="O11" s="23">
        <f t="shared" si="4"/>
        <v>0</v>
      </c>
      <c r="P11" s="27">
        <f t="shared" si="4"/>
        <v>0</v>
      </c>
      <c r="Q11" s="27">
        <f t="shared" si="4"/>
        <v>2</v>
      </c>
      <c r="R11" s="23">
        <f t="shared" si="4"/>
        <v>0</v>
      </c>
    </row>
    <row r="12" spans="1:18" ht="14.25" customHeight="1" x14ac:dyDescent="0.15">
      <c r="A12" s="19">
        <v>6</v>
      </c>
      <c r="B12" s="19">
        <f>0.9*3</f>
        <v>2.7</v>
      </c>
      <c r="C12" s="19">
        <v>1.2</v>
      </c>
      <c r="D12" s="19">
        <f>B12*C12</f>
        <v>3.24</v>
      </c>
      <c r="E12" s="19"/>
      <c r="F12" s="19"/>
      <c r="G12" s="19"/>
      <c r="H12" s="19"/>
      <c r="I12" s="19">
        <f>B12*0.4</f>
        <v>1.08</v>
      </c>
      <c r="J12" s="19">
        <v>2</v>
      </c>
      <c r="K12" s="19">
        <f t="shared" ref="K12:L12" si="5">A12</f>
        <v>6</v>
      </c>
      <c r="L12" s="19">
        <f t="shared" si="5"/>
        <v>2.7</v>
      </c>
      <c r="M12" s="19">
        <f>A12</f>
        <v>6</v>
      </c>
      <c r="N12" s="19">
        <f>(1.2*0.4)*2</f>
        <v>0.96</v>
      </c>
      <c r="O12" s="19"/>
      <c r="P12" s="24"/>
      <c r="Q12" s="24"/>
      <c r="R12" s="19"/>
    </row>
    <row r="13" spans="1:18" ht="14.25" customHeight="1" x14ac:dyDescent="0.15">
      <c r="A13" s="19"/>
      <c r="B13" s="19"/>
      <c r="C13" s="19"/>
      <c r="D13" s="26" t="str">
        <f>D6</f>
        <v>2200</v>
      </c>
      <c r="E13" s="19">
        <v>2</v>
      </c>
      <c r="F13" s="19">
        <v>0</v>
      </c>
      <c r="G13" s="19">
        <v>0</v>
      </c>
      <c r="H13" s="19">
        <f>B12*2</f>
        <v>5.4</v>
      </c>
      <c r="I13" s="19"/>
      <c r="J13" s="19"/>
      <c r="K13" s="19"/>
      <c r="L13" s="19"/>
      <c r="M13" s="19"/>
      <c r="N13" s="28"/>
      <c r="O13" s="19"/>
      <c r="P13" s="24"/>
      <c r="Q13" s="24"/>
      <c r="R13" s="19"/>
    </row>
    <row r="14" spans="1:18" ht="14.25" customHeight="1" x14ac:dyDescent="0.15">
      <c r="A14" s="19"/>
      <c r="B14" s="19"/>
      <c r="C14" s="19"/>
      <c r="D14" s="19">
        <f>D12*D13</f>
        <v>7128.0000000000009</v>
      </c>
      <c r="E14" s="19">
        <f>E13*E11</f>
        <v>4200</v>
      </c>
      <c r="F14" s="19">
        <f t="shared" ref="F14:H14" si="6">F11*F13</f>
        <v>0</v>
      </c>
      <c r="G14" s="19">
        <f t="shared" si="6"/>
        <v>0</v>
      </c>
      <c r="H14" s="19">
        <f t="shared" si="6"/>
        <v>2052</v>
      </c>
      <c r="I14" s="19">
        <f t="shared" ref="I14:N14" si="7">I11*I12</f>
        <v>5940</v>
      </c>
      <c r="J14" s="19">
        <f t="shared" si="7"/>
        <v>2000</v>
      </c>
      <c r="K14" s="19">
        <f t="shared" si="7"/>
        <v>2250</v>
      </c>
      <c r="L14" s="19">
        <f t="shared" si="7"/>
        <v>1579.5</v>
      </c>
      <c r="M14" s="19">
        <f t="shared" si="7"/>
        <v>6000</v>
      </c>
      <c r="N14" s="19">
        <f t="shared" si="7"/>
        <v>3168</v>
      </c>
      <c r="O14" s="19">
        <f>SUM(D14:N14)</f>
        <v>34317.5</v>
      </c>
      <c r="P14" s="24">
        <f>O14/A12</f>
        <v>5719.583333333333</v>
      </c>
      <c r="Q14" s="24">
        <f>P14*Q11</f>
        <v>11439.166666666666</v>
      </c>
      <c r="R14" s="19">
        <f>MROUND(Q14,100)</f>
        <v>11400</v>
      </c>
    </row>
    <row r="15" spans="1:18" ht="14.25" customHeight="1" x14ac:dyDescent="0.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9"/>
      <c r="Q15" s="27">
        <f>Q8</f>
        <v>0</v>
      </c>
    </row>
    <row r="16" spans="1:18" ht="14.25" customHeight="1" x14ac:dyDescent="0.3">
      <c r="A16" s="109" t="str">
        <f>PRICELIST!I6</f>
        <v>WFLX-LNR-SH-PB-900-X</v>
      </c>
      <c r="B16" s="87"/>
      <c r="C16" s="8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22"/>
      <c r="Q16" s="22"/>
      <c r="R16" s="17"/>
    </row>
    <row r="17" spans="1:18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>
        <v>1200</v>
      </c>
      <c r="F17" s="19">
        <v>900</v>
      </c>
      <c r="G17" s="19">
        <v>600</v>
      </c>
      <c r="H17" s="19" t="s">
        <v>67</v>
      </c>
      <c r="I17" s="19" t="s">
        <v>68</v>
      </c>
      <c r="J17" s="19" t="s">
        <v>69</v>
      </c>
      <c r="K17" s="19" t="s">
        <v>71</v>
      </c>
      <c r="L17" s="19" t="s">
        <v>72</v>
      </c>
      <c r="M17" s="19" t="s">
        <v>73</v>
      </c>
      <c r="N17" s="19" t="s">
        <v>75</v>
      </c>
      <c r="O17" s="19" t="s">
        <v>76</v>
      </c>
      <c r="P17" s="24" t="s">
        <v>78</v>
      </c>
      <c r="Q17" s="24" t="s">
        <v>79</v>
      </c>
      <c r="R17" s="19" t="s">
        <v>81</v>
      </c>
    </row>
    <row r="18" spans="1:18" ht="14.25" customHeight="1" x14ac:dyDescent="0.15">
      <c r="A18" s="21">
        <f t="shared" ref="A18:H18" si="8">A11</f>
        <v>0</v>
      </c>
      <c r="B18" s="21">
        <f t="shared" si="8"/>
        <v>0</v>
      </c>
      <c r="C18" s="21">
        <f t="shared" si="8"/>
        <v>0</v>
      </c>
      <c r="D18" s="21">
        <f t="shared" si="8"/>
        <v>0</v>
      </c>
      <c r="E18" s="23" t="str">
        <f t="shared" si="8"/>
        <v>2100</v>
      </c>
      <c r="F18" s="23" t="str">
        <f t="shared" si="8"/>
        <v>1900</v>
      </c>
      <c r="G18" s="23" t="str">
        <f t="shared" si="8"/>
        <v>1800</v>
      </c>
      <c r="H18" s="23">
        <f t="shared" si="8"/>
        <v>380</v>
      </c>
      <c r="I18" s="23" t="str">
        <f>'MASTER DATA'!K5</f>
        <v>0</v>
      </c>
      <c r="J18" s="23" t="str">
        <f t="shared" ref="J18:Q18" si="9">J11</f>
        <v>1000</v>
      </c>
      <c r="K18" s="23">
        <f t="shared" si="9"/>
        <v>375</v>
      </c>
      <c r="L18" s="23">
        <f t="shared" si="9"/>
        <v>585</v>
      </c>
      <c r="M18" s="23" t="str">
        <f t="shared" si="9"/>
        <v>1000</v>
      </c>
      <c r="N18" s="23">
        <f t="shared" si="9"/>
        <v>3300</v>
      </c>
      <c r="O18" s="23">
        <f t="shared" si="9"/>
        <v>0</v>
      </c>
      <c r="P18" s="27">
        <f t="shared" si="9"/>
        <v>0</v>
      </c>
      <c r="Q18" s="27">
        <f t="shared" si="9"/>
        <v>2</v>
      </c>
      <c r="R18" s="21"/>
    </row>
    <row r="19" spans="1:18" ht="14.25" customHeight="1" x14ac:dyDescent="0.15">
      <c r="A19" s="19">
        <v>6</v>
      </c>
      <c r="B19" s="19">
        <f>0.9*3</f>
        <v>2.7</v>
      </c>
      <c r="C19" s="19">
        <v>1.2</v>
      </c>
      <c r="D19" s="19">
        <f>B19*C19</f>
        <v>3.24</v>
      </c>
      <c r="E19" s="19"/>
      <c r="F19" s="19"/>
      <c r="G19" s="19"/>
      <c r="H19" s="19"/>
      <c r="I19" s="19">
        <f>B19*0.4</f>
        <v>1.08</v>
      </c>
      <c r="J19" s="19">
        <v>2</v>
      </c>
      <c r="K19" s="19">
        <f t="shared" ref="K19:L19" si="10">A19</f>
        <v>6</v>
      </c>
      <c r="L19" s="19">
        <f t="shared" si="10"/>
        <v>2.7</v>
      </c>
      <c r="M19" s="19">
        <f>A19</f>
        <v>6</v>
      </c>
      <c r="N19" s="19">
        <f>(1.2*0.4)*2</f>
        <v>0.96</v>
      </c>
      <c r="O19" s="19"/>
      <c r="P19" s="24"/>
      <c r="Q19" s="24"/>
      <c r="R19" s="19"/>
    </row>
    <row r="20" spans="1:18" ht="14.25" customHeight="1" x14ac:dyDescent="0.15">
      <c r="A20" s="19"/>
      <c r="B20" s="19"/>
      <c r="C20" s="19"/>
      <c r="D20" s="26" t="str">
        <f>D13</f>
        <v>2200</v>
      </c>
      <c r="E20" s="19">
        <v>2</v>
      </c>
      <c r="F20" s="19">
        <v>0</v>
      </c>
      <c r="G20" s="19">
        <v>0</v>
      </c>
      <c r="H20" s="19">
        <f>B19*2</f>
        <v>5.4</v>
      </c>
      <c r="I20" s="19"/>
      <c r="J20" s="19"/>
      <c r="K20" s="19"/>
      <c r="L20" s="19"/>
      <c r="M20" s="19"/>
      <c r="N20" s="28"/>
      <c r="O20" s="19"/>
      <c r="P20" s="24"/>
      <c r="Q20" s="24"/>
      <c r="R20" s="19"/>
    </row>
    <row r="21" spans="1:18" ht="14.25" customHeight="1" x14ac:dyDescent="0.15">
      <c r="A21" s="19"/>
      <c r="B21" s="19"/>
      <c r="C21" s="19"/>
      <c r="D21" s="19">
        <f>D19*D20</f>
        <v>7128.0000000000009</v>
      </c>
      <c r="E21" s="19">
        <f>E20*E18</f>
        <v>4200</v>
      </c>
      <c r="F21" s="19">
        <f t="shared" ref="F21:H21" si="11">F18*F20</f>
        <v>0</v>
      </c>
      <c r="G21" s="19">
        <f t="shared" si="11"/>
        <v>0</v>
      </c>
      <c r="H21" s="19">
        <f t="shared" si="11"/>
        <v>2052</v>
      </c>
      <c r="I21" s="19">
        <f t="shared" ref="I21:N21" si="12">I18*I19</f>
        <v>0</v>
      </c>
      <c r="J21" s="19">
        <f t="shared" si="12"/>
        <v>2000</v>
      </c>
      <c r="K21" s="19">
        <f t="shared" si="12"/>
        <v>2250</v>
      </c>
      <c r="L21" s="19">
        <f t="shared" si="12"/>
        <v>1579.5</v>
      </c>
      <c r="M21" s="19">
        <f t="shared" si="12"/>
        <v>6000</v>
      </c>
      <c r="N21" s="19">
        <f t="shared" si="12"/>
        <v>3168</v>
      </c>
      <c r="O21" s="19">
        <f>SUM(D21:N21)</f>
        <v>28377.5</v>
      </c>
      <c r="P21" s="24">
        <f>O21/A19</f>
        <v>4729.583333333333</v>
      </c>
      <c r="Q21" s="24">
        <f>P21*Q18</f>
        <v>9459.1666666666661</v>
      </c>
      <c r="R21" s="19">
        <f>MROUND(Q21,100)</f>
        <v>9500</v>
      </c>
    </row>
    <row r="22" spans="1:18" ht="14.25" customHeight="1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9"/>
      <c r="Q22" s="39"/>
    </row>
    <row r="23" spans="1:18" ht="14.25" customHeight="1" x14ac:dyDescent="0.3">
      <c r="A23" s="109" t="str">
        <f>PRICELIST!I7</f>
        <v>WFLX-LNR-SH-PLM-900-F</v>
      </c>
      <c r="B23" s="87"/>
      <c r="C23" s="8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22"/>
      <c r="Q23" s="22"/>
      <c r="R23" s="17"/>
    </row>
    <row r="24" spans="1:18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>
        <v>1200</v>
      </c>
      <c r="F24" s="19">
        <v>900</v>
      </c>
      <c r="G24" s="19">
        <v>600</v>
      </c>
      <c r="H24" s="19" t="s">
        <v>67</v>
      </c>
      <c r="I24" s="19" t="s">
        <v>68</v>
      </c>
      <c r="J24" s="19" t="s">
        <v>69</v>
      </c>
      <c r="K24" s="19" t="s">
        <v>71</v>
      </c>
      <c r="L24" s="19" t="s">
        <v>72</v>
      </c>
      <c r="M24" s="19" t="s">
        <v>73</v>
      </c>
      <c r="N24" s="19" t="s">
        <v>75</v>
      </c>
      <c r="O24" s="19" t="s">
        <v>76</v>
      </c>
      <c r="P24" s="24" t="s">
        <v>78</v>
      </c>
      <c r="Q24" s="24" t="s">
        <v>79</v>
      </c>
      <c r="R24" s="19" t="s">
        <v>81</v>
      </c>
    </row>
    <row r="25" spans="1:18" ht="14.25" customHeight="1" x14ac:dyDescent="0.15">
      <c r="A25" s="21">
        <f t="shared" ref="A25:H25" si="13">A18</f>
        <v>0</v>
      </c>
      <c r="B25" s="21">
        <f t="shared" si="13"/>
        <v>0</v>
      </c>
      <c r="C25" s="21">
        <f t="shared" si="13"/>
        <v>0</v>
      </c>
      <c r="D25" s="21">
        <f t="shared" si="13"/>
        <v>0</v>
      </c>
      <c r="E25" s="23" t="str">
        <f t="shared" si="13"/>
        <v>2100</v>
      </c>
      <c r="F25" s="23" t="str">
        <f t="shared" si="13"/>
        <v>1900</v>
      </c>
      <c r="G25" s="23" t="str">
        <f t="shared" si="13"/>
        <v>1800</v>
      </c>
      <c r="H25" s="23">
        <f t="shared" si="13"/>
        <v>380</v>
      </c>
      <c r="I25" s="23" t="str">
        <f>I4</f>
        <v>4800</v>
      </c>
      <c r="J25" s="23" t="str">
        <f t="shared" ref="J25:Q25" si="14">J18</f>
        <v>1000</v>
      </c>
      <c r="K25" s="23">
        <f t="shared" si="14"/>
        <v>375</v>
      </c>
      <c r="L25" s="23">
        <f t="shared" si="14"/>
        <v>585</v>
      </c>
      <c r="M25" s="23" t="str">
        <f t="shared" si="14"/>
        <v>1000</v>
      </c>
      <c r="N25" s="23">
        <f t="shared" si="14"/>
        <v>3300</v>
      </c>
      <c r="O25" s="23">
        <f t="shared" si="14"/>
        <v>0</v>
      </c>
      <c r="P25" s="27">
        <f t="shared" si="14"/>
        <v>0</v>
      </c>
      <c r="Q25" s="27">
        <f t="shared" si="14"/>
        <v>2</v>
      </c>
      <c r="R25" s="21"/>
    </row>
    <row r="26" spans="1:18" ht="14.25" customHeight="1" x14ac:dyDescent="0.15">
      <c r="A26" s="19">
        <v>6</v>
      </c>
      <c r="B26" s="19">
        <f>0.9*3</f>
        <v>2.7</v>
      </c>
      <c r="C26" s="19">
        <v>1.2</v>
      </c>
      <c r="D26" s="19">
        <f>B26*C26</f>
        <v>3.24</v>
      </c>
      <c r="E26" s="19"/>
      <c r="F26" s="19"/>
      <c r="G26" s="19"/>
      <c r="H26" s="19"/>
      <c r="I26" s="19">
        <f>B26*0.4</f>
        <v>1.08</v>
      </c>
      <c r="J26" s="19">
        <v>2</v>
      </c>
      <c r="K26" s="19">
        <f t="shared" ref="K26:L26" si="15">A26</f>
        <v>6</v>
      </c>
      <c r="L26" s="19">
        <f t="shared" si="15"/>
        <v>2.7</v>
      </c>
      <c r="M26" s="19">
        <f>A26</f>
        <v>6</v>
      </c>
      <c r="N26" s="19">
        <f>(1.2*0.4)*2</f>
        <v>0.96</v>
      </c>
      <c r="O26" s="19"/>
      <c r="P26" s="24"/>
      <c r="Q26" s="24"/>
      <c r="R26" s="19"/>
    </row>
    <row r="27" spans="1:18" ht="14.25" customHeight="1" x14ac:dyDescent="0.15">
      <c r="A27" s="19"/>
      <c r="B27" s="19"/>
      <c r="C27" s="19"/>
      <c r="D27" s="26" t="str">
        <f>'MASTER DATA'!C4</f>
        <v>3000</v>
      </c>
      <c r="E27" s="19">
        <v>2</v>
      </c>
      <c r="F27" s="19">
        <v>0</v>
      </c>
      <c r="G27" s="19">
        <v>0</v>
      </c>
      <c r="H27" s="19">
        <f>B26*2</f>
        <v>5.4</v>
      </c>
      <c r="I27" s="19"/>
      <c r="J27" s="19"/>
      <c r="K27" s="19"/>
      <c r="L27" s="19"/>
      <c r="M27" s="19"/>
      <c r="N27" s="28"/>
      <c r="O27" s="19"/>
      <c r="P27" s="24"/>
      <c r="Q27" s="24"/>
      <c r="R27" s="19"/>
    </row>
    <row r="28" spans="1:18" ht="14.25" customHeight="1" x14ac:dyDescent="0.15">
      <c r="A28" s="19"/>
      <c r="B28" s="19"/>
      <c r="C28" s="19"/>
      <c r="D28" s="19">
        <f>D26*D27</f>
        <v>9720</v>
      </c>
      <c r="E28" s="19">
        <f>E27*E25</f>
        <v>4200</v>
      </c>
      <c r="F28" s="19">
        <f t="shared" ref="F28:H28" si="16">F25*F27</f>
        <v>0</v>
      </c>
      <c r="G28" s="19">
        <f t="shared" si="16"/>
        <v>0</v>
      </c>
      <c r="H28" s="19">
        <f t="shared" si="16"/>
        <v>2052</v>
      </c>
      <c r="I28" s="19">
        <f t="shared" ref="I28:N28" si="17">I25*I26</f>
        <v>5184</v>
      </c>
      <c r="J28" s="19">
        <f t="shared" si="17"/>
        <v>2000</v>
      </c>
      <c r="K28" s="19">
        <f t="shared" si="17"/>
        <v>2250</v>
      </c>
      <c r="L28" s="19">
        <f t="shared" si="17"/>
        <v>1579.5</v>
      </c>
      <c r="M28" s="19">
        <f t="shared" si="17"/>
        <v>6000</v>
      </c>
      <c r="N28" s="19">
        <f t="shared" si="17"/>
        <v>3168</v>
      </c>
      <c r="O28" s="19">
        <f>SUM(D28:N28)</f>
        <v>36153.5</v>
      </c>
      <c r="P28" s="24">
        <f>O28/A26</f>
        <v>6025.583333333333</v>
      </c>
      <c r="Q28" s="24">
        <f>P28*Q25</f>
        <v>12051.166666666666</v>
      </c>
      <c r="R28" s="19">
        <f>MROUND(Q28,100)</f>
        <v>12100</v>
      </c>
    </row>
    <row r="29" spans="1:18" ht="14.25" customHeight="1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9"/>
      <c r="Q29" s="39"/>
    </row>
    <row r="30" spans="1:18" ht="14.25" customHeight="1" x14ac:dyDescent="0.3">
      <c r="A30" s="109" t="str">
        <f>PRICELIST!I8</f>
        <v>WFLX-LNR-SH-PLM-900-G</v>
      </c>
      <c r="B30" s="87"/>
      <c r="C30" s="8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22"/>
      <c r="Q30" s="22"/>
      <c r="R30" s="17"/>
    </row>
    <row r="31" spans="1:18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>
        <v>1200</v>
      </c>
      <c r="F31" s="19">
        <v>900</v>
      </c>
      <c r="G31" s="19">
        <v>600</v>
      </c>
      <c r="H31" s="19" t="s">
        <v>67</v>
      </c>
      <c r="I31" s="19" t="s">
        <v>68</v>
      </c>
      <c r="J31" s="19" t="s">
        <v>69</v>
      </c>
      <c r="K31" s="19" t="s">
        <v>71</v>
      </c>
      <c r="L31" s="19" t="s">
        <v>72</v>
      </c>
      <c r="M31" s="19" t="s">
        <v>73</v>
      </c>
      <c r="N31" s="19" t="s">
        <v>75</v>
      </c>
      <c r="O31" s="19" t="s">
        <v>76</v>
      </c>
      <c r="P31" s="24" t="s">
        <v>78</v>
      </c>
      <c r="Q31" s="24" t="s">
        <v>79</v>
      </c>
      <c r="R31" s="19" t="s">
        <v>81</v>
      </c>
    </row>
    <row r="32" spans="1:18" ht="14.25" customHeight="1" x14ac:dyDescent="0.15">
      <c r="A32" s="21">
        <f t="shared" ref="A32:H32" si="18">A25</f>
        <v>0</v>
      </c>
      <c r="B32" s="21">
        <f t="shared" si="18"/>
        <v>0</v>
      </c>
      <c r="C32" s="21">
        <f t="shared" si="18"/>
        <v>0</v>
      </c>
      <c r="D32" s="21">
        <f t="shared" si="18"/>
        <v>0</v>
      </c>
      <c r="E32" s="23" t="str">
        <f t="shared" si="18"/>
        <v>2100</v>
      </c>
      <c r="F32" s="23" t="str">
        <f t="shared" si="18"/>
        <v>1900</v>
      </c>
      <c r="G32" s="23" t="str">
        <f t="shared" si="18"/>
        <v>1800</v>
      </c>
      <c r="H32" s="23">
        <f t="shared" si="18"/>
        <v>380</v>
      </c>
      <c r="I32" s="23" t="str">
        <f>I11</f>
        <v>5500</v>
      </c>
      <c r="J32" s="23" t="str">
        <f t="shared" ref="J32:Q32" si="19">J25</f>
        <v>1000</v>
      </c>
      <c r="K32" s="23">
        <f t="shared" si="19"/>
        <v>375</v>
      </c>
      <c r="L32" s="23">
        <f t="shared" si="19"/>
        <v>585</v>
      </c>
      <c r="M32" s="23" t="str">
        <f t="shared" si="19"/>
        <v>1000</v>
      </c>
      <c r="N32" s="23">
        <f t="shared" si="19"/>
        <v>3300</v>
      </c>
      <c r="O32" s="23">
        <f t="shared" si="19"/>
        <v>0</v>
      </c>
      <c r="P32" s="27">
        <f t="shared" si="19"/>
        <v>0</v>
      </c>
      <c r="Q32" s="27">
        <f t="shared" si="19"/>
        <v>2</v>
      </c>
      <c r="R32" s="21"/>
    </row>
    <row r="33" spans="1:18" ht="14.25" customHeight="1" x14ac:dyDescent="0.15">
      <c r="A33" s="19">
        <v>6</v>
      </c>
      <c r="B33" s="19">
        <f>0.9*3</f>
        <v>2.7</v>
      </c>
      <c r="C33" s="19">
        <v>1.2</v>
      </c>
      <c r="D33" s="19">
        <f>B33*C33</f>
        <v>3.24</v>
      </c>
      <c r="E33" s="19"/>
      <c r="F33" s="19"/>
      <c r="G33" s="19"/>
      <c r="H33" s="19"/>
      <c r="I33" s="19">
        <f>B33*0.4</f>
        <v>1.08</v>
      </c>
      <c r="J33" s="19">
        <v>2</v>
      </c>
      <c r="K33" s="19">
        <f t="shared" ref="K33:L33" si="20">A33</f>
        <v>6</v>
      </c>
      <c r="L33" s="19">
        <f t="shared" si="20"/>
        <v>2.7</v>
      </c>
      <c r="M33" s="19">
        <f>A33</f>
        <v>6</v>
      </c>
      <c r="N33" s="19">
        <f>(1.2*0.4)*2</f>
        <v>0.96</v>
      </c>
      <c r="O33" s="19"/>
      <c r="P33" s="24"/>
      <c r="Q33" s="24"/>
      <c r="R33" s="19"/>
    </row>
    <row r="34" spans="1:18" ht="14.25" customHeight="1" x14ac:dyDescent="0.15">
      <c r="A34" s="19"/>
      <c r="B34" s="19"/>
      <c r="C34" s="19"/>
      <c r="D34" s="26" t="str">
        <f>D27</f>
        <v>3000</v>
      </c>
      <c r="E34" s="19">
        <v>2</v>
      </c>
      <c r="F34" s="19">
        <v>0</v>
      </c>
      <c r="G34" s="19">
        <v>0</v>
      </c>
      <c r="H34" s="19">
        <f>B33*2</f>
        <v>5.4</v>
      </c>
      <c r="I34" s="19"/>
      <c r="J34" s="19"/>
      <c r="K34" s="19"/>
      <c r="L34" s="19"/>
      <c r="M34" s="19"/>
      <c r="N34" s="28"/>
      <c r="O34" s="19"/>
      <c r="P34" s="24"/>
      <c r="Q34" s="24"/>
      <c r="R34" s="19"/>
    </row>
    <row r="35" spans="1:18" ht="14.25" customHeight="1" x14ac:dyDescent="0.15">
      <c r="A35" s="19"/>
      <c r="B35" s="19"/>
      <c r="C35" s="19"/>
      <c r="D35" s="19">
        <f>D33*D34</f>
        <v>9720</v>
      </c>
      <c r="E35" s="19">
        <f>E34*E32</f>
        <v>4200</v>
      </c>
      <c r="F35" s="19">
        <f t="shared" ref="F35:H35" si="21">F32*F34</f>
        <v>0</v>
      </c>
      <c r="G35" s="19">
        <f t="shared" si="21"/>
        <v>0</v>
      </c>
      <c r="H35" s="19">
        <f t="shared" si="21"/>
        <v>2052</v>
      </c>
      <c r="I35" s="19">
        <f t="shared" ref="I35:N35" si="22">I32*I33</f>
        <v>5940</v>
      </c>
      <c r="J35" s="19">
        <f t="shared" si="22"/>
        <v>2000</v>
      </c>
      <c r="K35" s="19">
        <f t="shared" si="22"/>
        <v>2250</v>
      </c>
      <c r="L35" s="19">
        <f t="shared" si="22"/>
        <v>1579.5</v>
      </c>
      <c r="M35" s="19">
        <f t="shared" si="22"/>
        <v>6000</v>
      </c>
      <c r="N35" s="19">
        <f t="shared" si="22"/>
        <v>3168</v>
      </c>
      <c r="O35" s="19">
        <f>SUM(D35:N35)</f>
        <v>36909.5</v>
      </c>
      <c r="P35" s="24">
        <f>O35/A33</f>
        <v>6151.583333333333</v>
      </c>
      <c r="Q35" s="24">
        <f>P35*Q32</f>
        <v>12303.166666666666</v>
      </c>
      <c r="R35" s="19">
        <f>MROUND(Q35,100)</f>
        <v>12300</v>
      </c>
    </row>
    <row r="36" spans="1:18" ht="14.2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9"/>
      <c r="Q36" s="39"/>
    </row>
    <row r="37" spans="1:18" ht="14.25" customHeight="1" x14ac:dyDescent="0.3">
      <c r="A37" s="109" t="str">
        <f>PRICELIST!I9</f>
        <v>WFLX-LNR-SH-PLM-900-X</v>
      </c>
      <c r="B37" s="87"/>
      <c r="C37" s="8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22"/>
      <c r="Q37" s="22"/>
      <c r="R37" s="17"/>
    </row>
    <row r="38" spans="1:18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>
        <v>1200</v>
      </c>
      <c r="F38" s="19">
        <v>900</v>
      </c>
      <c r="G38" s="19">
        <v>600</v>
      </c>
      <c r="H38" s="19" t="s">
        <v>67</v>
      </c>
      <c r="I38" s="19" t="s">
        <v>68</v>
      </c>
      <c r="J38" s="19" t="s">
        <v>69</v>
      </c>
      <c r="K38" s="19" t="s">
        <v>71</v>
      </c>
      <c r="L38" s="19" t="s">
        <v>72</v>
      </c>
      <c r="M38" s="19" t="s">
        <v>73</v>
      </c>
      <c r="N38" s="19" t="s">
        <v>75</v>
      </c>
      <c r="O38" s="19" t="s">
        <v>76</v>
      </c>
      <c r="P38" s="24" t="s">
        <v>78</v>
      </c>
      <c r="Q38" s="24" t="s">
        <v>79</v>
      </c>
      <c r="R38" s="19" t="s">
        <v>81</v>
      </c>
    </row>
    <row r="39" spans="1:18" ht="14.25" customHeight="1" x14ac:dyDescent="0.15">
      <c r="A39" s="21">
        <f t="shared" ref="A39:H39" si="23">A32</f>
        <v>0</v>
      </c>
      <c r="B39" s="21">
        <f t="shared" si="23"/>
        <v>0</v>
      </c>
      <c r="C39" s="21">
        <f t="shared" si="23"/>
        <v>0</v>
      </c>
      <c r="D39" s="21">
        <f t="shared" si="23"/>
        <v>0</v>
      </c>
      <c r="E39" s="23" t="str">
        <f t="shared" si="23"/>
        <v>2100</v>
      </c>
      <c r="F39" s="23" t="str">
        <f t="shared" si="23"/>
        <v>1900</v>
      </c>
      <c r="G39" s="23" t="str">
        <f t="shared" si="23"/>
        <v>1800</v>
      </c>
      <c r="H39" s="23">
        <f t="shared" si="23"/>
        <v>380</v>
      </c>
      <c r="I39" s="23" t="str">
        <f>I18</f>
        <v>0</v>
      </c>
      <c r="J39" s="23" t="str">
        <f t="shared" ref="J39:Q39" si="24">J32</f>
        <v>1000</v>
      </c>
      <c r="K39" s="23">
        <f t="shared" si="24"/>
        <v>375</v>
      </c>
      <c r="L39" s="23">
        <f t="shared" si="24"/>
        <v>585</v>
      </c>
      <c r="M39" s="23" t="str">
        <f t="shared" si="24"/>
        <v>1000</v>
      </c>
      <c r="N39" s="23">
        <f t="shared" si="24"/>
        <v>3300</v>
      </c>
      <c r="O39" s="23">
        <f t="shared" si="24"/>
        <v>0</v>
      </c>
      <c r="P39" s="27">
        <f t="shared" si="24"/>
        <v>0</v>
      </c>
      <c r="Q39" s="27">
        <f t="shared" si="24"/>
        <v>2</v>
      </c>
      <c r="R39" s="21"/>
    </row>
    <row r="40" spans="1:18" ht="14.25" customHeight="1" x14ac:dyDescent="0.15">
      <c r="A40" s="19">
        <v>6</v>
      </c>
      <c r="B40" s="19">
        <f>0.9*3</f>
        <v>2.7</v>
      </c>
      <c r="C40" s="19">
        <v>1.2</v>
      </c>
      <c r="D40" s="19">
        <f>B40*C40</f>
        <v>3.24</v>
      </c>
      <c r="E40" s="19"/>
      <c r="F40" s="19"/>
      <c r="G40" s="19"/>
      <c r="H40" s="19"/>
      <c r="I40" s="19">
        <f>B40*0.4</f>
        <v>1.08</v>
      </c>
      <c r="J40" s="19">
        <v>2</v>
      </c>
      <c r="K40" s="19">
        <f t="shared" ref="K40:L40" si="25">A40</f>
        <v>6</v>
      </c>
      <c r="L40" s="19">
        <f t="shared" si="25"/>
        <v>2.7</v>
      </c>
      <c r="M40" s="19">
        <f>A40</f>
        <v>6</v>
      </c>
      <c r="N40" s="19">
        <f>(1.2*0.4)*2</f>
        <v>0.96</v>
      </c>
      <c r="O40" s="19"/>
      <c r="P40" s="24"/>
      <c r="Q40" s="24"/>
      <c r="R40" s="19"/>
    </row>
    <row r="41" spans="1:18" ht="14.25" customHeight="1" x14ac:dyDescent="0.15">
      <c r="A41" s="19"/>
      <c r="B41" s="19"/>
      <c r="C41" s="19"/>
      <c r="D41" s="26" t="str">
        <f>D34</f>
        <v>3000</v>
      </c>
      <c r="E41" s="19">
        <v>2</v>
      </c>
      <c r="F41" s="19">
        <v>0</v>
      </c>
      <c r="G41" s="19">
        <v>0</v>
      </c>
      <c r="H41" s="19">
        <f>B40*2</f>
        <v>5.4</v>
      </c>
      <c r="I41" s="19"/>
      <c r="J41" s="19"/>
      <c r="K41" s="19"/>
      <c r="L41" s="19"/>
      <c r="M41" s="19"/>
      <c r="N41" s="28"/>
      <c r="O41" s="19"/>
      <c r="P41" s="24"/>
      <c r="Q41" s="24"/>
      <c r="R41" s="19"/>
    </row>
    <row r="42" spans="1:18" ht="14.25" customHeight="1" x14ac:dyDescent="0.15">
      <c r="A42" s="19"/>
      <c r="B42" s="19"/>
      <c r="C42" s="19"/>
      <c r="D42" s="19">
        <f>D40*D41</f>
        <v>9720</v>
      </c>
      <c r="E42" s="19">
        <f>E41*E39</f>
        <v>4200</v>
      </c>
      <c r="F42" s="19">
        <f t="shared" ref="F42:H42" si="26">F39*F41</f>
        <v>0</v>
      </c>
      <c r="G42" s="19">
        <f t="shared" si="26"/>
        <v>0</v>
      </c>
      <c r="H42" s="19">
        <f t="shared" si="26"/>
        <v>2052</v>
      </c>
      <c r="I42" s="19">
        <f t="shared" ref="I42:N42" si="27">I39*I40</f>
        <v>0</v>
      </c>
      <c r="J42" s="19">
        <f t="shared" si="27"/>
        <v>2000</v>
      </c>
      <c r="K42" s="19">
        <f t="shared" si="27"/>
        <v>2250</v>
      </c>
      <c r="L42" s="19">
        <f t="shared" si="27"/>
        <v>1579.5</v>
      </c>
      <c r="M42" s="19">
        <f t="shared" si="27"/>
        <v>6000</v>
      </c>
      <c r="N42" s="19">
        <f t="shared" si="27"/>
        <v>3168</v>
      </c>
      <c r="O42" s="19">
        <f>SUM(D42:N42)</f>
        <v>30969.5</v>
      </c>
      <c r="P42" s="24">
        <f>O42/A40</f>
        <v>5161.583333333333</v>
      </c>
      <c r="Q42" s="24">
        <f>P42*Q39</f>
        <v>10323.166666666666</v>
      </c>
      <c r="R42" s="19">
        <f>MROUND(Q42,100)</f>
        <v>10300</v>
      </c>
    </row>
    <row r="43" spans="1:18" ht="14.25" customHeight="1" x14ac:dyDescent="0.1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9"/>
      <c r="Q43" s="39"/>
    </row>
    <row r="44" spans="1:18" ht="14.25" customHeight="1" x14ac:dyDescent="0.3">
      <c r="A44" s="109" t="str">
        <f>PRICELIST!I10</f>
        <v>WFLX-LNR-SH-PoLM-900-F</v>
      </c>
      <c r="B44" s="87"/>
      <c r="C44" s="8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2"/>
      <c r="Q44" s="22"/>
      <c r="R44" s="17"/>
    </row>
    <row r="45" spans="1:18" ht="14.25" customHeight="1" x14ac:dyDescent="0.15">
      <c r="A45" s="19" t="s">
        <v>57</v>
      </c>
      <c r="B45" s="19" t="s">
        <v>59</v>
      </c>
      <c r="C45" s="19" t="s">
        <v>62</v>
      </c>
      <c r="D45" s="19" t="s">
        <v>64</v>
      </c>
      <c r="E45" s="19">
        <v>1200</v>
      </c>
      <c r="F45" s="19">
        <v>900</v>
      </c>
      <c r="G45" s="19">
        <v>600</v>
      </c>
      <c r="H45" s="19" t="s">
        <v>67</v>
      </c>
      <c r="I45" s="19" t="s">
        <v>68</v>
      </c>
      <c r="J45" s="19" t="s">
        <v>69</v>
      </c>
      <c r="K45" s="19" t="s">
        <v>71</v>
      </c>
      <c r="L45" s="19" t="s">
        <v>72</v>
      </c>
      <c r="M45" s="19" t="s">
        <v>73</v>
      </c>
      <c r="N45" s="19" t="s">
        <v>75</v>
      </c>
      <c r="O45" s="19" t="s">
        <v>76</v>
      </c>
      <c r="P45" s="24" t="s">
        <v>78</v>
      </c>
      <c r="Q45" s="24" t="s">
        <v>79</v>
      </c>
      <c r="R45" s="19" t="s">
        <v>81</v>
      </c>
    </row>
    <row r="46" spans="1:18" ht="14.25" customHeight="1" x14ac:dyDescent="0.15">
      <c r="A46" s="21">
        <f t="shared" ref="A46:H46" si="28">A39</f>
        <v>0</v>
      </c>
      <c r="B46" s="21">
        <f t="shared" si="28"/>
        <v>0</v>
      </c>
      <c r="C46" s="21">
        <f t="shared" si="28"/>
        <v>0</v>
      </c>
      <c r="D46" s="21">
        <f t="shared" si="28"/>
        <v>0</v>
      </c>
      <c r="E46" s="23" t="str">
        <f t="shared" si="28"/>
        <v>2100</v>
      </c>
      <c r="F46" s="23" t="str">
        <f t="shared" si="28"/>
        <v>1900</v>
      </c>
      <c r="G46" s="23" t="str">
        <f t="shared" si="28"/>
        <v>1800</v>
      </c>
      <c r="H46" s="23">
        <f t="shared" si="28"/>
        <v>380</v>
      </c>
      <c r="I46" s="23" t="str">
        <f>I25</f>
        <v>4800</v>
      </c>
      <c r="J46" s="23" t="str">
        <f t="shared" ref="J46:Q46" si="29">J39</f>
        <v>1000</v>
      </c>
      <c r="K46" s="23">
        <f t="shared" si="29"/>
        <v>375</v>
      </c>
      <c r="L46" s="23">
        <f t="shared" si="29"/>
        <v>585</v>
      </c>
      <c r="M46" s="23" t="str">
        <f t="shared" si="29"/>
        <v>1000</v>
      </c>
      <c r="N46" s="23">
        <f t="shared" si="29"/>
        <v>3300</v>
      </c>
      <c r="O46" s="23">
        <f t="shared" si="29"/>
        <v>0</v>
      </c>
      <c r="P46" s="27">
        <f t="shared" si="29"/>
        <v>0</v>
      </c>
      <c r="Q46" s="27">
        <f t="shared" si="29"/>
        <v>2</v>
      </c>
      <c r="R46" s="21"/>
    </row>
    <row r="47" spans="1:18" ht="14.25" customHeight="1" x14ac:dyDescent="0.15">
      <c r="A47" s="19">
        <v>6</v>
      </c>
      <c r="B47" s="19">
        <f>0.9*3</f>
        <v>2.7</v>
      </c>
      <c r="C47" s="19">
        <v>1.2</v>
      </c>
      <c r="D47" s="19">
        <f>B47*C47</f>
        <v>3.24</v>
      </c>
      <c r="E47" s="19"/>
      <c r="F47" s="19"/>
      <c r="G47" s="19"/>
      <c r="H47" s="19"/>
      <c r="I47" s="19">
        <f>B47*0.4</f>
        <v>1.08</v>
      </c>
      <c r="J47" s="19">
        <v>2</v>
      </c>
      <c r="K47" s="19">
        <f t="shared" ref="K47:L47" si="30">A47</f>
        <v>6</v>
      </c>
      <c r="L47" s="19">
        <f t="shared" si="30"/>
        <v>2.7</v>
      </c>
      <c r="M47" s="19">
        <f>A47</f>
        <v>6</v>
      </c>
      <c r="N47" s="19">
        <f>(1.2*0.4)*2</f>
        <v>0.96</v>
      </c>
      <c r="O47" s="19"/>
      <c r="P47" s="24"/>
      <c r="Q47" s="24"/>
      <c r="R47" s="19"/>
    </row>
    <row r="48" spans="1:18" ht="14.25" customHeight="1" x14ac:dyDescent="0.15">
      <c r="A48" s="19"/>
      <c r="B48" s="19"/>
      <c r="C48" s="19"/>
      <c r="D48" s="26" t="str">
        <f>'MASTER DATA'!C5</f>
        <v>7500</v>
      </c>
      <c r="E48" s="19">
        <v>2</v>
      </c>
      <c r="F48" s="19">
        <v>0</v>
      </c>
      <c r="G48" s="19">
        <v>0</v>
      </c>
      <c r="H48" s="19">
        <f>B47*2</f>
        <v>5.4</v>
      </c>
      <c r="I48" s="19"/>
      <c r="J48" s="19"/>
      <c r="K48" s="19"/>
      <c r="L48" s="19"/>
      <c r="M48" s="19"/>
      <c r="N48" s="28"/>
      <c r="O48" s="19"/>
      <c r="P48" s="24"/>
      <c r="Q48" s="24"/>
      <c r="R48" s="19"/>
    </row>
    <row r="49" spans="1:18" ht="14.25" customHeight="1" x14ac:dyDescent="0.15">
      <c r="A49" s="19"/>
      <c r="B49" s="19"/>
      <c r="C49" s="19"/>
      <c r="D49" s="19">
        <f>D47*D48</f>
        <v>24300</v>
      </c>
      <c r="E49" s="19">
        <f>E48*E46</f>
        <v>4200</v>
      </c>
      <c r="F49" s="19">
        <f t="shared" ref="F49:H49" si="31">F46*F48</f>
        <v>0</v>
      </c>
      <c r="G49" s="19">
        <f t="shared" si="31"/>
        <v>0</v>
      </c>
      <c r="H49" s="19">
        <f t="shared" si="31"/>
        <v>2052</v>
      </c>
      <c r="I49" s="19">
        <f t="shared" ref="I49:N49" si="32">I46*I47</f>
        <v>5184</v>
      </c>
      <c r="J49" s="19">
        <f t="shared" si="32"/>
        <v>2000</v>
      </c>
      <c r="K49" s="19">
        <f t="shared" si="32"/>
        <v>2250</v>
      </c>
      <c r="L49" s="19">
        <f t="shared" si="32"/>
        <v>1579.5</v>
      </c>
      <c r="M49" s="19">
        <f t="shared" si="32"/>
        <v>6000</v>
      </c>
      <c r="N49" s="19">
        <f t="shared" si="32"/>
        <v>3168</v>
      </c>
      <c r="O49" s="19">
        <f>SUM(D49:N49)</f>
        <v>50733.5</v>
      </c>
      <c r="P49" s="24">
        <f>O49/A47</f>
        <v>8455.5833333333339</v>
      </c>
      <c r="Q49" s="24">
        <f>P49*Q46</f>
        <v>16911.166666666668</v>
      </c>
      <c r="R49" s="19">
        <f>MROUND(Q49,100)</f>
        <v>16900</v>
      </c>
    </row>
    <row r="50" spans="1:18" ht="14.25" customHeight="1" x14ac:dyDescent="0.1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9"/>
      <c r="Q50" s="39"/>
    </row>
    <row r="51" spans="1:18" ht="14.25" customHeight="1" x14ac:dyDescent="0.3">
      <c r="A51" s="109" t="str">
        <f>PRICELIST!I11</f>
        <v>WFLX-LNR-SH-PoLM-900-G</v>
      </c>
      <c r="B51" s="87"/>
      <c r="C51" s="8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22"/>
      <c r="Q51" s="22"/>
      <c r="R51" s="17"/>
    </row>
    <row r="52" spans="1:18" ht="14.25" customHeight="1" x14ac:dyDescent="0.15">
      <c r="A52" s="19" t="s">
        <v>57</v>
      </c>
      <c r="B52" s="19" t="s">
        <v>59</v>
      </c>
      <c r="C52" s="19" t="s">
        <v>62</v>
      </c>
      <c r="D52" s="19" t="s">
        <v>64</v>
      </c>
      <c r="E52" s="19">
        <v>1200</v>
      </c>
      <c r="F52" s="19">
        <v>900</v>
      </c>
      <c r="G52" s="19">
        <v>600</v>
      </c>
      <c r="H52" s="19" t="s">
        <v>67</v>
      </c>
      <c r="I52" s="19" t="s">
        <v>68</v>
      </c>
      <c r="J52" s="19" t="s">
        <v>69</v>
      </c>
      <c r="K52" s="19" t="s">
        <v>71</v>
      </c>
      <c r="L52" s="19" t="s">
        <v>72</v>
      </c>
      <c r="M52" s="19" t="s">
        <v>73</v>
      </c>
      <c r="N52" s="19" t="s">
        <v>75</v>
      </c>
      <c r="O52" s="19" t="s">
        <v>76</v>
      </c>
      <c r="P52" s="24" t="s">
        <v>78</v>
      </c>
      <c r="Q52" s="24" t="s">
        <v>79</v>
      </c>
      <c r="R52" s="19" t="s">
        <v>81</v>
      </c>
    </row>
    <row r="53" spans="1:18" ht="14.25" customHeight="1" x14ac:dyDescent="0.15">
      <c r="A53" s="21">
        <f t="shared" ref="A53:H53" si="33">A46</f>
        <v>0</v>
      </c>
      <c r="B53" s="21">
        <f t="shared" si="33"/>
        <v>0</v>
      </c>
      <c r="C53" s="21">
        <f t="shared" si="33"/>
        <v>0</v>
      </c>
      <c r="D53" s="21">
        <f t="shared" si="33"/>
        <v>0</v>
      </c>
      <c r="E53" s="23" t="str">
        <f t="shared" si="33"/>
        <v>2100</v>
      </c>
      <c r="F53" s="23" t="str">
        <f t="shared" si="33"/>
        <v>1900</v>
      </c>
      <c r="G53" s="23" t="str">
        <f t="shared" si="33"/>
        <v>1800</v>
      </c>
      <c r="H53" s="23">
        <f t="shared" si="33"/>
        <v>380</v>
      </c>
      <c r="I53" s="23" t="str">
        <f>I32</f>
        <v>5500</v>
      </c>
      <c r="J53" s="23" t="str">
        <f t="shared" ref="J53:Q53" si="34">J46</f>
        <v>1000</v>
      </c>
      <c r="K53" s="23">
        <f t="shared" si="34"/>
        <v>375</v>
      </c>
      <c r="L53" s="23">
        <f t="shared" si="34"/>
        <v>585</v>
      </c>
      <c r="M53" s="23" t="str">
        <f t="shared" si="34"/>
        <v>1000</v>
      </c>
      <c r="N53" s="23">
        <f t="shared" si="34"/>
        <v>3300</v>
      </c>
      <c r="O53" s="23">
        <f t="shared" si="34"/>
        <v>0</v>
      </c>
      <c r="P53" s="27">
        <f t="shared" si="34"/>
        <v>0</v>
      </c>
      <c r="Q53" s="27">
        <f t="shared" si="34"/>
        <v>2</v>
      </c>
      <c r="R53" s="21"/>
    </row>
    <row r="54" spans="1:18" ht="14.25" customHeight="1" x14ac:dyDescent="0.15">
      <c r="A54" s="19">
        <v>6</v>
      </c>
      <c r="B54" s="19">
        <f>0.9*3</f>
        <v>2.7</v>
      </c>
      <c r="C54" s="19">
        <v>1.2</v>
      </c>
      <c r="D54" s="19">
        <f>B54*C54</f>
        <v>3.24</v>
      </c>
      <c r="E54" s="19"/>
      <c r="F54" s="19"/>
      <c r="G54" s="19"/>
      <c r="H54" s="19"/>
      <c r="I54" s="19">
        <f>B54*0.4</f>
        <v>1.08</v>
      </c>
      <c r="J54" s="19">
        <v>2</v>
      </c>
      <c r="K54" s="19">
        <f t="shared" ref="K54:L54" si="35">A54</f>
        <v>6</v>
      </c>
      <c r="L54" s="19">
        <f t="shared" si="35"/>
        <v>2.7</v>
      </c>
      <c r="M54" s="19">
        <f>A54</f>
        <v>6</v>
      </c>
      <c r="N54" s="19">
        <f>(1.2*0.4)*2</f>
        <v>0.96</v>
      </c>
      <c r="O54" s="19"/>
      <c r="P54" s="24"/>
      <c r="Q54" s="24"/>
      <c r="R54" s="19"/>
    </row>
    <row r="55" spans="1:18" ht="14.25" customHeight="1" x14ac:dyDescent="0.15">
      <c r="A55" s="19"/>
      <c r="B55" s="19"/>
      <c r="C55" s="19"/>
      <c r="D55" s="26" t="str">
        <f>D48</f>
        <v>7500</v>
      </c>
      <c r="E55" s="19">
        <v>2</v>
      </c>
      <c r="F55" s="19">
        <v>0</v>
      </c>
      <c r="G55" s="19">
        <v>0</v>
      </c>
      <c r="H55" s="19">
        <f>B54*2</f>
        <v>5.4</v>
      </c>
      <c r="I55" s="19"/>
      <c r="J55" s="19"/>
      <c r="K55" s="19"/>
      <c r="L55" s="19"/>
      <c r="M55" s="19"/>
      <c r="N55" s="28"/>
      <c r="O55" s="19"/>
      <c r="P55" s="24"/>
      <c r="Q55" s="24"/>
      <c r="R55" s="19"/>
    </row>
    <row r="56" spans="1:18" ht="14.25" customHeight="1" x14ac:dyDescent="0.15">
      <c r="A56" s="19"/>
      <c r="B56" s="19"/>
      <c r="C56" s="19"/>
      <c r="D56" s="19">
        <f>D54*D55</f>
        <v>24300</v>
      </c>
      <c r="E56" s="19">
        <f>E55*E53</f>
        <v>4200</v>
      </c>
      <c r="F56" s="19">
        <f t="shared" ref="F56:H56" si="36">F53*F55</f>
        <v>0</v>
      </c>
      <c r="G56" s="19">
        <f t="shared" si="36"/>
        <v>0</v>
      </c>
      <c r="H56" s="19">
        <f t="shared" si="36"/>
        <v>2052</v>
      </c>
      <c r="I56" s="19">
        <f t="shared" ref="I56:N56" si="37">I53*I54</f>
        <v>5940</v>
      </c>
      <c r="J56" s="19">
        <f t="shared" si="37"/>
        <v>2000</v>
      </c>
      <c r="K56" s="19">
        <f t="shared" si="37"/>
        <v>2250</v>
      </c>
      <c r="L56" s="19">
        <f t="shared" si="37"/>
        <v>1579.5</v>
      </c>
      <c r="M56" s="19">
        <f t="shared" si="37"/>
        <v>6000</v>
      </c>
      <c r="N56" s="19">
        <f t="shared" si="37"/>
        <v>3168</v>
      </c>
      <c r="O56" s="19">
        <f>SUM(D56:N56)</f>
        <v>51489.5</v>
      </c>
      <c r="P56" s="24">
        <f>O56/A54</f>
        <v>8581.5833333333339</v>
      </c>
      <c r="Q56" s="24">
        <f>P56*Q53</f>
        <v>17163.166666666668</v>
      </c>
      <c r="R56" s="19">
        <f>MROUND(Q56,100)</f>
        <v>17200</v>
      </c>
    </row>
    <row r="57" spans="1:18" ht="14.25" customHeight="1" x14ac:dyDescent="0.1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9"/>
      <c r="Q57" s="39"/>
    </row>
    <row r="58" spans="1:18" ht="14.25" customHeight="1" x14ac:dyDescent="0.3">
      <c r="A58" s="109" t="str">
        <f>PRICELIST!I12</f>
        <v>WFLX-LNR-SH-PoLM-900-X</v>
      </c>
      <c r="B58" s="87"/>
      <c r="C58" s="8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22"/>
      <c r="Q58" s="22"/>
      <c r="R58" s="17"/>
    </row>
    <row r="59" spans="1:18" ht="14.25" customHeight="1" x14ac:dyDescent="0.15">
      <c r="A59" s="19" t="s">
        <v>57</v>
      </c>
      <c r="B59" s="19" t="s">
        <v>59</v>
      </c>
      <c r="C59" s="19" t="s">
        <v>62</v>
      </c>
      <c r="D59" s="19" t="s">
        <v>64</v>
      </c>
      <c r="E59" s="19">
        <v>1200</v>
      </c>
      <c r="F59" s="19">
        <v>900</v>
      </c>
      <c r="G59" s="19">
        <v>600</v>
      </c>
      <c r="H59" s="19" t="s">
        <v>67</v>
      </c>
      <c r="I59" s="19" t="s">
        <v>68</v>
      </c>
      <c r="J59" s="19" t="s">
        <v>69</v>
      </c>
      <c r="K59" s="19" t="s">
        <v>71</v>
      </c>
      <c r="L59" s="19" t="s">
        <v>72</v>
      </c>
      <c r="M59" s="19" t="s">
        <v>73</v>
      </c>
      <c r="N59" s="19" t="s">
        <v>75</v>
      </c>
      <c r="O59" s="19" t="s">
        <v>76</v>
      </c>
      <c r="P59" s="24" t="s">
        <v>78</v>
      </c>
      <c r="Q59" s="24" t="s">
        <v>79</v>
      </c>
      <c r="R59" s="19" t="s">
        <v>81</v>
      </c>
    </row>
    <row r="60" spans="1:18" ht="14.25" customHeight="1" x14ac:dyDescent="0.15">
      <c r="A60" s="21">
        <f t="shared" ref="A60:H60" si="38">A53</f>
        <v>0</v>
      </c>
      <c r="B60" s="21">
        <f t="shared" si="38"/>
        <v>0</v>
      </c>
      <c r="C60" s="21">
        <f t="shared" si="38"/>
        <v>0</v>
      </c>
      <c r="D60" s="21">
        <f t="shared" si="38"/>
        <v>0</v>
      </c>
      <c r="E60" s="23" t="str">
        <f t="shared" si="38"/>
        <v>2100</v>
      </c>
      <c r="F60" s="23" t="str">
        <f t="shared" si="38"/>
        <v>1900</v>
      </c>
      <c r="G60" s="23" t="str">
        <f t="shared" si="38"/>
        <v>1800</v>
      </c>
      <c r="H60" s="23">
        <f t="shared" si="38"/>
        <v>380</v>
      </c>
      <c r="I60" s="23" t="str">
        <f>I39</f>
        <v>0</v>
      </c>
      <c r="J60" s="23" t="str">
        <f t="shared" ref="J60:Q60" si="39">J53</f>
        <v>1000</v>
      </c>
      <c r="K60" s="23">
        <f t="shared" si="39"/>
        <v>375</v>
      </c>
      <c r="L60" s="23">
        <f t="shared" si="39"/>
        <v>585</v>
      </c>
      <c r="M60" s="23" t="str">
        <f t="shared" si="39"/>
        <v>1000</v>
      </c>
      <c r="N60" s="23">
        <f t="shared" si="39"/>
        <v>3300</v>
      </c>
      <c r="O60" s="23">
        <f t="shared" si="39"/>
        <v>0</v>
      </c>
      <c r="P60" s="27">
        <f t="shared" si="39"/>
        <v>0</v>
      </c>
      <c r="Q60" s="27">
        <f t="shared" si="39"/>
        <v>2</v>
      </c>
      <c r="R60" s="21"/>
    </row>
    <row r="61" spans="1:18" ht="14.25" customHeight="1" x14ac:dyDescent="0.15">
      <c r="A61" s="19">
        <v>6</v>
      </c>
      <c r="B61" s="19">
        <f>0.9*3</f>
        <v>2.7</v>
      </c>
      <c r="C61" s="19">
        <v>1.2</v>
      </c>
      <c r="D61" s="19">
        <f>B61*C61</f>
        <v>3.24</v>
      </c>
      <c r="E61" s="19"/>
      <c r="F61" s="19"/>
      <c r="G61" s="19"/>
      <c r="H61" s="19"/>
      <c r="I61" s="19">
        <f>B61*0.4</f>
        <v>1.08</v>
      </c>
      <c r="J61" s="19">
        <v>2</v>
      </c>
      <c r="K61" s="19">
        <f t="shared" ref="K61:L61" si="40">A61</f>
        <v>6</v>
      </c>
      <c r="L61" s="19">
        <f t="shared" si="40"/>
        <v>2.7</v>
      </c>
      <c r="M61" s="19">
        <f>A61</f>
        <v>6</v>
      </c>
      <c r="N61" s="19">
        <f>(1.2*0.4)*2</f>
        <v>0.96</v>
      </c>
      <c r="O61" s="19"/>
      <c r="P61" s="24"/>
      <c r="Q61" s="24"/>
      <c r="R61" s="19"/>
    </row>
    <row r="62" spans="1:18" ht="14.25" customHeight="1" x14ac:dyDescent="0.15">
      <c r="A62" s="19"/>
      <c r="B62" s="19"/>
      <c r="C62" s="19"/>
      <c r="D62" s="26" t="str">
        <f>D55</f>
        <v>7500</v>
      </c>
      <c r="E62" s="19">
        <v>2</v>
      </c>
      <c r="F62" s="19">
        <v>0</v>
      </c>
      <c r="G62" s="19">
        <v>0</v>
      </c>
      <c r="H62" s="19">
        <f>B61*2</f>
        <v>5.4</v>
      </c>
      <c r="I62" s="19"/>
      <c r="J62" s="19"/>
      <c r="K62" s="19"/>
      <c r="L62" s="19"/>
      <c r="M62" s="19"/>
      <c r="N62" s="28"/>
      <c r="O62" s="19"/>
      <c r="P62" s="24"/>
      <c r="Q62" s="24"/>
      <c r="R62" s="19"/>
    </row>
    <row r="63" spans="1:18" ht="14.25" customHeight="1" x14ac:dyDescent="0.15">
      <c r="A63" s="19"/>
      <c r="B63" s="19"/>
      <c r="C63" s="19"/>
      <c r="D63" s="19">
        <f>D61*D62</f>
        <v>24300</v>
      </c>
      <c r="E63" s="19">
        <f>E62*E60</f>
        <v>4200</v>
      </c>
      <c r="F63" s="19">
        <f t="shared" ref="F63:H63" si="41">F60*F62</f>
        <v>0</v>
      </c>
      <c r="G63" s="19">
        <f t="shared" si="41"/>
        <v>0</v>
      </c>
      <c r="H63" s="19">
        <f t="shared" si="41"/>
        <v>2052</v>
      </c>
      <c r="I63" s="19">
        <f t="shared" ref="I63:N63" si="42">I60*I61</f>
        <v>0</v>
      </c>
      <c r="J63" s="19">
        <f t="shared" si="42"/>
        <v>2000</v>
      </c>
      <c r="K63" s="19">
        <f t="shared" si="42"/>
        <v>2250</v>
      </c>
      <c r="L63" s="19">
        <f t="shared" si="42"/>
        <v>1579.5</v>
      </c>
      <c r="M63" s="19">
        <f t="shared" si="42"/>
        <v>6000</v>
      </c>
      <c r="N63" s="19">
        <f t="shared" si="42"/>
        <v>3168</v>
      </c>
      <c r="O63" s="19">
        <f>SUM(D63:N63)</f>
        <v>45549.5</v>
      </c>
      <c r="P63" s="24">
        <f>O63/A61</f>
        <v>7591.583333333333</v>
      </c>
      <c r="Q63" s="24">
        <f>P63*Q60</f>
        <v>15183.166666666666</v>
      </c>
      <c r="R63" s="19">
        <f>MROUND(Q63,100)</f>
        <v>15200</v>
      </c>
    </row>
    <row r="64" spans="1:18" ht="14.25" customHeight="1" x14ac:dyDescent="0.1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9"/>
      <c r="Q64" s="39"/>
    </row>
    <row r="65" spans="1:18" ht="14.25" customHeight="1" x14ac:dyDescent="0.3">
      <c r="A65" s="109" t="str">
        <f>PRICELIST!I13</f>
        <v>WFLX-LNR-SH-LVM-900-F</v>
      </c>
      <c r="B65" s="87"/>
      <c r="C65" s="8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22"/>
      <c r="Q65" s="22"/>
      <c r="R65" s="17"/>
    </row>
    <row r="66" spans="1:18" ht="14.25" customHeight="1" x14ac:dyDescent="0.15">
      <c r="A66" s="19" t="s">
        <v>57</v>
      </c>
      <c r="B66" s="19" t="s">
        <v>59</v>
      </c>
      <c r="C66" s="19" t="s">
        <v>62</v>
      </c>
      <c r="D66" s="19" t="s">
        <v>64</v>
      </c>
      <c r="E66" s="19">
        <v>1200</v>
      </c>
      <c r="F66" s="19">
        <v>900</v>
      </c>
      <c r="G66" s="19">
        <v>600</v>
      </c>
      <c r="H66" s="19" t="s">
        <v>67</v>
      </c>
      <c r="I66" s="19" t="s">
        <v>68</v>
      </c>
      <c r="J66" s="19" t="s">
        <v>69</v>
      </c>
      <c r="K66" s="19" t="s">
        <v>71</v>
      </c>
      <c r="L66" s="19" t="s">
        <v>72</v>
      </c>
      <c r="M66" s="19" t="s">
        <v>73</v>
      </c>
      <c r="N66" s="19" t="s">
        <v>75</v>
      </c>
      <c r="O66" s="19" t="s">
        <v>76</v>
      </c>
      <c r="P66" s="24" t="s">
        <v>78</v>
      </c>
      <c r="Q66" s="24" t="s">
        <v>79</v>
      </c>
      <c r="R66" s="19" t="s">
        <v>81</v>
      </c>
    </row>
    <row r="67" spans="1:18" ht="14.25" customHeight="1" x14ac:dyDescent="0.15">
      <c r="A67" s="21">
        <f t="shared" ref="A67:H67" si="43">A60</f>
        <v>0</v>
      </c>
      <c r="B67" s="21">
        <f t="shared" si="43"/>
        <v>0</v>
      </c>
      <c r="C67" s="21">
        <f t="shared" si="43"/>
        <v>0</v>
      </c>
      <c r="D67" s="21">
        <f t="shared" si="43"/>
        <v>0</v>
      </c>
      <c r="E67" s="23" t="str">
        <f t="shared" si="43"/>
        <v>2100</v>
      </c>
      <c r="F67" s="23" t="str">
        <f t="shared" si="43"/>
        <v>1900</v>
      </c>
      <c r="G67" s="23" t="str">
        <f t="shared" si="43"/>
        <v>1800</v>
      </c>
      <c r="H67" s="23">
        <f t="shared" si="43"/>
        <v>380</v>
      </c>
      <c r="I67" s="23" t="str">
        <f>I46</f>
        <v>4800</v>
      </c>
      <c r="J67" s="23" t="str">
        <f t="shared" ref="J67:Q67" si="44">J60</f>
        <v>1000</v>
      </c>
      <c r="K67" s="23">
        <f t="shared" si="44"/>
        <v>375</v>
      </c>
      <c r="L67" s="23">
        <f t="shared" si="44"/>
        <v>585</v>
      </c>
      <c r="M67" s="23" t="str">
        <f t="shared" si="44"/>
        <v>1000</v>
      </c>
      <c r="N67" s="23">
        <f t="shared" si="44"/>
        <v>3300</v>
      </c>
      <c r="O67" s="23">
        <f t="shared" si="44"/>
        <v>0</v>
      </c>
      <c r="P67" s="27">
        <f t="shared" si="44"/>
        <v>0</v>
      </c>
      <c r="Q67" s="27">
        <f t="shared" si="44"/>
        <v>2</v>
      </c>
      <c r="R67" s="21"/>
    </row>
    <row r="68" spans="1:18" ht="14.25" customHeight="1" x14ac:dyDescent="0.15">
      <c r="A68" s="19">
        <v>6</v>
      </c>
      <c r="B68" s="19">
        <f>0.9*3</f>
        <v>2.7</v>
      </c>
      <c r="C68" s="19">
        <v>1.2</v>
      </c>
      <c r="D68" s="19">
        <f>B68*C68</f>
        <v>3.24</v>
      </c>
      <c r="E68" s="19"/>
      <c r="F68" s="19"/>
      <c r="G68" s="19"/>
      <c r="H68" s="19"/>
      <c r="I68" s="19">
        <f>B68*0.4</f>
        <v>1.08</v>
      </c>
      <c r="J68" s="19">
        <v>2</v>
      </c>
      <c r="K68" s="19">
        <f t="shared" ref="K68:L68" si="45">A68</f>
        <v>6</v>
      </c>
      <c r="L68" s="19">
        <f t="shared" si="45"/>
        <v>2.7</v>
      </c>
      <c r="M68" s="19">
        <f>A68</f>
        <v>6</v>
      </c>
      <c r="N68" s="19">
        <f>(1.2*0.4)*2</f>
        <v>0.96</v>
      </c>
      <c r="O68" s="19"/>
      <c r="P68" s="24"/>
      <c r="Q68" s="24"/>
      <c r="R68" s="19"/>
    </row>
    <row r="69" spans="1:18" ht="14.25" customHeight="1" x14ac:dyDescent="0.15">
      <c r="A69" s="19"/>
      <c r="B69" s="19"/>
      <c r="C69" s="19"/>
      <c r="D69" s="26" t="str">
        <f>'MASTER DATA'!C6</f>
        <v>9500</v>
      </c>
      <c r="E69" s="19">
        <v>2</v>
      </c>
      <c r="F69" s="19">
        <v>0</v>
      </c>
      <c r="G69" s="19">
        <v>0</v>
      </c>
      <c r="H69" s="19">
        <f>B68*2</f>
        <v>5.4</v>
      </c>
      <c r="I69" s="19"/>
      <c r="J69" s="19"/>
      <c r="K69" s="19"/>
      <c r="L69" s="19"/>
      <c r="M69" s="19"/>
      <c r="N69" s="28"/>
      <c r="O69" s="19"/>
      <c r="P69" s="24"/>
      <c r="Q69" s="24"/>
      <c r="R69" s="19"/>
    </row>
    <row r="70" spans="1:18" ht="14.25" customHeight="1" x14ac:dyDescent="0.15">
      <c r="A70" s="19"/>
      <c r="B70" s="19"/>
      <c r="C70" s="19"/>
      <c r="D70" s="19">
        <f>D68*D69</f>
        <v>30780.000000000004</v>
      </c>
      <c r="E70" s="19">
        <f>E69*E67</f>
        <v>4200</v>
      </c>
      <c r="F70" s="19">
        <f t="shared" ref="F70:H70" si="46">F67*F69</f>
        <v>0</v>
      </c>
      <c r="G70" s="19">
        <f t="shared" si="46"/>
        <v>0</v>
      </c>
      <c r="H70" s="19">
        <f t="shared" si="46"/>
        <v>2052</v>
      </c>
      <c r="I70" s="19">
        <f t="shared" ref="I70:N70" si="47">I67*I68</f>
        <v>5184</v>
      </c>
      <c r="J70" s="19">
        <f t="shared" si="47"/>
        <v>2000</v>
      </c>
      <c r="K70" s="19">
        <f t="shared" si="47"/>
        <v>2250</v>
      </c>
      <c r="L70" s="19">
        <f t="shared" si="47"/>
        <v>1579.5</v>
      </c>
      <c r="M70" s="19">
        <f t="shared" si="47"/>
        <v>6000</v>
      </c>
      <c r="N70" s="19">
        <f t="shared" si="47"/>
        <v>3168</v>
      </c>
      <c r="O70" s="19">
        <f>SUM(D70:N70)</f>
        <v>57213.5</v>
      </c>
      <c r="P70" s="24">
        <f>O70/A68</f>
        <v>9535.5833333333339</v>
      </c>
      <c r="Q70" s="24">
        <f>P70*Q67</f>
        <v>19071.166666666668</v>
      </c>
      <c r="R70" s="19">
        <f>MROUND(Q70,100)</f>
        <v>19100</v>
      </c>
    </row>
    <row r="71" spans="1:18" ht="14.25" customHeight="1" x14ac:dyDescent="0.1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9"/>
      <c r="Q71" s="39"/>
    </row>
    <row r="72" spans="1:18" ht="14.25" customHeight="1" x14ac:dyDescent="0.3">
      <c r="A72" s="109" t="str">
        <f>PRICELIST!I14</f>
        <v>WFLX-LNR-SH-LVM-900-G</v>
      </c>
      <c r="B72" s="87"/>
      <c r="C72" s="8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22"/>
      <c r="Q72" s="22"/>
      <c r="R72" s="17"/>
    </row>
    <row r="73" spans="1:18" ht="14.25" customHeight="1" x14ac:dyDescent="0.15">
      <c r="A73" s="19" t="s">
        <v>57</v>
      </c>
      <c r="B73" s="19" t="s">
        <v>59</v>
      </c>
      <c r="C73" s="19" t="s">
        <v>62</v>
      </c>
      <c r="D73" s="19" t="s">
        <v>64</v>
      </c>
      <c r="E73" s="19">
        <v>1200</v>
      </c>
      <c r="F73" s="19">
        <v>900</v>
      </c>
      <c r="G73" s="19">
        <v>600</v>
      </c>
      <c r="H73" s="19" t="s">
        <v>67</v>
      </c>
      <c r="I73" s="19" t="s">
        <v>68</v>
      </c>
      <c r="J73" s="19" t="s">
        <v>69</v>
      </c>
      <c r="K73" s="19" t="s">
        <v>71</v>
      </c>
      <c r="L73" s="19" t="s">
        <v>72</v>
      </c>
      <c r="M73" s="19" t="s">
        <v>73</v>
      </c>
      <c r="N73" s="19" t="s">
        <v>75</v>
      </c>
      <c r="O73" s="19" t="s">
        <v>76</v>
      </c>
      <c r="P73" s="24" t="s">
        <v>78</v>
      </c>
      <c r="Q73" s="24" t="s">
        <v>79</v>
      </c>
      <c r="R73" s="19" t="s">
        <v>81</v>
      </c>
    </row>
    <row r="74" spans="1:18" ht="14.25" customHeight="1" x14ac:dyDescent="0.15">
      <c r="A74" s="21">
        <f t="shared" ref="A74:H74" si="48">A67</f>
        <v>0</v>
      </c>
      <c r="B74" s="21">
        <f t="shared" si="48"/>
        <v>0</v>
      </c>
      <c r="C74" s="21">
        <f t="shared" si="48"/>
        <v>0</v>
      </c>
      <c r="D74" s="21">
        <f t="shared" si="48"/>
        <v>0</v>
      </c>
      <c r="E74" s="23" t="str">
        <f t="shared" si="48"/>
        <v>2100</v>
      </c>
      <c r="F74" s="23" t="str">
        <f t="shared" si="48"/>
        <v>1900</v>
      </c>
      <c r="G74" s="23" t="str">
        <f t="shared" si="48"/>
        <v>1800</v>
      </c>
      <c r="H74" s="23">
        <f t="shared" si="48"/>
        <v>380</v>
      </c>
      <c r="I74" s="23" t="str">
        <f>I53</f>
        <v>5500</v>
      </c>
      <c r="J74" s="23" t="str">
        <f t="shared" ref="J74:Q74" si="49">J67</f>
        <v>1000</v>
      </c>
      <c r="K74" s="23">
        <f t="shared" si="49"/>
        <v>375</v>
      </c>
      <c r="L74" s="23">
        <f t="shared" si="49"/>
        <v>585</v>
      </c>
      <c r="M74" s="23" t="str">
        <f t="shared" si="49"/>
        <v>1000</v>
      </c>
      <c r="N74" s="23">
        <f t="shared" si="49"/>
        <v>3300</v>
      </c>
      <c r="O74" s="23">
        <f t="shared" si="49"/>
        <v>0</v>
      </c>
      <c r="P74" s="27">
        <f t="shared" si="49"/>
        <v>0</v>
      </c>
      <c r="Q74" s="27">
        <f t="shared" si="49"/>
        <v>2</v>
      </c>
      <c r="R74" s="21"/>
    </row>
    <row r="75" spans="1:18" ht="14.25" customHeight="1" x14ac:dyDescent="0.15">
      <c r="A75" s="19">
        <v>6</v>
      </c>
      <c r="B75" s="19">
        <f>0.9*3</f>
        <v>2.7</v>
      </c>
      <c r="C75" s="19">
        <v>1.2</v>
      </c>
      <c r="D75" s="19">
        <f>B75*C75</f>
        <v>3.24</v>
      </c>
      <c r="E75" s="19"/>
      <c r="F75" s="19"/>
      <c r="G75" s="19"/>
      <c r="H75" s="19"/>
      <c r="I75" s="19">
        <f>B75*0.4</f>
        <v>1.08</v>
      </c>
      <c r="J75" s="19">
        <v>2</v>
      </c>
      <c r="K75" s="19">
        <f t="shared" ref="K75:L75" si="50">A75</f>
        <v>6</v>
      </c>
      <c r="L75" s="19">
        <f t="shared" si="50"/>
        <v>2.7</v>
      </c>
      <c r="M75" s="19">
        <f>A75</f>
        <v>6</v>
      </c>
      <c r="N75" s="19">
        <f>(1.2*0.4)*2</f>
        <v>0.96</v>
      </c>
      <c r="O75" s="19"/>
      <c r="P75" s="24"/>
      <c r="Q75" s="24"/>
      <c r="R75" s="19"/>
    </row>
    <row r="76" spans="1:18" ht="14.25" customHeight="1" x14ac:dyDescent="0.15">
      <c r="A76" s="19"/>
      <c r="B76" s="19"/>
      <c r="C76" s="19"/>
      <c r="D76" s="26" t="str">
        <f>D69</f>
        <v>9500</v>
      </c>
      <c r="E76" s="19">
        <v>2</v>
      </c>
      <c r="F76" s="19">
        <v>0</v>
      </c>
      <c r="G76" s="19">
        <v>0</v>
      </c>
      <c r="H76" s="19">
        <f>B75*2</f>
        <v>5.4</v>
      </c>
      <c r="I76" s="19"/>
      <c r="J76" s="19"/>
      <c r="K76" s="19"/>
      <c r="L76" s="19"/>
      <c r="M76" s="19"/>
      <c r="N76" s="28"/>
      <c r="O76" s="19"/>
      <c r="P76" s="24"/>
      <c r="Q76" s="24"/>
      <c r="R76" s="19"/>
    </row>
    <row r="77" spans="1:18" ht="14.25" customHeight="1" x14ac:dyDescent="0.15">
      <c r="A77" s="19"/>
      <c r="B77" s="19"/>
      <c r="C77" s="19"/>
      <c r="D77" s="19">
        <f>D75*D76</f>
        <v>30780.000000000004</v>
      </c>
      <c r="E77" s="19">
        <f>E76*E74</f>
        <v>4200</v>
      </c>
      <c r="F77" s="19">
        <f t="shared" ref="F77:H77" si="51">F74*F76</f>
        <v>0</v>
      </c>
      <c r="G77" s="19">
        <f t="shared" si="51"/>
        <v>0</v>
      </c>
      <c r="H77" s="19">
        <f t="shared" si="51"/>
        <v>2052</v>
      </c>
      <c r="I77" s="19">
        <f t="shared" ref="I77:N77" si="52">I74*I75</f>
        <v>5940</v>
      </c>
      <c r="J77" s="19">
        <f t="shared" si="52"/>
        <v>2000</v>
      </c>
      <c r="K77" s="19">
        <f t="shared" si="52"/>
        <v>2250</v>
      </c>
      <c r="L77" s="19">
        <f t="shared" si="52"/>
        <v>1579.5</v>
      </c>
      <c r="M77" s="19">
        <f t="shared" si="52"/>
        <v>6000</v>
      </c>
      <c r="N77" s="19">
        <f t="shared" si="52"/>
        <v>3168</v>
      </c>
      <c r="O77" s="19">
        <f>SUM(D77:N77)</f>
        <v>57969.5</v>
      </c>
      <c r="P77" s="24">
        <f>O77/A75</f>
        <v>9661.5833333333339</v>
      </c>
      <c r="Q77" s="24">
        <f>P77*Q74</f>
        <v>19323.166666666668</v>
      </c>
      <c r="R77" s="19">
        <f>MROUND(Q77,100)</f>
        <v>19300</v>
      </c>
    </row>
    <row r="78" spans="1:18" ht="14.25" customHeight="1" x14ac:dyDescent="0.1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9"/>
      <c r="Q78" s="39"/>
    </row>
    <row r="79" spans="1:18" ht="14.25" customHeight="1" x14ac:dyDescent="0.3">
      <c r="A79" s="109" t="str">
        <f>PRICELIST!I15</f>
        <v>WFLX-LNR-SH-LVM-900-X</v>
      </c>
      <c r="B79" s="87"/>
      <c r="C79" s="8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22"/>
      <c r="Q79" s="22"/>
      <c r="R79" s="17"/>
    </row>
    <row r="80" spans="1:18" ht="14.25" customHeight="1" x14ac:dyDescent="0.15">
      <c r="A80" s="19" t="s">
        <v>57</v>
      </c>
      <c r="B80" s="19" t="s">
        <v>59</v>
      </c>
      <c r="C80" s="19" t="s">
        <v>62</v>
      </c>
      <c r="D80" s="19" t="s">
        <v>64</v>
      </c>
      <c r="E80" s="19">
        <v>1200</v>
      </c>
      <c r="F80" s="19">
        <v>900</v>
      </c>
      <c r="G80" s="19">
        <v>600</v>
      </c>
      <c r="H80" s="19" t="s">
        <v>67</v>
      </c>
      <c r="I80" s="19" t="s">
        <v>68</v>
      </c>
      <c r="J80" s="19" t="s">
        <v>69</v>
      </c>
      <c r="K80" s="19" t="s">
        <v>71</v>
      </c>
      <c r="L80" s="19" t="s">
        <v>72</v>
      </c>
      <c r="M80" s="19" t="s">
        <v>73</v>
      </c>
      <c r="N80" s="19" t="s">
        <v>75</v>
      </c>
      <c r="O80" s="19" t="s">
        <v>76</v>
      </c>
      <c r="P80" s="24" t="s">
        <v>78</v>
      </c>
      <c r="Q80" s="24" t="s">
        <v>79</v>
      </c>
      <c r="R80" s="19" t="s">
        <v>81</v>
      </c>
    </row>
    <row r="81" spans="1:18" ht="14.25" customHeight="1" x14ac:dyDescent="0.15">
      <c r="A81" s="21">
        <f t="shared" ref="A81:H81" si="53">A74</f>
        <v>0</v>
      </c>
      <c r="B81" s="21">
        <f t="shared" si="53"/>
        <v>0</v>
      </c>
      <c r="C81" s="21">
        <f t="shared" si="53"/>
        <v>0</v>
      </c>
      <c r="D81" s="21">
        <f t="shared" si="53"/>
        <v>0</v>
      </c>
      <c r="E81" s="23" t="str">
        <f t="shared" si="53"/>
        <v>2100</v>
      </c>
      <c r="F81" s="23" t="str">
        <f t="shared" si="53"/>
        <v>1900</v>
      </c>
      <c r="G81" s="23" t="str">
        <f t="shared" si="53"/>
        <v>1800</v>
      </c>
      <c r="H81" s="23">
        <f t="shared" si="53"/>
        <v>380</v>
      </c>
      <c r="I81" s="23" t="str">
        <f>I60</f>
        <v>0</v>
      </c>
      <c r="J81" s="23" t="str">
        <f t="shared" ref="J81:Q81" si="54">J74</f>
        <v>1000</v>
      </c>
      <c r="K81" s="23">
        <f t="shared" si="54"/>
        <v>375</v>
      </c>
      <c r="L81" s="23">
        <f t="shared" si="54"/>
        <v>585</v>
      </c>
      <c r="M81" s="23" t="str">
        <f t="shared" si="54"/>
        <v>1000</v>
      </c>
      <c r="N81" s="23">
        <f t="shared" si="54"/>
        <v>3300</v>
      </c>
      <c r="O81" s="23">
        <f t="shared" si="54"/>
        <v>0</v>
      </c>
      <c r="P81" s="27">
        <f t="shared" si="54"/>
        <v>0</v>
      </c>
      <c r="Q81" s="27">
        <f t="shared" si="54"/>
        <v>2</v>
      </c>
      <c r="R81" s="21"/>
    </row>
    <row r="82" spans="1:18" ht="14.25" customHeight="1" x14ac:dyDescent="0.15">
      <c r="A82" s="19">
        <v>6</v>
      </c>
      <c r="B82" s="19">
        <f>0.9*3</f>
        <v>2.7</v>
      </c>
      <c r="C82" s="19">
        <v>1.2</v>
      </c>
      <c r="D82" s="19">
        <f>B82*C82</f>
        <v>3.24</v>
      </c>
      <c r="E82" s="19"/>
      <c r="F82" s="19"/>
      <c r="G82" s="19"/>
      <c r="H82" s="19"/>
      <c r="I82" s="19">
        <f>B82*0.4</f>
        <v>1.08</v>
      </c>
      <c r="J82" s="19">
        <v>2</v>
      </c>
      <c r="K82" s="19">
        <f t="shared" ref="K82:L82" si="55">A82</f>
        <v>6</v>
      </c>
      <c r="L82" s="19">
        <f t="shared" si="55"/>
        <v>2.7</v>
      </c>
      <c r="M82" s="19">
        <f>A82</f>
        <v>6</v>
      </c>
      <c r="N82" s="19">
        <f>(1.2*0.4)*2</f>
        <v>0.96</v>
      </c>
      <c r="O82" s="19"/>
      <c r="P82" s="24"/>
      <c r="Q82" s="24"/>
      <c r="R82" s="19"/>
    </row>
    <row r="83" spans="1:18" ht="14.25" customHeight="1" x14ac:dyDescent="0.15">
      <c r="A83" s="19"/>
      <c r="B83" s="19"/>
      <c r="C83" s="19"/>
      <c r="D83" s="26" t="str">
        <f>D76</f>
        <v>9500</v>
      </c>
      <c r="E83" s="19">
        <v>2</v>
      </c>
      <c r="F83" s="19">
        <v>0</v>
      </c>
      <c r="G83" s="19">
        <v>0</v>
      </c>
      <c r="H83" s="19">
        <f>B82*2</f>
        <v>5.4</v>
      </c>
      <c r="I83" s="19"/>
      <c r="J83" s="19"/>
      <c r="K83" s="19"/>
      <c r="L83" s="19"/>
      <c r="M83" s="19"/>
      <c r="N83" s="28"/>
      <c r="O83" s="19"/>
      <c r="P83" s="24"/>
      <c r="Q83" s="24"/>
      <c r="R83" s="19"/>
    </row>
    <row r="84" spans="1:18" ht="14.25" customHeight="1" x14ac:dyDescent="0.15">
      <c r="A84" s="19"/>
      <c r="B84" s="19"/>
      <c r="C84" s="19"/>
      <c r="D84" s="19">
        <f>D82*D83</f>
        <v>30780.000000000004</v>
      </c>
      <c r="E84" s="19">
        <f>E83*E81</f>
        <v>4200</v>
      </c>
      <c r="F84" s="19">
        <f t="shared" ref="F84:H84" si="56">F81*F83</f>
        <v>0</v>
      </c>
      <c r="G84" s="19">
        <f t="shared" si="56"/>
        <v>0</v>
      </c>
      <c r="H84" s="19">
        <f t="shared" si="56"/>
        <v>2052</v>
      </c>
      <c r="I84" s="19">
        <f t="shared" ref="I84:N84" si="57">I81*I82</f>
        <v>0</v>
      </c>
      <c r="J84" s="19">
        <f t="shared" si="57"/>
        <v>2000</v>
      </c>
      <c r="K84" s="19">
        <f t="shared" si="57"/>
        <v>2250</v>
      </c>
      <c r="L84" s="19">
        <f t="shared" si="57"/>
        <v>1579.5</v>
      </c>
      <c r="M84" s="19">
        <f t="shared" si="57"/>
        <v>6000</v>
      </c>
      <c r="N84" s="19">
        <f t="shared" si="57"/>
        <v>3168</v>
      </c>
      <c r="O84" s="19">
        <f>SUM(D84:N84)</f>
        <v>52029.5</v>
      </c>
      <c r="P84" s="24">
        <f>O84/A82</f>
        <v>8671.5833333333339</v>
      </c>
      <c r="Q84" s="24">
        <f>P84*Q81</f>
        <v>17343.166666666668</v>
      </c>
      <c r="R84" s="19">
        <f>MROUND(Q84,100)</f>
        <v>17300</v>
      </c>
    </row>
    <row r="85" spans="1:18" ht="14.25" customHeight="1" x14ac:dyDescent="0.1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9"/>
      <c r="Q85" s="39"/>
    </row>
    <row r="86" spans="1:18" ht="14.25" customHeight="1" x14ac:dyDescent="0.3">
      <c r="A86" s="109" t="str">
        <f>PRICELIST!I16</f>
        <v>WFLX-LNR-SH-LVP-900-F</v>
      </c>
      <c r="B86" s="87"/>
      <c r="C86" s="8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22"/>
      <c r="Q86" s="22"/>
      <c r="R86" s="17"/>
    </row>
    <row r="87" spans="1:18" ht="14.25" customHeight="1" x14ac:dyDescent="0.15">
      <c r="A87" s="19" t="s">
        <v>57</v>
      </c>
      <c r="B87" s="19" t="s">
        <v>59</v>
      </c>
      <c r="C87" s="19" t="s">
        <v>62</v>
      </c>
      <c r="D87" s="19" t="s">
        <v>64</v>
      </c>
      <c r="E87" s="19">
        <v>1200</v>
      </c>
      <c r="F87" s="19">
        <v>900</v>
      </c>
      <c r="G87" s="19">
        <v>600</v>
      </c>
      <c r="H87" s="19" t="s">
        <v>67</v>
      </c>
      <c r="I87" s="19" t="s">
        <v>68</v>
      </c>
      <c r="J87" s="19" t="s">
        <v>69</v>
      </c>
      <c r="K87" s="19" t="s">
        <v>71</v>
      </c>
      <c r="L87" s="19" t="s">
        <v>72</v>
      </c>
      <c r="M87" s="19" t="s">
        <v>73</v>
      </c>
      <c r="N87" s="19" t="s">
        <v>75</v>
      </c>
      <c r="O87" s="19" t="s">
        <v>76</v>
      </c>
      <c r="P87" s="24" t="s">
        <v>78</v>
      </c>
      <c r="Q87" s="24" t="s">
        <v>79</v>
      </c>
      <c r="R87" s="19" t="s">
        <v>81</v>
      </c>
    </row>
    <row r="88" spans="1:18" ht="14.25" customHeight="1" x14ac:dyDescent="0.15">
      <c r="A88" s="21">
        <f t="shared" ref="A88:H88" si="58">A81</f>
        <v>0</v>
      </c>
      <c r="B88" s="21">
        <f t="shared" si="58"/>
        <v>0</v>
      </c>
      <c r="C88" s="21">
        <f t="shared" si="58"/>
        <v>0</v>
      </c>
      <c r="D88" s="21">
        <f t="shared" si="58"/>
        <v>0</v>
      </c>
      <c r="E88" s="23" t="str">
        <f t="shared" si="58"/>
        <v>2100</v>
      </c>
      <c r="F88" s="23" t="str">
        <f t="shared" si="58"/>
        <v>1900</v>
      </c>
      <c r="G88" s="23" t="str">
        <f t="shared" si="58"/>
        <v>1800</v>
      </c>
      <c r="H88" s="23">
        <f t="shared" si="58"/>
        <v>380</v>
      </c>
      <c r="I88" s="23" t="str">
        <f>I67</f>
        <v>4800</v>
      </c>
      <c r="J88" s="23" t="str">
        <f t="shared" ref="J88:Q88" si="59">J81</f>
        <v>1000</v>
      </c>
      <c r="K88" s="23">
        <f t="shared" si="59"/>
        <v>375</v>
      </c>
      <c r="L88" s="23">
        <f t="shared" si="59"/>
        <v>585</v>
      </c>
      <c r="M88" s="23" t="str">
        <f t="shared" si="59"/>
        <v>1000</v>
      </c>
      <c r="N88" s="23">
        <f t="shared" si="59"/>
        <v>3300</v>
      </c>
      <c r="O88" s="23">
        <f t="shared" si="59"/>
        <v>0</v>
      </c>
      <c r="P88" s="27">
        <f t="shared" si="59"/>
        <v>0</v>
      </c>
      <c r="Q88" s="27">
        <f t="shared" si="59"/>
        <v>2</v>
      </c>
      <c r="R88" s="21"/>
    </row>
    <row r="89" spans="1:18" ht="14.25" customHeight="1" x14ac:dyDescent="0.15">
      <c r="A89" s="19">
        <v>6</v>
      </c>
      <c r="B89" s="19">
        <f>0.9*3</f>
        <v>2.7</v>
      </c>
      <c r="C89" s="19">
        <v>1.2</v>
      </c>
      <c r="D89" s="19">
        <f>B89*C89</f>
        <v>3.24</v>
      </c>
      <c r="E89" s="19"/>
      <c r="F89" s="19"/>
      <c r="G89" s="19"/>
      <c r="H89" s="19"/>
      <c r="I89" s="19">
        <f>B89*0.4</f>
        <v>1.08</v>
      </c>
      <c r="J89" s="19">
        <v>2</v>
      </c>
      <c r="K89" s="19">
        <f t="shared" ref="K89:L89" si="60">A89</f>
        <v>6</v>
      </c>
      <c r="L89" s="19">
        <f t="shared" si="60"/>
        <v>2.7</v>
      </c>
      <c r="M89" s="19">
        <f>A89</f>
        <v>6</v>
      </c>
      <c r="N89" s="19">
        <f>(1.2*0.4)*2</f>
        <v>0.96</v>
      </c>
      <c r="O89" s="19"/>
      <c r="P89" s="24"/>
      <c r="Q89" s="24"/>
      <c r="R89" s="19"/>
    </row>
    <row r="90" spans="1:18" ht="14.25" customHeight="1" x14ac:dyDescent="0.15">
      <c r="A90" s="19"/>
      <c r="B90" s="19"/>
      <c r="C90" s="19"/>
      <c r="D90" s="26" t="str">
        <f>'MASTER DATA'!C7</f>
        <v>10500</v>
      </c>
      <c r="E90" s="19">
        <v>2</v>
      </c>
      <c r="F90" s="19">
        <v>0</v>
      </c>
      <c r="G90" s="19">
        <v>0</v>
      </c>
      <c r="H90" s="19">
        <f>B89*2</f>
        <v>5.4</v>
      </c>
      <c r="I90" s="19"/>
      <c r="J90" s="19"/>
      <c r="K90" s="19"/>
      <c r="L90" s="19"/>
      <c r="M90" s="19"/>
      <c r="N90" s="28"/>
      <c r="O90" s="19"/>
      <c r="P90" s="24"/>
      <c r="Q90" s="24"/>
      <c r="R90" s="19"/>
    </row>
    <row r="91" spans="1:18" ht="14.25" customHeight="1" x14ac:dyDescent="0.15">
      <c r="A91" s="19"/>
      <c r="B91" s="19"/>
      <c r="C91" s="19"/>
      <c r="D91" s="19">
        <f>D89*D90</f>
        <v>34020</v>
      </c>
      <c r="E91" s="19">
        <f>E90*E88</f>
        <v>4200</v>
      </c>
      <c r="F91" s="19">
        <f t="shared" ref="F91:H91" si="61">F88*F90</f>
        <v>0</v>
      </c>
      <c r="G91" s="19">
        <f t="shared" si="61"/>
        <v>0</v>
      </c>
      <c r="H91" s="19">
        <f t="shared" si="61"/>
        <v>2052</v>
      </c>
      <c r="I91" s="19">
        <f t="shared" ref="I91:N91" si="62">I88*I89</f>
        <v>5184</v>
      </c>
      <c r="J91" s="19">
        <f t="shared" si="62"/>
        <v>2000</v>
      </c>
      <c r="K91" s="19">
        <f t="shared" si="62"/>
        <v>2250</v>
      </c>
      <c r="L91" s="19">
        <f t="shared" si="62"/>
        <v>1579.5</v>
      </c>
      <c r="M91" s="19">
        <f t="shared" si="62"/>
        <v>6000</v>
      </c>
      <c r="N91" s="19">
        <f t="shared" si="62"/>
        <v>3168</v>
      </c>
      <c r="O91" s="19">
        <f>SUM(D91:N91)</f>
        <v>60453.5</v>
      </c>
      <c r="P91" s="24">
        <f>O91/A89</f>
        <v>10075.583333333334</v>
      </c>
      <c r="Q91" s="24">
        <f>P91*Q88</f>
        <v>20151.166666666668</v>
      </c>
      <c r="R91" s="19">
        <f>MROUND(Q91,100)</f>
        <v>20200</v>
      </c>
    </row>
    <row r="92" spans="1:18" ht="14.25" customHeight="1" x14ac:dyDescent="0.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9"/>
      <c r="Q92" s="39"/>
    </row>
    <row r="93" spans="1:18" ht="14.25" customHeight="1" x14ac:dyDescent="0.3">
      <c r="A93" s="109" t="str">
        <f>PRICELIST!I17</f>
        <v>WFLX-LNR-SH-LVP-900-G</v>
      </c>
      <c r="B93" s="87"/>
      <c r="C93" s="8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22"/>
      <c r="Q93" s="22"/>
      <c r="R93" s="17"/>
    </row>
    <row r="94" spans="1:18" ht="14.25" customHeight="1" x14ac:dyDescent="0.15">
      <c r="A94" s="19" t="s">
        <v>57</v>
      </c>
      <c r="B94" s="19" t="s">
        <v>59</v>
      </c>
      <c r="C94" s="19" t="s">
        <v>62</v>
      </c>
      <c r="D94" s="19" t="s">
        <v>64</v>
      </c>
      <c r="E94" s="19">
        <v>1200</v>
      </c>
      <c r="F94" s="19">
        <v>900</v>
      </c>
      <c r="G94" s="19">
        <v>600</v>
      </c>
      <c r="H94" s="19" t="s">
        <v>67</v>
      </c>
      <c r="I94" s="19" t="s">
        <v>68</v>
      </c>
      <c r="J94" s="19" t="s">
        <v>69</v>
      </c>
      <c r="K94" s="19" t="s">
        <v>71</v>
      </c>
      <c r="L94" s="19" t="s">
        <v>72</v>
      </c>
      <c r="M94" s="19" t="s">
        <v>73</v>
      </c>
      <c r="N94" s="19" t="s">
        <v>75</v>
      </c>
      <c r="O94" s="19" t="s">
        <v>76</v>
      </c>
      <c r="P94" s="24" t="s">
        <v>78</v>
      </c>
      <c r="Q94" s="24" t="s">
        <v>79</v>
      </c>
      <c r="R94" s="19" t="s">
        <v>81</v>
      </c>
    </row>
    <row r="95" spans="1:18" ht="14.25" customHeight="1" x14ac:dyDescent="0.15">
      <c r="A95" s="21">
        <f t="shared" ref="A95:H95" si="63">A88</f>
        <v>0</v>
      </c>
      <c r="B95" s="21">
        <f t="shared" si="63"/>
        <v>0</v>
      </c>
      <c r="C95" s="21">
        <f t="shared" si="63"/>
        <v>0</v>
      </c>
      <c r="D95" s="21">
        <f t="shared" si="63"/>
        <v>0</v>
      </c>
      <c r="E95" s="23" t="str">
        <f t="shared" si="63"/>
        <v>2100</v>
      </c>
      <c r="F95" s="23" t="str">
        <f t="shared" si="63"/>
        <v>1900</v>
      </c>
      <c r="G95" s="23" t="str">
        <f t="shared" si="63"/>
        <v>1800</v>
      </c>
      <c r="H95" s="23">
        <f t="shared" si="63"/>
        <v>380</v>
      </c>
      <c r="I95" s="23" t="str">
        <f>I74</f>
        <v>5500</v>
      </c>
      <c r="J95" s="23" t="str">
        <f t="shared" ref="J95:Q95" si="64">J88</f>
        <v>1000</v>
      </c>
      <c r="K95" s="23">
        <f t="shared" si="64"/>
        <v>375</v>
      </c>
      <c r="L95" s="23">
        <f t="shared" si="64"/>
        <v>585</v>
      </c>
      <c r="M95" s="23" t="str">
        <f t="shared" si="64"/>
        <v>1000</v>
      </c>
      <c r="N95" s="23">
        <f t="shared" si="64"/>
        <v>3300</v>
      </c>
      <c r="O95" s="23">
        <f t="shared" si="64"/>
        <v>0</v>
      </c>
      <c r="P95" s="27">
        <f t="shared" si="64"/>
        <v>0</v>
      </c>
      <c r="Q95" s="27">
        <f t="shared" si="64"/>
        <v>2</v>
      </c>
      <c r="R95" s="21"/>
    </row>
    <row r="96" spans="1:18" ht="14.25" customHeight="1" x14ac:dyDescent="0.15">
      <c r="A96" s="19">
        <v>6</v>
      </c>
      <c r="B96" s="19">
        <f>0.9*3</f>
        <v>2.7</v>
      </c>
      <c r="C96" s="19">
        <v>1.2</v>
      </c>
      <c r="D96" s="19">
        <f>B96*C96</f>
        <v>3.24</v>
      </c>
      <c r="E96" s="19"/>
      <c r="F96" s="19"/>
      <c r="G96" s="19"/>
      <c r="H96" s="19"/>
      <c r="I96" s="19">
        <f>B96*0.4</f>
        <v>1.08</v>
      </c>
      <c r="J96" s="19">
        <v>2</v>
      </c>
      <c r="K96" s="19">
        <f t="shared" ref="K96:L96" si="65">A96</f>
        <v>6</v>
      </c>
      <c r="L96" s="19">
        <f t="shared" si="65"/>
        <v>2.7</v>
      </c>
      <c r="M96" s="19">
        <f>A96</f>
        <v>6</v>
      </c>
      <c r="N96" s="19">
        <f>(1.2*0.4)*2</f>
        <v>0.96</v>
      </c>
      <c r="O96" s="19"/>
      <c r="P96" s="24"/>
      <c r="Q96" s="24"/>
      <c r="R96" s="19"/>
    </row>
    <row r="97" spans="1:18" ht="14.25" customHeight="1" x14ac:dyDescent="0.15">
      <c r="A97" s="19"/>
      <c r="B97" s="19"/>
      <c r="C97" s="19"/>
      <c r="D97" s="26" t="str">
        <f>D90</f>
        <v>10500</v>
      </c>
      <c r="E97" s="19">
        <v>2</v>
      </c>
      <c r="F97" s="19">
        <v>0</v>
      </c>
      <c r="G97" s="19">
        <v>0</v>
      </c>
      <c r="H97" s="19">
        <f>B96*2</f>
        <v>5.4</v>
      </c>
      <c r="I97" s="19"/>
      <c r="J97" s="19"/>
      <c r="K97" s="19"/>
      <c r="L97" s="19"/>
      <c r="M97" s="19"/>
      <c r="N97" s="28"/>
      <c r="O97" s="19"/>
      <c r="P97" s="24"/>
      <c r="Q97" s="24"/>
      <c r="R97" s="19"/>
    </row>
    <row r="98" spans="1:18" ht="14.25" customHeight="1" x14ac:dyDescent="0.15">
      <c r="A98" s="19"/>
      <c r="B98" s="19"/>
      <c r="C98" s="19"/>
      <c r="D98" s="19">
        <f>D96*D97</f>
        <v>34020</v>
      </c>
      <c r="E98" s="19">
        <f>E97*E95</f>
        <v>4200</v>
      </c>
      <c r="F98" s="19">
        <f t="shared" ref="F98:H98" si="66">F95*F97</f>
        <v>0</v>
      </c>
      <c r="G98" s="19">
        <f t="shared" si="66"/>
        <v>0</v>
      </c>
      <c r="H98" s="19">
        <f t="shared" si="66"/>
        <v>2052</v>
      </c>
      <c r="I98" s="19">
        <f t="shared" ref="I98:N98" si="67">I95*I96</f>
        <v>5940</v>
      </c>
      <c r="J98" s="19">
        <f t="shared" si="67"/>
        <v>2000</v>
      </c>
      <c r="K98" s="19">
        <f t="shared" si="67"/>
        <v>2250</v>
      </c>
      <c r="L98" s="19">
        <f t="shared" si="67"/>
        <v>1579.5</v>
      </c>
      <c r="M98" s="19">
        <f t="shared" si="67"/>
        <v>6000</v>
      </c>
      <c r="N98" s="19">
        <f t="shared" si="67"/>
        <v>3168</v>
      </c>
      <c r="O98" s="19">
        <f>SUM(D98:N98)</f>
        <v>61209.5</v>
      </c>
      <c r="P98" s="24">
        <f>O98/A96</f>
        <v>10201.583333333334</v>
      </c>
      <c r="Q98" s="24">
        <f>P98*Q95</f>
        <v>20403.166666666668</v>
      </c>
      <c r="R98" s="19">
        <f>MROUND(Q98,100)</f>
        <v>20400</v>
      </c>
    </row>
    <row r="99" spans="1:18" ht="14.25" customHeight="1" x14ac:dyDescent="0.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9"/>
      <c r="Q99" s="39"/>
    </row>
    <row r="100" spans="1:18" ht="14.25" customHeight="1" x14ac:dyDescent="0.3">
      <c r="A100" s="109" t="str">
        <f>PRICELIST!I18</f>
        <v>WFLX-LNR-SH-LVP-900-X</v>
      </c>
      <c r="B100" s="87"/>
      <c r="C100" s="8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22"/>
      <c r="Q100" s="22"/>
      <c r="R100" s="17"/>
    </row>
    <row r="101" spans="1:18" ht="14.25" customHeight="1" x14ac:dyDescent="0.15">
      <c r="A101" s="19" t="s">
        <v>57</v>
      </c>
      <c r="B101" s="19" t="s">
        <v>59</v>
      </c>
      <c r="C101" s="19" t="s">
        <v>62</v>
      </c>
      <c r="D101" s="19" t="s">
        <v>64</v>
      </c>
      <c r="E101" s="19">
        <v>1200</v>
      </c>
      <c r="F101" s="19">
        <v>900</v>
      </c>
      <c r="G101" s="19">
        <v>600</v>
      </c>
      <c r="H101" s="19" t="s">
        <v>67</v>
      </c>
      <c r="I101" s="19" t="s">
        <v>68</v>
      </c>
      <c r="J101" s="19" t="s">
        <v>69</v>
      </c>
      <c r="K101" s="19" t="s">
        <v>71</v>
      </c>
      <c r="L101" s="19" t="s">
        <v>72</v>
      </c>
      <c r="M101" s="19" t="s">
        <v>73</v>
      </c>
      <c r="N101" s="19" t="s">
        <v>75</v>
      </c>
      <c r="O101" s="19" t="s">
        <v>76</v>
      </c>
      <c r="P101" s="24" t="s">
        <v>78</v>
      </c>
      <c r="Q101" s="24" t="s">
        <v>79</v>
      </c>
      <c r="R101" s="19" t="s">
        <v>81</v>
      </c>
    </row>
    <row r="102" spans="1:18" ht="14.25" customHeight="1" x14ac:dyDescent="0.15">
      <c r="A102" s="21">
        <f t="shared" ref="A102:H102" si="68">A95</f>
        <v>0</v>
      </c>
      <c r="B102" s="21">
        <f t="shared" si="68"/>
        <v>0</v>
      </c>
      <c r="C102" s="21">
        <f t="shared" si="68"/>
        <v>0</v>
      </c>
      <c r="D102" s="21">
        <f t="shared" si="68"/>
        <v>0</v>
      </c>
      <c r="E102" s="23" t="str">
        <f t="shared" si="68"/>
        <v>2100</v>
      </c>
      <c r="F102" s="23" t="str">
        <f t="shared" si="68"/>
        <v>1900</v>
      </c>
      <c r="G102" s="23" t="str">
        <f t="shared" si="68"/>
        <v>1800</v>
      </c>
      <c r="H102" s="23">
        <f t="shared" si="68"/>
        <v>380</v>
      </c>
      <c r="I102" s="23" t="str">
        <f>I81</f>
        <v>0</v>
      </c>
      <c r="J102" s="23" t="str">
        <f t="shared" ref="J102:Q102" si="69">J95</f>
        <v>1000</v>
      </c>
      <c r="K102" s="23">
        <f t="shared" si="69"/>
        <v>375</v>
      </c>
      <c r="L102" s="23">
        <f t="shared" si="69"/>
        <v>585</v>
      </c>
      <c r="M102" s="23" t="str">
        <f t="shared" si="69"/>
        <v>1000</v>
      </c>
      <c r="N102" s="23">
        <f t="shared" si="69"/>
        <v>3300</v>
      </c>
      <c r="O102" s="23">
        <f t="shared" si="69"/>
        <v>0</v>
      </c>
      <c r="P102" s="27">
        <f t="shared" si="69"/>
        <v>0</v>
      </c>
      <c r="Q102" s="27">
        <f t="shared" si="69"/>
        <v>2</v>
      </c>
      <c r="R102" s="21"/>
    </row>
    <row r="103" spans="1:18" ht="14.25" customHeight="1" x14ac:dyDescent="0.15">
      <c r="A103" s="19">
        <v>6</v>
      </c>
      <c r="B103" s="19">
        <f>0.9*3</f>
        <v>2.7</v>
      </c>
      <c r="C103" s="19">
        <v>1.2</v>
      </c>
      <c r="D103" s="19">
        <f>B103*C103</f>
        <v>3.24</v>
      </c>
      <c r="E103" s="19"/>
      <c r="F103" s="19"/>
      <c r="G103" s="19"/>
      <c r="H103" s="19"/>
      <c r="I103" s="19">
        <f>B103*0.4</f>
        <v>1.08</v>
      </c>
      <c r="J103" s="19">
        <v>2</v>
      </c>
      <c r="K103" s="19">
        <f t="shared" ref="K103:L103" si="70">A103</f>
        <v>6</v>
      </c>
      <c r="L103" s="19">
        <f t="shared" si="70"/>
        <v>2.7</v>
      </c>
      <c r="M103" s="19">
        <f>A103</f>
        <v>6</v>
      </c>
      <c r="N103" s="19">
        <f>(1.2*0.4)*2</f>
        <v>0.96</v>
      </c>
      <c r="O103" s="19"/>
      <c r="P103" s="24"/>
      <c r="Q103" s="24"/>
      <c r="R103" s="19"/>
    </row>
    <row r="104" spans="1:18" ht="14.25" customHeight="1" x14ac:dyDescent="0.15">
      <c r="A104" s="19"/>
      <c r="B104" s="19"/>
      <c r="C104" s="19"/>
      <c r="D104" s="26" t="str">
        <f>D97</f>
        <v>10500</v>
      </c>
      <c r="E104" s="19">
        <v>2</v>
      </c>
      <c r="F104" s="19">
        <v>0</v>
      </c>
      <c r="G104" s="19">
        <v>0</v>
      </c>
      <c r="H104" s="19">
        <f>B103*2</f>
        <v>5.4</v>
      </c>
      <c r="I104" s="19"/>
      <c r="J104" s="19"/>
      <c r="K104" s="19"/>
      <c r="L104" s="19"/>
      <c r="M104" s="19"/>
      <c r="N104" s="28"/>
      <c r="O104" s="19"/>
      <c r="P104" s="24"/>
      <c r="Q104" s="24"/>
      <c r="R104" s="19"/>
    </row>
    <row r="105" spans="1:18" ht="14.25" customHeight="1" x14ac:dyDescent="0.15">
      <c r="A105" s="19"/>
      <c r="B105" s="19"/>
      <c r="C105" s="19"/>
      <c r="D105" s="19">
        <f>D103*D104</f>
        <v>34020</v>
      </c>
      <c r="E105" s="19">
        <f>E104*E102</f>
        <v>4200</v>
      </c>
      <c r="F105" s="19">
        <f t="shared" ref="F105:H105" si="71">F102*F104</f>
        <v>0</v>
      </c>
      <c r="G105" s="19">
        <f t="shared" si="71"/>
        <v>0</v>
      </c>
      <c r="H105" s="19">
        <f t="shared" si="71"/>
        <v>2052</v>
      </c>
      <c r="I105" s="19">
        <f t="shared" ref="I105:N105" si="72">I102*I103</f>
        <v>0</v>
      </c>
      <c r="J105" s="19">
        <f t="shared" si="72"/>
        <v>2000</v>
      </c>
      <c r="K105" s="19">
        <f t="shared" si="72"/>
        <v>2250</v>
      </c>
      <c r="L105" s="19">
        <f t="shared" si="72"/>
        <v>1579.5</v>
      </c>
      <c r="M105" s="19">
        <f t="shared" si="72"/>
        <v>6000</v>
      </c>
      <c r="N105" s="19">
        <f t="shared" si="72"/>
        <v>3168</v>
      </c>
      <c r="O105" s="19">
        <f>SUM(D105:N105)</f>
        <v>55269.5</v>
      </c>
      <c r="P105" s="24">
        <f>O105/A103</f>
        <v>9211.5833333333339</v>
      </c>
      <c r="Q105" s="24">
        <f>P105*Q102</f>
        <v>18423.166666666668</v>
      </c>
      <c r="R105" s="19">
        <f>MROUND(Q105,100)</f>
        <v>18400</v>
      </c>
    </row>
    <row r="106" spans="1:18" ht="14.25" customHeight="1" x14ac:dyDescent="0.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9"/>
      <c r="Q106" s="39"/>
    </row>
    <row r="107" spans="1:18" ht="14.25" customHeight="1" x14ac:dyDescent="0.3">
      <c r="A107" s="109" t="str">
        <f>PRICELIST!I19</f>
        <v>WFLX-LNR-SH-MB-900-F</v>
      </c>
      <c r="B107" s="87"/>
      <c r="C107" s="8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22"/>
      <c r="Q107" s="22"/>
      <c r="R107" s="17"/>
    </row>
    <row r="108" spans="1:18" ht="14.25" customHeight="1" x14ac:dyDescent="0.15">
      <c r="A108" s="19" t="s">
        <v>57</v>
      </c>
      <c r="B108" s="19" t="s">
        <v>59</v>
      </c>
      <c r="C108" s="19" t="s">
        <v>62</v>
      </c>
      <c r="D108" s="19" t="s">
        <v>64</v>
      </c>
      <c r="E108" s="19">
        <v>1200</v>
      </c>
      <c r="F108" s="19">
        <v>900</v>
      </c>
      <c r="G108" s="19">
        <v>600</v>
      </c>
      <c r="H108" s="19" t="s">
        <v>67</v>
      </c>
      <c r="I108" s="19" t="s">
        <v>68</v>
      </c>
      <c r="J108" s="19" t="s">
        <v>69</v>
      </c>
      <c r="K108" s="19" t="s">
        <v>71</v>
      </c>
      <c r="L108" s="19" t="s">
        <v>72</v>
      </c>
      <c r="M108" s="19" t="s">
        <v>73</v>
      </c>
      <c r="N108" s="19" t="s">
        <v>75</v>
      </c>
      <c r="O108" s="19" t="s">
        <v>76</v>
      </c>
      <c r="P108" s="24" t="s">
        <v>78</v>
      </c>
      <c r="Q108" s="24" t="s">
        <v>79</v>
      </c>
      <c r="R108" s="19" t="s">
        <v>81</v>
      </c>
    </row>
    <row r="109" spans="1:18" ht="14.25" customHeight="1" x14ac:dyDescent="0.15">
      <c r="A109" s="21">
        <f t="shared" ref="A109:H109" si="73">A102</f>
        <v>0</v>
      </c>
      <c r="B109" s="21">
        <f t="shared" si="73"/>
        <v>0</v>
      </c>
      <c r="C109" s="21">
        <f t="shared" si="73"/>
        <v>0</v>
      </c>
      <c r="D109" s="21">
        <f t="shared" si="73"/>
        <v>0</v>
      </c>
      <c r="E109" s="23" t="str">
        <f t="shared" si="73"/>
        <v>2100</v>
      </c>
      <c r="F109" s="23" t="str">
        <f t="shared" si="73"/>
        <v>1900</v>
      </c>
      <c r="G109" s="23" t="str">
        <f t="shared" si="73"/>
        <v>1800</v>
      </c>
      <c r="H109" s="23">
        <f t="shared" si="73"/>
        <v>380</v>
      </c>
      <c r="I109" s="23" t="str">
        <f>I88</f>
        <v>4800</v>
      </c>
      <c r="J109" s="23" t="str">
        <f t="shared" ref="J109:Q109" si="74">J102</f>
        <v>1000</v>
      </c>
      <c r="K109" s="23">
        <f t="shared" si="74"/>
        <v>375</v>
      </c>
      <c r="L109" s="23">
        <f t="shared" si="74"/>
        <v>585</v>
      </c>
      <c r="M109" s="23" t="str">
        <f t="shared" si="74"/>
        <v>1000</v>
      </c>
      <c r="N109" s="23">
        <f t="shared" si="74"/>
        <v>3300</v>
      </c>
      <c r="O109" s="23">
        <f t="shared" si="74"/>
        <v>0</v>
      </c>
      <c r="P109" s="27">
        <f t="shared" si="74"/>
        <v>0</v>
      </c>
      <c r="Q109" s="27">
        <f t="shared" si="74"/>
        <v>2</v>
      </c>
      <c r="R109" s="21"/>
    </row>
    <row r="110" spans="1:18" ht="14.25" customHeight="1" x14ac:dyDescent="0.15">
      <c r="A110" s="19">
        <v>6</v>
      </c>
      <c r="B110" s="19">
        <f>0.9*3</f>
        <v>2.7</v>
      </c>
      <c r="C110" s="19">
        <v>1.2</v>
      </c>
      <c r="D110" s="19">
        <f>B110*C110</f>
        <v>3.24</v>
      </c>
      <c r="E110" s="19"/>
      <c r="F110" s="19"/>
      <c r="G110" s="19"/>
      <c r="H110" s="19"/>
      <c r="I110" s="19">
        <f>B110*0.4</f>
        <v>1.08</v>
      </c>
      <c r="J110" s="19">
        <v>2</v>
      </c>
      <c r="K110" s="19">
        <f t="shared" ref="K110:L110" si="75">A110</f>
        <v>6</v>
      </c>
      <c r="L110" s="19">
        <f t="shared" si="75"/>
        <v>2.7</v>
      </c>
      <c r="M110" s="19">
        <f>A110</f>
        <v>6</v>
      </c>
      <c r="N110" s="19">
        <f>(1.2*0.4)*2</f>
        <v>0.96</v>
      </c>
      <c r="O110" s="19"/>
      <c r="P110" s="24"/>
      <c r="Q110" s="24"/>
      <c r="R110" s="19"/>
    </row>
    <row r="111" spans="1:18" ht="14.25" customHeight="1" x14ac:dyDescent="0.15">
      <c r="A111" s="19"/>
      <c r="B111" s="19"/>
      <c r="C111" s="19"/>
      <c r="D111" s="26" t="str">
        <f>'MASTER DATA'!C10</f>
        <v>16250</v>
      </c>
      <c r="E111" s="19">
        <v>2</v>
      </c>
      <c r="F111" s="19">
        <v>0</v>
      </c>
      <c r="G111" s="19">
        <v>0</v>
      </c>
      <c r="H111" s="19">
        <f>B110*2</f>
        <v>5.4</v>
      </c>
      <c r="I111" s="19"/>
      <c r="J111" s="19"/>
      <c r="K111" s="19"/>
      <c r="L111" s="19"/>
      <c r="M111" s="19"/>
      <c r="N111" s="28"/>
      <c r="O111" s="19"/>
      <c r="P111" s="24"/>
      <c r="Q111" s="24"/>
      <c r="R111" s="19"/>
    </row>
    <row r="112" spans="1:18" ht="14.25" customHeight="1" x14ac:dyDescent="0.15">
      <c r="A112" s="19"/>
      <c r="B112" s="19"/>
      <c r="C112" s="19"/>
      <c r="D112" s="19">
        <f>D110*D111</f>
        <v>52650</v>
      </c>
      <c r="E112" s="19">
        <f>E111*E109</f>
        <v>4200</v>
      </c>
      <c r="F112" s="19">
        <f t="shared" ref="F112:H112" si="76">F109*F111</f>
        <v>0</v>
      </c>
      <c r="G112" s="19">
        <f t="shared" si="76"/>
        <v>0</v>
      </c>
      <c r="H112" s="19">
        <f t="shared" si="76"/>
        <v>2052</v>
      </c>
      <c r="I112" s="19">
        <f t="shared" ref="I112:N112" si="77">I109*I110</f>
        <v>5184</v>
      </c>
      <c r="J112" s="19">
        <f t="shared" si="77"/>
        <v>2000</v>
      </c>
      <c r="K112" s="19">
        <f t="shared" si="77"/>
        <v>2250</v>
      </c>
      <c r="L112" s="19">
        <f t="shared" si="77"/>
        <v>1579.5</v>
      </c>
      <c r="M112" s="19">
        <f t="shared" si="77"/>
        <v>6000</v>
      </c>
      <c r="N112" s="19">
        <f t="shared" si="77"/>
        <v>3168</v>
      </c>
      <c r="O112" s="19">
        <f>SUM(D112:N112)</f>
        <v>79083.5</v>
      </c>
      <c r="P112" s="24">
        <f>O112/A110</f>
        <v>13180.583333333334</v>
      </c>
      <c r="Q112" s="24">
        <f>P112*Q109</f>
        <v>26361.166666666668</v>
      </c>
      <c r="R112" s="19">
        <f>MROUND(Q112,100)</f>
        <v>26400</v>
      </c>
    </row>
    <row r="113" spans="1:18" ht="14.25" customHeight="1" x14ac:dyDescent="0.1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9"/>
      <c r="Q113" s="39"/>
    </row>
    <row r="114" spans="1:18" ht="14.25" customHeight="1" x14ac:dyDescent="0.3">
      <c r="A114" s="109" t="str">
        <f>PRICELIST!I20</f>
        <v>WFLX-LNR-SH-MB-900-G</v>
      </c>
      <c r="B114" s="87"/>
      <c r="C114" s="8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22"/>
      <c r="Q114" s="22"/>
      <c r="R114" s="17"/>
    </row>
    <row r="115" spans="1:18" ht="14.25" customHeight="1" x14ac:dyDescent="0.15">
      <c r="A115" s="19" t="s">
        <v>57</v>
      </c>
      <c r="B115" s="19" t="s">
        <v>59</v>
      </c>
      <c r="C115" s="19" t="s">
        <v>62</v>
      </c>
      <c r="D115" s="19" t="s">
        <v>64</v>
      </c>
      <c r="E115" s="19">
        <v>1200</v>
      </c>
      <c r="F115" s="19">
        <v>900</v>
      </c>
      <c r="G115" s="19">
        <v>600</v>
      </c>
      <c r="H115" s="19" t="s">
        <v>67</v>
      </c>
      <c r="I115" s="19" t="s">
        <v>68</v>
      </c>
      <c r="J115" s="19" t="s">
        <v>69</v>
      </c>
      <c r="K115" s="19" t="s">
        <v>71</v>
      </c>
      <c r="L115" s="19" t="s">
        <v>72</v>
      </c>
      <c r="M115" s="19" t="s">
        <v>73</v>
      </c>
      <c r="N115" s="19" t="s">
        <v>75</v>
      </c>
      <c r="O115" s="19" t="s">
        <v>76</v>
      </c>
      <c r="P115" s="24" t="s">
        <v>78</v>
      </c>
      <c r="Q115" s="24" t="s">
        <v>79</v>
      </c>
      <c r="R115" s="19" t="s">
        <v>81</v>
      </c>
    </row>
    <row r="116" spans="1:18" ht="14.25" customHeight="1" x14ac:dyDescent="0.15">
      <c r="A116" s="21">
        <f t="shared" ref="A116:H116" si="78">A109</f>
        <v>0</v>
      </c>
      <c r="B116" s="21">
        <f t="shared" si="78"/>
        <v>0</v>
      </c>
      <c r="C116" s="21">
        <f t="shared" si="78"/>
        <v>0</v>
      </c>
      <c r="D116" s="21">
        <f t="shared" si="78"/>
        <v>0</v>
      </c>
      <c r="E116" s="23" t="str">
        <f t="shared" si="78"/>
        <v>2100</v>
      </c>
      <c r="F116" s="23" t="str">
        <f t="shared" si="78"/>
        <v>1900</v>
      </c>
      <c r="G116" s="23" t="str">
        <f t="shared" si="78"/>
        <v>1800</v>
      </c>
      <c r="H116" s="23">
        <f t="shared" si="78"/>
        <v>380</v>
      </c>
      <c r="I116" s="23" t="str">
        <f>I95</f>
        <v>5500</v>
      </c>
      <c r="J116" s="23" t="str">
        <f t="shared" ref="J116:Q116" si="79">J109</f>
        <v>1000</v>
      </c>
      <c r="K116" s="23">
        <f t="shared" si="79"/>
        <v>375</v>
      </c>
      <c r="L116" s="23">
        <f t="shared" si="79"/>
        <v>585</v>
      </c>
      <c r="M116" s="23" t="str">
        <f t="shared" si="79"/>
        <v>1000</v>
      </c>
      <c r="N116" s="23">
        <f t="shared" si="79"/>
        <v>3300</v>
      </c>
      <c r="O116" s="23">
        <f t="shared" si="79"/>
        <v>0</v>
      </c>
      <c r="P116" s="27">
        <f t="shared" si="79"/>
        <v>0</v>
      </c>
      <c r="Q116" s="27">
        <f t="shared" si="79"/>
        <v>2</v>
      </c>
      <c r="R116" s="21"/>
    </row>
    <row r="117" spans="1:18" ht="14.25" customHeight="1" x14ac:dyDescent="0.15">
      <c r="A117" s="19">
        <v>6</v>
      </c>
      <c r="B117" s="19">
        <f>0.9*3</f>
        <v>2.7</v>
      </c>
      <c r="C117" s="19">
        <v>1.2</v>
      </c>
      <c r="D117" s="19">
        <f>B117*C117</f>
        <v>3.24</v>
      </c>
      <c r="E117" s="19"/>
      <c r="F117" s="19"/>
      <c r="G117" s="19"/>
      <c r="H117" s="19"/>
      <c r="I117" s="19">
        <f>B117*0.4</f>
        <v>1.08</v>
      </c>
      <c r="J117" s="19">
        <v>2</v>
      </c>
      <c r="K117" s="19">
        <f t="shared" ref="K117:L117" si="80">A117</f>
        <v>6</v>
      </c>
      <c r="L117" s="19">
        <f t="shared" si="80"/>
        <v>2.7</v>
      </c>
      <c r="M117" s="19">
        <f>A117</f>
        <v>6</v>
      </c>
      <c r="N117" s="19">
        <f>(1.2*0.4)*2</f>
        <v>0.96</v>
      </c>
      <c r="O117" s="19"/>
      <c r="P117" s="24"/>
      <c r="Q117" s="24"/>
      <c r="R117" s="19"/>
    </row>
    <row r="118" spans="1:18" ht="14.25" customHeight="1" x14ac:dyDescent="0.15">
      <c r="A118" s="19"/>
      <c r="B118" s="19"/>
      <c r="C118" s="19"/>
      <c r="D118" s="26" t="str">
        <f>D111</f>
        <v>16250</v>
      </c>
      <c r="E118" s="19">
        <v>2</v>
      </c>
      <c r="F118" s="19">
        <v>0</v>
      </c>
      <c r="G118" s="19">
        <v>0</v>
      </c>
      <c r="H118" s="19">
        <f>B117*2</f>
        <v>5.4</v>
      </c>
      <c r="I118" s="19"/>
      <c r="J118" s="19"/>
      <c r="K118" s="19"/>
      <c r="L118" s="19"/>
      <c r="M118" s="19"/>
      <c r="N118" s="28"/>
      <c r="O118" s="19"/>
      <c r="P118" s="24"/>
      <c r="Q118" s="24"/>
      <c r="R118" s="19"/>
    </row>
    <row r="119" spans="1:18" ht="14.25" customHeight="1" x14ac:dyDescent="0.15">
      <c r="A119" s="19"/>
      <c r="B119" s="19"/>
      <c r="C119" s="19"/>
      <c r="D119" s="19">
        <f>D117*D118</f>
        <v>52650</v>
      </c>
      <c r="E119" s="19">
        <f>E118*E116</f>
        <v>4200</v>
      </c>
      <c r="F119" s="19">
        <f t="shared" ref="F119:H119" si="81">F116*F118</f>
        <v>0</v>
      </c>
      <c r="G119" s="19">
        <f t="shared" si="81"/>
        <v>0</v>
      </c>
      <c r="H119" s="19">
        <f t="shared" si="81"/>
        <v>2052</v>
      </c>
      <c r="I119" s="19">
        <f t="shared" ref="I119:N119" si="82">I116*I117</f>
        <v>5940</v>
      </c>
      <c r="J119" s="19">
        <f t="shared" si="82"/>
        <v>2000</v>
      </c>
      <c r="K119" s="19">
        <f t="shared" si="82"/>
        <v>2250</v>
      </c>
      <c r="L119" s="19">
        <f t="shared" si="82"/>
        <v>1579.5</v>
      </c>
      <c r="M119" s="19">
        <f t="shared" si="82"/>
        <v>6000</v>
      </c>
      <c r="N119" s="19">
        <f t="shared" si="82"/>
        <v>3168</v>
      </c>
      <c r="O119" s="19">
        <f>SUM(D119:N119)</f>
        <v>79839.5</v>
      </c>
      <c r="P119" s="24">
        <f>O119/A117</f>
        <v>13306.583333333334</v>
      </c>
      <c r="Q119" s="24">
        <f>P119*Q116</f>
        <v>26613.166666666668</v>
      </c>
      <c r="R119" s="19">
        <f>MROUND(Q119,100)</f>
        <v>26600</v>
      </c>
    </row>
    <row r="120" spans="1:18" ht="14.25" customHeight="1" x14ac:dyDescent="0.1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9"/>
      <c r="Q120" s="39"/>
    </row>
    <row r="121" spans="1:18" ht="14.25" customHeight="1" x14ac:dyDescent="0.3">
      <c r="A121" s="109" t="str">
        <f>PRICELIST!I21</f>
        <v>WFLX-LNR-SH-MB-900-X</v>
      </c>
      <c r="B121" s="87"/>
      <c r="C121" s="8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22"/>
      <c r="Q121" s="22"/>
      <c r="R121" s="17"/>
    </row>
    <row r="122" spans="1:18" ht="14.25" customHeight="1" x14ac:dyDescent="0.15">
      <c r="A122" s="19" t="s">
        <v>57</v>
      </c>
      <c r="B122" s="19" t="s">
        <v>59</v>
      </c>
      <c r="C122" s="19" t="s">
        <v>62</v>
      </c>
      <c r="D122" s="19" t="s">
        <v>64</v>
      </c>
      <c r="E122" s="19">
        <v>1200</v>
      </c>
      <c r="F122" s="19">
        <v>900</v>
      </c>
      <c r="G122" s="19">
        <v>600</v>
      </c>
      <c r="H122" s="19" t="s">
        <v>67</v>
      </c>
      <c r="I122" s="19" t="s">
        <v>68</v>
      </c>
      <c r="J122" s="19" t="s">
        <v>69</v>
      </c>
      <c r="K122" s="19" t="s">
        <v>71</v>
      </c>
      <c r="L122" s="19" t="s">
        <v>72</v>
      </c>
      <c r="M122" s="19" t="s">
        <v>73</v>
      </c>
      <c r="N122" s="19" t="s">
        <v>75</v>
      </c>
      <c r="O122" s="19" t="s">
        <v>76</v>
      </c>
      <c r="P122" s="24" t="s">
        <v>78</v>
      </c>
      <c r="Q122" s="24" t="s">
        <v>79</v>
      </c>
      <c r="R122" s="19" t="s">
        <v>81</v>
      </c>
    </row>
    <row r="123" spans="1:18" ht="14.25" customHeight="1" x14ac:dyDescent="0.15">
      <c r="A123" s="21">
        <f t="shared" ref="A123:H123" si="83">A116</f>
        <v>0</v>
      </c>
      <c r="B123" s="21">
        <f t="shared" si="83"/>
        <v>0</v>
      </c>
      <c r="C123" s="21">
        <f t="shared" si="83"/>
        <v>0</v>
      </c>
      <c r="D123" s="21">
        <f t="shared" si="83"/>
        <v>0</v>
      </c>
      <c r="E123" s="23" t="str">
        <f t="shared" si="83"/>
        <v>2100</v>
      </c>
      <c r="F123" s="23" t="str">
        <f t="shared" si="83"/>
        <v>1900</v>
      </c>
      <c r="G123" s="23" t="str">
        <f t="shared" si="83"/>
        <v>1800</v>
      </c>
      <c r="H123" s="23">
        <f t="shared" si="83"/>
        <v>380</v>
      </c>
      <c r="I123" s="23" t="str">
        <f>I102</f>
        <v>0</v>
      </c>
      <c r="J123" s="23" t="str">
        <f t="shared" ref="J123:Q123" si="84">J116</f>
        <v>1000</v>
      </c>
      <c r="K123" s="23">
        <f t="shared" si="84"/>
        <v>375</v>
      </c>
      <c r="L123" s="23">
        <f t="shared" si="84"/>
        <v>585</v>
      </c>
      <c r="M123" s="23" t="str">
        <f t="shared" si="84"/>
        <v>1000</v>
      </c>
      <c r="N123" s="23">
        <f t="shared" si="84"/>
        <v>3300</v>
      </c>
      <c r="O123" s="23">
        <f t="shared" si="84"/>
        <v>0</v>
      </c>
      <c r="P123" s="27">
        <f t="shared" si="84"/>
        <v>0</v>
      </c>
      <c r="Q123" s="27">
        <f t="shared" si="84"/>
        <v>2</v>
      </c>
      <c r="R123" s="21"/>
    </row>
    <row r="124" spans="1:18" ht="14.25" customHeight="1" x14ac:dyDescent="0.15">
      <c r="A124" s="19">
        <v>6</v>
      </c>
      <c r="B124" s="19">
        <f>0.9*3</f>
        <v>2.7</v>
      </c>
      <c r="C124" s="19">
        <v>1.2</v>
      </c>
      <c r="D124" s="19">
        <f>B124*C124</f>
        <v>3.24</v>
      </c>
      <c r="E124" s="19"/>
      <c r="F124" s="19"/>
      <c r="G124" s="19"/>
      <c r="H124" s="19"/>
      <c r="I124" s="19">
        <f>B124*0.4</f>
        <v>1.08</v>
      </c>
      <c r="J124" s="19">
        <v>2</v>
      </c>
      <c r="K124" s="19">
        <f t="shared" ref="K124:L124" si="85">A124</f>
        <v>6</v>
      </c>
      <c r="L124" s="19">
        <f t="shared" si="85"/>
        <v>2.7</v>
      </c>
      <c r="M124" s="19">
        <f>A124</f>
        <v>6</v>
      </c>
      <c r="N124" s="19">
        <f>(1.2*0.4)*2</f>
        <v>0.96</v>
      </c>
      <c r="O124" s="19"/>
      <c r="P124" s="24"/>
      <c r="Q124" s="24"/>
      <c r="R124" s="19"/>
    </row>
    <row r="125" spans="1:18" ht="14.25" customHeight="1" x14ac:dyDescent="0.15">
      <c r="A125" s="19"/>
      <c r="B125" s="19"/>
      <c r="C125" s="19"/>
      <c r="D125" s="26" t="str">
        <f>D118</f>
        <v>16250</v>
      </c>
      <c r="E125" s="19">
        <v>2</v>
      </c>
      <c r="F125" s="19">
        <v>0</v>
      </c>
      <c r="G125" s="19">
        <v>0</v>
      </c>
      <c r="H125" s="19">
        <f>B124*2</f>
        <v>5.4</v>
      </c>
      <c r="I125" s="19"/>
      <c r="J125" s="19"/>
      <c r="K125" s="19"/>
      <c r="L125" s="19"/>
      <c r="M125" s="19"/>
      <c r="N125" s="28"/>
      <c r="O125" s="19"/>
      <c r="P125" s="24"/>
      <c r="Q125" s="24"/>
      <c r="R125" s="19"/>
    </row>
    <row r="126" spans="1:18" ht="14.25" customHeight="1" x14ac:dyDescent="0.15">
      <c r="A126" s="19"/>
      <c r="B126" s="19"/>
      <c r="C126" s="19"/>
      <c r="D126" s="19">
        <f>D124*D125</f>
        <v>52650</v>
      </c>
      <c r="E126" s="19">
        <f>E125*E123</f>
        <v>4200</v>
      </c>
      <c r="F126" s="19">
        <f t="shared" ref="F126:H126" si="86">F123*F125</f>
        <v>0</v>
      </c>
      <c r="G126" s="19">
        <f t="shared" si="86"/>
        <v>0</v>
      </c>
      <c r="H126" s="19">
        <f t="shared" si="86"/>
        <v>2052</v>
      </c>
      <c r="I126" s="19">
        <f t="shared" ref="I126:N126" si="87">I123*I124</f>
        <v>0</v>
      </c>
      <c r="J126" s="19">
        <f t="shared" si="87"/>
        <v>2000</v>
      </c>
      <c r="K126" s="19">
        <f t="shared" si="87"/>
        <v>2250</v>
      </c>
      <c r="L126" s="19">
        <f t="shared" si="87"/>
        <v>1579.5</v>
      </c>
      <c r="M126" s="19">
        <f t="shared" si="87"/>
        <v>6000</v>
      </c>
      <c r="N126" s="19">
        <f t="shared" si="87"/>
        <v>3168</v>
      </c>
      <c r="O126" s="19">
        <f>SUM(D126:N126)</f>
        <v>73899.5</v>
      </c>
      <c r="P126" s="24">
        <f>O126/A124</f>
        <v>12316.583333333334</v>
      </c>
      <c r="Q126" s="24">
        <f>P126*Q123</f>
        <v>24633.166666666668</v>
      </c>
      <c r="R126" s="19">
        <f>MROUND(Q126,100)</f>
        <v>24600</v>
      </c>
    </row>
    <row r="127" spans="1:18" ht="14.25" customHeight="1" x14ac:dyDescent="0.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9"/>
      <c r="Q127" s="39"/>
    </row>
    <row r="128" spans="1:18" ht="14.25" customHeight="1" x14ac:dyDescent="0.3">
      <c r="A128" s="109" t="str">
        <f>PRICELIST!I22</f>
        <v>WFLX-LNR-SH-PB-1200-F</v>
      </c>
      <c r="B128" s="87"/>
      <c r="C128" s="8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22"/>
      <c r="Q128" s="22"/>
      <c r="R128" s="17"/>
    </row>
    <row r="129" spans="1:18" ht="14.25" customHeight="1" x14ac:dyDescent="0.15">
      <c r="A129" s="19" t="s">
        <v>57</v>
      </c>
      <c r="B129" s="19" t="s">
        <v>59</v>
      </c>
      <c r="C129" s="19" t="s">
        <v>62</v>
      </c>
      <c r="D129" s="19" t="s">
        <v>64</v>
      </c>
      <c r="E129" s="19">
        <v>1200</v>
      </c>
      <c r="F129" s="19">
        <v>900</v>
      </c>
      <c r="G129" s="19">
        <v>600</v>
      </c>
      <c r="H129" s="19" t="s">
        <v>67</v>
      </c>
      <c r="I129" s="19" t="s">
        <v>68</v>
      </c>
      <c r="J129" s="19" t="s">
        <v>69</v>
      </c>
      <c r="K129" s="19" t="s">
        <v>71</v>
      </c>
      <c r="L129" s="19" t="s">
        <v>72</v>
      </c>
      <c r="M129" s="19" t="s">
        <v>73</v>
      </c>
      <c r="N129" s="19" t="s">
        <v>75</v>
      </c>
      <c r="O129" s="19" t="s">
        <v>76</v>
      </c>
      <c r="P129" s="24" t="s">
        <v>78</v>
      </c>
      <c r="Q129" s="24" t="s">
        <v>79</v>
      </c>
      <c r="R129" s="19" t="s">
        <v>81</v>
      </c>
    </row>
    <row r="130" spans="1:18" ht="14.25" customHeight="1" x14ac:dyDescent="0.15">
      <c r="A130" s="21"/>
      <c r="B130" s="21"/>
      <c r="C130" s="21"/>
      <c r="D130" s="21"/>
      <c r="E130" s="23" t="str">
        <f t="shared" ref="E130:G130" si="88">E123</f>
        <v>2100</v>
      </c>
      <c r="F130" s="23" t="str">
        <f t="shared" si="88"/>
        <v>1900</v>
      </c>
      <c r="G130" s="23" t="str">
        <f t="shared" si="88"/>
        <v>1800</v>
      </c>
      <c r="H130" s="21">
        <v>380</v>
      </c>
      <c r="I130" s="23" t="str">
        <f>I109</f>
        <v>4800</v>
      </c>
      <c r="J130" s="23" t="str">
        <f>J123</f>
        <v>1000</v>
      </c>
      <c r="K130" s="21">
        <v>375</v>
      </c>
      <c r="L130" s="21">
        <v>585</v>
      </c>
      <c r="M130" s="23" t="str">
        <f>M123</f>
        <v>1000</v>
      </c>
      <c r="N130" s="21">
        <v>3300</v>
      </c>
      <c r="O130" s="21"/>
      <c r="P130" s="27"/>
      <c r="Q130" s="27">
        <f>Q123</f>
        <v>2</v>
      </c>
      <c r="R130" s="21"/>
    </row>
    <row r="131" spans="1:18" ht="14.25" customHeight="1" x14ac:dyDescent="0.15">
      <c r="A131" s="19">
        <v>6</v>
      </c>
      <c r="B131" s="19">
        <f>1.2*3</f>
        <v>3.5999999999999996</v>
      </c>
      <c r="C131" s="19">
        <v>1.2</v>
      </c>
      <c r="D131" s="19">
        <f>B131*C131</f>
        <v>4.3199999999999994</v>
      </c>
      <c r="E131" s="19"/>
      <c r="F131" s="19"/>
      <c r="G131" s="19"/>
      <c r="H131" s="19"/>
      <c r="I131" s="19">
        <f>B131*0.4</f>
        <v>1.44</v>
      </c>
      <c r="J131" s="19">
        <v>2</v>
      </c>
      <c r="K131" s="19">
        <f t="shared" ref="K131:L131" si="89">A131</f>
        <v>6</v>
      </c>
      <c r="L131" s="19">
        <f t="shared" si="89"/>
        <v>3.5999999999999996</v>
      </c>
      <c r="M131" s="19">
        <f>A131</f>
        <v>6</v>
      </c>
      <c r="N131" s="19">
        <f>(1.2*0.4)*2</f>
        <v>0.96</v>
      </c>
      <c r="O131" s="19"/>
      <c r="P131" s="24"/>
      <c r="Q131" s="24"/>
      <c r="R131" s="19"/>
    </row>
    <row r="132" spans="1:18" ht="14.25" customHeight="1" x14ac:dyDescent="0.15">
      <c r="A132" s="19"/>
      <c r="B132" s="19"/>
      <c r="C132" s="19"/>
      <c r="D132" s="26" t="str">
        <f>D6</f>
        <v>2200</v>
      </c>
      <c r="E132" s="19">
        <v>2</v>
      </c>
      <c r="F132" s="19">
        <v>0</v>
      </c>
      <c r="G132" s="19">
        <v>0</v>
      </c>
      <c r="H132" s="19">
        <f>B131*2</f>
        <v>7.1999999999999993</v>
      </c>
      <c r="I132" s="19"/>
      <c r="J132" s="19"/>
      <c r="K132" s="19"/>
      <c r="L132" s="19"/>
      <c r="M132" s="19"/>
      <c r="N132" s="28"/>
      <c r="O132" s="19"/>
      <c r="P132" s="24"/>
      <c r="Q132" s="24"/>
      <c r="R132" s="19"/>
    </row>
    <row r="133" spans="1:18" ht="14.25" customHeight="1" x14ac:dyDescent="0.15">
      <c r="A133" s="19"/>
      <c r="B133" s="19"/>
      <c r="C133" s="19"/>
      <c r="D133" s="19">
        <f>D131*D132</f>
        <v>9503.9999999999982</v>
      </c>
      <c r="E133" s="19">
        <f>E132*E130</f>
        <v>4200</v>
      </c>
      <c r="F133" s="19">
        <f t="shared" ref="F133:H133" si="90">F130*F132</f>
        <v>0</v>
      </c>
      <c r="G133" s="19">
        <f t="shared" si="90"/>
        <v>0</v>
      </c>
      <c r="H133" s="19">
        <f t="shared" si="90"/>
        <v>2735.9999999999995</v>
      </c>
      <c r="I133" s="19">
        <f t="shared" ref="I133:N133" si="91">I130*I131</f>
        <v>6912</v>
      </c>
      <c r="J133" s="19">
        <f t="shared" si="91"/>
        <v>2000</v>
      </c>
      <c r="K133" s="19">
        <f t="shared" si="91"/>
        <v>2250</v>
      </c>
      <c r="L133" s="19">
        <f t="shared" si="91"/>
        <v>2106</v>
      </c>
      <c r="M133" s="19">
        <f t="shared" si="91"/>
        <v>6000</v>
      </c>
      <c r="N133" s="19">
        <f t="shared" si="91"/>
        <v>3168</v>
      </c>
      <c r="O133" s="19">
        <f>SUM(D133:N133)</f>
        <v>38876</v>
      </c>
      <c r="P133" s="24">
        <f>O133/A131</f>
        <v>6479.333333333333</v>
      </c>
      <c r="Q133" s="24">
        <f>P133*Q130</f>
        <v>12958.666666666666</v>
      </c>
      <c r="R133" s="19">
        <f>MROUND(Q133,100)</f>
        <v>13000</v>
      </c>
    </row>
    <row r="134" spans="1:18" ht="14.25" customHeight="1" x14ac:dyDescent="0.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9"/>
      <c r="Q134" s="39"/>
    </row>
    <row r="135" spans="1:18" ht="14.25" customHeight="1" x14ac:dyDescent="0.3">
      <c r="A135" s="109" t="str">
        <f>PRICELIST!I23</f>
        <v>WFLX-LNR-SH-PB-1200-G</v>
      </c>
      <c r="B135" s="87"/>
      <c r="C135" s="8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22"/>
      <c r="Q135" s="22"/>
      <c r="R135" s="17"/>
    </row>
    <row r="136" spans="1:18" ht="14.25" customHeight="1" x14ac:dyDescent="0.15">
      <c r="A136" s="19" t="s">
        <v>57</v>
      </c>
      <c r="B136" s="19" t="s">
        <v>59</v>
      </c>
      <c r="C136" s="19" t="s">
        <v>62</v>
      </c>
      <c r="D136" s="19" t="s">
        <v>64</v>
      </c>
      <c r="E136" s="19">
        <v>1200</v>
      </c>
      <c r="F136" s="19">
        <v>900</v>
      </c>
      <c r="G136" s="19">
        <v>600</v>
      </c>
      <c r="H136" s="19" t="s">
        <v>67</v>
      </c>
      <c r="I136" s="19" t="s">
        <v>68</v>
      </c>
      <c r="J136" s="19" t="s">
        <v>69</v>
      </c>
      <c r="K136" s="19" t="s">
        <v>71</v>
      </c>
      <c r="L136" s="19" t="s">
        <v>72</v>
      </c>
      <c r="M136" s="19" t="s">
        <v>73</v>
      </c>
      <c r="N136" s="19" t="s">
        <v>75</v>
      </c>
      <c r="O136" s="19" t="s">
        <v>76</v>
      </c>
      <c r="P136" s="24" t="s">
        <v>78</v>
      </c>
      <c r="Q136" s="24" t="s">
        <v>79</v>
      </c>
      <c r="R136" s="19" t="s">
        <v>81</v>
      </c>
    </row>
    <row r="137" spans="1:18" ht="14.25" customHeight="1" x14ac:dyDescent="0.15">
      <c r="A137" s="21"/>
      <c r="B137" s="21"/>
      <c r="C137" s="21"/>
      <c r="D137" s="21"/>
      <c r="E137" s="23" t="str">
        <f t="shared" ref="E137:H137" si="92">E130</f>
        <v>2100</v>
      </c>
      <c r="F137" s="23" t="str">
        <f t="shared" si="92"/>
        <v>1900</v>
      </c>
      <c r="G137" s="23" t="str">
        <f t="shared" si="92"/>
        <v>1800</v>
      </c>
      <c r="H137" s="23">
        <f t="shared" si="92"/>
        <v>380</v>
      </c>
      <c r="I137" s="23" t="str">
        <f>I116</f>
        <v>5500</v>
      </c>
      <c r="J137" s="23" t="str">
        <f t="shared" ref="J137:R137" si="93">J130</f>
        <v>1000</v>
      </c>
      <c r="K137" s="23">
        <f t="shared" si="93"/>
        <v>375</v>
      </c>
      <c r="L137" s="23">
        <f t="shared" si="93"/>
        <v>585</v>
      </c>
      <c r="M137" s="23" t="str">
        <f t="shared" si="93"/>
        <v>1000</v>
      </c>
      <c r="N137" s="23">
        <f t="shared" si="93"/>
        <v>3300</v>
      </c>
      <c r="O137" s="23">
        <f t="shared" si="93"/>
        <v>0</v>
      </c>
      <c r="P137" s="27">
        <f t="shared" si="93"/>
        <v>0</v>
      </c>
      <c r="Q137" s="27">
        <f t="shared" si="93"/>
        <v>2</v>
      </c>
      <c r="R137" s="23">
        <f t="shared" si="93"/>
        <v>0</v>
      </c>
    </row>
    <row r="138" spans="1:18" ht="14.25" customHeight="1" x14ac:dyDescent="0.15">
      <c r="A138" s="19">
        <v>6</v>
      </c>
      <c r="B138" s="19">
        <f>1.2*3</f>
        <v>3.5999999999999996</v>
      </c>
      <c r="C138" s="19">
        <v>1.2</v>
      </c>
      <c r="D138" s="19">
        <f>B138*C138</f>
        <v>4.3199999999999994</v>
      </c>
      <c r="E138" s="19"/>
      <c r="F138" s="19"/>
      <c r="G138" s="19"/>
      <c r="H138" s="19"/>
      <c r="I138" s="19">
        <f>B138*0.4</f>
        <v>1.44</v>
      </c>
      <c r="J138" s="19">
        <v>2</v>
      </c>
      <c r="K138" s="19">
        <f t="shared" ref="K138:L138" si="94">A138</f>
        <v>6</v>
      </c>
      <c r="L138" s="19">
        <f t="shared" si="94"/>
        <v>3.5999999999999996</v>
      </c>
      <c r="M138" s="19">
        <f>A138</f>
        <v>6</v>
      </c>
      <c r="N138" s="19">
        <f>(1.2*0.4)*2</f>
        <v>0.96</v>
      </c>
      <c r="O138" s="19"/>
      <c r="P138" s="24"/>
      <c r="Q138" s="24"/>
      <c r="R138" s="19"/>
    </row>
    <row r="139" spans="1:18" ht="14.25" customHeight="1" x14ac:dyDescent="0.15">
      <c r="A139" s="19"/>
      <c r="B139" s="19"/>
      <c r="C139" s="19"/>
      <c r="D139" s="26" t="str">
        <f>D132</f>
        <v>2200</v>
      </c>
      <c r="E139" s="19">
        <v>2</v>
      </c>
      <c r="F139" s="19">
        <v>0</v>
      </c>
      <c r="G139" s="19">
        <v>0</v>
      </c>
      <c r="H139" s="19">
        <f>B138*2</f>
        <v>7.1999999999999993</v>
      </c>
      <c r="I139" s="19"/>
      <c r="J139" s="19"/>
      <c r="K139" s="19"/>
      <c r="L139" s="19"/>
      <c r="M139" s="19"/>
      <c r="N139" s="28"/>
      <c r="O139" s="19"/>
      <c r="P139" s="24"/>
      <c r="Q139" s="24"/>
      <c r="R139" s="19"/>
    </row>
    <row r="140" spans="1:18" ht="14.25" customHeight="1" x14ac:dyDescent="0.15">
      <c r="A140" s="19"/>
      <c r="B140" s="19"/>
      <c r="C140" s="19"/>
      <c r="D140" s="19">
        <f>D138*D139</f>
        <v>9503.9999999999982</v>
      </c>
      <c r="E140" s="19">
        <f>E139*E137</f>
        <v>4200</v>
      </c>
      <c r="F140" s="19">
        <f t="shared" ref="F140:H140" si="95">F137*F139</f>
        <v>0</v>
      </c>
      <c r="G140" s="19">
        <f t="shared" si="95"/>
        <v>0</v>
      </c>
      <c r="H140" s="19">
        <f t="shared" si="95"/>
        <v>2735.9999999999995</v>
      </c>
      <c r="I140" s="19">
        <f t="shared" ref="I140:N140" si="96">I137*I138</f>
        <v>7920</v>
      </c>
      <c r="J140" s="19">
        <f t="shared" si="96"/>
        <v>2000</v>
      </c>
      <c r="K140" s="19">
        <f t="shared" si="96"/>
        <v>2250</v>
      </c>
      <c r="L140" s="19">
        <f t="shared" si="96"/>
        <v>2106</v>
      </c>
      <c r="M140" s="19">
        <f t="shared" si="96"/>
        <v>6000</v>
      </c>
      <c r="N140" s="19">
        <f t="shared" si="96"/>
        <v>3168</v>
      </c>
      <c r="O140" s="19">
        <f>SUM(D140:N140)</f>
        <v>39884</v>
      </c>
      <c r="P140" s="24">
        <f>O140/A138</f>
        <v>6647.333333333333</v>
      </c>
      <c r="Q140" s="24">
        <f>P140*Q137</f>
        <v>13294.666666666666</v>
      </c>
      <c r="R140" s="19">
        <f>MROUND(Q140,100)</f>
        <v>13300</v>
      </c>
    </row>
    <row r="141" spans="1:18" ht="14.25" customHeight="1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9"/>
      <c r="Q141" s="39"/>
    </row>
    <row r="142" spans="1:18" ht="14.25" customHeight="1" x14ac:dyDescent="0.3">
      <c r="A142" s="109" t="str">
        <f>PRICELIST!I24</f>
        <v>WFLX-LNR-SH-PB-1200-X</v>
      </c>
      <c r="B142" s="87"/>
      <c r="C142" s="8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22"/>
      <c r="Q142" s="22"/>
      <c r="R142" s="17"/>
    </row>
    <row r="143" spans="1:18" ht="14.25" customHeight="1" x14ac:dyDescent="0.15">
      <c r="A143" s="19" t="s">
        <v>57</v>
      </c>
      <c r="B143" s="19" t="s">
        <v>59</v>
      </c>
      <c r="C143" s="19" t="s">
        <v>62</v>
      </c>
      <c r="D143" s="19" t="s">
        <v>64</v>
      </c>
      <c r="E143" s="19">
        <v>1200</v>
      </c>
      <c r="F143" s="19">
        <v>900</v>
      </c>
      <c r="G143" s="19">
        <v>600</v>
      </c>
      <c r="H143" s="19" t="s">
        <v>67</v>
      </c>
      <c r="I143" s="19" t="s">
        <v>68</v>
      </c>
      <c r="J143" s="19" t="s">
        <v>69</v>
      </c>
      <c r="K143" s="19" t="s">
        <v>71</v>
      </c>
      <c r="L143" s="19" t="s">
        <v>72</v>
      </c>
      <c r="M143" s="19" t="s">
        <v>73</v>
      </c>
      <c r="N143" s="19" t="s">
        <v>75</v>
      </c>
      <c r="O143" s="19" t="s">
        <v>76</v>
      </c>
      <c r="P143" s="24" t="s">
        <v>78</v>
      </c>
      <c r="Q143" s="24" t="s">
        <v>79</v>
      </c>
      <c r="R143" s="19" t="s">
        <v>81</v>
      </c>
    </row>
    <row r="144" spans="1:18" ht="14.25" customHeight="1" x14ac:dyDescent="0.15">
      <c r="A144" s="21">
        <f t="shared" ref="A144:H144" si="97">A137</f>
        <v>0</v>
      </c>
      <c r="B144" s="21">
        <f t="shared" si="97"/>
        <v>0</v>
      </c>
      <c r="C144" s="21">
        <f t="shared" si="97"/>
        <v>0</v>
      </c>
      <c r="D144" s="21">
        <f t="shared" si="97"/>
        <v>0</v>
      </c>
      <c r="E144" s="23" t="str">
        <f t="shared" si="97"/>
        <v>2100</v>
      </c>
      <c r="F144" s="23" t="str">
        <f t="shared" si="97"/>
        <v>1900</v>
      </c>
      <c r="G144" s="23" t="str">
        <f t="shared" si="97"/>
        <v>1800</v>
      </c>
      <c r="H144" s="23">
        <f t="shared" si="97"/>
        <v>380</v>
      </c>
      <c r="I144" s="23" t="str">
        <f>I123</f>
        <v>0</v>
      </c>
      <c r="J144" s="23" t="str">
        <f t="shared" ref="J144:Q144" si="98">J137</f>
        <v>1000</v>
      </c>
      <c r="K144" s="23">
        <f t="shared" si="98"/>
        <v>375</v>
      </c>
      <c r="L144" s="23">
        <f t="shared" si="98"/>
        <v>585</v>
      </c>
      <c r="M144" s="23" t="str">
        <f t="shared" si="98"/>
        <v>1000</v>
      </c>
      <c r="N144" s="23">
        <f t="shared" si="98"/>
        <v>3300</v>
      </c>
      <c r="O144" s="23">
        <f t="shared" si="98"/>
        <v>0</v>
      </c>
      <c r="P144" s="27">
        <f t="shared" si="98"/>
        <v>0</v>
      </c>
      <c r="Q144" s="27">
        <f t="shared" si="98"/>
        <v>2</v>
      </c>
      <c r="R144" s="21"/>
    </row>
    <row r="145" spans="1:18" ht="14.25" customHeight="1" x14ac:dyDescent="0.15">
      <c r="A145" s="19">
        <v>6</v>
      </c>
      <c r="B145" s="19">
        <f>1.2*3</f>
        <v>3.5999999999999996</v>
      </c>
      <c r="C145" s="19">
        <v>1.2</v>
      </c>
      <c r="D145" s="19">
        <f>B145*C145</f>
        <v>4.3199999999999994</v>
      </c>
      <c r="E145" s="19"/>
      <c r="F145" s="19"/>
      <c r="G145" s="19"/>
      <c r="H145" s="19"/>
      <c r="I145" s="19">
        <f>B145*0.4</f>
        <v>1.44</v>
      </c>
      <c r="J145" s="19">
        <v>2</v>
      </c>
      <c r="K145" s="19">
        <f t="shared" ref="K145:L145" si="99">A145</f>
        <v>6</v>
      </c>
      <c r="L145" s="19">
        <f t="shared" si="99"/>
        <v>3.5999999999999996</v>
      </c>
      <c r="M145" s="19">
        <f>A145</f>
        <v>6</v>
      </c>
      <c r="N145" s="19">
        <f>(1.2*0.4)*2</f>
        <v>0.96</v>
      </c>
      <c r="O145" s="19"/>
      <c r="P145" s="24"/>
      <c r="Q145" s="24"/>
      <c r="R145" s="19"/>
    </row>
    <row r="146" spans="1:18" ht="14.25" customHeight="1" x14ac:dyDescent="0.15">
      <c r="A146" s="19"/>
      <c r="B146" s="19"/>
      <c r="C146" s="19"/>
      <c r="D146" s="26" t="str">
        <f>D139</f>
        <v>2200</v>
      </c>
      <c r="E146" s="19">
        <v>2</v>
      </c>
      <c r="F146" s="19">
        <v>0</v>
      </c>
      <c r="G146" s="19">
        <v>0</v>
      </c>
      <c r="H146" s="19">
        <f>B145*2</f>
        <v>7.1999999999999993</v>
      </c>
      <c r="I146" s="19"/>
      <c r="J146" s="19"/>
      <c r="K146" s="19"/>
      <c r="L146" s="19"/>
      <c r="M146" s="19"/>
      <c r="N146" s="28"/>
      <c r="O146" s="19"/>
      <c r="P146" s="24"/>
      <c r="Q146" s="24"/>
      <c r="R146" s="19"/>
    </row>
    <row r="147" spans="1:18" ht="14.25" customHeight="1" x14ac:dyDescent="0.15">
      <c r="A147" s="19"/>
      <c r="B147" s="19"/>
      <c r="C147" s="19"/>
      <c r="D147" s="19">
        <f>D145*D146</f>
        <v>9503.9999999999982</v>
      </c>
      <c r="E147" s="19">
        <f>E146*E144</f>
        <v>4200</v>
      </c>
      <c r="F147" s="19">
        <f t="shared" ref="F147:H147" si="100">F144*F146</f>
        <v>0</v>
      </c>
      <c r="G147" s="19">
        <f t="shared" si="100"/>
        <v>0</v>
      </c>
      <c r="H147" s="19">
        <f t="shared" si="100"/>
        <v>2735.9999999999995</v>
      </c>
      <c r="I147" s="19">
        <f t="shared" ref="I147:N147" si="101">I144*I145</f>
        <v>0</v>
      </c>
      <c r="J147" s="19">
        <f t="shared" si="101"/>
        <v>2000</v>
      </c>
      <c r="K147" s="19">
        <f t="shared" si="101"/>
        <v>2250</v>
      </c>
      <c r="L147" s="19">
        <f t="shared" si="101"/>
        <v>2106</v>
      </c>
      <c r="M147" s="19">
        <f t="shared" si="101"/>
        <v>6000</v>
      </c>
      <c r="N147" s="19">
        <f t="shared" si="101"/>
        <v>3168</v>
      </c>
      <c r="O147" s="19">
        <f>SUM(D147:N147)</f>
        <v>31963.999999999996</v>
      </c>
      <c r="P147" s="24">
        <f>O147/A145</f>
        <v>5327.333333333333</v>
      </c>
      <c r="Q147" s="24">
        <f>P147*Q144</f>
        <v>10654.666666666666</v>
      </c>
      <c r="R147" s="19">
        <f>MROUND(Q147,100)</f>
        <v>10700</v>
      </c>
    </row>
    <row r="148" spans="1:18" ht="14.25" customHeight="1" x14ac:dyDescent="0.1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9"/>
      <c r="Q148" s="39"/>
    </row>
    <row r="149" spans="1:18" ht="14.25" customHeight="1" x14ac:dyDescent="0.3">
      <c r="A149" s="109" t="str">
        <f>PRICELIST!I25</f>
        <v>WFLX-LNR-SH-PLM-1200-F</v>
      </c>
      <c r="B149" s="87"/>
      <c r="C149" s="8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22"/>
      <c r="Q149" s="22"/>
      <c r="R149" s="17"/>
    </row>
    <row r="150" spans="1:18" ht="14.25" customHeight="1" x14ac:dyDescent="0.15">
      <c r="A150" s="19" t="s">
        <v>57</v>
      </c>
      <c r="B150" s="19" t="s">
        <v>59</v>
      </c>
      <c r="C150" s="19" t="s">
        <v>62</v>
      </c>
      <c r="D150" s="19" t="s">
        <v>64</v>
      </c>
      <c r="E150" s="19">
        <v>1200</v>
      </c>
      <c r="F150" s="19">
        <v>900</v>
      </c>
      <c r="G150" s="19">
        <v>600</v>
      </c>
      <c r="H150" s="19" t="s">
        <v>67</v>
      </c>
      <c r="I150" s="19" t="s">
        <v>68</v>
      </c>
      <c r="J150" s="19" t="s">
        <v>69</v>
      </c>
      <c r="K150" s="19" t="s">
        <v>71</v>
      </c>
      <c r="L150" s="19" t="s">
        <v>72</v>
      </c>
      <c r="M150" s="19" t="s">
        <v>73</v>
      </c>
      <c r="N150" s="19" t="s">
        <v>75</v>
      </c>
      <c r="O150" s="19" t="s">
        <v>76</v>
      </c>
      <c r="P150" s="24" t="s">
        <v>78</v>
      </c>
      <c r="Q150" s="24" t="s">
        <v>79</v>
      </c>
      <c r="R150" s="19" t="s">
        <v>81</v>
      </c>
    </row>
    <row r="151" spans="1:18" ht="14.25" customHeight="1" x14ac:dyDescent="0.15">
      <c r="A151" s="21">
        <f t="shared" ref="A151:H151" si="102">A144</f>
        <v>0</v>
      </c>
      <c r="B151" s="21">
        <f t="shared" si="102"/>
        <v>0</v>
      </c>
      <c r="C151" s="21">
        <f t="shared" si="102"/>
        <v>0</v>
      </c>
      <c r="D151" s="21">
        <f t="shared" si="102"/>
        <v>0</v>
      </c>
      <c r="E151" s="23" t="str">
        <f t="shared" si="102"/>
        <v>2100</v>
      </c>
      <c r="F151" s="23" t="str">
        <f t="shared" si="102"/>
        <v>1900</v>
      </c>
      <c r="G151" s="23" t="str">
        <f t="shared" si="102"/>
        <v>1800</v>
      </c>
      <c r="H151" s="23">
        <f t="shared" si="102"/>
        <v>380</v>
      </c>
      <c r="I151" s="23" t="str">
        <f>I130</f>
        <v>4800</v>
      </c>
      <c r="J151" s="23" t="str">
        <f t="shared" ref="J151:Q151" si="103">J144</f>
        <v>1000</v>
      </c>
      <c r="K151" s="23">
        <f t="shared" si="103"/>
        <v>375</v>
      </c>
      <c r="L151" s="23">
        <f t="shared" si="103"/>
        <v>585</v>
      </c>
      <c r="M151" s="23" t="str">
        <f t="shared" si="103"/>
        <v>1000</v>
      </c>
      <c r="N151" s="23">
        <f t="shared" si="103"/>
        <v>3300</v>
      </c>
      <c r="O151" s="23">
        <f t="shared" si="103"/>
        <v>0</v>
      </c>
      <c r="P151" s="27">
        <f t="shared" si="103"/>
        <v>0</v>
      </c>
      <c r="Q151" s="27">
        <f t="shared" si="103"/>
        <v>2</v>
      </c>
      <c r="R151" s="21"/>
    </row>
    <row r="152" spans="1:18" ht="14.25" customHeight="1" x14ac:dyDescent="0.15">
      <c r="A152" s="19">
        <v>6</v>
      </c>
      <c r="B152" s="19">
        <f>1.2*3</f>
        <v>3.5999999999999996</v>
      </c>
      <c r="C152" s="19">
        <v>1.2</v>
      </c>
      <c r="D152" s="19">
        <f>B152*C152</f>
        <v>4.3199999999999994</v>
      </c>
      <c r="E152" s="19"/>
      <c r="F152" s="19"/>
      <c r="G152" s="19"/>
      <c r="H152" s="19"/>
      <c r="I152" s="19">
        <f>B152*0.4</f>
        <v>1.44</v>
      </c>
      <c r="J152" s="19">
        <v>2</v>
      </c>
      <c r="K152" s="19">
        <f t="shared" ref="K152:L152" si="104">A152</f>
        <v>6</v>
      </c>
      <c r="L152" s="19">
        <f t="shared" si="104"/>
        <v>3.5999999999999996</v>
      </c>
      <c r="M152" s="19">
        <f>A152</f>
        <v>6</v>
      </c>
      <c r="N152" s="19">
        <f>(1.2*0.4)*2</f>
        <v>0.96</v>
      </c>
      <c r="O152" s="19"/>
      <c r="P152" s="24"/>
      <c r="Q152" s="24"/>
      <c r="R152" s="19"/>
    </row>
    <row r="153" spans="1:18" ht="14.25" customHeight="1" x14ac:dyDescent="0.15">
      <c r="A153" s="19"/>
      <c r="B153" s="19"/>
      <c r="C153" s="19"/>
      <c r="D153" s="26" t="str">
        <f>D27</f>
        <v>3000</v>
      </c>
      <c r="E153" s="19">
        <v>2</v>
      </c>
      <c r="F153" s="19">
        <v>0</v>
      </c>
      <c r="G153" s="19">
        <v>0</v>
      </c>
      <c r="H153" s="19">
        <f>B152*2</f>
        <v>7.1999999999999993</v>
      </c>
      <c r="I153" s="19"/>
      <c r="J153" s="19"/>
      <c r="K153" s="19"/>
      <c r="L153" s="19"/>
      <c r="M153" s="19"/>
      <c r="N153" s="28"/>
      <c r="O153" s="19"/>
      <c r="P153" s="24"/>
      <c r="Q153" s="24"/>
      <c r="R153" s="19"/>
    </row>
    <row r="154" spans="1:18" ht="14.25" customHeight="1" x14ac:dyDescent="0.15">
      <c r="A154" s="19"/>
      <c r="B154" s="19"/>
      <c r="C154" s="19"/>
      <c r="D154" s="19">
        <f>D152*D153</f>
        <v>12959.999999999998</v>
      </c>
      <c r="E154" s="19">
        <f>E153*E151</f>
        <v>4200</v>
      </c>
      <c r="F154" s="19">
        <f t="shared" ref="F154:H154" si="105">F151*F153</f>
        <v>0</v>
      </c>
      <c r="G154" s="19">
        <f t="shared" si="105"/>
        <v>0</v>
      </c>
      <c r="H154" s="19">
        <f t="shared" si="105"/>
        <v>2735.9999999999995</v>
      </c>
      <c r="I154" s="19">
        <f t="shared" ref="I154:N154" si="106">I151*I152</f>
        <v>6912</v>
      </c>
      <c r="J154" s="19">
        <f t="shared" si="106"/>
        <v>2000</v>
      </c>
      <c r="K154" s="19">
        <f t="shared" si="106"/>
        <v>2250</v>
      </c>
      <c r="L154" s="19">
        <f t="shared" si="106"/>
        <v>2106</v>
      </c>
      <c r="M154" s="19">
        <f t="shared" si="106"/>
        <v>6000</v>
      </c>
      <c r="N154" s="19">
        <f t="shared" si="106"/>
        <v>3168</v>
      </c>
      <c r="O154" s="19">
        <f>SUM(D154:N154)</f>
        <v>42332</v>
      </c>
      <c r="P154" s="24">
        <f>O154/A152</f>
        <v>7055.333333333333</v>
      </c>
      <c r="Q154" s="24">
        <f>P154*Q151</f>
        <v>14110.666666666666</v>
      </c>
      <c r="R154" s="19">
        <f>MROUND(Q154,100)</f>
        <v>14100</v>
      </c>
    </row>
    <row r="155" spans="1:18" ht="14.25" customHeight="1" x14ac:dyDescent="0.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9"/>
      <c r="Q155" s="39"/>
    </row>
    <row r="156" spans="1:18" ht="14.25" customHeight="1" x14ac:dyDescent="0.3">
      <c r="A156" s="109" t="str">
        <f>PRICELIST!I26</f>
        <v>WFLX-LNR-SH-PLM-1200-G</v>
      </c>
      <c r="B156" s="87"/>
      <c r="C156" s="8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22"/>
      <c r="Q156" s="22"/>
      <c r="R156" s="17"/>
    </row>
    <row r="157" spans="1:18" ht="14.25" customHeight="1" x14ac:dyDescent="0.15">
      <c r="A157" s="19" t="s">
        <v>57</v>
      </c>
      <c r="B157" s="19" t="s">
        <v>59</v>
      </c>
      <c r="C157" s="19" t="s">
        <v>62</v>
      </c>
      <c r="D157" s="19" t="s">
        <v>64</v>
      </c>
      <c r="E157" s="19">
        <v>1200</v>
      </c>
      <c r="F157" s="19">
        <v>900</v>
      </c>
      <c r="G157" s="19">
        <v>600</v>
      </c>
      <c r="H157" s="19" t="s">
        <v>67</v>
      </c>
      <c r="I157" s="19" t="s">
        <v>68</v>
      </c>
      <c r="J157" s="19" t="s">
        <v>69</v>
      </c>
      <c r="K157" s="19" t="s">
        <v>71</v>
      </c>
      <c r="L157" s="19" t="s">
        <v>72</v>
      </c>
      <c r="M157" s="19" t="s">
        <v>73</v>
      </c>
      <c r="N157" s="19" t="s">
        <v>75</v>
      </c>
      <c r="O157" s="19" t="s">
        <v>76</v>
      </c>
      <c r="P157" s="24" t="s">
        <v>78</v>
      </c>
      <c r="Q157" s="24" t="s">
        <v>79</v>
      </c>
      <c r="R157" s="19" t="s">
        <v>81</v>
      </c>
    </row>
    <row r="158" spans="1:18" ht="14.25" customHeight="1" x14ac:dyDescent="0.15">
      <c r="A158" s="21">
        <f t="shared" ref="A158:H158" si="107">A151</f>
        <v>0</v>
      </c>
      <c r="B158" s="21">
        <f t="shared" si="107"/>
        <v>0</v>
      </c>
      <c r="C158" s="21">
        <f t="shared" si="107"/>
        <v>0</v>
      </c>
      <c r="D158" s="21">
        <f t="shared" si="107"/>
        <v>0</v>
      </c>
      <c r="E158" s="23" t="str">
        <f t="shared" si="107"/>
        <v>2100</v>
      </c>
      <c r="F158" s="23" t="str">
        <f t="shared" si="107"/>
        <v>1900</v>
      </c>
      <c r="G158" s="23" t="str">
        <f t="shared" si="107"/>
        <v>1800</v>
      </c>
      <c r="H158" s="23">
        <f t="shared" si="107"/>
        <v>380</v>
      </c>
      <c r="I158" s="23" t="str">
        <f>I137</f>
        <v>5500</v>
      </c>
      <c r="J158" s="23" t="str">
        <f t="shared" ref="J158:Q158" si="108">J151</f>
        <v>1000</v>
      </c>
      <c r="K158" s="23">
        <f t="shared" si="108"/>
        <v>375</v>
      </c>
      <c r="L158" s="23">
        <f t="shared" si="108"/>
        <v>585</v>
      </c>
      <c r="M158" s="23" t="str">
        <f t="shared" si="108"/>
        <v>1000</v>
      </c>
      <c r="N158" s="23">
        <f t="shared" si="108"/>
        <v>3300</v>
      </c>
      <c r="O158" s="23">
        <f t="shared" si="108"/>
        <v>0</v>
      </c>
      <c r="P158" s="27">
        <f t="shared" si="108"/>
        <v>0</v>
      </c>
      <c r="Q158" s="27">
        <f t="shared" si="108"/>
        <v>2</v>
      </c>
      <c r="R158" s="21"/>
    </row>
    <row r="159" spans="1:18" ht="14.25" customHeight="1" x14ac:dyDescent="0.15">
      <c r="A159" s="19">
        <v>6</v>
      </c>
      <c r="B159" s="19">
        <f>1.2*3</f>
        <v>3.5999999999999996</v>
      </c>
      <c r="C159" s="19">
        <v>1.2</v>
      </c>
      <c r="D159" s="19">
        <f>B159*C159</f>
        <v>4.3199999999999994</v>
      </c>
      <c r="E159" s="19"/>
      <c r="F159" s="19"/>
      <c r="G159" s="19"/>
      <c r="H159" s="19"/>
      <c r="I159" s="19">
        <f>B159*0.4</f>
        <v>1.44</v>
      </c>
      <c r="J159" s="19">
        <v>2</v>
      </c>
      <c r="K159" s="19">
        <f t="shared" ref="K159:L159" si="109">A159</f>
        <v>6</v>
      </c>
      <c r="L159" s="19">
        <f t="shared" si="109"/>
        <v>3.5999999999999996</v>
      </c>
      <c r="M159" s="19">
        <f>A159</f>
        <v>6</v>
      </c>
      <c r="N159" s="19">
        <f>(1.2*0.4)*2</f>
        <v>0.96</v>
      </c>
      <c r="O159" s="19"/>
      <c r="P159" s="24"/>
      <c r="Q159" s="24"/>
      <c r="R159" s="19"/>
    </row>
    <row r="160" spans="1:18" ht="14.25" customHeight="1" x14ac:dyDescent="0.15">
      <c r="A160" s="19"/>
      <c r="B160" s="19"/>
      <c r="C160" s="19"/>
      <c r="D160" s="26" t="str">
        <f>D153</f>
        <v>3000</v>
      </c>
      <c r="E160" s="19">
        <v>2</v>
      </c>
      <c r="F160" s="19">
        <v>0</v>
      </c>
      <c r="G160" s="19">
        <v>0</v>
      </c>
      <c r="H160" s="19">
        <f>B159*2</f>
        <v>7.1999999999999993</v>
      </c>
      <c r="I160" s="19"/>
      <c r="J160" s="19"/>
      <c r="K160" s="19"/>
      <c r="L160" s="19"/>
      <c r="M160" s="19"/>
      <c r="N160" s="28"/>
      <c r="O160" s="19"/>
      <c r="P160" s="24"/>
      <c r="Q160" s="24"/>
      <c r="R160" s="19"/>
    </row>
    <row r="161" spans="1:18" ht="14.25" customHeight="1" x14ac:dyDescent="0.15">
      <c r="A161" s="19"/>
      <c r="B161" s="19"/>
      <c r="C161" s="19"/>
      <c r="D161" s="19">
        <f>D159*D160</f>
        <v>12959.999999999998</v>
      </c>
      <c r="E161" s="19">
        <f>E160*E158</f>
        <v>4200</v>
      </c>
      <c r="F161" s="19">
        <f t="shared" ref="F161:H161" si="110">F158*F160</f>
        <v>0</v>
      </c>
      <c r="G161" s="19">
        <f t="shared" si="110"/>
        <v>0</v>
      </c>
      <c r="H161" s="19">
        <f t="shared" si="110"/>
        <v>2735.9999999999995</v>
      </c>
      <c r="I161" s="19">
        <f t="shared" ref="I161:N161" si="111">I158*I159</f>
        <v>7920</v>
      </c>
      <c r="J161" s="19">
        <f t="shared" si="111"/>
        <v>2000</v>
      </c>
      <c r="K161" s="19">
        <f t="shared" si="111"/>
        <v>2250</v>
      </c>
      <c r="L161" s="19">
        <f t="shared" si="111"/>
        <v>2106</v>
      </c>
      <c r="M161" s="19">
        <f t="shared" si="111"/>
        <v>6000</v>
      </c>
      <c r="N161" s="19">
        <f t="shared" si="111"/>
        <v>3168</v>
      </c>
      <c r="O161" s="19">
        <f>SUM(D161:N161)</f>
        <v>43340</v>
      </c>
      <c r="P161" s="24">
        <f>O161/A159</f>
        <v>7223.333333333333</v>
      </c>
      <c r="Q161" s="24">
        <f>P161*Q158</f>
        <v>14446.666666666666</v>
      </c>
      <c r="R161" s="19">
        <f>MROUND(Q161,100)</f>
        <v>14400</v>
      </c>
    </row>
    <row r="162" spans="1:18" ht="14.25" customHeight="1" x14ac:dyDescent="0.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9"/>
      <c r="Q162" s="39"/>
    </row>
    <row r="163" spans="1:18" ht="14.25" customHeight="1" x14ac:dyDescent="0.3">
      <c r="A163" s="109" t="str">
        <f>PRICELIST!I27</f>
        <v>WFLX-LNR-SH-PLM-1200-X</v>
      </c>
      <c r="B163" s="87"/>
      <c r="C163" s="8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22"/>
      <c r="Q163" s="22"/>
      <c r="R163" s="17"/>
    </row>
    <row r="164" spans="1:18" ht="14.25" customHeight="1" x14ac:dyDescent="0.15">
      <c r="A164" s="19" t="s">
        <v>57</v>
      </c>
      <c r="B164" s="19" t="s">
        <v>59</v>
      </c>
      <c r="C164" s="19" t="s">
        <v>62</v>
      </c>
      <c r="D164" s="19" t="s">
        <v>64</v>
      </c>
      <c r="E164" s="19">
        <v>1200</v>
      </c>
      <c r="F164" s="19">
        <v>900</v>
      </c>
      <c r="G164" s="19">
        <v>600</v>
      </c>
      <c r="H164" s="19" t="s">
        <v>67</v>
      </c>
      <c r="I164" s="19" t="s">
        <v>68</v>
      </c>
      <c r="J164" s="19" t="s">
        <v>69</v>
      </c>
      <c r="K164" s="19" t="s">
        <v>71</v>
      </c>
      <c r="L164" s="19" t="s">
        <v>72</v>
      </c>
      <c r="M164" s="19" t="s">
        <v>73</v>
      </c>
      <c r="N164" s="19" t="s">
        <v>75</v>
      </c>
      <c r="O164" s="19" t="s">
        <v>76</v>
      </c>
      <c r="P164" s="24" t="s">
        <v>78</v>
      </c>
      <c r="Q164" s="24" t="s">
        <v>79</v>
      </c>
      <c r="R164" s="19" t="s">
        <v>81</v>
      </c>
    </row>
    <row r="165" spans="1:18" ht="14.25" customHeight="1" x14ac:dyDescent="0.15">
      <c r="A165" s="21">
        <f t="shared" ref="A165:H165" si="112">A158</f>
        <v>0</v>
      </c>
      <c r="B165" s="21">
        <f t="shared" si="112"/>
        <v>0</v>
      </c>
      <c r="C165" s="21">
        <f t="shared" si="112"/>
        <v>0</v>
      </c>
      <c r="D165" s="21">
        <f t="shared" si="112"/>
        <v>0</v>
      </c>
      <c r="E165" s="23" t="str">
        <f t="shared" si="112"/>
        <v>2100</v>
      </c>
      <c r="F165" s="23" t="str">
        <f t="shared" si="112"/>
        <v>1900</v>
      </c>
      <c r="G165" s="23" t="str">
        <f t="shared" si="112"/>
        <v>1800</v>
      </c>
      <c r="H165" s="23">
        <f t="shared" si="112"/>
        <v>380</v>
      </c>
      <c r="I165" s="23" t="str">
        <f>I144</f>
        <v>0</v>
      </c>
      <c r="J165" s="23" t="str">
        <f t="shared" ref="J165:Q165" si="113">J158</f>
        <v>1000</v>
      </c>
      <c r="K165" s="23">
        <f t="shared" si="113"/>
        <v>375</v>
      </c>
      <c r="L165" s="23">
        <f t="shared" si="113"/>
        <v>585</v>
      </c>
      <c r="M165" s="23" t="str">
        <f t="shared" si="113"/>
        <v>1000</v>
      </c>
      <c r="N165" s="23">
        <f t="shared" si="113"/>
        <v>3300</v>
      </c>
      <c r="O165" s="23">
        <f t="shared" si="113"/>
        <v>0</v>
      </c>
      <c r="P165" s="27">
        <f t="shared" si="113"/>
        <v>0</v>
      </c>
      <c r="Q165" s="27">
        <f t="shared" si="113"/>
        <v>2</v>
      </c>
      <c r="R165" s="21"/>
    </row>
    <row r="166" spans="1:18" ht="14.25" customHeight="1" x14ac:dyDescent="0.15">
      <c r="A166" s="19">
        <v>6</v>
      </c>
      <c r="B166" s="19">
        <f>1.2*3</f>
        <v>3.5999999999999996</v>
      </c>
      <c r="C166" s="19">
        <v>1.2</v>
      </c>
      <c r="D166" s="19">
        <f>B166*C166</f>
        <v>4.3199999999999994</v>
      </c>
      <c r="E166" s="19"/>
      <c r="F166" s="19"/>
      <c r="G166" s="19"/>
      <c r="H166" s="19"/>
      <c r="I166" s="19">
        <f>B166*0.4</f>
        <v>1.44</v>
      </c>
      <c r="J166" s="19">
        <v>2</v>
      </c>
      <c r="K166" s="19">
        <f t="shared" ref="K166:L166" si="114">A166</f>
        <v>6</v>
      </c>
      <c r="L166" s="19">
        <f t="shared" si="114"/>
        <v>3.5999999999999996</v>
      </c>
      <c r="M166" s="19">
        <f>A166</f>
        <v>6</v>
      </c>
      <c r="N166" s="19">
        <f>(1.2*0.4)*2</f>
        <v>0.96</v>
      </c>
      <c r="O166" s="19"/>
      <c r="P166" s="24"/>
      <c r="Q166" s="24"/>
      <c r="R166" s="19"/>
    </row>
    <row r="167" spans="1:18" ht="14.25" customHeight="1" x14ac:dyDescent="0.15">
      <c r="A167" s="19"/>
      <c r="B167" s="19"/>
      <c r="C167" s="19"/>
      <c r="D167" s="26" t="str">
        <f>D160</f>
        <v>3000</v>
      </c>
      <c r="E167" s="19">
        <v>2</v>
      </c>
      <c r="F167" s="19">
        <v>0</v>
      </c>
      <c r="G167" s="19">
        <v>0</v>
      </c>
      <c r="H167" s="19">
        <f>B166*2</f>
        <v>7.1999999999999993</v>
      </c>
      <c r="I167" s="19"/>
      <c r="J167" s="19"/>
      <c r="K167" s="19"/>
      <c r="L167" s="19"/>
      <c r="M167" s="19"/>
      <c r="N167" s="28"/>
      <c r="O167" s="19"/>
      <c r="P167" s="24"/>
      <c r="Q167" s="24"/>
      <c r="R167" s="19"/>
    </row>
    <row r="168" spans="1:18" ht="14.25" customHeight="1" x14ac:dyDescent="0.15">
      <c r="A168" s="19"/>
      <c r="B168" s="19"/>
      <c r="C168" s="19"/>
      <c r="D168" s="19">
        <f>D166*D167</f>
        <v>12959.999999999998</v>
      </c>
      <c r="E168" s="19">
        <f>E167*E165</f>
        <v>4200</v>
      </c>
      <c r="F168" s="19">
        <f t="shared" ref="F168:H168" si="115">F165*F167</f>
        <v>0</v>
      </c>
      <c r="G168" s="19">
        <f t="shared" si="115"/>
        <v>0</v>
      </c>
      <c r="H168" s="19">
        <f t="shared" si="115"/>
        <v>2735.9999999999995</v>
      </c>
      <c r="I168" s="19">
        <f t="shared" ref="I168:N168" si="116">I165*I166</f>
        <v>0</v>
      </c>
      <c r="J168" s="19">
        <f t="shared" si="116"/>
        <v>2000</v>
      </c>
      <c r="K168" s="19">
        <f t="shared" si="116"/>
        <v>2250</v>
      </c>
      <c r="L168" s="19">
        <f t="shared" si="116"/>
        <v>2106</v>
      </c>
      <c r="M168" s="19">
        <f t="shared" si="116"/>
        <v>6000</v>
      </c>
      <c r="N168" s="19">
        <f t="shared" si="116"/>
        <v>3168</v>
      </c>
      <c r="O168" s="19">
        <f>SUM(D168:N168)</f>
        <v>35420</v>
      </c>
      <c r="P168" s="24">
        <f>O168/A166</f>
        <v>5903.333333333333</v>
      </c>
      <c r="Q168" s="24">
        <f>P168*Q165</f>
        <v>11806.666666666666</v>
      </c>
      <c r="R168" s="19">
        <f>MROUND(Q168,100)</f>
        <v>11800</v>
      </c>
    </row>
    <row r="169" spans="1:18" ht="14.25" customHeight="1" x14ac:dyDescent="0.1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9"/>
      <c r="Q169" s="39"/>
    </row>
    <row r="170" spans="1:18" ht="14.25" customHeight="1" x14ac:dyDescent="0.3">
      <c r="A170" s="109" t="str">
        <f>PRICELIST!I28</f>
        <v>WFLX-LNR-SH-PoLM-1200-F</v>
      </c>
      <c r="B170" s="87"/>
      <c r="C170" s="8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22"/>
      <c r="Q170" s="22"/>
      <c r="R170" s="17"/>
    </row>
    <row r="171" spans="1:18" ht="14.25" customHeight="1" x14ac:dyDescent="0.15">
      <c r="A171" s="19" t="s">
        <v>57</v>
      </c>
      <c r="B171" s="19" t="s">
        <v>59</v>
      </c>
      <c r="C171" s="19" t="s">
        <v>62</v>
      </c>
      <c r="D171" s="19" t="s">
        <v>64</v>
      </c>
      <c r="E171" s="19">
        <v>1200</v>
      </c>
      <c r="F171" s="19">
        <v>900</v>
      </c>
      <c r="G171" s="19">
        <v>600</v>
      </c>
      <c r="H171" s="19" t="s">
        <v>67</v>
      </c>
      <c r="I171" s="19" t="s">
        <v>68</v>
      </c>
      <c r="J171" s="19" t="s">
        <v>69</v>
      </c>
      <c r="K171" s="19" t="s">
        <v>71</v>
      </c>
      <c r="L171" s="19" t="s">
        <v>72</v>
      </c>
      <c r="M171" s="19" t="s">
        <v>73</v>
      </c>
      <c r="N171" s="19" t="s">
        <v>75</v>
      </c>
      <c r="O171" s="19" t="s">
        <v>76</v>
      </c>
      <c r="P171" s="24" t="s">
        <v>78</v>
      </c>
      <c r="Q171" s="24" t="s">
        <v>79</v>
      </c>
      <c r="R171" s="19" t="s">
        <v>81</v>
      </c>
    </row>
    <row r="172" spans="1:18" ht="14.25" customHeight="1" x14ac:dyDescent="0.15">
      <c r="A172" s="21">
        <f t="shared" ref="A172:H172" si="117">A165</f>
        <v>0</v>
      </c>
      <c r="B172" s="21">
        <f t="shared" si="117"/>
        <v>0</v>
      </c>
      <c r="C172" s="21">
        <f t="shared" si="117"/>
        <v>0</v>
      </c>
      <c r="D172" s="21">
        <f t="shared" si="117"/>
        <v>0</v>
      </c>
      <c r="E172" s="23" t="str">
        <f t="shared" si="117"/>
        <v>2100</v>
      </c>
      <c r="F172" s="23" t="str">
        <f t="shared" si="117"/>
        <v>1900</v>
      </c>
      <c r="G172" s="23" t="str">
        <f t="shared" si="117"/>
        <v>1800</v>
      </c>
      <c r="H172" s="23">
        <f t="shared" si="117"/>
        <v>380</v>
      </c>
      <c r="I172" s="23" t="str">
        <f>I151</f>
        <v>4800</v>
      </c>
      <c r="J172" s="23" t="str">
        <f t="shared" ref="J172:Q172" si="118">J165</f>
        <v>1000</v>
      </c>
      <c r="K172" s="23">
        <f t="shared" si="118"/>
        <v>375</v>
      </c>
      <c r="L172" s="23">
        <f t="shared" si="118"/>
        <v>585</v>
      </c>
      <c r="M172" s="23" t="str">
        <f t="shared" si="118"/>
        <v>1000</v>
      </c>
      <c r="N172" s="23">
        <f t="shared" si="118"/>
        <v>3300</v>
      </c>
      <c r="O172" s="23">
        <f t="shared" si="118"/>
        <v>0</v>
      </c>
      <c r="P172" s="27">
        <f t="shared" si="118"/>
        <v>0</v>
      </c>
      <c r="Q172" s="27">
        <f t="shared" si="118"/>
        <v>2</v>
      </c>
      <c r="R172" s="21"/>
    </row>
    <row r="173" spans="1:18" ht="14.25" customHeight="1" x14ac:dyDescent="0.15">
      <c r="A173" s="19">
        <v>6</v>
      </c>
      <c r="B173" s="19">
        <f>1.2*3</f>
        <v>3.5999999999999996</v>
      </c>
      <c r="C173" s="19">
        <v>1.2</v>
      </c>
      <c r="D173" s="19">
        <f>B173*C173</f>
        <v>4.3199999999999994</v>
      </c>
      <c r="E173" s="19"/>
      <c r="F173" s="19"/>
      <c r="G173" s="19"/>
      <c r="H173" s="19"/>
      <c r="I173" s="19">
        <f>B173*0.4</f>
        <v>1.44</v>
      </c>
      <c r="J173" s="19">
        <v>2</v>
      </c>
      <c r="K173" s="19">
        <f t="shared" ref="K173:L173" si="119">A173</f>
        <v>6</v>
      </c>
      <c r="L173" s="19">
        <f t="shared" si="119"/>
        <v>3.5999999999999996</v>
      </c>
      <c r="M173" s="19">
        <f>A173</f>
        <v>6</v>
      </c>
      <c r="N173" s="19">
        <f>(1.2*0.4)*2</f>
        <v>0.96</v>
      </c>
      <c r="O173" s="19"/>
      <c r="P173" s="24"/>
      <c r="Q173" s="24"/>
      <c r="R173" s="19"/>
    </row>
    <row r="174" spans="1:18" ht="14.25" customHeight="1" x14ac:dyDescent="0.15">
      <c r="A174" s="19"/>
      <c r="B174" s="19"/>
      <c r="C174" s="19"/>
      <c r="D174" s="26" t="str">
        <f>D55</f>
        <v>7500</v>
      </c>
      <c r="E174" s="19">
        <v>2</v>
      </c>
      <c r="F174" s="19">
        <v>0</v>
      </c>
      <c r="G174" s="19">
        <v>0</v>
      </c>
      <c r="H174" s="19">
        <f>B173*2</f>
        <v>7.1999999999999993</v>
      </c>
      <c r="I174" s="19"/>
      <c r="J174" s="19"/>
      <c r="K174" s="19"/>
      <c r="L174" s="19"/>
      <c r="M174" s="19"/>
      <c r="N174" s="28"/>
      <c r="O174" s="19"/>
      <c r="P174" s="24"/>
      <c r="Q174" s="24"/>
      <c r="R174" s="19"/>
    </row>
    <row r="175" spans="1:18" ht="14.25" customHeight="1" x14ac:dyDescent="0.15">
      <c r="A175" s="19"/>
      <c r="B175" s="19"/>
      <c r="C175" s="19"/>
      <c r="D175" s="19">
        <f>D173*D174</f>
        <v>32399.999999999996</v>
      </c>
      <c r="E175" s="19">
        <f>E174*E172</f>
        <v>4200</v>
      </c>
      <c r="F175" s="19">
        <f t="shared" ref="F175:H175" si="120">F172*F174</f>
        <v>0</v>
      </c>
      <c r="G175" s="19">
        <f t="shared" si="120"/>
        <v>0</v>
      </c>
      <c r="H175" s="19">
        <f t="shared" si="120"/>
        <v>2735.9999999999995</v>
      </c>
      <c r="I175" s="19">
        <f t="shared" ref="I175:N175" si="121">I172*I173</f>
        <v>6912</v>
      </c>
      <c r="J175" s="19">
        <f t="shared" si="121"/>
        <v>2000</v>
      </c>
      <c r="K175" s="19">
        <f t="shared" si="121"/>
        <v>2250</v>
      </c>
      <c r="L175" s="19">
        <f t="shared" si="121"/>
        <v>2106</v>
      </c>
      <c r="M175" s="19">
        <f t="shared" si="121"/>
        <v>6000</v>
      </c>
      <c r="N175" s="19">
        <f t="shared" si="121"/>
        <v>3168</v>
      </c>
      <c r="O175" s="19">
        <f>SUM(D175:N175)</f>
        <v>61772</v>
      </c>
      <c r="P175" s="24">
        <f>O175/A173</f>
        <v>10295.333333333334</v>
      </c>
      <c r="Q175" s="24">
        <f>P175*Q172</f>
        <v>20590.666666666668</v>
      </c>
      <c r="R175" s="19">
        <f>MROUND(Q175,100)</f>
        <v>20600</v>
      </c>
    </row>
    <row r="176" spans="1:18" ht="14.25" customHeight="1" x14ac:dyDescent="0.1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9"/>
      <c r="Q176" s="39"/>
    </row>
    <row r="177" spans="1:18" ht="14.25" customHeight="1" x14ac:dyDescent="0.3">
      <c r="A177" s="109" t="str">
        <f>PRICELIST!I29</f>
        <v>WFLX-LNR-SH-PoLM-1200-G</v>
      </c>
      <c r="B177" s="87"/>
      <c r="C177" s="8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22"/>
      <c r="Q177" s="22"/>
      <c r="R177" s="17"/>
    </row>
    <row r="178" spans="1:18" ht="14.25" customHeight="1" x14ac:dyDescent="0.15">
      <c r="A178" s="19" t="s">
        <v>57</v>
      </c>
      <c r="B178" s="19" t="s">
        <v>59</v>
      </c>
      <c r="C178" s="19" t="s">
        <v>62</v>
      </c>
      <c r="D178" s="19" t="s">
        <v>64</v>
      </c>
      <c r="E178" s="19">
        <v>1200</v>
      </c>
      <c r="F178" s="19">
        <v>900</v>
      </c>
      <c r="G178" s="19">
        <v>600</v>
      </c>
      <c r="H178" s="19" t="s">
        <v>67</v>
      </c>
      <c r="I178" s="19" t="s">
        <v>68</v>
      </c>
      <c r="J178" s="19" t="s">
        <v>69</v>
      </c>
      <c r="K178" s="19" t="s">
        <v>71</v>
      </c>
      <c r="L178" s="19" t="s">
        <v>72</v>
      </c>
      <c r="M178" s="19" t="s">
        <v>73</v>
      </c>
      <c r="N178" s="19" t="s">
        <v>75</v>
      </c>
      <c r="O178" s="19" t="s">
        <v>76</v>
      </c>
      <c r="P178" s="24" t="s">
        <v>78</v>
      </c>
      <c r="Q178" s="24" t="s">
        <v>79</v>
      </c>
      <c r="R178" s="19" t="s">
        <v>81</v>
      </c>
    </row>
    <row r="179" spans="1:18" ht="14.25" customHeight="1" x14ac:dyDescent="0.15">
      <c r="A179" s="21">
        <f t="shared" ref="A179:H179" si="122">A172</f>
        <v>0</v>
      </c>
      <c r="B179" s="21">
        <f t="shared" si="122"/>
        <v>0</v>
      </c>
      <c r="C179" s="21">
        <f t="shared" si="122"/>
        <v>0</v>
      </c>
      <c r="D179" s="21">
        <f t="shared" si="122"/>
        <v>0</v>
      </c>
      <c r="E179" s="23" t="str">
        <f t="shared" si="122"/>
        <v>2100</v>
      </c>
      <c r="F179" s="23" t="str">
        <f t="shared" si="122"/>
        <v>1900</v>
      </c>
      <c r="G179" s="23" t="str">
        <f t="shared" si="122"/>
        <v>1800</v>
      </c>
      <c r="H179" s="23">
        <f t="shared" si="122"/>
        <v>380</v>
      </c>
      <c r="I179" s="23" t="str">
        <f>I158</f>
        <v>5500</v>
      </c>
      <c r="J179" s="23" t="str">
        <f t="shared" ref="J179:Q179" si="123">J172</f>
        <v>1000</v>
      </c>
      <c r="K179" s="23">
        <f t="shared" si="123"/>
        <v>375</v>
      </c>
      <c r="L179" s="23">
        <f t="shared" si="123"/>
        <v>585</v>
      </c>
      <c r="M179" s="23" t="str">
        <f t="shared" si="123"/>
        <v>1000</v>
      </c>
      <c r="N179" s="23">
        <f t="shared" si="123"/>
        <v>3300</v>
      </c>
      <c r="O179" s="23">
        <f t="shared" si="123"/>
        <v>0</v>
      </c>
      <c r="P179" s="27">
        <f t="shared" si="123"/>
        <v>0</v>
      </c>
      <c r="Q179" s="27">
        <f t="shared" si="123"/>
        <v>2</v>
      </c>
      <c r="R179" s="21"/>
    </row>
    <row r="180" spans="1:18" ht="14.25" customHeight="1" x14ac:dyDescent="0.15">
      <c r="A180" s="19">
        <v>6</v>
      </c>
      <c r="B180" s="19">
        <f>1.2*3</f>
        <v>3.5999999999999996</v>
      </c>
      <c r="C180" s="19">
        <v>1.2</v>
      </c>
      <c r="D180" s="19">
        <f>B180*C180</f>
        <v>4.3199999999999994</v>
      </c>
      <c r="E180" s="19"/>
      <c r="F180" s="19"/>
      <c r="G180" s="19"/>
      <c r="H180" s="19"/>
      <c r="I180" s="19">
        <f>B180*0.4</f>
        <v>1.44</v>
      </c>
      <c r="J180" s="19">
        <v>2</v>
      </c>
      <c r="K180" s="19">
        <f t="shared" ref="K180:L180" si="124">A180</f>
        <v>6</v>
      </c>
      <c r="L180" s="19">
        <f t="shared" si="124"/>
        <v>3.5999999999999996</v>
      </c>
      <c r="M180" s="19">
        <f>A180</f>
        <v>6</v>
      </c>
      <c r="N180" s="19">
        <f>(1.2*0.4)*2</f>
        <v>0.96</v>
      </c>
      <c r="O180" s="19"/>
      <c r="P180" s="24"/>
      <c r="Q180" s="24"/>
      <c r="R180" s="19"/>
    </row>
    <row r="181" spans="1:18" ht="14.25" customHeight="1" x14ac:dyDescent="0.15">
      <c r="A181" s="19"/>
      <c r="B181" s="19"/>
      <c r="C181" s="19"/>
      <c r="D181" s="26" t="str">
        <f>D174</f>
        <v>7500</v>
      </c>
      <c r="E181" s="19">
        <v>2</v>
      </c>
      <c r="F181" s="19">
        <v>0</v>
      </c>
      <c r="G181" s="19">
        <v>0</v>
      </c>
      <c r="H181" s="19">
        <f>B180*2</f>
        <v>7.1999999999999993</v>
      </c>
      <c r="I181" s="19"/>
      <c r="J181" s="19"/>
      <c r="K181" s="19"/>
      <c r="L181" s="19"/>
      <c r="M181" s="19"/>
      <c r="N181" s="28"/>
      <c r="O181" s="19"/>
      <c r="P181" s="24"/>
      <c r="Q181" s="24"/>
      <c r="R181" s="19"/>
    </row>
    <row r="182" spans="1:18" ht="14.25" customHeight="1" x14ac:dyDescent="0.15">
      <c r="A182" s="19"/>
      <c r="B182" s="19"/>
      <c r="C182" s="19"/>
      <c r="D182" s="19">
        <f>D180*D181</f>
        <v>32399.999999999996</v>
      </c>
      <c r="E182" s="19">
        <f>E181*E179</f>
        <v>4200</v>
      </c>
      <c r="F182" s="19">
        <f t="shared" ref="F182:H182" si="125">F179*F181</f>
        <v>0</v>
      </c>
      <c r="G182" s="19">
        <f t="shared" si="125"/>
        <v>0</v>
      </c>
      <c r="H182" s="19">
        <f t="shared" si="125"/>
        <v>2735.9999999999995</v>
      </c>
      <c r="I182" s="19">
        <f t="shared" ref="I182:N182" si="126">I179*I180</f>
        <v>7920</v>
      </c>
      <c r="J182" s="19">
        <f t="shared" si="126"/>
        <v>2000</v>
      </c>
      <c r="K182" s="19">
        <f t="shared" si="126"/>
        <v>2250</v>
      </c>
      <c r="L182" s="19">
        <f t="shared" si="126"/>
        <v>2106</v>
      </c>
      <c r="M182" s="19">
        <f t="shared" si="126"/>
        <v>6000</v>
      </c>
      <c r="N182" s="19">
        <f t="shared" si="126"/>
        <v>3168</v>
      </c>
      <c r="O182" s="19">
        <f>SUM(D182:N182)</f>
        <v>62780</v>
      </c>
      <c r="P182" s="24">
        <f>O182/A180</f>
        <v>10463.333333333334</v>
      </c>
      <c r="Q182" s="24">
        <f>P182*Q179</f>
        <v>20926.666666666668</v>
      </c>
      <c r="R182" s="19">
        <f>MROUND(Q182,100)</f>
        <v>20900</v>
      </c>
    </row>
    <row r="183" spans="1:18" ht="14.25" customHeight="1" x14ac:dyDescent="0.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9"/>
      <c r="Q183" s="39"/>
    </row>
    <row r="184" spans="1:18" ht="14.25" customHeight="1" x14ac:dyDescent="0.3">
      <c r="A184" s="109" t="str">
        <f>PRICELIST!I30</f>
        <v>WFLX-LNR-SH-PoLM-1200-X</v>
      </c>
      <c r="B184" s="87"/>
      <c r="C184" s="8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22"/>
      <c r="Q184" s="22"/>
      <c r="R184" s="17"/>
    </row>
    <row r="185" spans="1:18" ht="14.25" customHeight="1" x14ac:dyDescent="0.15">
      <c r="A185" s="19" t="s">
        <v>57</v>
      </c>
      <c r="B185" s="19" t="s">
        <v>59</v>
      </c>
      <c r="C185" s="19" t="s">
        <v>62</v>
      </c>
      <c r="D185" s="19" t="s">
        <v>64</v>
      </c>
      <c r="E185" s="19">
        <v>1200</v>
      </c>
      <c r="F185" s="19">
        <v>900</v>
      </c>
      <c r="G185" s="19">
        <v>600</v>
      </c>
      <c r="H185" s="19" t="s">
        <v>67</v>
      </c>
      <c r="I185" s="19" t="s">
        <v>68</v>
      </c>
      <c r="J185" s="19" t="s">
        <v>69</v>
      </c>
      <c r="K185" s="19" t="s">
        <v>71</v>
      </c>
      <c r="L185" s="19" t="s">
        <v>72</v>
      </c>
      <c r="M185" s="19" t="s">
        <v>73</v>
      </c>
      <c r="N185" s="19" t="s">
        <v>75</v>
      </c>
      <c r="O185" s="19" t="s">
        <v>76</v>
      </c>
      <c r="P185" s="24" t="s">
        <v>78</v>
      </c>
      <c r="Q185" s="24" t="s">
        <v>79</v>
      </c>
      <c r="R185" s="19" t="s">
        <v>81</v>
      </c>
    </row>
    <row r="186" spans="1:18" ht="14.25" customHeight="1" x14ac:dyDescent="0.15">
      <c r="A186" s="21">
        <f t="shared" ref="A186:H186" si="127">A179</f>
        <v>0</v>
      </c>
      <c r="B186" s="21">
        <f t="shared" si="127"/>
        <v>0</v>
      </c>
      <c r="C186" s="21">
        <f t="shared" si="127"/>
        <v>0</v>
      </c>
      <c r="D186" s="21">
        <f t="shared" si="127"/>
        <v>0</v>
      </c>
      <c r="E186" s="23" t="str">
        <f t="shared" si="127"/>
        <v>2100</v>
      </c>
      <c r="F186" s="23" t="str">
        <f t="shared" si="127"/>
        <v>1900</v>
      </c>
      <c r="G186" s="23" t="str">
        <f t="shared" si="127"/>
        <v>1800</v>
      </c>
      <c r="H186" s="23">
        <f t="shared" si="127"/>
        <v>380</v>
      </c>
      <c r="I186" s="23" t="str">
        <f>I165</f>
        <v>0</v>
      </c>
      <c r="J186" s="23" t="str">
        <f t="shared" ref="J186:Q186" si="128">J179</f>
        <v>1000</v>
      </c>
      <c r="K186" s="23">
        <f t="shared" si="128"/>
        <v>375</v>
      </c>
      <c r="L186" s="23">
        <f t="shared" si="128"/>
        <v>585</v>
      </c>
      <c r="M186" s="23" t="str">
        <f t="shared" si="128"/>
        <v>1000</v>
      </c>
      <c r="N186" s="23">
        <f t="shared" si="128"/>
        <v>3300</v>
      </c>
      <c r="O186" s="23">
        <f t="shared" si="128"/>
        <v>0</v>
      </c>
      <c r="P186" s="27">
        <f t="shared" si="128"/>
        <v>0</v>
      </c>
      <c r="Q186" s="27">
        <f t="shared" si="128"/>
        <v>2</v>
      </c>
      <c r="R186" s="21"/>
    </row>
    <row r="187" spans="1:18" ht="14.25" customHeight="1" x14ac:dyDescent="0.15">
      <c r="A187" s="19">
        <v>6</v>
      </c>
      <c r="B187" s="19">
        <f>1.2*3</f>
        <v>3.5999999999999996</v>
      </c>
      <c r="C187" s="19">
        <v>1.2</v>
      </c>
      <c r="D187" s="19">
        <f>B187*C187</f>
        <v>4.3199999999999994</v>
      </c>
      <c r="E187" s="19"/>
      <c r="F187" s="19"/>
      <c r="G187" s="19"/>
      <c r="H187" s="19"/>
      <c r="I187" s="19">
        <f>B187*0.4</f>
        <v>1.44</v>
      </c>
      <c r="J187" s="19">
        <v>2</v>
      </c>
      <c r="K187" s="19">
        <f t="shared" ref="K187:L187" si="129">A187</f>
        <v>6</v>
      </c>
      <c r="L187" s="19">
        <f t="shared" si="129"/>
        <v>3.5999999999999996</v>
      </c>
      <c r="M187" s="19">
        <f>A187</f>
        <v>6</v>
      </c>
      <c r="N187" s="19">
        <f>(1.2*0.4)*2</f>
        <v>0.96</v>
      </c>
      <c r="O187" s="19"/>
      <c r="P187" s="24"/>
      <c r="Q187" s="24"/>
      <c r="R187" s="19"/>
    </row>
    <row r="188" spans="1:18" ht="14.25" customHeight="1" x14ac:dyDescent="0.15">
      <c r="A188" s="19"/>
      <c r="B188" s="19"/>
      <c r="C188" s="19"/>
      <c r="D188" s="26" t="str">
        <f>D181</f>
        <v>7500</v>
      </c>
      <c r="E188" s="19">
        <v>2</v>
      </c>
      <c r="F188" s="19">
        <v>0</v>
      </c>
      <c r="G188" s="19">
        <v>0</v>
      </c>
      <c r="H188" s="19">
        <f>B187*2</f>
        <v>7.1999999999999993</v>
      </c>
      <c r="I188" s="19"/>
      <c r="J188" s="19"/>
      <c r="K188" s="19"/>
      <c r="L188" s="19"/>
      <c r="M188" s="19"/>
      <c r="N188" s="28"/>
      <c r="O188" s="19"/>
      <c r="P188" s="24"/>
      <c r="Q188" s="24"/>
      <c r="R188" s="19"/>
    </row>
    <row r="189" spans="1:18" ht="14.25" customHeight="1" x14ac:dyDescent="0.15">
      <c r="A189" s="19"/>
      <c r="B189" s="19"/>
      <c r="C189" s="19"/>
      <c r="D189" s="19">
        <f>D187*D188</f>
        <v>32399.999999999996</v>
      </c>
      <c r="E189" s="19">
        <f>E188*E186</f>
        <v>4200</v>
      </c>
      <c r="F189" s="19">
        <f t="shared" ref="F189:H189" si="130">F186*F188</f>
        <v>0</v>
      </c>
      <c r="G189" s="19">
        <f t="shared" si="130"/>
        <v>0</v>
      </c>
      <c r="H189" s="19">
        <f t="shared" si="130"/>
        <v>2735.9999999999995</v>
      </c>
      <c r="I189" s="19">
        <f t="shared" ref="I189:N189" si="131">I186*I187</f>
        <v>0</v>
      </c>
      <c r="J189" s="19">
        <f t="shared" si="131"/>
        <v>2000</v>
      </c>
      <c r="K189" s="19">
        <f t="shared" si="131"/>
        <v>2250</v>
      </c>
      <c r="L189" s="19">
        <f t="shared" si="131"/>
        <v>2106</v>
      </c>
      <c r="M189" s="19">
        <f t="shared" si="131"/>
        <v>6000</v>
      </c>
      <c r="N189" s="19">
        <f t="shared" si="131"/>
        <v>3168</v>
      </c>
      <c r="O189" s="19">
        <f>SUM(D189:N189)</f>
        <v>54860</v>
      </c>
      <c r="P189" s="24">
        <f>O189/A187</f>
        <v>9143.3333333333339</v>
      </c>
      <c r="Q189" s="24">
        <f>P189*Q186</f>
        <v>18286.666666666668</v>
      </c>
      <c r="R189" s="19">
        <f>MROUND(Q189,100)</f>
        <v>18300</v>
      </c>
    </row>
    <row r="190" spans="1:18" ht="14.25" customHeight="1" x14ac:dyDescent="0.1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9"/>
      <c r="Q190" s="39"/>
    </row>
    <row r="191" spans="1:18" ht="14.25" customHeight="1" x14ac:dyDescent="0.3">
      <c r="A191" s="109" t="str">
        <f>PRICELIST!I31</f>
        <v>WFLX-LNR-SH-LVM-1200-F</v>
      </c>
      <c r="B191" s="87"/>
      <c r="C191" s="8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22"/>
      <c r="Q191" s="22"/>
      <c r="R191" s="17"/>
    </row>
    <row r="192" spans="1:18" ht="14.25" customHeight="1" x14ac:dyDescent="0.15">
      <c r="A192" s="19" t="s">
        <v>57</v>
      </c>
      <c r="B192" s="19" t="s">
        <v>59</v>
      </c>
      <c r="C192" s="19" t="s">
        <v>62</v>
      </c>
      <c r="D192" s="19" t="s">
        <v>64</v>
      </c>
      <c r="E192" s="19">
        <v>1200</v>
      </c>
      <c r="F192" s="19">
        <v>900</v>
      </c>
      <c r="G192" s="19">
        <v>600</v>
      </c>
      <c r="H192" s="19" t="s">
        <v>67</v>
      </c>
      <c r="I192" s="19" t="s">
        <v>68</v>
      </c>
      <c r="J192" s="19" t="s">
        <v>69</v>
      </c>
      <c r="K192" s="19" t="s">
        <v>71</v>
      </c>
      <c r="L192" s="19" t="s">
        <v>72</v>
      </c>
      <c r="M192" s="19" t="s">
        <v>73</v>
      </c>
      <c r="N192" s="19" t="s">
        <v>75</v>
      </c>
      <c r="O192" s="19" t="s">
        <v>76</v>
      </c>
      <c r="P192" s="24" t="s">
        <v>78</v>
      </c>
      <c r="Q192" s="24" t="s">
        <v>79</v>
      </c>
      <c r="R192" s="19" t="s">
        <v>81</v>
      </c>
    </row>
    <row r="193" spans="1:18" ht="14.25" customHeight="1" x14ac:dyDescent="0.15">
      <c r="A193" s="21">
        <f t="shared" ref="A193:H193" si="132">A186</f>
        <v>0</v>
      </c>
      <c r="B193" s="21">
        <f t="shared" si="132"/>
        <v>0</v>
      </c>
      <c r="C193" s="21">
        <f t="shared" si="132"/>
        <v>0</v>
      </c>
      <c r="D193" s="21">
        <f t="shared" si="132"/>
        <v>0</v>
      </c>
      <c r="E193" s="23" t="str">
        <f t="shared" si="132"/>
        <v>2100</v>
      </c>
      <c r="F193" s="23" t="str">
        <f t="shared" si="132"/>
        <v>1900</v>
      </c>
      <c r="G193" s="23" t="str">
        <f t="shared" si="132"/>
        <v>1800</v>
      </c>
      <c r="H193" s="23">
        <f t="shared" si="132"/>
        <v>380</v>
      </c>
      <c r="I193" s="23" t="str">
        <f>I172</f>
        <v>4800</v>
      </c>
      <c r="J193" s="23" t="str">
        <f t="shared" ref="J193:Q193" si="133">J186</f>
        <v>1000</v>
      </c>
      <c r="K193" s="23">
        <f t="shared" si="133"/>
        <v>375</v>
      </c>
      <c r="L193" s="23">
        <f t="shared" si="133"/>
        <v>585</v>
      </c>
      <c r="M193" s="23" t="str">
        <f t="shared" si="133"/>
        <v>1000</v>
      </c>
      <c r="N193" s="23">
        <f t="shared" si="133"/>
        <v>3300</v>
      </c>
      <c r="O193" s="23">
        <f t="shared" si="133"/>
        <v>0</v>
      </c>
      <c r="P193" s="27">
        <f t="shared" si="133"/>
        <v>0</v>
      </c>
      <c r="Q193" s="27">
        <f t="shared" si="133"/>
        <v>2</v>
      </c>
      <c r="R193" s="21"/>
    </row>
    <row r="194" spans="1:18" ht="14.25" customHeight="1" x14ac:dyDescent="0.15">
      <c r="A194" s="19">
        <v>6</v>
      </c>
      <c r="B194" s="19">
        <f>1.2*3</f>
        <v>3.5999999999999996</v>
      </c>
      <c r="C194" s="19">
        <v>1.2</v>
      </c>
      <c r="D194" s="19">
        <f>B194*C194</f>
        <v>4.3199999999999994</v>
      </c>
      <c r="E194" s="19"/>
      <c r="F194" s="19"/>
      <c r="G194" s="19"/>
      <c r="H194" s="19"/>
      <c r="I194" s="19">
        <f>B194*0.4</f>
        <v>1.44</v>
      </c>
      <c r="J194" s="19">
        <v>2</v>
      </c>
      <c r="K194" s="19">
        <f t="shared" ref="K194:L194" si="134">A194</f>
        <v>6</v>
      </c>
      <c r="L194" s="19">
        <f t="shared" si="134"/>
        <v>3.5999999999999996</v>
      </c>
      <c r="M194" s="19">
        <f>A194</f>
        <v>6</v>
      </c>
      <c r="N194" s="19">
        <f>(1.2*0.4)*2</f>
        <v>0.96</v>
      </c>
      <c r="O194" s="19"/>
      <c r="P194" s="24"/>
      <c r="Q194" s="24"/>
      <c r="R194" s="19"/>
    </row>
    <row r="195" spans="1:18" ht="14.25" customHeight="1" x14ac:dyDescent="0.15">
      <c r="A195" s="19"/>
      <c r="B195" s="19"/>
      <c r="C195" s="19"/>
      <c r="D195" s="26" t="str">
        <f>D83</f>
        <v>9500</v>
      </c>
      <c r="E195" s="19">
        <v>2</v>
      </c>
      <c r="F195" s="19">
        <v>0</v>
      </c>
      <c r="G195" s="19">
        <v>0</v>
      </c>
      <c r="H195" s="19">
        <f>B194*2</f>
        <v>7.1999999999999993</v>
      </c>
      <c r="I195" s="19"/>
      <c r="J195" s="19"/>
      <c r="K195" s="19"/>
      <c r="L195" s="19"/>
      <c r="M195" s="19"/>
      <c r="N195" s="28"/>
      <c r="O195" s="19"/>
      <c r="P195" s="24"/>
      <c r="Q195" s="24"/>
      <c r="R195" s="19"/>
    </row>
    <row r="196" spans="1:18" ht="14.25" customHeight="1" x14ac:dyDescent="0.15">
      <c r="A196" s="19"/>
      <c r="B196" s="19"/>
      <c r="C196" s="19"/>
      <c r="D196" s="19">
        <f>D194*D195</f>
        <v>41039.999999999993</v>
      </c>
      <c r="E196" s="19">
        <f>E195*E193</f>
        <v>4200</v>
      </c>
      <c r="F196" s="19">
        <f t="shared" ref="F196:H196" si="135">F193*F195</f>
        <v>0</v>
      </c>
      <c r="G196" s="19">
        <f t="shared" si="135"/>
        <v>0</v>
      </c>
      <c r="H196" s="19">
        <f t="shared" si="135"/>
        <v>2735.9999999999995</v>
      </c>
      <c r="I196" s="19">
        <f t="shared" ref="I196:N196" si="136">I193*I194</f>
        <v>6912</v>
      </c>
      <c r="J196" s="19">
        <f t="shared" si="136"/>
        <v>2000</v>
      </c>
      <c r="K196" s="19">
        <f t="shared" si="136"/>
        <v>2250</v>
      </c>
      <c r="L196" s="19">
        <f t="shared" si="136"/>
        <v>2106</v>
      </c>
      <c r="M196" s="19">
        <f t="shared" si="136"/>
        <v>6000</v>
      </c>
      <c r="N196" s="19">
        <f t="shared" si="136"/>
        <v>3168</v>
      </c>
      <c r="O196" s="19">
        <f>SUM(D196:N196)</f>
        <v>70412</v>
      </c>
      <c r="P196" s="24">
        <f>O196/A194</f>
        <v>11735.333333333334</v>
      </c>
      <c r="Q196" s="24">
        <f>P196*Q193</f>
        <v>23470.666666666668</v>
      </c>
      <c r="R196" s="19">
        <f>MROUND(Q196,100)</f>
        <v>23500</v>
      </c>
    </row>
    <row r="197" spans="1:18" ht="14.25" customHeight="1" x14ac:dyDescent="0.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9"/>
      <c r="Q197" s="39"/>
    </row>
    <row r="198" spans="1:18" ht="14.25" customHeight="1" x14ac:dyDescent="0.3">
      <c r="A198" s="109" t="str">
        <f>PRICELIST!I32</f>
        <v>WFLX-LNR-SH-LVM-1200-G</v>
      </c>
      <c r="B198" s="87"/>
      <c r="C198" s="8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22"/>
      <c r="Q198" s="22"/>
      <c r="R198" s="17"/>
    </row>
    <row r="199" spans="1:18" ht="14.25" customHeight="1" x14ac:dyDescent="0.15">
      <c r="A199" s="19" t="s">
        <v>57</v>
      </c>
      <c r="B199" s="19" t="s">
        <v>59</v>
      </c>
      <c r="C199" s="19" t="s">
        <v>62</v>
      </c>
      <c r="D199" s="19" t="s">
        <v>64</v>
      </c>
      <c r="E199" s="19">
        <v>1200</v>
      </c>
      <c r="F199" s="19">
        <v>900</v>
      </c>
      <c r="G199" s="19">
        <v>600</v>
      </c>
      <c r="H199" s="19" t="s">
        <v>67</v>
      </c>
      <c r="I199" s="19" t="s">
        <v>68</v>
      </c>
      <c r="J199" s="19" t="s">
        <v>69</v>
      </c>
      <c r="K199" s="19" t="s">
        <v>71</v>
      </c>
      <c r="L199" s="19" t="s">
        <v>72</v>
      </c>
      <c r="M199" s="19" t="s">
        <v>73</v>
      </c>
      <c r="N199" s="19" t="s">
        <v>75</v>
      </c>
      <c r="O199" s="19" t="s">
        <v>76</v>
      </c>
      <c r="P199" s="24" t="s">
        <v>78</v>
      </c>
      <c r="Q199" s="24" t="s">
        <v>79</v>
      </c>
      <c r="R199" s="19" t="s">
        <v>81</v>
      </c>
    </row>
    <row r="200" spans="1:18" ht="14.25" customHeight="1" x14ac:dyDescent="0.15">
      <c r="A200" s="21">
        <f t="shared" ref="A200:H200" si="137">A193</f>
        <v>0</v>
      </c>
      <c r="B200" s="21">
        <f t="shared" si="137"/>
        <v>0</v>
      </c>
      <c r="C200" s="21">
        <f t="shared" si="137"/>
        <v>0</v>
      </c>
      <c r="D200" s="21">
        <f t="shared" si="137"/>
        <v>0</v>
      </c>
      <c r="E200" s="23" t="str">
        <f t="shared" si="137"/>
        <v>2100</v>
      </c>
      <c r="F200" s="23" t="str">
        <f t="shared" si="137"/>
        <v>1900</v>
      </c>
      <c r="G200" s="23" t="str">
        <f t="shared" si="137"/>
        <v>1800</v>
      </c>
      <c r="H200" s="23">
        <f t="shared" si="137"/>
        <v>380</v>
      </c>
      <c r="I200" s="23" t="str">
        <f>I179</f>
        <v>5500</v>
      </c>
      <c r="J200" s="23" t="str">
        <f t="shared" ref="J200:Q200" si="138">J193</f>
        <v>1000</v>
      </c>
      <c r="K200" s="23">
        <f t="shared" si="138"/>
        <v>375</v>
      </c>
      <c r="L200" s="23">
        <f t="shared" si="138"/>
        <v>585</v>
      </c>
      <c r="M200" s="23" t="str">
        <f t="shared" si="138"/>
        <v>1000</v>
      </c>
      <c r="N200" s="23">
        <f t="shared" si="138"/>
        <v>3300</v>
      </c>
      <c r="O200" s="23">
        <f t="shared" si="138"/>
        <v>0</v>
      </c>
      <c r="P200" s="27">
        <f t="shared" si="138"/>
        <v>0</v>
      </c>
      <c r="Q200" s="27">
        <f t="shared" si="138"/>
        <v>2</v>
      </c>
      <c r="R200" s="21"/>
    </row>
    <row r="201" spans="1:18" ht="14.25" customHeight="1" x14ac:dyDescent="0.15">
      <c r="A201" s="19">
        <v>6</v>
      </c>
      <c r="B201" s="19">
        <f>1.2*3</f>
        <v>3.5999999999999996</v>
      </c>
      <c r="C201" s="19">
        <v>1.2</v>
      </c>
      <c r="D201" s="19">
        <f>B201*C201</f>
        <v>4.3199999999999994</v>
      </c>
      <c r="E201" s="19"/>
      <c r="F201" s="19"/>
      <c r="G201" s="19"/>
      <c r="H201" s="19"/>
      <c r="I201" s="19">
        <f>B201*0.4</f>
        <v>1.44</v>
      </c>
      <c r="J201" s="19">
        <v>2</v>
      </c>
      <c r="K201" s="19">
        <f t="shared" ref="K201:L201" si="139">A201</f>
        <v>6</v>
      </c>
      <c r="L201" s="19">
        <f t="shared" si="139"/>
        <v>3.5999999999999996</v>
      </c>
      <c r="M201" s="19">
        <f>A201</f>
        <v>6</v>
      </c>
      <c r="N201" s="19">
        <f>(1.2*0.4)*2</f>
        <v>0.96</v>
      </c>
      <c r="O201" s="19"/>
      <c r="P201" s="24"/>
      <c r="Q201" s="24"/>
      <c r="R201" s="19"/>
    </row>
    <row r="202" spans="1:18" ht="14.25" customHeight="1" x14ac:dyDescent="0.15">
      <c r="A202" s="19"/>
      <c r="B202" s="19"/>
      <c r="C202" s="19"/>
      <c r="D202" s="26" t="str">
        <f>D195</f>
        <v>9500</v>
      </c>
      <c r="E202" s="19">
        <v>2</v>
      </c>
      <c r="F202" s="19">
        <v>0</v>
      </c>
      <c r="G202" s="19">
        <v>0</v>
      </c>
      <c r="H202" s="19">
        <f>B201*2</f>
        <v>7.1999999999999993</v>
      </c>
      <c r="I202" s="19"/>
      <c r="J202" s="19"/>
      <c r="K202" s="19"/>
      <c r="L202" s="19"/>
      <c r="M202" s="19"/>
      <c r="N202" s="28"/>
      <c r="O202" s="19"/>
      <c r="P202" s="24"/>
      <c r="Q202" s="24"/>
      <c r="R202" s="19"/>
    </row>
    <row r="203" spans="1:18" ht="14.25" customHeight="1" x14ac:dyDescent="0.15">
      <c r="A203" s="19"/>
      <c r="B203" s="19"/>
      <c r="C203" s="19"/>
      <c r="D203" s="19">
        <f>D201*D202</f>
        <v>41039.999999999993</v>
      </c>
      <c r="E203" s="19">
        <f>E202*E200</f>
        <v>4200</v>
      </c>
      <c r="F203" s="19">
        <f t="shared" ref="F203:H203" si="140">F200*F202</f>
        <v>0</v>
      </c>
      <c r="G203" s="19">
        <f t="shared" si="140"/>
        <v>0</v>
      </c>
      <c r="H203" s="19">
        <f t="shared" si="140"/>
        <v>2735.9999999999995</v>
      </c>
      <c r="I203" s="19">
        <f t="shared" ref="I203:N203" si="141">I200*I201</f>
        <v>7920</v>
      </c>
      <c r="J203" s="19">
        <f t="shared" si="141"/>
        <v>2000</v>
      </c>
      <c r="K203" s="19">
        <f t="shared" si="141"/>
        <v>2250</v>
      </c>
      <c r="L203" s="19">
        <f t="shared" si="141"/>
        <v>2106</v>
      </c>
      <c r="M203" s="19">
        <f t="shared" si="141"/>
        <v>6000</v>
      </c>
      <c r="N203" s="19">
        <f t="shared" si="141"/>
        <v>3168</v>
      </c>
      <c r="O203" s="19">
        <f>SUM(D203:N203)</f>
        <v>71420</v>
      </c>
      <c r="P203" s="24">
        <f>O203/A201</f>
        <v>11903.333333333334</v>
      </c>
      <c r="Q203" s="24">
        <f>P203*Q200</f>
        <v>23806.666666666668</v>
      </c>
      <c r="R203" s="19">
        <f>MROUND(Q203,100)</f>
        <v>23800</v>
      </c>
    </row>
    <row r="204" spans="1:18" ht="14.25" customHeight="1" x14ac:dyDescent="0.1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9"/>
      <c r="Q204" s="39"/>
    </row>
    <row r="205" spans="1:18" ht="14.25" customHeight="1" x14ac:dyDescent="0.3">
      <c r="A205" s="109" t="str">
        <f>PRICELIST!I33</f>
        <v>WFLX-LNR-SH-LVM-1200-X</v>
      </c>
      <c r="B205" s="87"/>
      <c r="C205" s="8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22"/>
      <c r="Q205" s="22"/>
      <c r="R205" s="17"/>
    </row>
    <row r="206" spans="1:18" ht="14.25" customHeight="1" x14ac:dyDescent="0.15">
      <c r="A206" s="19" t="s">
        <v>57</v>
      </c>
      <c r="B206" s="19" t="s">
        <v>59</v>
      </c>
      <c r="C206" s="19" t="s">
        <v>62</v>
      </c>
      <c r="D206" s="19" t="s">
        <v>64</v>
      </c>
      <c r="E206" s="19">
        <v>1200</v>
      </c>
      <c r="F206" s="19">
        <v>900</v>
      </c>
      <c r="G206" s="19">
        <v>600</v>
      </c>
      <c r="H206" s="19" t="s">
        <v>67</v>
      </c>
      <c r="I206" s="19" t="s">
        <v>68</v>
      </c>
      <c r="J206" s="19" t="s">
        <v>69</v>
      </c>
      <c r="K206" s="19" t="s">
        <v>71</v>
      </c>
      <c r="L206" s="19" t="s">
        <v>72</v>
      </c>
      <c r="M206" s="19" t="s">
        <v>73</v>
      </c>
      <c r="N206" s="19" t="s">
        <v>75</v>
      </c>
      <c r="O206" s="19" t="s">
        <v>76</v>
      </c>
      <c r="P206" s="24" t="s">
        <v>78</v>
      </c>
      <c r="Q206" s="24" t="s">
        <v>79</v>
      </c>
      <c r="R206" s="19" t="s">
        <v>81</v>
      </c>
    </row>
    <row r="207" spans="1:18" ht="14.25" customHeight="1" x14ac:dyDescent="0.15">
      <c r="A207" s="21">
        <f t="shared" ref="A207:H207" si="142">A200</f>
        <v>0</v>
      </c>
      <c r="B207" s="21">
        <f t="shared" si="142"/>
        <v>0</v>
      </c>
      <c r="C207" s="21">
        <f t="shared" si="142"/>
        <v>0</v>
      </c>
      <c r="D207" s="21">
        <f t="shared" si="142"/>
        <v>0</v>
      </c>
      <c r="E207" s="23" t="str">
        <f t="shared" si="142"/>
        <v>2100</v>
      </c>
      <c r="F207" s="23" t="str">
        <f t="shared" si="142"/>
        <v>1900</v>
      </c>
      <c r="G207" s="23" t="str">
        <f t="shared" si="142"/>
        <v>1800</v>
      </c>
      <c r="H207" s="23">
        <f t="shared" si="142"/>
        <v>380</v>
      </c>
      <c r="I207" s="23" t="str">
        <f>I186</f>
        <v>0</v>
      </c>
      <c r="J207" s="23" t="str">
        <f t="shared" ref="J207:Q207" si="143">J200</f>
        <v>1000</v>
      </c>
      <c r="K207" s="23">
        <f t="shared" si="143"/>
        <v>375</v>
      </c>
      <c r="L207" s="23">
        <f t="shared" si="143"/>
        <v>585</v>
      </c>
      <c r="M207" s="23" t="str">
        <f t="shared" si="143"/>
        <v>1000</v>
      </c>
      <c r="N207" s="23">
        <f t="shared" si="143"/>
        <v>3300</v>
      </c>
      <c r="O207" s="23">
        <f t="shared" si="143"/>
        <v>0</v>
      </c>
      <c r="P207" s="27">
        <f t="shared" si="143"/>
        <v>0</v>
      </c>
      <c r="Q207" s="27">
        <f t="shared" si="143"/>
        <v>2</v>
      </c>
      <c r="R207" s="21"/>
    </row>
    <row r="208" spans="1:18" ht="14.25" customHeight="1" x14ac:dyDescent="0.15">
      <c r="A208" s="19">
        <v>6</v>
      </c>
      <c r="B208" s="19">
        <f>1.2*3</f>
        <v>3.5999999999999996</v>
      </c>
      <c r="C208" s="19">
        <v>1.2</v>
      </c>
      <c r="D208" s="19">
        <f>B208*C208</f>
        <v>4.3199999999999994</v>
      </c>
      <c r="E208" s="19"/>
      <c r="F208" s="19"/>
      <c r="G208" s="19"/>
      <c r="H208" s="19"/>
      <c r="I208" s="19">
        <f>B208*0.4</f>
        <v>1.44</v>
      </c>
      <c r="J208" s="19">
        <v>2</v>
      </c>
      <c r="K208" s="19">
        <f t="shared" ref="K208:L208" si="144">A208</f>
        <v>6</v>
      </c>
      <c r="L208" s="19">
        <f t="shared" si="144"/>
        <v>3.5999999999999996</v>
      </c>
      <c r="M208" s="19">
        <f>A208</f>
        <v>6</v>
      </c>
      <c r="N208" s="19">
        <f>(1.2*0.4)*2</f>
        <v>0.96</v>
      </c>
      <c r="O208" s="19"/>
      <c r="P208" s="24"/>
      <c r="Q208" s="24"/>
      <c r="R208" s="19"/>
    </row>
    <row r="209" spans="1:18" ht="14.25" customHeight="1" x14ac:dyDescent="0.15">
      <c r="A209" s="19"/>
      <c r="B209" s="19"/>
      <c r="C209" s="19"/>
      <c r="D209" s="26" t="str">
        <f>D202</f>
        <v>9500</v>
      </c>
      <c r="E209" s="19">
        <v>2</v>
      </c>
      <c r="F209" s="19">
        <v>0</v>
      </c>
      <c r="G209" s="19">
        <v>0</v>
      </c>
      <c r="H209" s="19">
        <f>B208*2</f>
        <v>7.1999999999999993</v>
      </c>
      <c r="I209" s="19"/>
      <c r="J209" s="19"/>
      <c r="K209" s="19"/>
      <c r="L209" s="19"/>
      <c r="M209" s="19"/>
      <c r="N209" s="28"/>
      <c r="O209" s="19"/>
      <c r="P209" s="24"/>
      <c r="Q209" s="24"/>
      <c r="R209" s="19"/>
    </row>
    <row r="210" spans="1:18" ht="14.25" customHeight="1" x14ac:dyDescent="0.15">
      <c r="A210" s="19"/>
      <c r="B210" s="19"/>
      <c r="C210" s="19"/>
      <c r="D210" s="19">
        <f>D208*D209</f>
        <v>41039.999999999993</v>
      </c>
      <c r="E210" s="19">
        <f>E209*E207</f>
        <v>4200</v>
      </c>
      <c r="F210" s="19">
        <f t="shared" ref="F210:H210" si="145">F207*F209</f>
        <v>0</v>
      </c>
      <c r="G210" s="19">
        <f t="shared" si="145"/>
        <v>0</v>
      </c>
      <c r="H210" s="19">
        <f t="shared" si="145"/>
        <v>2735.9999999999995</v>
      </c>
      <c r="I210" s="19">
        <f t="shared" ref="I210:N210" si="146">I207*I208</f>
        <v>0</v>
      </c>
      <c r="J210" s="19">
        <f t="shared" si="146"/>
        <v>2000</v>
      </c>
      <c r="K210" s="19">
        <f t="shared" si="146"/>
        <v>2250</v>
      </c>
      <c r="L210" s="19">
        <f t="shared" si="146"/>
        <v>2106</v>
      </c>
      <c r="M210" s="19">
        <f t="shared" si="146"/>
        <v>6000</v>
      </c>
      <c r="N210" s="19">
        <f t="shared" si="146"/>
        <v>3168</v>
      </c>
      <c r="O210" s="19">
        <f>SUM(D210:N210)</f>
        <v>63499.999999999993</v>
      </c>
      <c r="P210" s="24">
        <f>O210/A208</f>
        <v>10583.333333333332</v>
      </c>
      <c r="Q210" s="24">
        <f>P210*Q207</f>
        <v>21166.666666666664</v>
      </c>
      <c r="R210" s="19">
        <f>MROUND(Q210,100)</f>
        <v>21200</v>
      </c>
    </row>
    <row r="211" spans="1:18" ht="14.25" customHeight="1" x14ac:dyDescent="0.1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9"/>
      <c r="Q211" s="39"/>
    </row>
    <row r="212" spans="1:18" ht="14.25" customHeight="1" x14ac:dyDescent="0.3">
      <c r="A212" s="109" t="str">
        <f>PRICELIST!I34</f>
        <v>WFLX-LNR-SH-LVP-1200-F</v>
      </c>
      <c r="B212" s="87"/>
      <c r="C212" s="8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2"/>
      <c r="Q212" s="22"/>
      <c r="R212" s="17"/>
    </row>
    <row r="213" spans="1:18" ht="14.25" customHeight="1" x14ac:dyDescent="0.15">
      <c r="A213" s="19" t="s">
        <v>57</v>
      </c>
      <c r="B213" s="19" t="s">
        <v>59</v>
      </c>
      <c r="C213" s="19" t="s">
        <v>62</v>
      </c>
      <c r="D213" s="19" t="s">
        <v>64</v>
      </c>
      <c r="E213" s="19">
        <v>1200</v>
      </c>
      <c r="F213" s="19">
        <v>900</v>
      </c>
      <c r="G213" s="19">
        <v>600</v>
      </c>
      <c r="H213" s="19" t="s">
        <v>67</v>
      </c>
      <c r="I213" s="19" t="s">
        <v>68</v>
      </c>
      <c r="J213" s="19" t="s">
        <v>69</v>
      </c>
      <c r="K213" s="19" t="s">
        <v>71</v>
      </c>
      <c r="L213" s="19" t="s">
        <v>72</v>
      </c>
      <c r="M213" s="19" t="s">
        <v>73</v>
      </c>
      <c r="N213" s="19" t="s">
        <v>75</v>
      </c>
      <c r="O213" s="19" t="s">
        <v>76</v>
      </c>
      <c r="P213" s="24" t="s">
        <v>78</v>
      </c>
      <c r="Q213" s="24" t="s">
        <v>79</v>
      </c>
      <c r="R213" s="19" t="s">
        <v>81</v>
      </c>
    </row>
    <row r="214" spans="1:18" ht="14.25" customHeight="1" x14ac:dyDescent="0.15">
      <c r="A214" s="21">
        <f t="shared" ref="A214:H214" si="147">A207</f>
        <v>0</v>
      </c>
      <c r="B214" s="21">
        <f t="shared" si="147"/>
        <v>0</v>
      </c>
      <c r="C214" s="21">
        <f t="shared" si="147"/>
        <v>0</v>
      </c>
      <c r="D214" s="21">
        <f t="shared" si="147"/>
        <v>0</v>
      </c>
      <c r="E214" s="23" t="str">
        <f t="shared" si="147"/>
        <v>2100</v>
      </c>
      <c r="F214" s="23" t="str">
        <f t="shared" si="147"/>
        <v>1900</v>
      </c>
      <c r="G214" s="23" t="str">
        <f t="shared" si="147"/>
        <v>1800</v>
      </c>
      <c r="H214" s="23">
        <f t="shared" si="147"/>
        <v>380</v>
      </c>
      <c r="I214" s="23" t="str">
        <f>I193</f>
        <v>4800</v>
      </c>
      <c r="J214" s="23" t="str">
        <f t="shared" ref="J214:Q214" si="148">J207</f>
        <v>1000</v>
      </c>
      <c r="K214" s="23">
        <f t="shared" si="148"/>
        <v>375</v>
      </c>
      <c r="L214" s="23">
        <f t="shared" si="148"/>
        <v>585</v>
      </c>
      <c r="M214" s="23" t="str">
        <f t="shared" si="148"/>
        <v>1000</v>
      </c>
      <c r="N214" s="23">
        <f t="shared" si="148"/>
        <v>3300</v>
      </c>
      <c r="O214" s="23">
        <f t="shared" si="148"/>
        <v>0</v>
      </c>
      <c r="P214" s="27">
        <f t="shared" si="148"/>
        <v>0</v>
      </c>
      <c r="Q214" s="27">
        <f t="shared" si="148"/>
        <v>2</v>
      </c>
      <c r="R214" s="21"/>
    </row>
    <row r="215" spans="1:18" ht="14.25" customHeight="1" x14ac:dyDescent="0.15">
      <c r="A215" s="19">
        <v>6</v>
      </c>
      <c r="B215" s="19">
        <f>1.2*3</f>
        <v>3.5999999999999996</v>
      </c>
      <c r="C215" s="19">
        <v>1.2</v>
      </c>
      <c r="D215" s="19">
        <f>B215*C215</f>
        <v>4.3199999999999994</v>
      </c>
      <c r="E215" s="19"/>
      <c r="F215" s="19"/>
      <c r="G215" s="19"/>
      <c r="H215" s="19"/>
      <c r="I215" s="19">
        <f>B215*0.4</f>
        <v>1.44</v>
      </c>
      <c r="J215" s="19">
        <v>2</v>
      </c>
      <c r="K215" s="19">
        <f t="shared" ref="K215:L215" si="149">A215</f>
        <v>6</v>
      </c>
      <c r="L215" s="19">
        <f t="shared" si="149"/>
        <v>3.5999999999999996</v>
      </c>
      <c r="M215" s="19">
        <f>A215</f>
        <v>6</v>
      </c>
      <c r="N215" s="19">
        <f>(1.2*0.4)*2</f>
        <v>0.96</v>
      </c>
      <c r="O215" s="19"/>
      <c r="P215" s="24"/>
      <c r="Q215" s="24"/>
      <c r="R215" s="19"/>
    </row>
    <row r="216" spans="1:18" ht="14.25" customHeight="1" x14ac:dyDescent="0.15">
      <c r="A216" s="19"/>
      <c r="B216" s="19"/>
      <c r="C216" s="19"/>
      <c r="D216" s="26" t="str">
        <f>D97</f>
        <v>10500</v>
      </c>
      <c r="E216" s="19">
        <v>2</v>
      </c>
      <c r="F216" s="19">
        <v>0</v>
      </c>
      <c r="G216" s="19">
        <v>0</v>
      </c>
      <c r="H216" s="19">
        <f>B215*2</f>
        <v>7.1999999999999993</v>
      </c>
      <c r="I216" s="19"/>
      <c r="J216" s="19"/>
      <c r="K216" s="19"/>
      <c r="L216" s="19"/>
      <c r="M216" s="19"/>
      <c r="N216" s="28"/>
      <c r="O216" s="19"/>
      <c r="P216" s="24"/>
      <c r="Q216" s="24"/>
      <c r="R216" s="19"/>
    </row>
    <row r="217" spans="1:18" ht="14.25" customHeight="1" x14ac:dyDescent="0.15">
      <c r="A217" s="19"/>
      <c r="B217" s="19"/>
      <c r="C217" s="19"/>
      <c r="D217" s="19">
        <f>D215*D216</f>
        <v>45359.999999999993</v>
      </c>
      <c r="E217" s="19">
        <f>E216*E214</f>
        <v>4200</v>
      </c>
      <c r="F217" s="19">
        <f t="shared" ref="F217:H217" si="150">F214*F216</f>
        <v>0</v>
      </c>
      <c r="G217" s="19">
        <f t="shared" si="150"/>
        <v>0</v>
      </c>
      <c r="H217" s="19">
        <f t="shared" si="150"/>
        <v>2735.9999999999995</v>
      </c>
      <c r="I217" s="19">
        <f t="shared" ref="I217:N217" si="151">I214*I215</f>
        <v>6912</v>
      </c>
      <c r="J217" s="19">
        <f t="shared" si="151"/>
        <v>2000</v>
      </c>
      <c r="K217" s="19">
        <f t="shared" si="151"/>
        <v>2250</v>
      </c>
      <c r="L217" s="19">
        <f t="shared" si="151"/>
        <v>2106</v>
      </c>
      <c r="M217" s="19">
        <f t="shared" si="151"/>
        <v>6000</v>
      </c>
      <c r="N217" s="19">
        <f t="shared" si="151"/>
        <v>3168</v>
      </c>
      <c r="O217" s="19">
        <f>SUM(D217:N217)</f>
        <v>74732</v>
      </c>
      <c r="P217" s="24">
        <f>O217/A215</f>
        <v>12455.333333333334</v>
      </c>
      <c r="Q217" s="24">
        <f>P217*Q214</f>
        <v>24910.666666666668</v>
      </c>
      <c r="R217" s="19">
        <f>MROUND(Q217,100)</f>
        <v>24900</v>
      </c>
    </row>
    <row r="218" spans="1:18" ht="14.25" customHeight="1" x14ac:dyDescent="0.1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9"/>
      <c r="Q218" s="39"/>
    </row>
    <row r="219" spans="1:18" ht="14.25" customHeight="1" x14ac:dyDescent="0.3">
      <c r="A219" s="109" t="str">
        <f>PRICELIST!I35</f>
        <v>WFLX-LNR-SH-LVP-1200-G</v>
      </c>
      <c r="B219" s="87"/>
      <c r="C219" s="8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22"/>
      <c r="Q219" s="22"/>
      <c r="R219" s="17"/>
    </row>
    <row r="220" spans="1:18" ht="14.25" customHeight="1" x14ac:dyDescent="0.15">
      <c r="A220" s="19" t="s">
        <v>57</v>
      </c>
      <c r="B220" s="19" t="s">
        <v>59</v>
      </c>
      <c r="C220" s="19" t="s">
        <v>62</v>
      </c>
      <c r="D220" s="19" t="s">
        <v>64</v>
      </c>
      <c r="E220" s="19">
        <v>1200</v>
      </c>
      <c r="F220" s="19">
        <v>900</v>
      </c>
      <c r="G220" s="19">
        <v>600</v>
      </c>
      <c r="H220" s="19" t="s">
        <v>67</v>
      </c>
      <c r="I220" s="19" t="s">
        <v>68</v>
      </c>
      <c r="J220" s="19" t="s">
        <v>69</v>
      </c>
      <c r="K220" s="19" t="s">
        <v>71</v>
      </c>
      <c r="L220" s="19" t="s">
        <v>72</v>
      </c>
      <c r="M220" s="19" t="s">
        <v>73</v>
      </c>
      <c r="N220" s="19" t="s">
        <v>75</v>
      </c>
      <c r="O220" s="19" t="s">
        <v>76</v>
      </c>
      <c r="P220" s="24" t="s">
        <v>78</v>
      </c>
      <c r="Q220" s="24" t="s">
        <v>79</v>
      </c>
      <c r="R220" s="19" t="s">
        <v>81</v>
      </c>
    </row>
    <row r="221" spans="1:18" ht="14.25" customHeight="1" x14ac:dyDescent="0.15">
      <c r="A221" s="21">
        <f t="shared" ref="A221:H221" si="152">A214</f>
        <v>0</v>
      </c>
      <c r="B221" s="21">
        <f t="shared" si="152"/>
        <v>0</v>
      </c>
      <c r="C221" s="21">
        <f t="shared" si="152"/>
        <v>0</v>
      </c>
      <c r="D221" s="21">
        <f t="shared" si="152"/>
        <v>0</v>
      </c>
      <c r="E221" s="23" t="str">
        <f t="shared" si="152"/>
        <v>2100</v>
      </c>
      <c r="F221" s="23" t="str">
        <f t="shared" si="152"/>
        <v>1900</v>
      </c>
      <c r="G221" s="23" t="str">
        <f t="shared" si="152"/>
        <v>1800</v>
      </c>
      <c r="H221" s="23">
        <f t="shared" si="152"/>
        <v>380</v>
      </c>
      <c r="I221" s="23" t="str">
        <f>I200</f>
        <v>5500</v>
      </c>
      <c r="J221" s="23" t="str">
        <f t="shared" ref="J221:Q221" si="153">J214</f>
        <v>1000</v>
      </c>
      <c r="K221" s="23">
        <f t="shared" si="153"/>
        <v>375</v>
      </c>
      <c r="L221" s="23">
        <f t="shared" si="153"/>
        <v>585</v>
      </c>
      <c r="M221" s="23" t="str">
        <f t="shared" si="153"/>
        <v>1000</v>
      </c>
      <c r="N221" s="23">
        <f t="shared" si="153"/>
        <v>3300</v>
      </c>
      <c r="O221" s="23">
        <f t="shared" si="153"/>
        <v>0</v>
      </c>
      <c r="P221" s="27">
        <f t="shared" si="153"/>
        <v>0</v>
      </c>
      <c r="Q221" s="27">
        <f t="shared" si="153"/>
        <v>2</v>
      </c>
      <c r="R221" s="21"/>
    </row>
    <row r="222" spans="1:18" ht="14.25" customHeight="1" x14ac:dyDescent="0.15">
      <c r="A222" s="19">
        <v>6</v>
      </c>
      <c r="B222" s="19">
        <f>1.2*3</f>
        <v>3.5999999999999996</v>
      </c>
      <c r="C222" s="19">
        <v>1.2</v>
      </c>
      <c r="D222" s="19">
        <f>B222*C222</f>
        <v>4.3199999999999994</v>
      </c>
      <c r="E222" s="19"/>
      <c r="F222" s="19"/>
      <c r="G222" s="19"/>
      <c r="H222" s="19"/>
      <c r="I222" s="19">
        <f>B222*0.4</f>
        <v>1.44</v>
      </c>
      <c r="J222" s="19">
        <v>2</v>
      </c>
      <c r="K222" s="19">
        <f t="shared" ref="K222:L222" si="154">A222</f>
        <v>6</v>
      </c>
      <c r="L222" s="19">
        <f t="shared" si="154"/>
        <v>3.5999999999999996</v>
      </c>
      <c r="M222" s="19">
        <f>A222</f>
        <v>6</v>
      </c>
      <c r="N222" s="19">
        <f>(1.2*0.4)*2</f>
        <v>0.96</v>
      </c>
      <c r="O222" s="19"/>
      <c r="P222" s="24"/>
      <c r="Q222" s="24"/>
      <c r="R222" s="19"/>
    </row>
    <row r="223" spans="1:18" ht="14.25" customHeight="1" x14ac:dyDescent="0.15">
      <c r="A223" s="19"/>
      <c r="B223" s="19"/>
      <c r="C223" s="19"/>
      <c r="D223" s="26" t="str">
        <f>D216</f>
        <v>10500</v>
      </c>
      <c r="E223" s="19">
        <v>2</v>
      </c>
      <c r="F223" s="19">
        <v>0</v>
      </c>
      <c r="G223" s="19">
        <v>0</v>
      </c>
      <c r="H223" s="19">
        <f>B222*2</f>
        <v>7.1999999999999993</v>
      </c>
      <c r="I223" s="19"/>
      <c r="J223" s="19"/>
      <c r="K223" s="19"/>
      <c r="L223" s="19"/>
      <c r="M223" s="19"/>
      <c r="N223" s="28"/>
      <c r="O223" s="19"/>
      <c r="P223" s="24"/>
      <c r="Q223" s="24"/>
      <c r="R223" s="19"/>
    </row>
    <row r="224" spans="1:18" ht="14.25" customHeight="1" x14ac:dyDescent="0.15">
      <c r="A224" s="19"/>
      <c r="B224" s="19"/>
      <c r="C224" s="19"/>
      <c r="D224" s="19">
        <f>D222*D223</f>
        <v>45359.999999999993</v>
      </c>
      <c r="E224" s="19">
        <f>E223*E221</f>
        <v>4200</v>
      </c>
      <c r="F224" s="19">
        <f t="shared" ref="F224:H224" si="155">F221*F223</f>
        <v>0</v>
      </c>
      <c r="G224" s="19">
        <f t="shared" si="155"/>
        <v>0</v>
      </c>
      <c r="H224" s="19">
        <f t="shared" si="155"/>
        <v>2735.9999999999995</v>
      </c>
      <c r="I224" s="19">
        <f t="shared" ref="I224:N224" si="156">I221*I222</f>
        <v>7920</v>
      </c>
      <c r="J224" s="19">
        <f t="shared" si="156"/>
        <v>2000</v>
      </c>
      <c r="K224" s="19">
        <f t="shared" si="156"/>
        <v>2250</v>
      </c>
      <c r="L224" s="19">
        <f t="shared" si="156"/>
        <v>2106</v>
      </c>
      <c r="M224" s="19">
        <f t="shared" si="156"/>
        <v>6000</v>
      </c>
      <c r="N224" s="19">
        <f t="shared" si="156"/>
        <v>3168</v>
      </c>
      <c r="O224" s="19">
        <f>SUM(D224:N224)</f>
        <v>75740</v>
      </c>
      <c r="P224" s="24">
        <f>O224/A222</f>
        <v>12623.333333333334</v>
      </c>
      <c r="Q224" s="24">
        <f>P224*Q221</f>
        <v>25246.666666666668</v>
      </c>
      <c r="R224" s="19">
        <f>MROUND(Q224,100)</f>
        <v>25200</v>
      </c>
    </row>
    <row r="225" spans="1:18" ht="14.25" customHeight="1" x14ac:dyDescent="0.1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9"/>
      <c r="Q225" s="39"/>
    </row>
    <row r="226" spans="1:18" ht="14.25" customHeight="1" x14ac:dyDescent="0.3">
      <c r="A226" s="109" t="str">
        <f>PRICELIST!I36</f>
        <v>WFLX-LNR-SH-LVP-1200-X</v>
      </c>
      <c r="B226" s="87"/>
      <c r="C226" s="8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22"/>
      <c r="Q226" s="22"/>
      <c r="R226" s="17"/>
    </row>
    <row r="227" spans="1:18" ht="14.25" customHeight="1" x14ac:dyDescent="0.15">
      <c r="A227" s="19" t="s">
        <v>57</v>
      </c>
      <c r="B227" s="19" t="s">
        <v>59</v>
      </c>
      <c r="C227" s="19" t="s">
        <v>62</v>
      </c>
      <c r="D227" s="19" t="s">
        <v>64</v>
      </c>
      <c r="E227" s="19">
        <v>1200</v>
      </c>
      <c r="F227" s="19">
        <v>900</v>
      </c>
      <c r="G227" s="19">
        <v>600</v>
      </c>
      <c r="H227" s="19" t="s">
        <v>67</v>
      </c>
      <c r="I227" s="19" t="s">
        <v>68</v>
      </c>
      <c r="J227" s="19" t="s">
        <v>69</v>
      </c>
      <c r="K227" s="19" t="s">
        <v>71</v>
      </c>
      <c r="L227" s="19" t="s">
        <v>72</v>
      </c>
      <c r="M227" s="19" t="s">
        <v>73</v>
      </c>
      <c r="N227" s="19" t="s">
        <v>75</v>
      </c>
      <c r="O227" s="19" t="s">
        <v>76</v>
      </c>
      <c r="P227" s="24" t="s">
        <v>78</v>
      </c>
      <c r="Q227" s="24" t="s">
        <v>79</v>
      </c>
      <c r="R227" s="19" t="s">
        <v>81</v>
      </c>
    </row>
    <row r="228" spans="1:18" ht="14.25" customHeight="1" x14ac:dyDescent="0.15">
      <c r="A228" s="21">
        <f t="shared" ref="A228:H228" si="157">A221</f>
        <v>0</v>
      </c>
      <c r="B228" s="21">
        <f t="shared" si="157"/>
        <v>0</v>
      </c>
      <c r="C228" s="21">
        <f t="shared" si="157"/>
        <v>0</v>
      </c>
      <c r="D228" s="21">
        <f t="shared" si="157"/>
        <v>0</v>
      </c>
      <c r="E228" s="23" t="str">
        <f t="shared" si="157"/>
        <v>2100</v>
      </c>
      <c r="F228" s="23" t="str">
        <f t="shared" si="157"/>
        <v>1900</v>
      </c>
      <c r="G228" s="23" t="str">
        <f t="shared" si="157"/>
        <v>1800</v>
      </c>
      <c r="H228" s="23">
        <f t="shared" si="157"/>
        <v>380</v>
      </c>
      <c r="I228" s="23" t="str">
        <f>I207</f>
        <v>0</v>
      </c>
      <c r="J228" s="23" t="str">
        <f t="shared" ref="J228:Q228" si="158">J221</f>
        <v>1000</v>
      </c>
      <c r="K228" s="23">
        <f t="shared" si="158"/>
        <v>375</v>
      </c>
      <c r="L228" s="23">
        <f t="shared" si="158"/>
        <v>585</v>
      </c>
      <c r="M228" s="23" t="str">
        <f t="shared" si="158"/>
        <v>1000</v>
      </c>
      <c r="N228" s="23">
        <f t="shared" si="158"/>
        <v>3300</v>
      </c>
      <c r="O228" s="23">
        <f t="shared" si="158"/>
        <v>0</v>
      </c>
      <c r="P228" s="27">
        <f t="shared" si="158"/>
        <v>0</v>
      </c>
      <c r="Q228" s="27">
        <f t="shared" si="158"/>
        <v>2</v>
      </c>
      <c r="R228" s="21"/>
    </row>
    <row r="229" spans="1:18" ht="14.25" customHeight="1" x14ac:dyDescent="0.15">
      <c r="A229" s="19">
        <v>6</v>
      </c>
      <c r="B229" s="19">
        <f>1.2*3</f>
        <v>3.5999999999999996</v>
      </c>
      <c r="C229" s="19">
        <v>1.2</v>
      </c>
      <c r="D229" s="19">
        <f>B229*C229</f>
        <v>4.3199999999999994</v>
      </c>
      <c r="E229" s="19"/>
      <c r="F229" s="19"/>
      <c r="G229" s="19"/>
      <c r="H229" s="19"/>
      <c r="I229" s="19">
        <f>B229*0.4</f>
        <v>1.44</v>
      </c>
      <c r="J229" s="19">
        <v>2</v>
      </c>
      <c r="K229" s="19">
        <f t="shared" ref="K229:L229" si="159">A229</f>
        <v>6</v>
      </c>
      <c r="L229" s="19">
        <f t="shared" si="159"/>
        <v>3.5999999999999996</v>
      </c>
      <c r="M229" s="19">
        <f>A229</f>
        <v>6</v>
      </c>
      <c r="N229" s="19">
        <f>(1.2*0.4)*2</f>
        <v>0.96</v>
      </c>
      <c r="O229" s="19"/>
      <c r="P229" s="24"/>
      <c r="Q229" s="24"/>
      <c r="R229" s="19"/>
    </row>
    <row r="230" spans="1:18" ht="14.25" customHeight="1" x14ac:dyDescent="0.15">
      <c r="A230" s="19"/>
      <c r="B230" s="19"/>
      <c r="C230" s="19"/>
      <c r="D230" s="26" t="str">
        <f>D223</f>
        <v>10500</v>
      </c>
      <c r="E230" s="19">
        <v>2</v>
      </c>
      <c r="F230" s="19">
        <v>0</v>
      </c>
      <c r="G230" s="19">
        <v>0</v>
      </c>
      <c r="H230" s="19">
        <f>B229*2</f>
        <v>7.1999999999999993</v>
      </c>
      <c r="I230" s="19"/>
      <c r="J230" s="19"/>
      <c r="K230" s="19"/>
      <c r="L230" s="19"/>
      <c r="M230" s="19"/>
      <c r="N230" s="28"/>
      <c r="O230" s="19"/>
      <c r="P230" s="24"/>
      <c r="Q230" s="24"/>
      <c r="R230" s="19"/>
    </row>
    <row r="231" spans="1:18" ht="14.25" customHeight="1" x14ac:dyDescent="0.15">
      <c r="A231" s="19"/>
      <c r="B231" s="19"/>
      <c r="C231" s="19"/>
      <c r="D231" s="19">
        <f>D229*D230</f>
        <v>45359.999999999993</v>
      </c>
      <c r="E231" s="19">
        <f>E230*E228</f>
        <v>4200</v>
      </c>
      <c r="F231" s="19">
        <f t="shared" ref="F231:H231" si="160">F228*F230</f>
        <v>0</v>
      </c>
      <c r="G231" s="19">
        <f t="shared" si="160"/>
        <v>0</v>
      </c>
      <c r="H231" s="19">
        <f t="shared" si="160"/>
        <v>2735.9999999999995</v>
      </c>
      <c r="I231" s="19">
        <f t="shared" ref="I231:N231" si="161">I228*I229</f>
        <v>0</v>
      </c>
      <c r="J231" s="19">
        <f t="shared" si="161"/>
        <v>2000</v>
      </c>
      <c r="K231" s="19">
        <f t="shared" si="161"/>
        <v>2250</v>
      </c>
      <c r="L231" s="19">
        <f t="shared" si="161"/>
        <v>2106</v>
      </c>
      <c r="M231" s="19">
        <f t="shared" si="161"/>
        <v>6000</v>
      </c>
      <c r="N231" s="19">
        <f t="shared" si="161"/>
        <v>3168</v>
      </c>
      <c r="O231" s="19">
        <f>SUM(D231:N231)</f>
        <v>67820</v>
      </c>
      <c r="P231" s="24">
        <f>O231/A229</f>
        <v>11303.333333333334</v>
      </c>
      <c r="Q231" s="24">
        <f>P231*Q228</f>
        <v>22606.666666666668</v>
      </c>
      <c r="R231" s="19">
        <f>MROUND(Q231,100)</f>
        <v>22600</v>
      </c>
    </row>
    <row r="232" spans="1:18" ht="14.25" customHeight="1" x14ac:dyDescent="0.1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9"/>
      <c r="Q232" s="39"/>
    </row>
    <row r="233" spans="1:18" ht="14.25" customHeight="1" x14ac:dyDescent="0.3">
      <c r="A233" s="109" t="str">
        <f>PRICELIST!I37</f>
        <v>WFLX-LNR-SH-MB-1200-F</v>
      </c>
      <c r="B233" s="87"/>
      <c r="C233" s="8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22"/>
      <c r="Q233" s="22"/>
      <c r="R233" s="17"/>
    </row>
    <row r="234" spans="1:18" ht="14.25" customHeight="1" x14ac:dyDescent="0.15">
      <c r="A234" s="19" t="s">
        <v>57</v>
      </c>
      <c r="B234" s="19" t="s">
        <v>59</v>
      </c>
      <c r="C234" s="19" t="s">
        <v>62</v>
      </c>
      <c r="D234" s="19" t="s">
        <v>64</v>
      </c>
      <c r="E234" s="19">
        <v>1200</v>
      </c>
      <c r="F234" s="19">
        <v>900</v>
      </c>
      <c r="G234" s="19">
        <v>600</v>
      </c>
      <c r="H234" s="19" t="s">
        <v>67</v>
      </c>
      <c r="I234" s="19" t="s">
        <v>68</v>
      </c>
      <c r="J234" s="19" t="s">
        <v>69</v>
      </c>
      <c r="K234" s="19" t="s">
        <v>71</v>
      </c>
      <c r="L234" s="19" t="s">
        <v>72</v>
      </c>
      <c r="M234" s="19" t="s">
        <v>73</v>
      </c>
      <c r="N234" s="19" t="s">
        <v>75</v>
      </c>
      <c r="O234" s="19" t="s">
        <v>76</v>
      </c>
      <c r="P234" s="24" t="s">
        <v>78</v>
      </c>
      <c r="Q234" s="24" t="s">
        <v>79</v>
      </c>
      <c r="R234" s="19" t="s">
        <v>81</v>
      </c>
    </row>
    <row r="235" spans="1:18" ht="14.25" customHeight="1" x14ac:dyDescent="0.15">
      <c r="A235" s="21">
        <f t="shared" ref="A235:H235" si="162">A228</f>
        <v>0</v>
      </c>
      <c r="B235" s="21">
        <f t="shared" si="162"/>
        <v>0</v>
      </c>
      <c r="C235" s="21">
        <f t="shared" si="162"/>
        <v>0</v>
      </c>
      <c r="D235" s="21">
        <f t="shared" si="162"/>
        <v>0</v>
      </c>
      <c r="E235" s="23" t="str">
        <f t="shared" si="162"/>
        <v>2100</v>
      </c>
      <c r="F235" s="23" t="str">
        <f t="shared" si="162"/>
        <v>1900</v>
      </c>
      <c r="G235" s="23" t="str">
        <f t="shared" si="162"/>
        <v>1800</v>
      </c>
      <c r="H235" s="23">
        <f t="shared" si="162"/>
        <v>380</v>
      </c>
      <c r="I235" s="23" t="str">
        <f>I214</f>
        <v>4800</v>
      </c>
      <c r="J235" s="23" t="str">
        <f t="shared" ref="J235:Q235" si="163">J228</f>
        <v>1000</v>
      </c>
      <c r="K235" s="23">
        <f t="shared" si="163"/>
        <v>375</v>
      </c>
      <c r="L235" s="23">
        <f t="shared" si="163"/>
        <v>585</v>
      </c>
      <c r="M235" s="23" t="str">
        <f t="shared" si="163"/>
        <v>1000</v>
      </c>
      <c r="N235" s="23">
        <f t="shared" si="163"/>
        <v>3300</v>
      </c>
      <c r="O235" s="23">
        <f t="shared" si="163"/>
        <v>0</v>
      </c>
      <c r="P235" s="27">
        <f t="shared" si="163"/>
        <v>0</v>
      </c>
      <c r="Q235" s="27">
        <f t="shared" si="163"/>
        <v>2</v>
      </c>
      <c r="R235" s="21"/>
    </row>
    <row r="236" spans="1:18" ht="14.25" customHeight="1" x14ac:dyDescent="0.15">
      <c r="A236" s="19">
        <v>6</v>
      </c>
      <c r="B236" s="19">
        <f>1.2*3</f>
        <v>3.5999999999999996</v>
      </c>
      <c r="C236" s="19">
        <v>1.2</v>
      </c>
      <c r="D236" s="19">
        <f>B236*C236</f>
        <v>4.3199999999999994</v>
      </c>
      <c r="E236" s="19"/>
      <c r="F236" s="19"/>
      <c r="G236" s="19"/>
      <c r="H236" s="19"/>
      <c r="I236" s="19">
        <f>B236*0.4</f>
        <v>1.44</v>
      </c>
      <c r="J236" s="19">
        <v>2</v>
      </c>
      <c r="K236" s="19">
        <f t="shared" ref="K236:L236" si="164">A236</f>
        <v>6</v>
      </c>
      <c r="L236" s="19">
        <f t="shared" si="164"/>
        <v>3.5999999999999996</v>
      </c>
      <c r="M236" s="19">
        <f>A236</f>
        <v>6</v>
      </c>
      <c r="N236" s="19">
        <f>(1.2*0.4)*2</f>
        <v>0.96</v>
      </c>
      <c r="O236" s="19"/>
      <c r="P236" s="24"/>
      <c r="Q236" s="24"/>
      <c r="R236" s="19"/>
    </row>
    <row r="237" spans="1:18" ht="14.25" customHeight="1" x14ac:dyDescent="0.15">
      <c r="A237" s="19"/>
      <c r="B237" s="19"/>
      <c r="C237" s="19"/>
      <c r="D237" s="26" t="str">
        <f>D111</f>
        <v>16250</v>
      </c>
      <c r="E237" s="19">
        <v>2</v>
      </c>
      <c r="F237" s="19">
        <v>0</v>
      </c>
      <c r="G237" s="19">
        <v>0</v>
      </c>
      <c r="H237" s="19">
        <f>B236*2</f>
        <v>7.1999999999999993</v>
      </c>
      <c r="I237" s="19"/>
      <c r="J237" s="19"/>
      <c r="K237" s="19"/>
      <c r="L237" s="19"/>
      <c r="M237" s="19"/>
      <c r="N237" s="28"/>
      <c r="O237" s="19"/>
      <c r="P237" s="24"/>
      <c r="Q237" s="24"/>
      <c r="R237" s="19"/>
    </row>
    <row r="238" spans="1:18" ht="14.25" customHeight="1" x14ac:dyDescent="0.15">
      <c r="A238" s="19"/>
      <c r="B238" s="19"/>
      <c r="C238" s="19"/>
      <c r="D238" s="19">
        <f>D236*D237</f>
        <v>70199.999999999985</v>
      </c>
      <c r="E238" s="19">
        <f>E237*E235</f>
        <v>4200</v>
      </c>
      <c r="F238" s="19">
        <f t="shared" ref="F238:H238" si="165">F235*F237</f>
        <v>0</v>
      </c>
      <c r="G238" s="19">
        <f t="shared" si="165"/>
        <v>0</v>
      </c>
      <c r="H238" s="19">
        <f t="shared" si="165"/>
        <v>2735.9999999999995</v>
      </c>
      <c r="I238" s="19">
        <f t="shared" ref="I238:N238" si="166">I235*I236</f>
        <v>6912</v>
      </c>
      <c r="J238" s="19">
        <f t="shared" si="166"/>
        <v>2000</v>
      </c>
      <c r="K238" s="19">
        <f t="shared" si="166"/>
        <v>2250</v>
      </c>
      <c r="L238" s="19">
        <f t="shared" si="166"/>
        <v>2106</v>
      </c>
      <c r="M238" s="19">
        <f t="shared" si="166"/>
        <v>6000</v>
      </c>
      <c r="N238" s="19">
        <f t="shared" si="166"/>
        <v>3168</v>
      </c>
      <c r="O238" s="19">
        <f>SUM(D238:N238)</f>
        <v>99571.999999999985</v>
      </c>
      <c r="P238" s="24">
        <f>O238/A236</f>
        <v>16595.333333333332</v>
      </c>
      <c r="Q238" s="24">
        <f>P238*Q235</f>
        <v>33190.666666666664</v>
      </c>
      <c r="R238" s="19">
        <f>MROUND(Q238,100)</f>
        <v>33200</v>
      </c>
    </row>
    <row r="239" spans="1:18" ht="14.25" customHeight="1" x14ac:dyDescent="0.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9"/>
      <c r="Q239" s="39"/>
    </row>
    <row r="240" spans="1:18" ht="14.25" customHeight="1" x14ac:dyDescent="0.3">
      <c r="A240" s="109" t="str">
        <f>PRICELIST!I38</f>
        <v>WFLX-LNR-SH-MB-1200-G</v>
      </c>
      <c r="B240" s="87"/>
      <c r="C240" s="8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22"/>
      <c r="Q240" s="22"/>
      <c r="R240" s="17"/>
    </row>
    <row r="241" spans="1:18" ht="14.25" customHeight="1" x14ac:dyDescent="0.15">
      <c r="A241" s="19" t="s">
        <v>57</v>
      </c>
      <c r="B241" s="19" t="s">
        <v>59</v>
      </c>
      <c r="C241" s="19" t="s">
        <v>62</v>
      </c>
      <c r="D241" s="19" t="s">
        <v>64</v>
      </c>
      <c r="E241" s="19">
        <v>1200</v>
      </c>
      <c r="F241" s="19">
        <v>900</v>
      </c>
      <c r="G241" s="19">
        <v>600</v>
      </c>
      <c r="H241" s="19" t="s">
        <v>67</v>
      </c>
      <c r="I241" s="19" t="s">
        <v>68</v>
      </c>
      <c r="J241" s="19" t="s">
        <v>69</v>
      </c>
      <c r="K241" s="19" t="s">
        <v>71</v>
      </c>
      <c r="L241" s="19" t="s">
        <v>72</v>
      </c>
      <c r="M241" s="19" t="s">
        <v>73</v>
      </c>
      <c r="N241" s="19" t="s">
        <v>75</v>
      </c>
      <c r="O241" s="19" t="s">
        <v>76</v>
      </c>
      <c r="P241" s="24" t="s">
        <v>78</v>
      </c>
      <c r="Q241" s="24" t="s">
        <v>79</v>
      </c>
      <c r="R241" s="19" t="s">
        <v>81</v>
      </c>
    </row>
    <row r="242" spans="1:18" ht="14.25" customHeight="1" x14ac:dyDescent="0.15">
      <c r="A242" s="21">
        <f t="shared" ref="A242:H242" si="167">A235</f>
        <v>0</v>
      </c>
      <c r="B242" s="21">
        <f t="shared" si="167"/>
        <v>0</v>
      </c>
      <c r="C242" s="21">
        <f t="shared" si="167"/>
        <v>0</v>
      </c>
      <c r="D242" s="21">
        <f t="shared" si="167"/>
        <v>0</v>
      </c>
      <c r="E242" s="23" t="str">
        <f t="shared" si="167"/>
        <v>2100</v>
      </c>
      <c r="F242" s="23" t="str">
        <f t="shared" si="167"/>
        <v>1900</v>
      </c>
      <c r="G242" s="23" t="str">
        <f t="shared" si="167"/>
        <v>1800</v>
      </c>
      <c r="H242" s="23">
        <f t="shared" si="167"/>
        <v>380</v>
      </c>
      <c r="I242" s="23" t="str">
        <f>I221</f>
        <v>5500</v>
      </c>
      <c r="J242" s="23" t="str">
        <f t="shared" ref="J242:Q242" si="168">J235</f>
        <v>1000</v>
      </c>
      <c r="K242" s="23">
        <f t="shared" si="168"/>
        <v>375</v>
      </c>
      <c r="L242" s="23">
        <f t="shared" si="168"/>
        <v>585</v>
      </c>
      <c r="M242" s="23" t="str">
        <f t="shared" si="168"/>
        <v>1000</v>
      </c>
      <c r="N242" s="23">
        <f t="shared" si="168"/>
        <v>3300</v>
      </c>
      <c r="O242" s="23">
        <f t="shared" si="168"/>
        <v>0</v>
      </c>
      <c r="P242" s="27">
        <f t="shared" si="168"/>
        <v>0</v>
      </c>
      <c r="Q242" s="27">
        <f t="shared" si="168"/>
        <v>2</v>
      </c>
      <c r="R242" s="21"/>
    </row>
    <row r="243" spans="1:18" ht="14.25" customHeight="1" x14ac:dyDescent="0.15">
      <c r="A243" s="19">
        <v>6</v>
      </c>
      <c r="B243" s="19">
        <f>1.2*3</f>
        <v>3.5999999999999996</v>
      </c>
      <c r="C243" s="19">
        <v>1.2</v>
      </c>
      <c r="D243" s="19">
        <f>B243*C243</f>
        <v>4.3199999999999994</v>
      </c>
      <c r="E243" s="19"/>
      <c r="F243" s="19"/>
      <c r="G243" s="19"/>
      <c r="H243" s="19"/>
      <c r="I243" s="19">
        <f>B243*0.4</f>
        <v>1.44</v>
      </c>
      <c r="J243" s="19">
        <v>2</v>
      </c>
      <c r="K243" s="19">
        <f t="shared" ref="K243:L243" si="169">A243</f>
        <v>6</v>
      </c>
      <c r="L243" s="19">
        <f t="shared" si="169"/>
        <v>3.5999999999999996</v>
      </c>
      <c r="M243" s="19">
        <f>A243</f>
        <v>6</v>
      </c>
      <c r="N243" s="19">
        <f>(1.2*0.4)*2</f>
        <v>0.96</v>
      </c>
      <c r="O243" s="19"/>
      <c r="P243" s="24"/>
      <c r="Q243" s="24"/>
      <c r="R243" s="19"/>
    </row>
    <row r="244" spans="1:18" ht="14.25" customHeight="1" x14ac:dyDescent="0.15">
      <c r="A244" s="19"/>
      <c r="B244" s="19"/>
      <c r="C244" s="19"/>
      <c r="D244" s="26" t="str">
        <f>D237</f>
        <v>16250</v>
      </c>
      <c r="E244" s="19">
        <v>2</v>
      </c>
      <c r="F244" s="19">
        <v>0</v>
      </c>
      <c r="G244" s="19">
        <v>0</v>
      </c>
      <c r="H244" s="19">
        <f>B243*2</f>
        <v>7.1999999999999993</v>
      </c>
      <c r="I244" s="19"/>
      <c r="J244" s="19"/>
      <c r="K244" s="19"/>
      <c r="L244" s="19"/>
      <c r="M244" s="19"/>
      <c r="N244" s="28"/>
      <c r="O244" s="19"/>
      <c r="P244" s="24"/>
      <c r="Q244" s="24"/>
      <c r="R244" s="19"/>
    </row>
    <row r="245" spans="1:18" ht="14.25" customHeight="1" x14ac:dyDescent="0.15">
      <c r="A245" s="19"/>
      <c r="B245" s="19"/>
      <c r="C245" s="19"/>
      <c r="D245" s="19">
        <f>D243*D244</f>
        <v>70199.999999999985</v>
      </c>
      <c r="E245" s="19">
        <f>E244*E242</f>
        <v>4200</v>
      </c>
      <c r="F245" s="19">
        <f t="shared" ref="F245:H245" si="170">F242*F244</f>
        <v>0</v>
      </c>
      <c r="G245" s="19">
        <f t="shared" si="170"/>
        <v>0</v>
      </c>
      <c r="H245" s="19">
        <f t="shared" si="170"/>
        <v>2735.9999999999995</v>
      </c>
      <c r="I245" s="19">
        <f t="shared" ref="I245:N245" si="171">I242*I243</f>
        <v>7920</v>
      </c>
      <c r="J245" s="19">
        <f t="shared" si="171"/>
        <v>2000</v>
      </c>
      <c r="K245" s="19">
        <f t="shared" si="171"/>
        <v>2250</v>
      </c>
      <c r="L245" s="19">
        <f t="shared" si="171"/>
        <v>2106</v>
      </c>
      <c r="M245" s="19">
        <f t="shared" si="171"/>
        <v>6000</v>
      </c>
      <c r="N245" s="19">
        <f t="shared" si="171"/>
        <v>3168</v>
      </c>
      <c r="O245" s="19">
        <f>SUM(D245:N245)</f>
        <v>100579.99999999999</v>
      </c>
      <c r="P245" s="24">
        <f>O245/A243</f>
        <v>16763.333333333332</v>
      </c>
      <c r="Q245" s="24">
        <f>P245*Q242</f>
        <v>33526.666666666664</v>
      </c>
      <c r="R245" s="19">
        <f>MROUND(Q245,100)</f>
        <v>33500</v>
      </c>
    </row>
    <row r="246" spans="1:18" ht="14.25" customHeight="1" x14ac:dyDescent="0.1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9"/>
      <c r="Q246" s="39"/>
    </row>
    <row r="247" spans="1:18" ht="14.25" customHeight="1" x14ac:dyDescent="0.3">
      <c r="A247" s="109" t="str">
        <f>PRICELIST!I39</f>
        <v>WFLX-LNR-SH-MB-1200-X</v>
      </c>
      <c r="B247" s="87"/>
      <c r="C247" s="8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22"/>
      <c r="Q247" s="22"/>
      <c r="R247" s="17"/>
    </row>
    <row r="248" spans="1:18" ht="14.25" customHeight="1" x14ac:dyDescent="0.15">
      <c r="A248" s="19" t="s">
        <v>57</v>
      </c>
      <c r="B248" s="19" t="s">
        <v>59</v>
      </c>
      <c r="C248" s="19" t="s">
        <v>62</v>
      </c>
      <c r="D248" s="19" t="s">
        <v>64</v>
      </c>
      <c r="E248" s="19">
        <v>1200</v>
      </c>
      <c r="F248" s="19">
        <v>900</v>
      </c>
      <c r="G248" s="19">
        <v>600</v>
      </c>
      <c r="H248" s="19" t="s">
        <v>67</v>
      </c>
      <c r="I248" s="19" t="s">
        <v>68</v>
      </c>
      <c r="J248" s="19" t="s">
        <v>69</v>
      </c>
      <c r="K248" s="19" t="s">
        <v>71</v>
      </c>
      <c r="L248" s="19" t="s">
        <v>72</v>
      </c>
      <c r="M248" s="19" t="s">
        <v>73</v>
      </c>
      <c r="N248" s="19" t="s">
        <v>75</v>
      </c>
      <c r="O248" s="19" t="s">
        <v>76</v>
      </c>
      <c r="P248" s="24" t="s">
        <v>78</v>
      </c>
      <c r="Q248" s="24" t="s">
        <v>79</v>
      </c>
      <c r="R248" s="19" t="s">
        <v>81</v>
      </c>
    </row>
    <row r="249" spans="1:18" ht="14.25" customHeight="1" x14ac:dyDescent="0.15">
      <c r="A249" s="21">
        <f t="shared" ref="A249:H249" si="172">A242</f>
        <v>0</v>
      </c>
      <c r="B249" s="21">
        <f t="shared" si="172"/>
        <v>0</v>
      </c>
      <c r="C249" s="21">
        <f t="shared" si="172"/>
        <v>0</v>
      </c>
      <c r="D249" s="21">
        <f t="shared" si="172"/>
        <v>0</v>
      </c>
      <c r="E249" s="23" t="str">
        <f t="shared" si="172"/>
        <v>2100</v>
      </c>
      <c r="F249" s="23" t="str">
        <f t="shared" si="172"/>
        <v>1900</v>
      </c>
      <c r="G249" s="23" t="str">
        <f t="shared" si="172"/>
        <v>1800</v>
      </c>
      <c r="H249" s="23">
        <f t="shared" si="172"/>
        <v>380</v>
      </c>
      <c r="I249" s="23" t="str">
        <f>I228</f>
        <v>0</v>
      </c>
      <c r="J249" s="23" t="str">
        <f t="shared" ref="J249:Q249" si="173">J242</f>
        <v>1000</v>
      </c>
      <c r="K249" s="23">
        <f t="shared" si="173"/>
        <v>375</v>
      </c>
      <c r="L249" s="23">
        <f t="shared" si="173"/>
        <v>585</v>
      </c>
      <c r="M249" s="23" t="str">
        <f t="shared" si="173"/>
        <v>1000</v>
      </c>
      <c r="N249" s="23">
        <f t="shared" si="173"/>
        <v>3300</v>
      </c>
      <c r="O249" s="23">
        <f t="shared" si="173"/>
        <v>0</v>
      </c>
      <c r="P249" s="27">
        <f t="shared" si="173"/>
        <v>0</v>
      </c>
      <c r="Q249" s="27">
        <f t="shared" si="173"/>
        <v>2</v>
      </c>
      <c r="R249" s="21"/>
    </row>
    <row r="250" spans="1:18" ht="14.25" customHeight="1" x14ac:dyDescent="0.15">
      <c r="A250" s="19">
        <v>6</v>
      </c>
      <c r="B250" s="19">
        <f>1.2*3</f>
        <v>3.5999999999999996</v>
      </c>
      <c r="C250" s="19">
        <v>1.2</v>
      </c>
      <c r="D250" s="19">
        <f>B250*C250</f>
        <v>4.3199999999999994</v>
      </c>
      <c r="E250" s="19"/>
      <c r="F250" s="19"/>
      <c r="G250" s="19"/>
      <c r="H250" s="19"/>
      <c r="I250" s="19">
        <f>B250*0.4</f>
        <v>1.44</v>
      </c>
      <c r="J250" s="19">
        <v>2</v>
      </c>
      <c r="K250" s="19">
        <f t="shared" ref="K250:L250" si="174">A250</f>
        <v>6</v>
      </c>
      <c r="L250" s="19">
        <f t="shared" si="174"/>
        <v>3.5999999999999996</v>
      </c>
      <c r="M250" s="19">
        <f>A250</f>
        <v>6</v>
      </c>
      <c r="N250" s="19">
        <f>(1.2*0.4)*2</f>
        <v>0.96</v>
      </c>
      <c r="O250" s="19"/>
      <c r="P250" s="24"/>
      <c r="Q250" s="24"/>
      <c r="R250" s="19"/>
    </row>
    <row r="251" spans="1:18" ht="14.25" customHeight="1" x14ac:dyDescent="0.15">
      <c r="A251" s="19"/>
      <c r="B251" s="19"/>
      <c r="C251" s="19"/>
      <c r="D251" s="26" t="str">
        <f>D244</f>
        <v>16250</v>
      </c>
      <c r="E251" s="19">
        <v>2</v>
      </c>
      <c r="F251" s="19">
        <v>0</v>
      </c>
      <c r="G251" s="19">
        <v>0</v>
      </c>
      <c r="H251" s="19">
        <f>B250*2</f>
        <v>7.1999999999999993</v>
      </c>
      <c r="I251" s="19"/>
      <c r="J251" s="19"/>
      <c r="K251" s="19"/>
      <c r="L251" s="19"/>
      <c r="M251" s="19"/>
      <c r="N251" s="28"/>
      <c r="O251" s="19"/>
      <c r="P251" s="24"/>
      <c r="Q251" s="24"/>
      <c r="R251" s="19"/>
    </row>
    <row r="252" spans="1:18" ht="14.25" customHeight="1" x14ac:dyDescent="0.15">
      <c r="A252" s="19"/>
      <c r="B252" s="19"/>
      <c r="C252" s="19"/>
      <c r="D252" s="19">
        <f>D250*D251</f>
        <v>70199.999999999985</v>
      </c>
      <c r="E252" s="19">
        <f>E251*E249</f>
        <v>4200</v>
      </c>
      <c r="F252" s="19">
        <f t="shared" ref="F252:H252" si="175">F249*F251</f>
        <v>0</v>
      </c>
      <c r="G252" s="19">
        <f t="shared" si="175"/>
        <v>0</v>
      </c>
      <c r="H252" s="19">
        <f t="shared" si="175"/>
        <v>2735.9999999999995</v>
      </c>
      <c r="I252" s="19">
        <f t="shared" ref="I252:N252" si="176">I249*I250</f>
        <v>0</v>
      </c>
      <c r="J252" s="19">
        <f t="shared" si="176"/>
        <v>2000</v>
      </c>
      <c r="K252" s="19">
        <f t="shared" si="176"/>
        <v>2250</v>
      </c>
      <c r="L252" s="19">
        <f t="shared" si="176"/>
        <v>2106</v>
      </c>
      <c r="M252" s="19">
        <f t="shared" si="176"/>
        <v>6000</v>
      </c>
      <c r="N252" s="19">
        <f t="shared" si="176"/>
        <v>3168</v>
      </c>
      <c r="O252" s="19">
        <f>SUM(D252:N252)</f>
        <v>92659.999999999985</v>
      </c>
      <c r="P252" s="24">
        <f>O252/A250</f>
        <v>15443.33333333333</v>
      </c>
      <c r="Q252" s="24">
        <f>P252*Q249</f>
        <v>30886.666666666661</v>
      </c>
      <c r="R252" s="19">
        <f>MROUND(Q252,100)</f>
        <v>30900</v>
      </c>
    </row>
    <row r="253" spans="1:18" ht="14.25" customHeight="1" x14ac:dyDescent="0.1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9"/>
      <c r="Q253" s="39"/>
    </row>
    <row r="254" spans="1:18" ht="14.25" customHeight="1" x14ac:dyDescent="0.3">
      <c r="A254" s="109" t="str">
        <f>PRICELIST!I40</f>
        <v>WFLX-LNR-SH-PB-1500-F</v>
      </c>
      <c r="B254" s="87"/>
      <c r="C254" s="8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22"/>
      <c r="Q254" s="22"/>
      <c r="R254" s="17"/>
    </row>
    <row r="255" spans="1:18" ht="14.25" customHeight="1" x14ac:dyDescent="0.15">
      <c r="A255" s="19" t="s">
        <v>57</v>
      </c>
      <c r="B255" s="19" t="s">
        <v>59</v>
      </c>
      <c r="C255" s="19" t="s">
        <v>62</v>
      </c>
      <c r="D255" s="19" t="s">
        <v>64</v>
      </c>
      <c r="E255" s="19">
        <v>1200</v>
      </c>
      <c r="F255" s="19">
        <v>900</v>
      </c>
      <c r="G255" s="19">
        <v>600</v>
      </c>
      <c r="H255" s="19" t="s">
        <v>67</v>
      </c>
      <c r="I255" s="19" t="s">
        <v>68</v>
      </c>
      <c r="J255" s="19" t="s">
        <v>69</v>
      </c>
      <c r="K255" s="19" t="s">
        <v>71</v>
      </c>
      <c r="L255" s="19" t="s">
        <v>72</v>
      </c>
      <c r="M255" s="19" t="s">
        <v>73</v>
      </c>
      <c r="N255" s="19" t="s">
        <v>75</v>
      </c>
      <c r="O255" s="19" t="s">
        <v>76</v>
      </c>
      <c r="P255" s="24" t="s">
        <v>78</v>
      </c>
      <c r="Q255" s="24" t="s">
        <v>79</v>
      </c>
      <c r="R255" s="19" t="s">
        <v>81</v>
      </c>
    </row>
    <row r="256" spans="1:18" ht="14.25" customHeight="1" x14ac:dyDescent="0.15">
      <c r="A256" s="21"/>
      <c r="B256" s="21"/>
      <c r="C256" s="21"/>
      <c r="D256" s="21"/>
      <c r="E256" s="23" t="str">
        <f t="shared" ref="E256:G256" si="177">E249</f>
        <v>2100</v>
      </c>
      <c r="F256" s="23" t="str">
        <f t="shared" si="177"/>
        <v>1900</v>
      </c>
      <c r="G256" s="23" t="str">
        <f t="shared" si="177"/>
        <v>1800</v>
      </c>
      <c r="H256" s="21">
        <v>380</v>
      </c>
      <c r="I256" s="23" t="str">
        <f>I235</f>
        <v>4800</v>
      </c>
      <c r="J256" s="23" t="str">
        <f>J249</f>
        <v>1000</v>
      </c>
      <c r="K256" s="21">
        <v>375</v>
      </c>
      <c r="L256" s="21">
        <v>585</v>
      </c>
      <c r="M256" s="23" t="str">
        <f>M249</f>
        <v>1000</v>
      </c>
      <c r="N256" s="21">
        <v>3300</v>
      </c>
      <c r="O256" s="21"/>
      <c r="P256" s="27"/>
      <c r="Q256" s="27">
        <f>Q249</f>
        <v>2</v>
      </c>
      <c r="R256" s="21"/>
    </row>
    <row r="257" spans="1:18" ht="14.25" customHeight="1" x14ac:dyDescent="0.15">
      <c r="A257" s="19">
        <v>6</v>
      </c>
      <c r="B257" s="19">
        <f>1.5*3</f>
        <v>4.5</v>
      </c>
      <c r="C257" s="19">
        <v>1.2</v>
      </c>
      <c r="D257" s="19">
        <f>B257*C257</f>
        <v>5.3999999999999995</v>
      </c>
      <c r="E257" s="19"/>
      <c r="F257" s="19"/>
      <c r="G257" s="19"/>
      <c r="H257" s="19"/>
      <c r="I257" s="19">
        <f>B257*0.4</f>
        <v>1.8</v>
      </c>
      <c r="J257" s="19">
        <v>2</v>
      </c>
      <c r="K257" s="19">
        <f t="shared" ref="K257:L257" si="178">A257</f>
        <v>6</v>
      </c>
      <c r="L257" s="19">
        <f t="shared" si="178"/>
        <v>4.5</v>
      </c>
      <c r="M257" s="19">
        <f>A257</f>
        <v>6</v>
      </c>
      <c r="N257" s="19">
        <f>(1.2*0.4)*2</f>
        <v>0.96</v>
      </c>
      <c r="O257" s="19"/>
      <c r="P257" s="24"/>
      <c r="Q257" s="24"/>
      <c r="R257" s="19"/>
    </row>
    <row r="258" spans="1:18" ht="14.25" customHeight="1" x14ac:dyDescent="0.15">
      <c r="A258" s="19"/>
      <c r="B258" s="19"/>
      <c r="C258" s="19"/>
      <c r="D258" s="26" t="str">
        <f>D132</f>
        <v>2200</v>
      </c>
      <c r="E258" s="19">
        <v>2</v>
      </c>
      <c r="F258" s="19">
        <v>0</v>
      </c>
      <c r="G258" s="19">
        <v>0</v>
      </c>
      <c r="H258" s="19">
        <f>B257*2</f>
        <v>9</v>
      </c>
      <c r="I258" s="19"/>
      <c r="J258" s="19"/>
      <c r="K258" s="19"/>
      <c r="L258" s="19"/>
      <c r="M258" s="19"/>
      <c r="N258" s="28"/>
      <c r="O258" s="19"/>
      <c r="P258" s="24"/>
      <c r="Q258" s="24"/>
      <c r="R258" s="19"/>
    </row>
    <row r="259" spans="1:18" ht="14.25" customHeight="1" x14ac:dyDescent="0.15">
      <c r="A259" s="19"/>
      <c r="B259" s="19"/>
      <c r="C259" s="19"/>
      <c r="D259" s="19">
        <f>D257*D258</f>
        <v>11879.999999999998</v>
      </c>
      <c r="E259" s="19">
        <f>E258*E256</f>
        <v>4200</v>
      </c>
      <c r="F259" s="19">
        <f t="shared" ref="F259:H259" si="179">F256*F258</f>
        <v>0</v>
      </c>
      <c r="G259" s="19">
        <f t="shared" si="179"/>
        <v>0</v>
      </c>
      <c r="H259" s="19">
        <f t="shared" si="179"/>
        <v>3420</v>
      </c>
      <c r="I259" s="19">
        <f t="shared" ref="I259:N259" si="180">I256*I257</f>
        <v>8640</v>
      </c>
      <c r="J259" s="19">
        <f t="shared" si="180"/>
        <v>2000</v>
      </c>
      <c r="K259" s="19">
        <f t="shared" si="180"/>
        <v>2250</v>
      </c>
      <c r="L259" s="19">
        <f t="shared" si="180"/>
        <v>2632.5</v>
      </c>
      <c r="M259" s="19">
        <f t="shared" si="180"/>
        <v>6000</v>
      </c>
      <c r="N259" s="19">
        <f t="shared" si="180"/>
        <v>3168</v>
      </c>
      <c r="O259" s="19">
        <f>SUM(D259:N259)</f>
        <v>44190.5</v>
      </c>
      <c r="P259" s="24">
        <f>O259/A257</f>
        <v>7365.083333333333</v>
      </c>
      <c r="Q259" s="24">
        <f>P259*Q256</f>
        <v>14730.166666666666</v>
      </c>
      <c r="R259" s="19">
        <f>MROUND(Q259,100)</f>
        <v>14700</v>
      </c>
    </row>
    <row r="260" spans="1:18" ht="14.25" customHeight="1" x14ac:dyDescent="0.1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9"/>
      <c r="Q260" s="39"/>
    </row>
    <row r="261" spans="1:18" ht="14.25" customHeight="1" x14ac:dyDescent="0.3">
      <c r="A261" s="109" t="str">
        <f>PRICELIST!I41</f>
        <v>WFLX-LNR-SH-PB-1500-G</v>
      </c>
      <c r="B261" s="87"/>
      <c r="C261" s="8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22"/>
      <c r="Q261" s="22"/>
      <c r="R261" s="17"/>
    </row>
    <row r="262" spans="1:18" ht="14.25" customHeight="1" x14ac:dyDescent="0.15">
      <c r="A262" s="19" t="s">
        <v>57</v>
      </c>
      <c r="B262" s="19" t="s">
        <v>59</v>
      </c>
      <c r="C262" s="19" t="s">
        <v>62</v>
      </c>
      <c r="D262" s="19" t="s">
        <v>64</v>
      </c>
      <c r="E262" s="19">
        <v>1200</v>
      </c>
      <c r="F262" s="19">
        <v>900</v>
      </c>
      <c r="G262" s="19">
        <v>600</v>
      </c>
      <c r="H262" s="19" t="s">
        <v>67</v>
      </c>
      <c r="I262" s="19" t="s">
        <v>68</v>
      </c>
      <c r="J262" s="19" t="s">
        <v>69</v>
      </c>
      <c r="K262" s="19" t="s">
        <v>71</v>
      </c>
      <c r="L262" s="19" t="s">
        <v>72</v>
      </c>
      <c r="M262" s="19" t="s">
        <v>73</v>
      </c>
      <c r="N262" s="19" t="s">
        <v>75</v>
      </c>
      <c r="O262" s="19" t="s">
        <v>76</v>
      </c>
      <c r="P262" s="24" t="s">
        <v>78</v>
      </c>
      <c r="Q262" s="24" t="s">
        <v>79</v>
      </c>
      <c r="R262" s="19" t="s">
        <v>81</v>
      </c>
    </row>
    <row r="263" spans="1:18" ht="14.25" customHeight="1" x14ac:dyDescent="0.15">
      <c r="A263" s="21"/>
      <c r="B263" s="21"/>
      <c r="C263" s="21"/>
      <c r="D263" s="21"/>
      <c r="E263" s="23" t="str">
        <f t="shared" ref="E263:H263" si="181">E256</f>
        <v>2100</v>
      </c>
      <c r="F263" s="23" t="str">
        <f t="shared" si="181"/>
        <v>1900</v>
      </c>
      <c r="G263" s="23" t="str">
        <f t="shared" si="181"/>
        <v>1800</v>
      </c>
      <c r="H263" s="23">
        <f t="shared" si="181"/>
        <v>380</v>
      </c>
      <c r="I263" s="23" t="str">
        <f>I242</f>
        <v>5500</v>
      </c>
      <c r="J263" s="23" t="str">
        <f t="shared" ref="J263:R263" si="182">J256</f>
        <v>1000</v>
      </c>
      <c r="K263" s="23">
        <f t="shared" si="182"/>
        <v>375</v>
      </c>
      <c r="L263" s="23">
        <f t="shared" si="182"/>
        <v>585</v>
      </c>
      <c r="M263" s="23" t="str">
        <f t="shared" si="182"/>
        <v>1000</v>
      </c>
      <c r="N263" s="23">
        <f t="shared" si="182"/>
        <v>3300</v>
      </c>
      <c r="O263" s="23">
        <f t="shared" si="182"/>
        <v>0</v>
      </c>
      <c r="P263" s="27">
        <f t="shared" si="182"/>
        <v>0</v>
      </c>
      <c r="Q263" s="27">
        <f t="shared" si="182"/>
        <v>2</v>
      </c>
      <c r="R263" s="23">
        <f t="shared" si="182"/>
        <v>0</v>
      </c>
    </row>
    <row r="264" spans="1:18" ht="14.25" customHeight="1" x14ac:dyDescent="0.15">
      <c r="A264" s="19">
        <v>6</v>
      </c>
      <c r="B264" s="19">
        <f>1.5*3</f>
        <v>4.5</v>
      </c>
      <c r="C264" s="19">
        <v>1.2</v>
      </c>
      <c r="D264" s="19">
        <f>B264*C264</f>
        <v>5.3999999999999995</v>
      </c>
      <c r="E264" s="19"/>
      <c r="F264" s="19"/>
      <c r="G264" s="19"/>
      <c r="H264" s="19"/>
      <c r="I264" s="19">
        <f>B264*0.4</f>
        <v>1.8</v>
      </c>
      <c r="J264" s="19">
        <v>2</v>
      </c>
      <c r="K264" s="19">
        <f t="shared" ref="K264:L264" si="183">A264</f>
        <v>6</v>
      </c>
      <c r="L264" s="19">
        <f t="shared" si="183"/>
        <v>4.5</v>
      </c>
      <c r="M264" s="19">
        <f>A264</f>
        <v>6</v>
      </c>
      <c r="N264" s="19">
        <f>(1.2*0.4)*2</f>
        <v>0.96</v>
      </c>
      <c r="O264" s="19"/>
      <c r="P264" s="24"/>
      <c r="Q264" s="24"/>
      <c r="R264" s="19"/>
    </row>
    <row r="265" spans="1:18" ht="14.25" customHeight="1" x14ac:dyDescent="0.15">
      <c r="A265" s="19"/>
      <c r="B265" s="19"/>
      <c r="C265" s="19"/>
      <c r="D265" s="26" t="str">
        <f>D258</f>
        <v>2200</v>
      </c>
      <c r="E265" s="19">
        <v>2</v>
      </c>
      <c r="F265" s="19">
        <v>0</v>
      </c>
      <c r="G265" s="19">
        <v>0</v>
      </c>
      <c r="H265" s="19">
        <f>B264*2</f>
        <v>9</v>
      </c>
      <c r="I265" s="19"/>
      <c r="J265" s="19"/>
      <c r="K265" s="19"/>
      <c r="L265" s="19"/>
      <c r="M265" s="19"/>
      <c r="N265" s="28"/>
      <c r="O265" s="19"/>
      <c r="P265" s="24"/>
      <c r="Q265" s="24"/>
      <c r="R265" s="19"/>
    </row>
    <row r="266" spans="1:18" ht="14.25" customHeight="1" x14ac:dyDescent="0.15">
      <c r="A266" s="19"/>
      <c r="B266" s="19"/>
      <c r="C266" s="19"/>
      <c r="D266" s="19">
        <f>D264*D265</f>
        <v>11879.999999999998</v>
      </c>
      <c r="E266" s="19">
        <f>E265*E263</f>
        <v>4200</v>
      </c>
      <c r="F266" s="19">
        <f t="shared" ref="F266:H266" si="184">F263*F265</f>
        <v>0</v>
      </c>
      <c r="G266" s="19">
        <f t="shared" si="184"/>
        <v>0</v>
      </c>
      <c r="H266" s="19">
        <f t="shared" si="184"/>
        <v>3420</v>
      </c>
      <c r="I266" s="19">
        <f t="shared" ref="I266:N266" si="185">I263*I264</f>
        <v>9900</v>
      </c>
      <c r="J266" s="19">
        <f t="shared" si="185"/>
        <v>2000</v>
      </c>
      <c r="K266" s="19">
        <f t="shared" si="185"/>
        <v>2250</v>
      </c>
      <c r="L266" s="19">
        <f t="shared" si="185"/>
        <v>2632.5</v>
      </c>
      <c r="M266" s="19">
        <f t="shared" si="185"/>
        <v>6000</v>
      </c>
      <c r="N266" s="19">
        <f t="shared" si="185"/>
        <v>3168</v>
      </c>
      <c r="O266" s="19">
        <f>SUM(D266:N266)</f>
        <v>45450.5</v>
      </c>
      <c r="P266" s="24">
        <f>O266/A264</f>
        <v>7575.083333333333</v>
      </c>
      <c r="Q266" s="24">
        <f>P266*Q263</f>
        <v>15150.166666666666</v>
      </c>
      <c r="R266" s="19">
        <f>MROUND(Q266,100)</f>
        <v>15200</v>
      </c>
    </row>
    <row r="267" spans="1:18" ht="14.25" customHeight="1" x14ac:dyDescent="0.1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9"/>
      <c r="Q267" s="39"/>
    </row>
    <row r="268" spans="1:18" ht="14.25" customHeight="1" x14ac:dyDescent="0.3">
      <c r="A268" s="109" t="str">
        <f>PRICELIST!I42</f>
        <v>WFLX-LNR-SH-PB-1500-X</v>
      </c>
      <c r="B268" s="87"/>
      <c r="C268" s="8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22"/>
      <c r="Q268" s="22"/>
      <c r="R268" s="17"/>
    </row>
    <row r="269" spans="1:18" ht="14.25" customHeight="1" x14ac:dyDescent="0.15">
      <c r="A269" s="19" t="s">
        <v>57</v>
      </c>
      <c r="B269" s="19" t="s">
        <v>59</v>
      </c>
      <c r="C269" s="19" t="s">
        <v>62</v>
      </c>
      <c r="D269" s="19" t="s">
        <v>64</v>
      </c>
      <c r="E269" s="19">
        <v>1200</v>
      </c>
      <c r="F269" s="19">
        <v>900</v>
      </c>
      <c r="G269" s="19">
        <v>600</v>
      </c>
      <c r="H269" s="19" t="s">
        <v>67</v>
      </c>
      <c r="I269" s="19" t="s">
        <v>68</v>
      </c>
      <c r="J269" s="19" t="s">
        <v>69</v>
      </c>
      <c r="K269" s="19" t="s">
        <v>71</v>
      </c>
      <c r="L269" s="19" t="s">
        <v>72</v>
      </c>
      <c r="M269" s="19" t="s">
        <v>73</v>
      </c>
      <c r="N269" s="19" t="s">
        <v>75</v>
      </c>
      <c r="O269" s="19" t="s">
        <v>76</v>
      </c>
      <c r="P269" s="24" t="s">
        <v>78</v>
      </c>
      <c r="Q269" s="24" t="s">
        <v>79</v>
      </c>
      <c r="R269" s="19" t="s">
        <v>81</v>
      </c>
    </row>
    <row r="270" spans="1:18" ht="14.25" customHeight="1" x14ac:dyDescent="0.15">
      <c r="A270" s="21">
        <f t="shared" ref="A270:H270" si="186">A263</f>
        <v>0</v>
      </c>
      <c r="B270" s="21">
        <f t="shared" si="186"/>
        <v>0</v>
      </c>
      <c r="C270" s="21">
        <f t="shared" si="186"/>
        <v>0</v>
      </c>
      <c r="D270" s="21">
        <f t="shared" si="186"/>
        <v>0</v>
      </c>
      <c r="E270" s="23" t="str">
        <f t="shared" si="186"/>
        <v>2100</v>
      </c>
      <c r="F270" s="23" t="str">
        <f t="shared" si="186"/>
        <v>1900</v>
      </c>
      <c r="G270" s="23" t="str">
        <f t="shared" si="186"/>
        <v>1800</v>
      </c>
      <c r="H270" s="23">
        <f t="shared" si="186"/>
        <v>380</v>
      </c>
      <c r="I270" s="23" t="str">
        <f>I249</f>
        <v>0</v>
      </c>
      <c r="J270" s="23" t="str">
        <f t="shared" ref="J270:Q270" si="187">J263</f>
        <v>1000</v>
      </c>
      <c r="K270" s="23">
        <f t="shared" si="187"/>
        <v>375</v>
      </c>
      <c r="L270" s="23">
        <f t="shared" si="187"/>
        <v>585</v>
      </c>
      <c r="M270" s="23" t="str">
        <f t="shared" si="187"/>
        <v>1000</v>
      </c>
      <c r="N270" s="23">
        <f t="shared" si="187"/>
        <v>3300</v>
      </c>
      <c r="O270" s="23">
        <f t="shared" si="187"/>
        <v>0</v>
      </c>
      <c r="P270" s="27">
        <f t="shared" si="187"/>
        <v>0</v>
      </c>
      <c r="Q270" s="27">
        <f t="shared" si="187"/>
        <v>2</v>
      </c>
      <c r="R270" s="21"/>
    </row>
    <row r="271" spans="1:18" ht="14.25" customHeight="1" x14ac:dyDescent="0.15">
      <c r="A271" s="19">
        <v>6</v>
      </c>
      <c r="B271" s="19">
        <f>1.5*3</f>
        <v>4.5</v>
      </c>
      <c r="C271" s="19">
        <v>1.2</v>
      </c>
      <c r="D271" s="19">
        <f>B271*C271</f>
        <v>5.3999999999999995</v>
      </c>
      <c r="E271" s="19"/>
      <c r="F271" s="19"/>
      <c r="G271" s="19"/>
      <c r="H271" s="19"/>
      <c r="I271" s="19">
        <f>B271*0.4</f>
        <v>1.8</v>
      </c>
      <c r="J271" s="19">
        <v>2</v>
      </c>
      <c r="K271" s="19">
        <f t="shared" ref="K271:L271" si="188">A271</f>
        <v>6</v>
      </c>
      <c r="L271" s="19">
        <f t="shared" si="188"/>
        <v>4.5</v>
      </c>
      <c r="M271" s="19">
        <f>A271</f>
        <v>6</v>
      </c>
      <c r="N271" s="19">
        <f>(1.2*0.4)*2</f>
        <v>0.96</v>
      </c>
      <c r="O271" s="19"/>
      <c r="P271" s="24"/>
      <c r="Q271" s="24"/>
      <c r="R271" s="19"/>
    </row>
    <row r="272" spans="1:18" ht="14.25" customHeight="1" x14ac:dyDescent="0.15">
      <c r="A272" s="19"/>
      <c r="B272" s="19"/>
      <c r="C272" s="19"/>
      <c r="D272" s="26" t="str">
        <f>D265</f>
        <v>2200</v>
      </c>
      <c r="E272" s="19">
        <v>2</v>
      </c>
      <c r="F272" s="19">
        <v>0</v>
      </c>
      <c r="G272" s="19">
        <v>0</v>
      </c>
      <c r="H272" s="19">
        <f>B271*2</f>
        <v>9</v>
      </c>
      <c r="I272" s="19"/>
      <c r="J272" s="19"/>
      <c r="K272" s="19"/>
      <c r="L272" s="19"/>
      <c r="M272" s="19"/>
      <c r="N272" s="28"/>
      <c r="O272" s="19"/>
      <c r="P272" s="24"/>
      <c r="Q272" s="24"/>
      <c r="R272" s="19"/>
    </row>
    <row r="273" spans="1:18" ht="14.25" customHeight="1" x14ac:dyDescent="0.15">
      <c r="A273" s="19"/>
      <c r="B273" s="19"/>
      <c r="C273" s="19"/>
      <c r="D273" s="19">
        <f>D271*D272</f>
        <v>11879.999999999998</v>
      </c>
      <c r="E273" s="19">
        <f>E272*E270</f>
        <v>4200</v>
      </c>
      <c r="F273" s="19">
        <f t="shared" ref="F273:H273" si="189">F270*F272</f>
        <v>0</v>
      </c>
      <c r="G273" s="19">
        <f t="shared" si="189"/>
        <v>0</v>
      </c>
      <c r="H273" s="19">
        <f t="shared" si="189"/>
        <v>3420</v>
      </c>
      <c r="I273" s="19">
        <f t="shared" ref="I273:N273" si="190">I270*I271</f>
        <v>0</v>
      </c>
      <c r="J273" s="19">
        <f t="shared" si="190"/>
        <v>2000</v>
      </c>
      <c r="K273" s="19">
        <f t="shared" si="190"/>
        <v>2250</v>
      </c>
      <c r="L273" s="19">
        <f t="shared" si="190"/>
        <v>2632.5</v>
      </c>
      <c r="M273" s="19">
        <f t="shared" si="190"/>
        <v>6000</v>
      </c>
      <c r="N273" s="19">
        <f t="shared" si="190"/>
        <v>3168</v>
      </c>
      <c r="O273" s="19">
        <f>SUM(D273:N273)</f>
        <v>35550.5</v>
      </c>
      <c r="P273" s="24">
        <f>O273/A271</f>
        <v>5925.083333333333</v>
      </c>
      <c r="Q273" s="24">
        <f>P273*Q270</f>
        <v>11850.166666666666</v>
      </c>
      <c r="R273" s="19">
        <f>MROUND(Q273,100)</f>
        <v>11900</v>
      </c>
    </row>
    <row r="274" spans="1:18" ht="14.25" customHeight="1" x14ac:dyDescent="0.1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9"/>
      <c r="Q274" s="39"/>
    </row>
    <row r="275" spans="1:18" ht="14.25" customHeight="1" x14ac:dyDescent="0.3">
      <c r="A275" s="109" t="str">
        <f>PRICELIST!I43</f>
        <v>WFLX-LNR-SH-PLM-1500-F</v>
      </c>
      <c r="B275" s="87"/>
      <c r="C275" s="8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22"/>
      <c r="Q275" s="22"/>
      <c r="R275" s="17"/>
    </row>
    <row r="276" spans="1:18" ht="14.25" customHeight="1" x14ac:dyDescent="0.15">
      <c r="A276" s="19" t="s">
        <v>57</v>
      </c>
      <c r="B276" s="19" t="s">
        <v>59</v>
      </c>
      <c r="C276" s="19" t="s">
        <v>62</v>
      </c>
      <c r="D276" s="19" t="s">
        <v>64</v>
      </c>
      <c r="E276" s="19">
        <v>1200</v>
      </c>
      <c r="F276" s="19">
        <v>900</v>
      </c>
      <c r="G276" s="19">
        <v>600</v>
      </c>
      <c r="H276" s="19" t="s">
        <v>67</v>
      </c>
      <c r="I276" s="19" t="s">
        <v>68</v>
      </c>
      <c r="J276" s="19" t="s">
        <v>69</v>
      </c>
      <c r="K276" s="19" t="s">
        <v>71</v>
      </c>
      <c r="L276" s="19" t="s">
        <v>72</v>
      </c>
      <c r="M276" s="19" t="s">
        <v>73</v>
      </c>
      <c r="N276" s="19" t="s">
        <v>75</v>
      </c>
      <c r="O276" s="19" t="s">
        <v>76</v>
      </c>
      <c r="P276" s="24" t="s">
        <v>78</v>
      </c>
      <c r="Q276" s="24" t="s">
        <v>79</v>
      </c>
      <c r="R276" s="19" t="s">
        <v>81</v>
      </c>
    </row>
    <row r="277" spans="1:18" ht="14.25" customHeight="1" x14ac:dyDescent="0.15">
      <c r="A277" s="21">
        <f t="shared" ref="A277:H277" si="191">A270</f>
        <v>0</v>
      </c>
      <c r="B277" s="21">
        <f t="shared" si="191"/>
        <v>0</v>
      </c>
      <c r="C277" s="21">
        <f t="shared" si="191"/>
        <v>0</v>
      </c>
      <c r="D277" s="21">
        <f t="shared" si="191"/>
        <v>0</v>
      </c>
      <c r="E277" s="23" t="str">
        <f t="shared" si="191"/>
        <v>2100</v>
      </c>
      <c r="F277" s="23" t="str">
        <f t="shared" si="191"/>
        <v>1900</v>
      </c>
      <c r="G277" s="23" t="str">
        <f t="shared" si="191"/>
        <v>1800</v>
      </c>
      <c r="H277" s="23">
        <f t="shared" si="191"/>
        <v>380</v>
      </c>
      <c r="I277" s="23" t="str">
        <f>I256</f>
        <v>4800</v>
      </c>
      <c r="J277" s="23" t="str">
        <f t="shared" ref="J277:Q277" si="192">J270</f>
        <v>1000</v>
      </c>
      <c r="K277" s="23">
        <f t="shared" si="192"/>
        <v>375</v>
      </c>
      <c r="L277" s="23">
        <f t="shared" si="192"/>
        <v>585</v>
      </c>
      <c r="M277" s="23" t="str">
        <f t="shared" si="192"/>
        <v>1000</v>
      </c>
      <c r="N277" s="23">
        <f t="shared" si="192"/>
        <v>3300</v>
      </c>
      <c r="O277" s="23">
        <f t="shared" si="192"/>
        <v>0</v>
      </c>
      <c r="P277" s="27">
        <f t="shared" si="192"/>
        <v>0</v>
      </c>
      <c r="Q277" s="27">
        <f t="shared" si="192"/>
        <v>2</v>
      </c>
      <c r="R277" s="21"/>
    </row>
    <row r="278" spans="1:18" ht="14.25" customHeight="1" x14ac:dyDescent="0.15">
      <c r="A278" s="19">
        <v>6</v>
      </c>
      <c r="B278" s="19">
        <f>1.5*3</f>
        <v>4.5</v>
      </c>
      <c r="C278" s="19">
        <v>1.2</v>
      </c>
      <c r="D278" s="19">
        <f>B278*C278</f>
        <v>5.3999999999999995</v>
      </c>
      <c r="E278" s="19"/>
      <c r="F278" s="19"/>
      <c r="G278" s="19"/>
      <c r="H278" s="19"/>
      <c r="I278" s="19">
        <f>B278*0.4</f>
        <v>1.8</v>
      </c>
      <c r="J278" s="19">
        <v>2</v>
      </c>
      <c r="K278" s="19">
        <f t="shared" ref="K278:L278" si="193">A278</f>
        <v>6</v>
      </c>
      <c r="L278" s="19">
        <f t="shared" si="193"/>
        <v>4.5</v>
      </c>
      <c r="M278" s="19">
        <f>A278</f>
        <v>6</v>
      </c>
      <c r="N278" s="19">
        <f>(1.2*0.4)*2</f>
        <v>0.96</v>
      </c>
      <c r="O278" s="19"/>
      <c r="P278" s="24"/>
      <c r="Q278" s="24"/>
      <c r="R278" s="19"/>
    </row>
    <row r="279" spans="1:18" ht="14.25" customHeight="1" x14ac:dyDescent="0.15">
      <c r="A279" s="19"/>
      <c r="B279" s="19"/>
      <c r="C279" s="19"/>
      <c r="D279" s="26" t="str">
        <f>D153</f>
        <v>3000</v>
      </c>
      <c r="E279" s="19">
        <v>2</v>
      </c>
      <c r="F279" s="19">
        <v>0</v>
      </c>
      <c r="G279" s="19">
        <v>0</v>
      </c>
      <c r="H279" s="19">
        <f>B278*2</f>
        <v>9</v>
      </c>
      <c r="I279" s="19"/>
      <c r="J279" s="19"/>
      <c r="K279" s="19"/>
      <c r="L279" s="19"/>
      <c r="M279" s="19"/>
      <c r="N279" s="28"/>
      <c r="O279" s="19"/>
      <c r="P279" s="24"/>
      <c r="Q279" s="24"/>
      <c r="R279" s="19"/>
    </row>
    <row r="280" spans="1:18" ht="14.25" customHeight="1" x14ac:dyDescent="0.15">
      <c r="A280" s="19"/>
      <c r="B280" s="19"/>
      <c r="C280" s="19"/>
      <c r="D280" s="19">
        <f>D278*D279</f>
        <v>16199.999999999998</v>
      </c>
      <c r="E280" s="19">
        <f>E279*E277</f>
        <v>4200</v>
      </c>
      <c r="F280" s="19">
        <f t="shared" ref="F280:H280" si="194">F277*F279</f>
        <v>0</v>
      </c>
      <c r="G280" s="19">
        <f t="shared" si="194"/>
        <v>0</v>
      </c>
      <c r="H280" s="19">
        <f t="shared" si="194"/>
        <v>3420</v>
      </c>
      <c r="I280" s="19">
        <f t="shared" ref="I280:N280" si="195">I277*I278</f>
        <v>8640</v>
      </c>
      <c r="J280" s="19">
        <f t="shared" si="195"/>
        <v>2000</v>
      </c>
      <c r="K280" s="19">
        <f t="shared" si="195"/>
        <v>2250</v>
      </c>
      <c r="L280" s="19">
        <f t="shared" si="195"/>
        <v>2632.5</v>
      </c>
      <c r="M280" s="19">
        <f t="shared" si="195"/>
        <v>6000</v>
      </c>
      <c r="N280" s="19">
        <f t="shared" si="195"/>
        <v>3168</v>
      </c>
      <c r="O280" s="19">
        <f>SUM(D280:N280)</f>
        <v>48510.5</v>
      </c>
      <c r="P280" s="24">
        <f>O280/A278</f>
        <v>8085.083333333333</v>
      </c>
      <c r="Q280" s="24">
        <f>P280*Q277</f>
        <v>16170.166666666666</v>
      </c>
      <c r="R280" s="19">
        <f>MROUND(Q280,100)</f>
        <v>16200</v>
      </c>
    </row>
    <row r="281" spans="1:18" ht="14.25" customHeight="1" x14ac:dyDescent="0.1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9"/>
      <c r="Q281" s="39"/>
    </row>
    <row r="282" spans="1:18" ht="14.25" customHeight="1" x14ac:dyDescent="0.3">
      <c r="A282" s="109" t="str">
        <f>PRICELIST!I44</f>
        <v>WFLX-LNR-SH-PLM-1500-G</v>
      </c>
      <c r="B282" s="87"/>
      <c r="C282" s="8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22"/>
      <c r="Q282" s="22"/>
      <c r="R282" s="17"/>
    </row>
    <row r="283" spans="1:18" ht="14.25" customHeight="1" x14ac:dyDescent="0.15">
      <c r="A283" s="19" t="s">
        <v>57</v>
      </c>
      <c r="B283" s="19" t="s">
        <v>59</v>
      </c>
      <c r="C283" s="19" t="s">
        <v>62</v>
      </c>
      <c r="D283" s="19" t="s">
        <v>64</v>
      </c>
      <c r="E283" s="19">
        <v>1200</v>
      </c>
      <c r="F283" s="19">
        <v>900</v>
      </c>
      <c r="G283" s="19">
        <v>600</v>
      </c>
      <c r="H283" s="19" t="s">
        <v>67</v>
      </c>
      <c r="I283" s="19" t="s">
        <v>68</v>
      </c>
      <c r="J283" s="19" t="s">
        <v>69</v>
      </c>
      <c r="K283" s="19" t="s">
        <v>71</v>
      </c>
      <c r="L283" s="19" t="s">
        <v>72</v>
      </c>
      <c r="M283" s="19" t="s">
        <v>73</v>
      </c>
      <c r="N283" s="19" t="s">
        <v>75</v>
      </c>
      <c r="O283" s="19" t="s">
        <v>76</v>
      </c>
      <c r="P283" s="24" t="s">
        <v>78</v>
      </c>
      <c r="Q283" s="24" t="s">
        <v>79</v>
      </c>
      <c r="R283" s="19" t="s">
        <v>81</v>
      </c>
    </row>
    <row r="284" spans="1:18" ht="14.25" customHeight="1" x14ac:dyDescent="0.15">
      <c r="A284" s="21">
        <f t="shared" ref="A284:H284" si="196">A277</f>
        <v>0</v>
      </c>
      <c r="B284" s="21">
        <f t="shared" si="196"/>
        <v>0</v>
      </c>
      <c r="C284" s="21">
        <f t="shared" si="196"/>
        <v>0</v>
      </c>
      <c r="D284" s="21">
        <f t="shared" si="196"/>
        <v>0</v>
      </c>
      <c r="E284" s="23" t="str">
        <f t="shared" si="196"/>
        <v>2100</v>
      </c>
      <c r="F284" s="23" t="str">
        <f t="shared" si="196"/>
        <v>1900</v>
      </c>
      <c r="G284" s="23" t="str">
        <f t="shared" si="196"/>
        <v>1800</v>
      </c>
      <c r="H284" s="23">
        <f t="shared" si="196"/>
        <v>380</v>
      </c>
      <c r="I284" s="23" t="str">
        <f>I263</f>
        <v>5500</v>
      </c>
      <c r="J284" s="23" t="str">
        <f t="shared" ref="J284:Q284" si="197">J277</f>
        <v>1000</v>
      </c>
      <c r="K284" s="23">
        <f t="shared" si="197"/>
        <v>375</v>
      </c>
      <c r="L284" s="23">
        <f t="shared" si="197"/>
        <v>585</v>
      </c>
      <c r="M284" s="23" t="str">
        <f t="shared" si="197"/>
        <v>1000</v>
      </c>
      <c r="N284" s="23">
        <f t="shared" si="197"/>
        <v>3300</v>
      </c>
      <c r="O284" s="23">
        <f t="shared" si="197"/>
        <v>0</v>
      </c>
      <c r="P284" s="27">
        <f t="shared" si="197"/>
        <v>0</v>
      </c>
      <c r="Q284" s="27">
        <f t="shared" si="197"/>
        <v>2</v>
      </c>
      <c r="R284" s="21"/>
    </row>
    <row r="285" spans="1:18" ht="14.25" customHeight="1" x14ac:dyDescent="0.15">
      <c r="A285" s="19">
        <v>6</v>
      </c>
      <c r="B285" s="19">
        <f>1.5*3</f>
        <v>4.5</v>
      </c>
      <c r="C285" s="19">
        <v>1.2</v>
      </c>
      <c r="D285" s="19">
        <f>B285*C285</f>
        <v>5.3999999999999995</v>
      </c>
      <c r="E285" s="19"/>
      <c r="F285" s="19"/>
      <c r="G285" s="19"/>
      <c r="H285" s="19"/>
      <c r="I285" s="19">
        <f>B285*0.4</f>
        <v>1.8</v>
      </c>
      <c r="J285" s="19">
        <v>2</v>
      </c>
      <c r="K285" s="19">
        <f t="shared" ref="K285:L285" si="198">A285</f>
        <v>6</v>
      </c>
      <c r="L285" s="19">
        <f t="shared" si="198"/>
        <v>4.5</v>
      </c>
      <c r="M285" s="19">
        <f>A285</f>
        <v>6</v>
      </c>
      <c r="N285" s="19">
        <f>(1.2*0.4)*2</f>
        <v>0.96</v>
      </c>
      <c r="O285" s="19"/>
      <c r="P285" s="24"/>
      <c r="Q285" s="24"/>
      <c r="R285" s="19"/>
    </row>
    <row r="286" spans="1:18" ht="14.25" customHeight="1" x14ac:dyDescent="0.15">
      <c r="A286" s="19"/>
      <c r="B286" s="19"/>
      <c r="C286" s="19"/>
      <c r="D286" s="26" t="str">
        <f>D279</f>
        <v>3000</v>
      </c>
      <c r="E286" s="19">
        <v>2</v>
      </c>
      <c r="F286" s="19">
        <v>0</v>
      </c>
      <c r="G286" s="19">
        <v>0</v>
      </c>
      <c r="H286" s="19">
        <f>B285*2</f>
        <v>9</v>
      </c>
      <c r="I286" s="19"/>
      <c r="J286" s="19"/>
      <c r="K286" s="19"/>
      <c r="L286" s="19"/>
      <c r="M286" s="19"/>
      <c r="N286" s="28"/>
      <c r="O286" s="19"/>
      <c r="P286" s="24"/>
      <c r="Q286" s="24"/>
      <c r="R286" s="19"/>
    </row>
    <row r="287" spans="1:18" ht="14.25" customHeight="1" x14ac:dyDescent="0.15">
      <c r="A287" s="19"/>
      <c r="B287" s="19"/>
      <c r="C287" s="19"/>
      <c r="D287" s="19">
        <f>D285*D286</f>
        <v>16199.999999999998</v>
      </c>
      <c r="E287" s="19">
        <f>E286*E284</f>
        <v>4200</v>
      </c>
      <c r="F287" s="19">
        <f t="shared" ref="F287:H287" si="199">F284*F286</f>
        <v>0</v>
      </c>
      <c r="G287" s="19">
        <f t="shared" si="199"/>
        <v>0</v>
      </c>
      <c r="H287" s="19">
        <f t="shared" si="199"/>
        <v>3420</v>
      </c>
      <c r="I287" s="19">
        <f t="shared" ref="I287:N287" si="200">I284*I285</f>
        <v>9900</v>
      </c>
      <c r="J287" s="19">
        <f t="shared" si="200"/>
        <v>2000</v>
      </c>
      <c r="K287" s="19">
        <f t="shared" si="200"/>
        <v>2250</v>
      </c>
      <c r="L287" s="19">
        <f t="shared" si="200"/>
        <v>2632.5</v>
      </c>
      <c r="M287" s="19">
        <f t="shared" si="200"/>
        <v>6000</v>
      </c>
      <c r="N287" s="19">
        <f t="shared" si="200"/>
        <v>3168</v>
      </c>
      <c r="O287" s="19">
        <f>SUM(D287:N287)</f>
        <v>49770.5</v>
      </c>
      <c r="P287" s="24">
        <f>O287/A285</f>
        <v>8295.0833333333339</v>
      </c>
      <c r="Q287" s="24">
        <f>P287*Q284</f>
        <v>16590.166666666668</v>
      </c>
      <c r="R287" s="19">
        <f>MROUND(Q287,100)</f>
        <v>16600</v>
      </c>
    </row>
    <row r="288" spans="1:18" ht="14.25" customHeight="1" x14ac:dyDescent="0.1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9"/>
      <c r="Q288" s="39"/>
    </row>
    <row r="289" spans="1:18" ht="14.25" customHeight="1" x14ac:dyDescent="0.3">
      <c r="A289" s="109" t="str">
        <f>PRICELIST!I45</f>
        <v>WFLX-LNR-SH-PLM-1500-X</v>
      </c>
      <c r="B289" s="87"/>
      <c r="C289" s="8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22"/>
      <c r="Q289" s="22"/>
      <c r="R289" s="17"/>
    </row>
    <row r="290" spans="1:18" ht="14.25" customHeight="1" x14ac:dyDescent="0.15">
      <c r="A290" s="19" t="s">
        <v>57</v>
      </c>
      <c r="B290" s="19" t="s">
        <v>59</v>
      </c>
      <c r="C290" s="19" t="s">
        <v>62</v>
      </c>
      <c r="D290" s="19" t="s">
        <v>64</v>
      </c>
      <c r="E290" s="19">
        <v>1200</v>
      </c>
      <c r="F290" s="19">
        <v>900</v>
      </c>
      <c r="G290" s="19">
        <v>600</v>
      </c>
      <c r="H290" s="19" t="s">
        <v>67</v>
      </c>
      <c r="I290" s="19" t="s">
        <v>68</v>
      </c>
      <c r="J290" s="19" t="s">
        <v>69</v>
      </c>
      <c r="K290" s="19" t="s">
        <v>71</v>
      </c>
      <c r="L290" s="19" t="s">
        <v>72</v>
      </c>
      <c r="M290" s="19" t="s">
        <v>73</v>
      </c>
      <c r="N290" s="19" t="s">
        <v>75</v>
      </c>
      <c r="O290" s="19" t="s">
        <v>76</v>
      </c>
      <c r="P290" s="24" t="s">
        <v>78</v>
      </c>
      <c r="Q290" s="24" t="s">
        <v>79</v>
      </c>
      <c r="R290" s="19" t="s">
        <v>81</v>
      </c>
    </row>
    <row r="291" spans="1:18" ht="14.25" customHeight="1" x14ac:dyDescent="0.15">
      <c r="A291" s="21">
        <f t="shared" ref="A291:H291" si="201">A284</f>
        <v>0</v>
      </c>
      <c r="B291" s="21">
        <f t="shared" si="201"/>
        <v>0</v>
      </c>
      <c r="C291" s="21">
        <f t="shared" si="201"/>
        <v>0</v>
      </c>
      <c r="D291" s="21">
        <f t="shared" si="201"/>
        <v>0</v>
      </c>
      <c r="E291" s="23" t="str">
        <f t="shared" si="201"/>
        <v>2100</v>
      </c>
      <c r="F291" s="23" t="str">
        <f t="shared" si="201"/>
        <v>1900</v>
      </c>
      <c r="G291" s="23" t="str">
        <f t="shared" si="201"/>
        <v>1800</v>
      </c>
      <c r="H291" s="23">
        <f t="shared" si="201"/>
        <v>380</v>
      </c>
      <c r="I291" s="23" t="str">
        <f>I270</f>
        <v>0</v>
      </c>
      <c r="J291" s="23" t="str">
        <f t="shared" ref="J291:Q291" si="202">J284</f>
        <v>1000</v>
      </c>
      <c r="K291" s="23">
        <f t="shared" si="202"/>
        <v>375</v>
      </c>
      <c r="L291" s="23">
        <f t="shared" si="202"/>
        <v>585</v>
      </c>
      <c r="M291" s="23" t="str">
        <f t="shared" si="202"/>
        <v>1000</v>
      </c>
      <c r="N291" s="23">
        <f t="shared" si="202"/>
        <v>3300</v>
      </c>
      <c r="O291" s="23">
        <f t="shared" si="202"/>
        <v>0</v>
      </c>
      <c r="P291" s="27">
        <f t="shared" si="202"/>
        <v>0</v>
      </c>
      <c r="Q291" s="27">
        <f t="shared" si="202"/>
        <v>2</v>
      </c>
      <c r="R291" s="21"/>
    </row>
    <row r="292" spans="1:18" ht="14.25" customHeight="1" x14ac:dyDescent="0.15">
      <c r="A292" s="19">
        <v>6</v>
      </c>
      <c r="B292" s="19">
        <f>1.5*3</f>
        <v>4.5</v>
      </c>
      <c r="C292" s="19">
        <v>1.2</v>
      </c>
      <c r="D292" s="19">
        <f>B292*C292</f>
        <v>5.3999999999999995</v>
      </c>
      <c r="E292" s="19"/>
      <c r="F292" s="19"/>
      <c r="G292" s="19"/>
      <c r="H292" s="19"/>
      <c r="I292" s="19">
        <f>B292*0.4</f>
        <v>1.8</v>
      </c>
      <c r="J292" s="19">
        <v>2</v>
      </c>
      <c r="K292" s="19">
        <f t="shared" ref="K292:L292" si="203">A292</f>
        <v>6</v>
      </c>
      <c r="L292" s="19">
        <f t="shared" si="203"/>
        <v>4.5</v>
      </c>
      <c r="M292" s="19">
        <f>A292</f>
        <v>6</v>
      </c>
      <c r="N292" s="19">
        <f>(1.2*0.4)*2</f>
        <v>0.96</v>
      </c>
      <c r="O292" s="19"/>
      <c r="P292" s="24"/>
      <c r="Q292" s="24"/>
      <c r="R292" s="19"/>
    </row>
    <row r="293" spans="1:18" ht="14.25" customHeight="1" x14ac:dyDescent="0.15">
      <c r="A293" s="19"/>
      <c r="B293" s="19"/>
      <c r="C293" s="19"/>
      <c r="D293" s="26" t="str">
        <f>D286</f>
        <v>3000</v>
      </c>
      <c r="E293" s="19">
        <v>2</v>
      </c>
      <c r="F293" s="19">
        <v>0</v>
      </c>
      <c r="G293" s="19">
        <v>0</v>
      </c>
      <c r="H293" s="19">
        <f>B292*2</f>
        <v>9</v>
      </c>
      <c r="I293" s="19"/>
      <c r="J293" s="19"/>
      <c r="K293" s="19"/>
      <c r="L293" s="19"/>
      <c r="M293" s="19"/>
      <c r="N293" s="28"/>
      <c r="O293" s="19"/>
      <c r="P293" s="24"/>
      <c r="Q293" s="24"/>
      <c r="R293" s="19"/>
    </row>
    <row r="294" spans="1:18" ht="14.25" customHeight="1" x14ac:dyDescent="0.15">
      <c r="A294" s="19"/>
      <c r="B294" s="19"/>
      <c r="C294" s="19"/>
      <c r="D294" s="19">
        <f>D292*D293</f>
        <v>16199.999999999998</v>
      </c>
      <c r="E294" s="19">
        <f>E293*E291</f>
        <v>4200</v>
      </c>
      <c r="F294" s="19">
        <f t="shared" ref="F294:H294" si="204">F291*F293</f>
        <v>0</v>
      </c>
      <c r="G294" s="19">
        <f t="shared" si="204"/>
        <v>0</v>
      </c>
      <c r="H294" s="19">
        <f t="shared" si="204"/>
        <v>3420</v>
      </c>
      <c r="I294" s="19">
        <f t="shared" ref="I294:N294" si="205">I291*I292</f>
        <v>0</v>
      </c>
      <c r="J294" s="19">
        <f t="shared" si="205"/>
        <v>2000</v>
      </c>
      <c r="K294" s="19">
        <f t="shared" si="205"/>
        <v>2250</v>
      </c>
      <c r="L294" s="19">
        <f t="shared" si="205"/>
        <v>2632.5</v>
      </c>
      <c r="M294" s="19">
        <f t="shared" si="205"/>
        <v>6000</v>
      </c>
      <c r="N294" s="19">
        <f t="shared" si="205"/>
        <v>3168</v>
      </c>
      <c r="O294" s="19">
        <f>SUM(D294:N294)</f>
        <v>39870.5</v>
      </c>
      <c r="P294" s="24">
        <f>O294/A292</f>
        <v>6645.083333333333</v>
      </c>
      <c r="Q294" s="24">
        <f>P294*Q291</f>
        <v>13290.166666666666</v>
      </c>
      <c r="R294" s="19">
        <f>MROUND(Q294,100)</f>
        <v>13300</v>
      </c>
    </row>
    <row r="295" spans="1:18" ht="14.25" customHeight="1" x14ac:dyDescent="0.1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9"/>
      <c r="Q295" s="39"/>
    </row>
    <row r="296" spans="1:18" ht="14.25" customHeight="1" x14ac:dyDescent="0.3">
      <c r="A296" s="109" t="str">
        <f>PRICELIST!I46</f>
        <v>WFLX-LNR-SH-PoLM-1500-F</v>
      </c>
      <c r="B296" s="87"/>
      <c r="C296" s="8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22"/>
      <c r="Q296" s="22"/>
      <c r="R296" s="17"/>
    </row>
    <row r="297" spans="1:18" ht="14.25" customHeight="1" x14ac:dyDescent="0.15">
      <c r="A297" s="19" t="s">
        <v>57</v>
      </c>
      <c r="B297" s="19" t="s">
        <v>59</v>
      </c>
      <c r="C297" s="19" t="s">
        <v>62</v>
      </c>
      <c r="D297" s="19" t="s">
        <v>64</v>
      </c>
      <c r="E297" s="19">
        <v>1200</v>
      </c>
      <c r="F297" s="19">
        <v>900</v>
      </c>
      <c r="G297" s="19">
        <v>600</v>
      </c>
      <c r="H297" s="19" t="s">
        <v>67</v>
      </c>
      <c r="I297" s="19" t="s">
        <v>68</v>
      </c>
      <c r="J297" s="19" t="s">
        <v>69</v>
      </c>
      <c r="K297" s="19" t="s">
        <v>71</v>
      </c>
      <c r="L297" s="19" t="s">
        <v>72</v>
      </c>
      <c r="M297" s="19" t="s">
        <v>73</v>
      </c>
      <c r="N297" s="19" t="s">
        <v>75</v>
      </c>
      <c r="O297" s="19" t="s">
        <v>76</v>
      </c>
      <c r="P297" s="24" t="s">
        <v>78</v>
      </c>
      <c r="Q297" s="24" t="s">
        <v>79</v>
      </c>
      <c r="R297" s="19" t="s">
        <v>81</v>
      </c>
    </row>
    <row r="298" spans="1:18" ht="14.25" customHeight="1" x14ac:dyDescent="0.15">
      <c r="A298" s="21">
        <f t="shared" ref="A298:H298" si="206">A291</f>
        <v>0</v>
      </c>
      <c r="B298" s="21">
        <f t="shared" si="206"/>
        <v>0</v>
      </c>
      <c r="C298" s="21">
        <f t="shared" si="206"/>
        <v>0</v>
      </c>
      <c r="D298" s="21">
        <f t="shared" si="206"/>
        <v>0</v>
      </c>
      <c r="E298" s="23" t="str">
        <f t="shared" si="206"/>
        <v>2100</v>
      </c>
      <c r="F298" s="23" t="str">
        <f t="shared" si="206"/>
        <v>1900</v>
      </c>
      <c r="G298" s="23" t="str">
        <f t="shared" si="206"/>
        <v>1800</v>
      </c>
      <c r="H298" s="23">
        <f t="shared" si="206"/>
        <v>380</v>
      </c>
      <c r="I298" s="23" t="str">
        <f>I277</f>
        <v>4800</v>
      </c>
      <c r="J298" s="23" t="str">
        <f t="shared" ref="J298:Q298" si="207">J291</f>
        <v>1000</v>
      </c>
      <c r="K298" s="23">
        <f t="shared" si="207"/>
        <v>375</v>
      </c>
      <c r="L298" s="23">
        <f t="shared" si="207"/>
        <v>585</v>
      </c>
      <c r="M298" s="23" t="str">
        <f t="shared" si="207"/>
        <v>1000</v>
      </c>
      <c r="N298" s="23">
        <f t="shared" si="207"/>
        <v>3300</v>
      </c>
      <c r="O298" s="23">
        <f t="shared" si="207"/>
        <v>0</v>
      </c>
      <c r="P298" s="27">
        <f t="shared" si="207"/>
        <v>0</v>
      </c>
      <c r="Q298" s="27">
        <f t="shared" si="207"/>
        <v>2</v>
      </c>
      <c r="R298" s="21"/>
    </row>
    <row r="299" spans="1:18" ht="14.25" customHeight="1" x14ac:dyDescent="0.15">
      <c r="A299" s="19">
        <v>6</v>
      </c>
      <c r="B299" s="19">
        <f>1.5*3</f>
        <v>4.5</v>
      </c>
      <c r="C299" s="19">
        <v>1.2</v>
      </c>
      <c r="D299" s="19">
        <f>B299*C299</f>
        <v>5.3999999999999995</v>
      </c>
      <c r="E299" s="19"/>
      <c r="F299" s="19"/>
      <c r="G299" s="19"/>
      <c r="H299" s="19"/>
      <c r="I299" s="19">
        <f>B299*0.4</f>
        <v>1.8</v>
      </c>
      <c r="J299" s="19">
        <v>2</v>
      </c>
      <c r="K299" s="19">
        <f t="shared" ref="K299:L299" si="208">A299</f>
        <v>6</v>
      </c>
      <c r="L299" s="19">
        <f t="shared" si="208"/>
        <v>4.5</v>
      </c>
      <c r="M299" s="19">
        <f>A299</f>
        <v>6</v>
      </c>
      <c r="N299" s="19">
        <f>(1.2*0.4)*2</f>
        <v>0.96</v>
      </c>
      <c r="O299" s="19"/>
      <c r="P299" s="24"/>
      <c r="Q299" s="24"/>
      <c r="R299" s="19"/>
    </row>
    <row r="300" spans="1:18" ht="14.25" customHeight="1" x14ac:dyDescent="0.15">
      <c r="A300" s="19"/>
      <c r="B300" s="19"/>
      <c r="C300" s="19"/>
      <c r="D300" s="26" t="str">
        <f>D181</f>
        <v>7500</v>
      </c>
      <c r="E300" s="19">
        <v>2</v>
      </c>
      <c r="F300" s="19">
        <v>0</v>
      </c>
      <c r="G300" s="19">
        <v>0</v>
      </c>
      <c r="H300" s="19">
        <f>B299*2</f>
        <v>9</v>
      </c>
      <c r="I300" s="19"/>
      <c r="J300" s="19"/>
      <c r="K300" s="19"/>
      <c r="L300" s="19"/>
      <c r="M300" s="19"/>
      <c r="N300" s="28"/>
      <c r="O300" s="19"/>
      <c r="P300" s="24"/>
      <c r="Q300" s="24"/>
      <c r="R300" s="19"/>
    </row>
    <row r="301" spans="1:18" ht="14.25" customHeight="1" x14ac:dyDescent="0.15">
      <c r="A301" s="19"/>
      <c r="B301" s="19"/>
      <c r="C301" s="19"/>
      <c r="D301" s="19">
        <f>D299*D300</f>
        <v>40499.999999999993</v>
      </c>
      <c r="E301" s="19">
        <f>E300*E298</f>
        <v>4200</v>
      </c>
      <c r="F301" s="19">
        <f t="shared" ref="F301:H301" si="209">F298*F300</f>
        <v>0</v>
      </c>
      <c r="G301" s="19">
        <f t="shared" si="209"/>
        <v>0</v>
      </c>
      <c r="H301" s="19">
        <f t="shared" si="209"/>
        <v>3420</v>
      </c>
      <c r="I301" s="19">
        <f t="shared" ref="I301:N301" si="210">I298*I299</f>
        <v>8640</v>
      </c>
      <c r="J301" s="19">
        <f t="shared" si="210"/>
        <v>2000</v>
      </c>
      <c r="K301" s="19">
        <f t="shared" si="210"/>
        <v>2250</v>
      </c>
      <c r="L301" s="19">
        <f t="shared" si="210"/>
        <v>2632.5</v>
      </c>
      <c r="M301" s="19">
        <f t="shared" si="210"/>
        <v>6000</v>
      </c>
      <c r="N301" s="19">
        <f t="shared" si="210"/>
        <v>3168</v>
      </c>
      <c r="O301" s="19">
        <f>SUM(D301:N301)</f>
        <v>72810.5</v>
      </c>
      <c r="P301" s="24">
        <f>O301/A299</f>
        <v>12135.083333333334</v>
      </c>
      <c r="Q301" s="24">
        <f>P301*Q298</f>
        <v>24270.166666666668</v>
      </c>
      <c r="R301" s="19">
        <f>MROUND(Q301,100)</f>
        <v>24300</v>
      </c>
    </row>
    <row r="302" spans="1:18" ht="14.25" customHeight="1" x14ac:dyDescent="0.1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9"/>
      <c r="Q302" s="39"/>
    </row>
    <row r="303" spans="1:18" ht="14.25" customHeight="1" x14ac:dyDescent="0.3">
      <c r="A303" s="109" t="str">
        <f>PRICELIST!I47</f>
        <v>WFLX-LNR-SH-PoLM-1500-G</v>
      </c>
      <c r="B303" s="87"/>
      <c r="C303" s="8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22"/>
      <c r="Q303" s="22"/>
      <c r="R303" s="17"/>
    </row>
    <row r="304" spans="1:18" ht="14.25" customHeight="1" x14ac:dyDescent="0.15">
      <c r="A304" s="19" t="s">
        <v>57</v>
      </c>
      <c r="B304" s="19" t="s">
        <v>59</v>
      </c>
      <c r="C304" s="19" t="s">
        <v>62</v>
      </c>
      <c r="D304" s="19" t="s">
        <v>64</v>
      </c>
      <c r="E304" s="19">
        <v>1200</v>
      </c>
      <c r="F304" s="19">
        <v>900</v>
      </c>
      <c r="G304" s="19">
        <v>600</v>
      </c>
      <c r="H304" s="19" t="s">
        <v>67</v>
      </c>
      <c r="I304" s="19" t="s">
        <v>68</v>
      </c>
      <c r="J304" s="19" t="s">
        <v>69</v>
      </c>
      <c r="K304" s="19" t="s">
        <v>71</v>
      </c>
      <c r="L304" s="19" t="s">
        <v>72</v>
      </c>
      <c r="M304" s="19" t="s">
        <v>73</v>
      </c>
      <c r="N304" s="19" t="s">
        <v>75</v>
      </c>
      <c r="O304" s="19" t="s">
        <v>76</v>
      </c>
      <c r="P304" s="24" t="s">
        <v>78</v>
      </c>
      <c r="Q304" s="24" t="s">
        <v>79</v>
      </c>
      <c r="R304" s="19" t="s">
        <v>81</v>
      </c>
    </row>
    <row r="305" spans="1:18" ht="14.25" customHeight="1" x14ac:dyDescent="0.15">
      <c r="A305" s="21">
        <f t="shared" ref="A305:H305" si="211">A298</f>
        <v>0</v>
      </c>
      <c r="B305" s="21">
        <f t="shared" si="211"/>
        <v>0</v>
      </c>
      <c r="C305" s="21">
        <f t="shared" si="211"/>
        <v>0</v>
      </c>
      <c r="D305" s="21">
        <f t="shared" si="211"/>
        <v>0</v>
      </c>
      <c r="E305" s="23" t="str">
        <f t="shared" si="211"/>
        <v>2100</v>
      </c>
      <c r="F305" s="23" t="str">
        <f t="shared" si="211"/>
        <v>1900</v>
      </c>
      <c r="G305" s="23" t="str">
        <f t="shared" si="211"/>
        <v>1800</v>
      </c>
      <c r="H305" s="23">
        <f t="shared" si="211"/>
        <v>380</v>
      </c>
      <c r="I305" s="23" t="str">
        <f>I284</f>
        <v>5500</v>
      </c>
      <c r="J305" s="23" t="str">
        <f t="shared" ref="J305:Q305" si="212">J298</f>
        <v>1000</v>
      </c>
      <c r="K305" s="23">
        <f t="shared" si="212"/>
        <v>375</v>
      </c>
      <c r="L305" s="23">
        <f t="shared" si="212"/>
        <v>585</v>
      </c>
      <c r="M305" s="23" t="str">
        <f t="shared" si="212"/>
        <v>1000</v>
      </c>
      <c r="N305" s="23">
        <f t="shared" si="212"/>
        <v>3300</v>
      </c>
      <c r="O305" s="23">
        <f t="shared" si="212"/>
        <v>0</v>
      </c>
      <c r="P305" s="27">
        <f t="shared" si="212"/>
        <v>0</v>
      </c>
      <c r="Q305" s="27">
        <f t="shared" si="212"/>
        <v>2</v>
      </c>
      <c r="R305" s="21"/>
    </row>
    <row r="306" spans="1:18" ht="14.25" customHeight="1" x14ac:dyDescent="0.15">
      <c r="A306" s="19">
        <v>6</v>
      </c>
      <c r="B306" s="19">
        <f>1.5*3</f>
        <v>4.5</v>
      </c>
      <c r="C306" s="19">
        <v>1.2</v>
      </c>
      <c r="D306" s="19">
        <f>B306*C306</f>
        <v>5.3999999999999995</v>
      </c>
      <c r="E306" s="19"/>
      <c r="F306" s="19"/>
      <c r="G306" s="19"/>
      <c r="H306" s="19"/>
      <c r="I306" s="19">
        <f>B306*0.4</f>
        <v>1.8</v>
      </c>
      <c r="J306" s="19">
        <v>2</v>
      </c>
      <c r="K306" s="19">
        <f t="shared" ref="K306:L306" si="213">A306</f>
        <v>6</v>
      </c>
      <c r="L306" s="19">
        <f t="shared" si="213"/>
        <v>4.5</v>
      </c>
      <c r="M306" s="19">
        <f>A306</f>
        <v>6</v>
      </c>
      <c r="N306" s="19">
        <f>(1.2*0.4)*2</f>
        <v>0.96</v>
      </c>
      <c r="O306" s="19"/>
      <c r="P306" s="24"/>
      <c r="Q306" s="24"/>
      <c r="R306" s="19"/>
    </row>
    <row r="307" spans="1:18" ht="14.25" customHeight="1" x14ac:dyDescent="0.15">
      <c r="A307" s="19"/>
      <c r="B307" s="19"/>
      <c r="C307" s="19"/>
      <c r="D307" s="26" t="str">
        <f>D300</f>
        <v>7500</v>
      </c>
      <c r="E307" s="19">
        <v>2</v>
      </c>
      <c r="F307" s="19">
        <v>0</v>
      </c>
      <c r="G307" s="19">
        <v>0</v>
      </c>
      <c r="H307" s="19">
        <f>B306*2</f>
        <v>9</v>
      </c>
      <c r="I307" s="19"/>
      <c r="J307" s="19"/>
      <c r="K307" s="19"/>
      <c r="L307" s="19"/>
      <c r="M307" s="19"/>
      <c r="N307" s="28"/>
      <c r="O307" s="19"/>
      <c r="P307" s="24"/>
      <c r="Q307" s="24"/>
      <c r="R307" s="19"/>
    </row>
    <row r="308" spans="1:18" ht="14.25" customHeight="1" x14ac:dyDescent="0.15">
      <c r="A308" s="19"/>
      <c r="B308" s="19"/>
      <c r="C308" s="19"/>
      <c r="D308" s="19">
        <f>D306*D307</f>
        <v>40499.999999999993</v>
      </c>
      <c r="E308" s="19">
        <f>E307*E305</f>
        <v>4200</v>
      </c>
      <c r="F308" s="19">
        <f t="shared" ref="F308:H308" si="214">F305*F307</f>
        <v>0</v>
      </c>
      <c r="G308" s="19">
        <f t="shared" si="214"/>
        <v>0</v>
      </c>
      <c r="H308" s="19">
        <f t="shared" si="214"/>
        <v>3420</v>
      </c>
      <c r="I308" s="19">
        <f t="shared" ref="I308:N308" si="215">I305*I306</f>
        <v>9900</v>
      </c>
      <c r="J308" s="19">
        <f t="shared" si="215"/>
        <v>2000</v>
      </c>
      <c r="K308" s="19">
        <f t="shared" si="215"/>
        <v>2250</v>
      </c>
      <c r="L308" s="19">
        <f t="shared" si="215"/>
        <v>2632.5</v>
      </c>
      <c r="M308" s="19">
        <f t="shared" si="215"/>
        <v>6000</v>
      </c>
      <c r="N308" s="19">
        <f t="shared" si="215"/>
        <v>3168</v>
      </c>
      <c r="O308" s="19">
        <f>SUM(D308:N308)</f>
        <v>74070.5</v>
      </c>
      <c r="P308" s="24">
        <f>O308/A306</f>
        <v>12345.083333333334</v>
      </c>
      <c r="Q308" s="24">
        <f>P308*Q305</f>
        <v>24690.166666666668</v>
      </c>
      <c r="R308" s="19">
        <f>MROUND(Q308,100)</f>
        <v>24700</v>
      </c>
    </row>
    <row r="309" spans="1:18" ht="14.25" customHeight="1" x14ac:dyDescent="0.1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9"/>
      <c r="Q309" s="39"/>
    </row>
    <row r="310" spans="1:18" ht="14.25" customHeight="1" x14ac:dyDescent="0.3">
      <c r="A310" s="109" t="str">
        <f>PRICELIST!I48</f>
        <v>WFLX-LNR-SH-PoLM-1500-X</v>
      </c>
      <c r="B310" s="87"/>
      <c r="C310" s="8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22"/>
      <c r="Q310" s="22"/>
      <c r="R310" s="17"/>
    </row>
    <row r="311" spans="1:18" ht="14.25" customHeight="1" x14ac:dyDescent="0.15">
      <c r="A311" s="19" t="s">
        <v>57</v>
      </c>
      <c r="B311" s="19" t="s">
        <v>59</v>
      </c>
      <c r="C311" s="19" t="s">
        <v>62</v>
      </c>
      <c r="D311" s="19" t="s">
        <v>64</v>
      </c>
      <c r="E311" s="19">
        <v>1200</v>
      </c>
      <c r="F311" s="19">
        <v>900</v>
      </c>
      <c r="G311" s="19">
        <v>600</v>
      </c>
      <c r="H311" s="19" t="s">
        <v>67</v>
      </c>
      <c r="I311" s="19" t="s">
        <v>68</v>
      </c>
      <c r="J311" s="19" t="s">
        <v>69</v>
      </c>
      <c r="K311" s="19" t="s">
        <v>71</v>
      </c>
      <c r="L311" s="19" t="s">
        <v>72</v>
      </c>
      <c r="M311" s="19" t="s">
        <v>73</v>
      </c>
      <c r="N311" s="19" t="s">
        <v>75</v>
      </c>
      <c r="O311" s="19" t="s">
        <v>76</v>
      </c>
      <c r="P311" s="24" t="s">
        <v>78</v>
      </c>
      <c r="Q311" s="24" t="s">
        <v>79</v>
      </c>
      <c r="R311" s="19" t="s">
        <v>81</v>
      </c>
    </row>
    <row r="312" spans="1:18" ht="14.25" customHeight="1" x14ac:dyDescent="0.15">
      <c r="A312" s="21">
        <f t="shared" ref="A312:H312" si="216">A305</f>
        <v>0</v>
      </c>
      <c r="B312" s="21">
        <f t="shared" si="216"/>
        <v>0</v>
      </c>
      <c r="C312" s="21">
        <f t="shared" si="216"/>
        <v>0</v>
      </c>
      <c r="D312" s="21">
        <f t="shared" si="216"/>
        <v>0</v>
      </c>
      <c r="E312" s="23" t="str">
        <f t="shared" si="216"/>
        <v>2100</v>
      </c>
      <c r="F312" s="23" t="str">
        <f t="shared" si="216"/>
        <v>1900</v>
      </c>
      <c r="G312" s="23" t="str">
        <f t="shared" si="216"/>
        <v>1800</v>
      </c>
      <c r="H312" s="23">
        <f t="shared" si="216"/>
        <v>380</v>
      </c>
      <c r="I312" s="23" t="str">
        <f>I291</f>
        <v>0</v>
      </c>
      <c r="J312" s="23" t="str">
        <f t="shared" ref="J312:Q312" si="217">J305</f>
        <v>1000</v>
      </c>
      <c r="K312" s="23">
        <f t="shared" si="217"/>
        <v>375</v>
      </c>
      <c r="L312" s="23">
        <f t="shared" si="217"/>
        <v>585</v>
      </c>
      <c r="M312" s="23" t="str">
        <f t="shared" si="217"/>
        <v>1000</v>
      </c>
      <c r="N312" s="23">
        <f t="shared" si="217"/>
        <v>3300</v>
      </c>
      <c r="O312" s="23">
        <f t="shared" si="217"/>
        <v>0</v>
      </c>
      <c r="P312" s="27">
        <f t="shared" si="217"/>
        <v>0</v>
      </c>
      <c r="Q312" s="27">
        <f t="shared" si="217"/>
        <v>2</v>
      </c>
      <c r="R312" s="21"/>
    </row>
    <row r="313" spans="1:18" ht="14.25" customHeight="1" x14ac:dyDescent="0.15">
      <c r="A313" s="19">
        <v>6</v>
      </c>
      <c r="B313" s="19">
        <f>1.5*3</f>
        <v>4.5</v>
      </c>
      <c r="C313" s="19">
        <v>1.2</v>
      </c>
      <c r="D313" s="19">
        <f>B313*C313</f>
        <v>5.3999999999999995</v>
      </c>
      <c r="E313" s="19"/>
      <c r="F313" s="19"/>
      <c r="G313" s="19"/>
      <c r="H313" s="19"/>
      <c r="I313" s="19">
        <f>B313*0.4</f>
        <v>1.8</v>
      </c>
      <c r="J313" s="19">
        <v>2</v>
      </c>
      <c r="K313" s="19">
        <f t="shared" ref="K313:L313" si="218">A313</f>
        <v>6</v>
      </c>
      <c r="L313" s="19">
        <f t="shared" si="218"/>
        <v>4.5</v>
      </c>
      <c r="M313" s="19">
        <f>A313</f>
        <v>6</v>
      </c>
      <c r="N313" s="19">
        <f>(1.2*0.4)*2</f>
        <v>0.96</v>
      </c>
      <c r="O313" s="19"/>
      <c r="P313" s="24"/>
      <c r="Q313" s="24"/>
      <c r="R313" s="19"/>
    </row>
    <row r="314" spans="1:18" ht="14.25" customHeight="1" x14ac:dyDescent="0.15">
      <c r="A314" s="19"/>
      <c r="B314" s="19"/>
      <c r="C314" s="19"/>
      <c r="D314" s="26" t="str">
        <f>D307</f>
        <v>7500</v>
      </c>
      <c r="E314" s="19">
        <v>2</v>
      </c>
      <c r="F314" s="19">
        <v>0</v>
      </c>
      <c r="G314" s="19">
        <v>0</v>
      </c>
      <c r="H314" s="19">
        <f>B313*2</f>
        <v>9</v>
      </c>
      <c r="I314" s="19"/>
      <c r="J314" s="19"/>
      <c r="K314" s="19"/>
      <c r="L314" s="19"/>
      <c r="M314" s="19"/>
      <c r="N314" s="28"/>
      <c r="O314" s="19"/>
      <c r="P314" s="24"/>
      <c r="Q314" s="24"/>
      <c r="R314" s="19"/>
    </row>
    <row r="315" spans="1:18" ht="14.25" customHeight="1" x14ac:dyDescent="0.15">
      <c r="A315" s="19"/>
      <c r="B315" s="19"/>
      <c r="C315" s="19"/>
      <c r="D315" s="19">
        <f>D313*D314</f>
        <v>40499.999999999993</v>
      </c>
      <c r="E315" s="19">
        <f>E314*E312</f>
        <v>4200</v>
      </c>
      <c r="F315" s="19">
        <f t="shared" ref="F315:H315" si="219">F312*F314</f>
        <v>0</v>
      </c>
      <c r="G315" s="19">
        <f t="shared" si="219"/>
        <v>0</v>
      </c>
      <c r="H315" s="19">
        <f t="shared" si="219"/>
        <v>3420</v>
      </c>
      <c r="I315" s="19">
        <f t="shared" ref="I315:N315" si="220">I312*I313</f>
        <v>0</v>
      </c>
      <c r="J315" s="19">
        <f t="shared" si="220"/>
        <v>2000</v>
      </c>
      <c r="K315" s="19">
        <f t="shared" si="220"/>
        <v>2250</v>
      </c>
      <c r="L315" s="19">
        <f t="shared" si="220"/>
        <v>2632.5</v>
      </c>
      <c r="M315" s="19">
        <f t="shared" si="220"/>
        <v>6000</v>
      </c>
      <c r="N315" s="19">
        <f t="shared" si="220"/>
        <v>3168</v>
      </c>
      <c r="O315" s="19">
        <f>SUM(D315:N315)</f>
        <v>64170.499999999993</v>
      </c>
      <c r="P315" s="24">
        <f>O315/A313</f>
        <v>10695.083333333332</v>
      </c>
      <c r="Q315" s="24">
        <f>P315*Q312</f>
        <v>21390.166666666664</v>
      </c>
      <c r="R315" s="19">
        <f>MROUND(Q315,100)</f>
        <v>21400</v>
      </c>
    </row>
    <row r="316" spans="1:18" ht="14.25" customHeight="1" x14ac:dyDescent="0.1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9"/>
      <c r="Q316" s="39"/>
    </row>
    <row r="317" spans="1:18" ht="14.25" customHeight="1" x14ac:dyDescent="0.3">
      <c r="A317" s="109" t="str">
        <f>PRICELIST!I49</f>
        <v>WFLX-LNR-SH-LVM-1500-F</v>
      </c>
      <c r="B317" s="87"/>
      <c r="C317" s="8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2"/>
      <c r="Q317" s="22"/>
      <c r="R317" s="17"/>
    </row>
    <row r="318" spans="1:18" ht="14.25" customHeight="1" x14ac:dyDescent="0.15">
      <c r="A318" s="19" t="s">
        <v>57</v>
      </c>
      <c r="B318" s="19" t="s">
        <v>59</v>
      </c>
      <c r="C318" s="19" t="s">
        <v>62</v>
      </c>
      <c r="D318" s="19" t="s">
        <v>64</v>
      </c>
      <c r="E318" s="19">
        <v>1200</v>
      </c>
      <c r="F318" s="19">
        <v>900</v>
      </c>
      <c r="G318" s="19">
        <v>600</v>
      </c>
      <c r="H318" s="19" t="s">
        <v>67</v>
      </c>
      <c r="I318" s="19" t="s">
        <v>68</v>
      </c>
      <c r="J318" s="19" t="s">
        <v>69</v>
      </c>
      <c r="K318" s="19" t="s">
        <v>71</v>
      </c>
      <c r="L318" s="19" t="s">
        <v>72</v>
      </c>
      <c r="M318" s="19" t="s">
        <v>73</v>
      </c>
      <c r="N318" s="19" t="s">
        <v>75</v>
      </c>
      <c r="O318" s="19" t="s">
        <v>76</v>
      </c>
      <c r="P318" s="24" t="s">
        <v>78</v>
      </c>
      <c r="Q318" s="24" t="s">
        <v>79</v>
      </c>
      <c r="R318" s="19" t="s">
        <v>81</v>
      </c>
    </row>
    <row r="319" spans="1:18" ht="14.25" customHeight="1" x14ac:dyDescent="0.15">
      <c r="A319" s="21">
        <f t="shared" ref="A319:H319" si="221">A312</f>
        <v>0</v>
      </c>
      <c r="B319" s="21">
        <f t="shared" si="221"/>
        <v>0</v>
      </c>
      <c r="C319" s="21">
        <f t="shared" si="221"/>
        <v>0</v>
      </c>
      <c r="D319" s="21">
        <f t="shared" si="221"/>
        <v>0</v>
      </c>
      <c r="E319" s="23" t="str">
        <f t="shared" si="221"/>
        <v>2100</v>
      </c>
      <c r="F319" s="23" t="str">
        <f t="shared" si="221"/>
        <v>1900</v>
      </c>
      <c r="G319" s="23" t="str">
        <f t="shared" si="221"/>
        <v>1800</v>
      </c>
      <c r="H319" s="23">
        <f t="shared" si="221"/>
        <v>380</v>
      </c>
      <c r="I319" s="23" t="str">
        <f>I298</f>
        <v>4800</v>
      </c>
      <c r="J319" s="23" t="str">
        <f t="shared" ref="J319:Q319" si="222">J312</f>
        <v>1000</v>
      </c>
      <c r="K319" s="23">
        <f t="shared" si="222"/>
        <v>375</v>
      </c>
      <c r="L319" s="23">
        <f t="shared" si="222"/>
        <v>585</v>
      </c>
      <c r="M319" s="23" t="str">
        <f t="shared" si="222"/>
        <v>1000</v>
      </c>
      <c r="N319" s="23">
        <f t="shared" si="222"/>
        <v>3300</v>
      </c>
      <c r="O319" s="23">
        <f t="shared" si="222"/>
        <v>0</v>
      </c>
      <c r="P319" s="27">
        <f t="shared" si="222"/>
        <v>0</v>
      </c>
      <c r="Q319" s="27">
        <f t="shared" si="222"/>
        <v>2</v>
      </c>
      <c r="R319" s="21"/>
    </row>
    <row r="320" spans="1:18" ht="14.25" customHeight="1" x14ac:dyDescent="0.15">
      <c r="A320" s="19">
        <v>6</v>
      </c>
      <c r="B320" s="19">
        <f>1.5*3</f>
        <v>4.5</v>
      </c>
      <c r="C320" s="19">
        <v>1.2</v>
      </c>
      <c r="D320" s="19">
        <f>B320*C320</f>
        <v>5.3999999999999995</v>
      </c>
      <c r="E320" s="19"/>
      <c r="F320" s="19"/>
      <c r="G320" s="19"/>
      <c r="H320" s="19"/>
      <c r="I320" s="19">
        <f>B320*0.4</f>
        <v>1.8</v>
      </c>
      <c r="J320" s="19">
        <v>2</v>
      </c>
      <c r="K320" s="19">
        <f t="shared" ref="K320:L320" si="223">A320</f>
        <v>6</v>
      </c>
      <c r="L320" s="19">
        <f t="shared" si="223"/>
        <v>4.5</v>
      </c>
      <c r="M320" s="19">
        <f>A320</f>
        <v>6</v>
      </c>
      <c r="N320" s="19">
        <f>(1.2*0.4)*2</f>
        <v>0.96</v>
      </c>
      <c r="O320" s="19"/>
      <c r="P320" s="24"/>
      <c r="Q320" s="24"/>
      <c r="R320" s="19"/>
    </row>
    <row r="321" spans="1:18" ht="14.25" customHeight="1" x14ac:dyDescent="0.15">
      <c r="A321" s="19"/>
      <c r="B321" s="19"/>
      <c r="C321" s="19"/>
      <c r="D321" s="26" t="str">
        <f>D209</f>
        <v>9500</v>
      </c>
      <c r="E321" s="19">
        <v>2</v>
      </c>
      <c r="F321" s="19">
        <v>0</v>
      </c>
      <c r="G321" s="19">
        <v>0</v>
      </c>
      <c r="H321" s="19">
        <f>B320*2</f>
        <v>9</v>
      </c>
      <c r="I321" s="19"/>
      <c r="J321" s="19"/>
      <c r="K321" s="19"/>
      <c r="L321" s="19"/>
      <c r="M321" s="19"/>
      <c r="N321" s="28"/>
      <c r="O321" s="19"/>
      <c r="P321" s="24"/>
      <c r="Q321" s="24"/>
      <c r="R321" s="19"/>
    </row>
    <row r="322" spans="1:18" ht="14.25" customHeight="1" x14ac:dyDescent="0.15">
      <c r="A322" s="19"/>
      <c r="B322" s="19"/>
      <c r="C322" s="19"/>
      <c r="D322" s="19">
        <f>D320*D321</f>
        <v>51299.999999999993</v>
      </c>
      <c r="E322" s="19">
        <f>E321*E319</f>
        <v>4200</v>
      </c>
      <c r="F322" s="19">
        <f t="shared" ref="F322:H322" si="224">F319*F321</f>
        <v>0</v>
      </c>
      <c r="G322" s="19">
        <f t="shared" si="224"/>
        <v>0</v>
      </c>
      <c r="H322" s="19">
        <f t="shared" si="224"/>
        <v>3420</v>
      </c>
      <c r="I322" s="19">
        <f t="shared" ref="I322:N322" si="225">I319*I320</f>
        <v>8640</v>
      </c>
      <c r="J322" s="19">
        <f t="shared" si="225"/>
        <v>2000</v>
      </c>
      <c r="K322" s="19">
        <f t="shared" si="225"/>
        <v>2250</v>
      </c>
      <c r="L322" s="19">
        <f t="shared" si="225"/>
        <v>2632.5</v>
      </c>
      <c r="M322" s="19">
        <f t="shared" si="225"/>
        <v>6000</v>
      </c>
      <c r="N322" s="19">
        <f t="shared" si="225"/>
        <v>3168</v>
      </c>
      <c r="O322" s="19">
        <f>SUM(D322:N322)</f>
        <v>83610.5</v>
      </c>
      <c r="P322" s="24">
        <f>O322/A320</f>
        <v>13935.083333333334</v>
      </c>
      <c r="Q322" s="24">
        <f>P322*Q319</f>
        <v>27870.166666666668</v>
      </c>
      <c r="R322" s="19">
        <f>MROUND(Q322,100)</f>
        <v>27900</v>
      </c>
    </row>
    <row r="323" spans="1:18" ht="14.25" customHeight="1" x14ac:dyDescent="0.1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9"/>
      <c r="Q323" s="39"/>
    </row>
    <row r="324" spans="1:18" ht="14.25" customHeight="1" x14ac:dyDescent="0.3">
      <c r="A324" s="109" t="str">
        <f>PRICELIST!I50</f>
        <v>WFLX-LNR-SH-LVM-1500-G</v>
      </c>
      <c r="B324" s="87"/>
      <c r="C324" s="8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22"/>
      <c r="Q324" s="22"/>
      <c r="R324" s="17"/>
    </row>
    <row r="325" spans="1:18" ht="14.25" customHeight="1" x14ac:dyDescent="0.15">
      <c r="A325" s="19" t="s">
        <v>57</v>
      </c>
      <c r="B325" s="19" t="s">
        <v>59</v>
      </c>
      <c r="C325" s="19" t="s">
        <v>62</v>
      </c>
      <c r="D325" s="19" t="s">
        <v>64</v>
      </c>
      <c r="E325" s="19">
        <v>1200</v>
      </c>
      <c r="F325" s="19">
        <v>900</v>
      </c>
      <c r="G325" s="19">
        <v>600</v>
      </c>
      <c r="H325" s="19" t="s">
        <v>67</v>
      </c>
      <c r="I325" s="19" t="s">
        <v>68</v>
      </c>
      <c r="J325" s="19" t="s">
        <v>69</v>
      </c>
      <c r="K325" s="19" t="s">
        <v>71</v>
      </c>
      <c r="L325" s="19" t="s">
        <v>72</v>
      </c>
      <c r="M325" s="19" t="s">
        <v>73</v>
      </c>
      <c r="N325" s="19" t="s">
        <v>75</v>
      </c>
      <c r="O325" s="19" t="s">
        <v>76</v>
      </c>
      <c r="P325" s="24" t="s">
        <v>78</v>
      </c>
      <c r="Q325" s="24" t="s">
        <v>79</v>
      </c>
      <c r="R325" s="19" t="s">
        <v>81</v>
      </c>
    </row>
    <row r="326" spans="1:18" ht="14.25" customHeight="1" x14ac:dyDescent="0.15">
      <c r="A326" s="21">
        <f t="shared" ref="A326:H326" si="226">A319</f>
        <v>0</v>
      </c>
      <c r="B326" s="21">
        <f t="shared" si="226"/>
        <v>0</v>
      </c>
      <c r="C326" s="21">
        <f t="shared" si="226"/>
        <v>0</v>
      </c>
      <c r="D326" s="21">
        <f t="shared" si="226"/>
        <v>0</v>
      </c>
      <c r="E326" s="23" t="str">
        <f t="shared" si="226"/>
        <v>2100</v>
      </c>
      <c r="F326" s="23" t="str">
        <f t="shared" si="226"/>
        <v>1900</v>
      </c>
      <c r="G326" s="23" t="str">
        <f t="shared" si="226"/>
        <v>1800</v>
      </c>
      <c r="H326" s="23">
        <f t="shared" si="226"/>
        <v>380</v>
      </c>
      <c r="I326" s="23" t="str">
        <f>I305</f>
        <v>5500</v>
      </c>
      <c r="J326" s="23" t="str">
        <f t="shared" ref="J326:Q326" si="227">J319</f>
        <v>1000</v>
      </c>
      <c r="K326" s="23">
        <f t="shared" si="227"/>
        <v>375</v>
      </c>
      <c r="L326" s="23">
        <f t="shared" si="227"/>
        <v>585</v>
      </c>
      <c r="M326" s="23" t="str">
        <f t="shared" si="227"/>
        <v>1000</v>
      </c>
      <c r="N326" s="23">
        <f t="shared" si="227"/>
        <v>3300</v>
      </c>
      <c r="O326" s="23">
        <f t="shared" si="227"/>
        <v>0</v>
      </c>
      <c r="P326" s="27">
        <f t="shared" si="227"/>
        <v>0</v>
      </c>
      <c r="Q326" s="27">
        <f t="shared" si="227"/>
        <v>2</v>
      </c>
      <c r="R326" s="21"/>
    </row>
    <row r="327" spans="1:18" ht="14.25" customHeight="1" x14ac:dyDescent="0.15">
      <c r="A327" s="19">
        <v>6</v>
      </c>
      <c r="B327" s="19">
        <f>1.5*3</f>
        <v>4.5</v>
      </c>
      <c r="C327" s="19">
        <v>1.2</v>
      </c>
      <c r="D327" s="19">
        <f>B327*C327</f>
        <v>5.3999999999999995</v>
      </c>
      <c r="E327" s="19"/>
      <c r="F327" s="19"/>
      <c r="G327" s="19"/>
      <c r="H327" s="19"/>
      <c r="I327" s="19">
        <f>B327*0.4</f>
        <v>1.8</v>
      </c>
      <c r="J327" s="19">
        <v>2</v>
      </c>
      <c r="K327" s="19">
        <f t="shared" ref="K327:L327" si="228">A327</f>
        <v>6</v>
      </c>
      <c r="L327" s="19">
        <f t="shared" si="228"/>
        <v>4.5</v>
      </c>
      <c r="M327" s="19">
        <f>A327</f>
        <v>6</v>
      </c>
      <c r="N327" s="19">
        <f>(1.2*0.4)*2</f>
        <v>0.96</v>
      </c>
      <c r="O327" s="19"/>
      <c r="P327" s="24"/>
      <c r="Q327" s="24"/>
      <c r="R327" s="19"/>
    </row>
    <row r="328" spans="1:18" ht="14.25" customHeight="1" x14ac:dyDescent="0.15">
      <c r="A328" s="19"/>
      <c r="B328" s="19"/>
      <c r="C328" s="19"/>
      <c r="D328" s="26" t="str">
        <f>D321</f>
        <v>9500</v>
      </c>
      <c r="E328" s="19">
        <v>2</v>
      </c>
      <c r="F328" s="19">
        <v>0</v>
      </c>
      <c r="G328" s="19">
        <v>0</v>
      </c>
      <c r="H328" s="19">
        <f>B327*2</f>
        <v>9</v>
      </c>
      <c r="I328" s="19"/>
      <c r="J328" s="19"/>
      <c r="K328" s="19"/>
      <c r="L328" s="19"/>
      <c r="M328" s="19"/>
      <c r="N328" s="28"/>
      <c r="O328" s="19"/>
      <c r="P328" s="24"/>
      <c r="Q328" s="24"/>
      <c r="R328" s="19"/>
    </row>
    <row r="329" spans="1:18" ht="14.25" customHeight="1" x14ac:dyDescent="0.15">
      <c r="A329" s="19"/>
      <c r="B329" s="19"/>
      <c r="C329" s="19"/>
      <c r="D329" s="19">
        <f>D327*D328</f>
        <v>51299.999999999993</v>
      </c>
      <c r="E329" s="19">
        <f>E328*E326</f>
        <v>4200</v>
      </c>
      <c r="F329" s="19">
        <f t="shared" ref="F329:H329" si="229">F326*F328</f>
        <v>0</v>
      </c>
      <c r="G329" s="19">
        <f t="shared" si="229"/>
        <v>0</v>
      </c>
      <c r="H329" s="19">
        <f t="shared" si="229"/>
        <v>3420</v>
      </c>
      <c r="I329" s="19">
        <f t="shared" ref="I329:N329" si="230">I326*I327</f>
        <v>9900</v>
      </c>
      <c r="J329" s="19">
        <f t="shared" si="230"/>
        <v>2000</v>
      </c>
      <c r="K329" s="19">
        <f t="shared" si="230"/>
        <v>2250</v>
      </c>
      <c r="L329" s="19">
        <f t="shared" si="230"/>
        <v>2632.5</v>
      </c>
      <c r="M329" s="19">
        <f t="shared" si="230"/>
        <v>6000</v>
      </c>
      <c r="N329" s="19">
        <f t="shared" si="230"/>
        <v>3168</v>
      </c>
      <c r="O329" s="19">
        <f>SUM(D329:N329)</f>
        <v>84870.5</v>
      </c>
      <c r="P329" s="24">
        <f>O329/A327</f>
        <v>14145.083333333334</v>
      </c>
      <c r="Q329" s="24">
        <f>P329*Q326</f>
        <v>28290.166666666668</v>
      </c>
      <c r="R329" s="19">
        <f>MROUND(Q329,100)</f>
        <v>28300</v>
      </c>
    </row>
    <row r="330" spans="1:18" ht="14.25" customHeight="1" x14ac:dyDescent="0.1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9"/>
      <c r="Q330" s="39"/>
    </row>
    <row r="331" spans="1:18" ht="14.25" customHeight="1" x14ac:dyDescent="0.3">
      <c r="A331" s="109" t="str">
        <f>PRICELIST!I51</f>
        <v>WFLX-LNR-SH-LVM-1500-X</v>
      </c>
      <c r="B331" s="87"/>
      <c r="C331" s="8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22"/>
      <c r="Q331" s="22"/>
      <c r="R331" s="17"/>
    </row>
    <row r="332" spans="1:18" ht="14.25" customHeight="1" x14ac:dyDescent="0.15">
      <c r="A332" s="19" t="s">
        <v>57</v>
      </c>
      <c r="B332" s="19" t="s">
        <v>59</v>
      </c>
      <c r="C332" s="19" t="s">
        <v>62</v>
      </c>
      <c r="D332" s="19" t="s">
        <v>64</v>
      </c>
      <c r="E332" s="19">
        <v>1200</v>
      </c>
      <c r="F332" s="19">
        <v>900</v>
      </c>
      <c r="G332" s="19">
        <v>600</v>
      </c>
      <c r="H332" s="19" t="s">
        <v>67</v>
      </c>
      <c r="I332" s="19" t="s">
        <v>68</v>
      </c>
      <c r="J332" s="19" t="s">
        <v>69</v>
      </c>
      <c r="K332" s="19" t="s">
        <v>71</v>
      </c>
      <c r="L332" s="19" t="s">
        <v>72</v>
      </c>
      <c r="M332" s="19" t="s">
        <v>73</v>
      </c>
      <c r="N332" s="19" t="s">
        <v>75</v>
      </c>
      <c r="O332" s="19" t="s">
        <v>76</v>
      </c>
      <c r="P332" s="24" t="s">
        <v>78</v>
      </c>
      <c r="Q332" s="24" t="s">
        <v>79</v>
      </c>
      <c r="R332" s="19" t="s">
        <v>81</v>
      </c>
    </row>
    <row r="333" spans="1:18" ht="14.25" customHeight="1" x14ac:dyDescent="0.15">
      <c r="A333" s="21">
        <f t="shared" ref="A333:H333" si="231">A326</f>
        <v>0</v>
      </c>
      <c r="B333" s="21">
        <f t="shared" si="231"/>
        <v>0</v>
      </c>
      <c r="C333" s="21">
        <f t="shared" si="231"/>
        <v>0</v>
      </c>
      <c r="D333" s="21">
        <f t="shared" si="231"/>
        <v>0</v>
      </c>
      <c r="E333" s="23" t="str">
        <f t="shared" si="231"/>
        <v>2100</v>
      </c>
      <c r="F333" s="23" t="str">
        <f t="shared" si="231"/>
        <v>1900</v>
      </c>
      <c r="G333" s="23" t="str">
        <f t="shared" si="231"/>
        <v>1800</v>
      </c>
      <c r="H333" s="23">
        <f t="shared" si="231"/>
        <v>380</v>
      </c>
      <c r="I333" s="23" t="str">
        <f>I312</f>
        <v>0</v>
      </c>
      <c r="J333" s="23" t="str">
        <f t="shared" ref="J333:Q333" si="232">J326</f>
        <v>1000</v>
      </c>
      <c r="K333" s="23">
        <f t="shared" si="232"/>
        <v>375</v>
      </c>
      <c r="L333" s="23">
        <f t="shared" si="232"/>
        <v>585</v>
      </c>
      <c r="M333" s="23" t="str">
        <f t="shared" si="232"/>
        <v>1000</v>
      </c>
      <c r="N333" s="23">
        <f t="shared" si="232"/>
        <v>3300</v>
      </c>
      <c r="O333" s="23">
        <f t="shared" si="232"/>
        <v>0</v>
      </c>
      <c r="P333" s="27">
        <f t="shared" si="232"/>
        <v>0</v>
      </c>
      <c r="Q333" s="27">
        <f t="shared" si="232"/>
        <v>2</v>
      </c>
      <c r="R333" s="21"/>
    </row>
    <row r="334" spans="1:18" ht="14.25" customHeight="1" x14ac:dyDescent="0.15">
      <c r="A334" s="19">
        <v>6</v>
      </c>
      <c r="B334" s="19">
        <f>1.5*3</f>
        <v>4.5</v>
      </c>
      <c r="C334" s="19">
        <v>1.2</v>
      </c>
      <c r="D334" s="19">
        <f>B334*C334</f>
        <v>5.3999999999999995</v>
      </c>
      <c r="E334" s="19"/>
      <c r="F334" s="19"/>
      <c r="G334" s="19"/>
      <c r="H334" s="19"/>
      <c r="I334" s="19">
        <f>B334*0.4</f>
        <v>1.8</v>
      </c>
      <c r="J334" s="19">
        <v>2</v>
      </c>
      <c r="K334" s="19">
        <f t="shared" ref="K334:L334" si="233">A334</f>
        <v>6</v>
      </c>
      <c r="L334" s="19">
        <f t="shared" si="233"/>
        <v>4.5</v>
      </c>
      <c r="M334" s="19">
        <f>A334</f>
        <v>6</v>
      </c>
      <c r="N334" s="19">
        <f>(1.2*0.4)*2</f>
        <v>0.96</v>
      </c>
      <c r="O334" s="19"/>
      <c r="P334" s="24"/>
      <c r="Q334" s="24"/>
      <c r="R334" s="19"/>
    </row>
    <row r="335" spans="1:18" ht="14.25" customHeight="1" x14ac:dyDescent="0.15">
      <c r="A335" s="19"/>
      <c r="B335" s="19"/>
      <c r="C335" s="19"/>
      <c r="D335" s="26" t="str">
        <f>D328</f>
        <v>9500</v>
      </c>
      <c r="E335" s="19">
        <v>2</v>
      </c>
      <c r="F335" s="19">
        <v>0</v>
      </c>
      <c r="G335" s="19">
        <v>0</v>
      </c>
      <c r="H335" s="19">
        <f>B334*2</f>
        <v>9</v>
      </c>
      <c r="I335" s="19"/>
      <c r="J335" s="19"/>
      <c r="K335" s="19"/>
      <c r="L335" s="19"/>
      <c r="M335" s="19"/>
      <c r="N335" s="28"/>
      <c r="O335" s="19"/>
      <c r="P335" s="24"/>
      <c r="Q335" s="24"/>
      <c r="R335" s="19"/>
    </row>
    <row r="336" spans="1:18" ht="14.25" customHeight="1" x14ac:dyDescent="0.15">
      <c r="A336" s="19"/>
      <c r="B336" s="19"/>
      <c r="C336" s="19"/>
      <c r="D336" s="19">
        <f>D334*D335</f>
        <v>51299.999999999993</v>
      </c>
      <c r="E336" s="19">
        <f>E335*E333</f>
        <v>4200</v>
      </c>
      <c r="F336" s="19">
        <f t="shared" ref="F336:H336" si="234">F333*F335</f>
        <v>0</v>
      </c>
      <c r="G336" s="19">
        <f t="shared" si="234"/>
        <v>0</v>
      </c>
      <c r="H336" s="19">
        <f t="shared" si="234"/>
        <v>3420</v>
      </c>
      <c r="I336" s="19">
        <f t="shared" ref="I336:N336" si="235">I333*I334</f>
        <v>0</v>
      </c>
      <c r="J336" s="19">
        <f t="shared" si="235"/>
        <v>2000</v>
      </c>
      <c r="K336" s="19">
        <f t="shared" si="235"/>
        <v>2250</v>
      </c>
      <c r="L336" s="19">
        <f t="shared" si="235"/>
        <v>2632.5</v>
      </c>
      <c r="M336" s="19">
        <f t="shared" si="235"/>
        <v>6000</v>
      </c>
      <c r="N336" s="19">
        <f t="shared" si="235"/>
        <v>3168</v>
      </c>
      <c r="O336" s="19">
        <f>SUM(D336:N336)</f>
        <v>74970.5</v>
      </c>
      <c r="P336" s="24">
        <f>O336/A334</f>
        <v>12495.083333333334</v>
      </c>
      <c r="Q336" s="24">
        <f>P336*Q333</f>
        <v>24990.166666666668</v>
      </c>
      <c r="R336" s="19">
        <f>MROUND(Q336,100)</f>
        <v>25000</v>
      </c>
    </row>
    <row r="337" spans="1:18" ht="14.25" customHeight="1" x14ac:dyDescent="0.1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9"/>
      <c r="Q337" s="39"/>
    </row>
    <row r="338" spans="1:18" ht="14.25" customHeight="1" x14ac:dyDescent="0.3">
      <c r="A338" s="109" t="str">
        <f>PRICELIST!I52</f>
        <v>WFLX-LNR-SH-LVP-1500-F</v>
      </c>
      <c r="B338" s="87"/>
      <c r="C338" s="8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22"/>
      <c r="Q338" s="22"/>
      <c r="R338" s="17"/>
    </row>
    <row r="339" spans="1:18" ht="14.25" customHeight="1" x14ac:dyDescent="0.15">
      <c r="A339" s="19" t="s">
        <v>57</v>
      </c>
      <c r="B339" s="19" t="s">
        <v>59</v>
      </c>
      <c r="C339" s="19" t="s">
        <v>62</v>
      </c>
      <c r="D339" s="19" t="s">
        <v>64</v>
      </c>
      <c r="E339" s="19">
        <v>1200</v>
      </c>
      <c r="F339" s="19">
        <v>900</v>
      </c>
      <c r="G339" s="19">
        <v>600</v>
      </c>
      <c r="H339" s="19" t="s">
        <v>67</v>
      </c>
      <c r="I339" s="19" t="s">
        <v>68</v>
      </c>
      <c r="J339" s="19" t="s">
        <v>69</v>
      </c>
      <c r="K339" s="19" t="s">
        <v>71</v>
      </c>
      <c r="L339" s="19" t="s">
        <v>72</v>
      </c>
      <c r="M339" s="19" t="s">
        <v>73</v>
      </c>
      <c r="N339" s="19" t="s">
        <v>75</v>
      </c>
      <c r="O339" s="19" t="s">
        <v>76</v>
      </c>
      <c r="P339" s="24" t="s">
        <v>78</v>
      </c>
      <c r="Q339" s="24" t="s">
        <v>79</v>
      </c>
      <c r="R339" s="19" t="s">
        <v>81</v>
      </c>
    </row>
    <row r="340" spans="1:18" ht="14.25" customHeight="1" x14ac:dyDescent="0.15">
      <c r="A340" s="21">
        <f t="shared" ref="A340:H340" si="236">A333</f>
        <v>0</v>
      </c>
      <c r="B340" s="21">
        <f t="shared" si="236"/>
        <v>0</v>
      </c>
      <c r="C340" s="21">
        <f t="shared" si="236"/>
        <v>0</v>
      </c>
      <c r="D340" s="21">
        <f t="shared" si="236"/>
        <v>0</v>
      </c>
      <c r="E340" s="23" t="str">
        <f t="shared" si="236"/>
        <v>2100</v>
      </c>
      <c r="F340" s="23" t="str">
        <f t="shared" si="236"/>
        <v>1900</v>
      </c>
      <c r="G340" s="23" t="str">
        <f t="shared" si="236"/>
        <v>1800</v>
      </c>
      <c r="H340" s="23">
        <f t="shared" si="236"/>
        <v>380</v>
      </c>
      <c r="I340" s="23" t="str">
        <f>I319</f>
        <v>4800</v>
      </c>
      <c r="J340" s="23" t="str">
        <f t="shared" ref="J340:Q340" si="237">J333</f>
        <v>1000</v>
      </c>
      <c r="K340" s="23">
        <f t="shared" si="237"/>
        <v>375</v>
      </c>
      <c r="L340" s="23">
        <f t="shared" si="237"/>
        <v>585</v>
      </c>
      <c r="M340" s="23" t="str">
        <f t="shared" si="237"/>
        <v>1000</v>
      </c>
      <c r="N340" s="23">
        <f t="shared" si="237"/>
        <v>3300</v>
      </c>
      <c r="O340" s="23">
        <f t="shared" si="237"/>
        <v>0</v>
      </c>
      <c r="P340" s="27">
        <f t="shared" si="237"/>
        <v>0</v>
      </c>
      <c r="Q340" s="27">
        <f t="shared" si="237"/>
        <v>2</v>
      </c>
      <c r="R340" s="21"/>
    </row>
    <row r="341" spans="1:18" ht="14.25" customHeight="1" x14ac:dyDescent="0.15">
      <c r="A341" s="19">
        <v>6</v>
      </c>
      <c r="B341" s="19">
        <f>1.5*3</f>
        <v>4.5</v>
      </c>
      <c r="C341" s="19">
        <v>1.2</v>
      </c>
      <c r="D341" s="19">
        <f>B341*C341</f>
        <v>5.3999999999999995</v>
      </c>
      <c r="E341" s="19"/>
      <c r="F341" s="19"/>
      <c r="G341" s="19"/>
      <c r="H341" s="19"/>
      <c r="I341" s="19">
        <f>B341*0.4</f>
        <v>1.8</v>
      </c>
      <c r="J341" s="19">
        <v>2</v>
      </c>
      <c r="K341" s="19">
        <f t="shared" ref="K341:L341" si="238">A341</f>
        <v>6</v>
      </c>
      <c r="L341" s="19">
        <f t="shared" si="238"/>
        <v>4.5</v>
      </c>
      <c r="M341" s="19">
        <f>A341</f>
        <v>6</v>
      </c>
      <c r="N341" s="19">
        <f>(1.2*0.4)*2</f>
        <v>0.96</v>
      </c>
      <c r="O341" s="19"/>
      <c r="P341" s="24"/>
      <c r="Q341" s="24"/>
      <c r="R341" s="19"/>
    </row>
    <row r="342" spans="1:18" ht="14.25" customHeight="1" x14ac:dyDescent="0.15">
      <c r="A342" s="19"/>
      <c r="B342" s="19"/>
      <c r="C342" s="19"/>
      <c r="D342" s="26" t="str">
        <f>D223</f>
        <v>10500</v>
      </c>
      <c r="E342" s="19">
        <v>2</v>
      </c>
      <c r="F342" s="19">
        <v>0</v>
      </c>
      <c r="G342" s="19">
        <v>0</v>
      </c>
      <c r="H342" s="19">
        <f>B341*2</f>
        <v>9</v>
      </c>
      <c r="I342" s="19"/>
      <c r="J342" s="19"/>
      <c r="K342" s="19"/>
      <c r="L342" s="19"/>
      <c r="M342" s="19"/>
      <c r="N342" s="28"/>
      <c r="O342" s="19"/>
      <c r="P342" s="24"/>
      <c r="Q342" s="24"/>
      <c r="R342" s="19"/>
    </row>
    <row r="343" spans="1:18" ht="14.25" customHeight="1" x14ac:dyDescent="0.15">
      <c r="A343" s="19"/>
      <c r="B343" s="19"/>
      <c r="C343" s="19"/>
      <c r="D343" s="19">
        <f>D341*D342</f>
        <v>56699.999999999993</v>
      </c>
      <c r="E343" s="19">
        <f>E342*E340</f>
        <v>4200</v>
      </c>
      <c r="F343" s="19">
        <f t="shared" ref="F343:H343" si="239">F340*F342</f>
        <v>0</v>
      </c>
      <c r="G343" s="19">
        <f t="shared" si="239"/>
        <v>0</v>
      </c>
      <c r="H343" s="19">
        <f t="shared" si="239"/>
        <v>3420</v>
      </c>
      <c r="I343" s="19">
        <f t="shared" ref="I343:N343" si="240">I340*I341</f>
        <v>8640</v>
      </c>
      <c r="J343" s="19">
        <f t="shared" si="240"/>
        <v>2000</v>
      </c>
      <c r="K343" s="19">
        <f t="shared" si="240"/>
        <v>2250</v>
      </c>
      <c r="L343" s="19">
        <f t="shared" si="240"/>
        <v>2632.5</v>
      </c>
      <c r="M343" s="19">
        <f t="shared" si="240"/>
        <v>6000</v>
      </c>
      <c r="N343" s="19">
        <f t="shared" si="240"/>
        <v>3168</v>
      </c>
      <c r="O343" s="19">
        <f>SUM(D343:N343)</f>
        <v>89010.5</v>
      </c>
      <c r="P343" s="24">
        <f>O343/A341</f>
        <v>14835.083333333334</v>
      </c>
      <c r="Q343" s="24">
        <f>P343*Q340</f>
        <v>29670.166666666668</v>
      </c>
      <c r="R343" s="19">
        <f>MROUND(Q343,100)</f>
        <v>29700</v>
      </c>
    </row>
    <row r="344" spans="1:18" ht="14.25" customHeight="1" x14ac:dyDescent="0.1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9"/>
      <c r="Q344" s="39"/>
    </row>
    <row r="345" spans="1:18" ht="14.25" customHeight="1" x14ac:dyDescent="0.3">
      <c r="A345" s="109" t="str">
        <f>PRICELIST!I53</f>
        <v>WFLX-LNR-SH-LVP-1500-G</v>
      </c>
      <c r="B345" s="87"/>
      <c r="C345" s="8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22"/>
      <c r="Q345" s="22"/>
      <c r="R345" s="17"/>
    </row>
    <row r="346" spans="1:18" ht="14.25" customHeight="1" x14ac:dyDescent="0.15">
      <c r="A346" s="19" t="s">
        <v>57</v>
      </c>
      <c r="B346" s="19" t="s">
        <v>59</v>
      </c>
      <c r="C346" s="19" t="s">
        <v>62</v>
      </c>
      <c r="D346" s="19" t="s">
        <v>64</v>
      </c>
      <c r="E346" s="19">
        <v>1200</v>
      </c>
      <c r="F346" s="19">
        <v>900</v>
      </c>
      <c r="G346" s="19">
        <v>600</v>
      </c>
      <c r="H346" s="19" t="s">
        <v>67</v>
      </c>
      <c r="I346" s="19" t="s">
        <v>68</v>
      </c>
      <c r="J346" s="19" t="s">
        <v>69</v>
      </c>
      <c r="K346" s="19" t="s">
        <v>71</v>
      </c>
      <c r="L346" s="19" t="s">
        <v>72</v>
      </c>
      <c r="M346" s="19" t="s">
        <v>73</v>
      </c>
      <c r="N346" s="19" t="s">
        <v>75</v>
      </c>
      <c r="O346" s="19" t="s">
        <v>76</v>
      </c>
      <c r="P346" s="24" t="s">
        <v>78</v>
      </c>
      <c r="Q346" s="24" t="s">
        <v>79</v>
      </c>
      <c r="R346" s="19" t="s">
        <v>81</v>
      </c>
    </row>
    <row r="347" spans="1:18" ht="14.25" customHeight="1" x14ac:dyDescent="0.15">
      <c r="A347" s="21">
        <f t="shared" ref="A347:H347" si="241">A340</f>
        <v>0</v>
      </c>
      <c r="B347" s="21">
        <f t="shared" si="241"/>
        <v>0</v>
      </c>
      <c r="C347" s="21">
        <f t="shared" si="241"/>
        <v>0</v>
      </c>
      <c r="D347" s="21">
        <f t="shared" si="241"/>
        <v>0</v>
      </c>
      <c r="E347" s="23" t="str">
        <f t="shared" si="241"/>
        <v>2100</v>
      </c>
      <c r="F347" s="23" t="str">
        <f t="shared" si="241"/>
        <v>1900</v>
      </c>
      <c r="G347" s="23" t="str">
        <f t="shared" si="241"/>
        <v>1800</v>
      </c>
      <c r="H347" s="23">
        <f t="shared" si="241"/>
        <v>380</v>
      </c>
      <c r="I347" s="23" t="str">
        <f>I326</f>
        <v>5500</v>
      </c>
      <c r="J347" s="23" t="str">
        <f t="shared" ref="J347:Q347" si="242">J340</f>
        <v>1000</v>
      </c>
      <c r="K347" s="23">
        <f t="shared" si="242"/>
        <v>375</v>
      </c>
      <c r="L347" s="23">
        <f t="shared" si="242"/>
        <v>585</v>
      </c>
      <c r="M347" s="23" t="str">
        <f t="shared" si="242"/>
        <v>1000</v>
      </c>
      <c r="N347" s="23">
        <f t="shared" si="242"/>
        <v>3300</v>
      </c>
      <c r="O347" s="23">
        <f t="shared" si="242"/>
        <v>0</v>
      </c>
      <c r="P347" s="27">
        <f t="shared" si="242"/>
        <v>0</v>
      </c>
      <c r="Q347" s="27">
        <f t="shared" si="242"/>
        <v>2</v>
      </c>
      <c r="R347" s="21"/>
    </row>
    <row r="348" spans="1:18" ht="14.25" customHeight="1" x14ac:dyDescent="0.15">
      <c r="A348" s="19">
        <v>6</v>
      </c>
      <c r="B348" s="19">
        <f>1.5*3</f>
        <v>4.5</v>
      </c>
      <c r="C348" s="19">
        <v>1.2</v>
      </c>
      <c r="D348" s="19">
        <f>B348*C348</f>
        <v>5.3999999999999995</v>
      </c>
      <c r="E348" s="19"/>
      <c r="F348" s="19"/>
      <c r="G348" s="19"/>
      <c r="H348" s="19"/>
      <c r="I348" s="19">
        <f>B348*0.4</f>
        <v>1.8</v>
      </c>
      <c r="J348" s="19">
        <v>2</v>
      </c>
      <c r="K348" s="19">
        <f t="shared" ref="K348:L348" si="243">A348</f>
        <v>6</v>
      </c>
      <c r="L348" s="19">
        <f t="shared" si="243"/>
        <v>4.5</v>
      </c>
      <c r="M348" s="19">
        <f>A348</f>
        <v>6</v>
      </c>
      <c r="N348" s="19">
        <f>(1.2*0.4)*2</f>
        <v>0.96</v>
      </c>
      <c r="O348" s="19"/>
      <c r="P348" s="24"/>
      <c r="Q348" s="24"/>
      <c r="R348" s="19"/>
    </row>
    <row r="349" spans="1:18" ht="14.25" customHeight="1" x14ac:dyDescent="0.15">
      <c r="A349" s="19"/>
      <c r="B349" s="19"/>
      <c r="C349" s="19"/>
      <c r="D349" s="26" t="str">
        <f>D342</f>
        <v>10500</v>
      </c>
      <c r="E349" s="19">
        <v>2</v>
      </c>
      <c r="F349" s="19">
        <v>0</v>
      </c>
      <c r="G349" s="19">
        <v>0</v>
      </c>
      <c r="H349" s="19">
        <f>B348*2</f>
        <v>9</v>
      </c>
      <c r="I349" s="19"/>
      <c r="J349" s="19"/>
      <c r="K349" s="19"/>
      <c r="L349" s="19"/>
      <c r="M349" s="19"/>
      <c r="N349" s="28"/>
      <c r="O349" s="19"/>
      <c r="P349" s="24"/>
      <c r="Q349" s="24"/>
      <c r="R349" s="19"/>
    </row>
    <row r="350" spans="1:18" ht="14.25" customHeight="1" x14ac:dyDescent="0.15">
      <c r="A350" s="19"/>
      <c r="B350" s="19"/>
      <c r="C350" s="19"/>
      <c r="D350" s="19">
        <f>D348*D349</f>
        <v>56699.999999999993</v>
      </c>
      <c r="E350" s="19">
        <f>E349*E347</f>
        <v>4200</v>
      </c>
      <c r="F350" s="19">
        <f t="shared" ref="F350:H350" si="244">F347*F349</f>
        <v>0</v>
      </c>
      <c r="G350" s="19">
        <f t="shared" si="244"/>
        <v>0</v>
      </c>
      <c r="H350" s="19">
        <f t="shared" si="244"/>
        <v>3420</v>
      </c>
      <c r="I350" s="19">
        <f t="shared" ref="I350:N350" si="245">I347*I348</f>
        <v>9900</v>
      </c>
      <c r="J350" s="19">
        <f t="shared" si="245"/>
        <v>2000</v>
      </c>
      <c r="K350" s="19">
        <f t="shared" si="245"/>
        <v>2250</v>
      </c>
      <c r="L350" s="19">
        <f t="shared" si="245"/>
        <v>2632.5</v>
      </c>
      <c r="M350" s="19">
        <f t="shared" si="245"/>
        <v>6000</v>
      </c>
      <c r="N350" s="19">
        <f t="shared" si="245"/>
        <v>3168</v>
      </c>
      <c r="O350" s="19">
        <f>SUM(D350:N350)</f>
        <v>90270.5</v>
      </c>
      <c r="P350" s="24">
        <f>O350/A348</f>
        <v>15045.083333333334</v>
      </c>
      <c r="Q350" s="24">
        <f>P350*Q347</f>
        <v>30090.166666666668</v>
      </c>
      <c r="R350" s="19">
        <f>MROUND(Q350,100)</f>
        <v>30100</v>
      </c>
    </row>
    <row r="351" spans="1:18" ht="14.25" customHeight="1" x14ac:dyDescent="0.1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9"/>
      <c r="Q351" s="39"/>
    </row>
    <row r="352" spans="1:18" ht="14.25" customHeight="1" x14ac:dyDescent="0.3">
      <c r="A352" s="109" t="str">
        <f>PRICELIST!I54</f>
        <v>WFLX-LNR-SH-LVP-1500-X</v>
      </c>
      <c r="B352" s="87"/>
      <c r="C352" s="8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22"/>
      <c r="Q352" s="22"/>
      <c r="R352" s="17"/>
    </row>
    <row r="353" spans="1:18" ht="14.25" customHeight="1" x14ac:dyDescent="0.15">
      <c r="A353" s="19" t="s">
        <v>57</v>
      </c>
      <c r="B353" s="19" t="s">
        <v>59</v>
      </c>
      <c r="C353" s="19" t="s">
        <v>62</v>
      </c>
      <c r="D353" s="19" t="s">
        <v>64</v>
      </c>
      <c r="E353" s="19">
        <v>1200</v>
      </c>
      <c r="F353" s="19">
        <v>900</v>
      </c>
      <c r="G353" s="19">
        <v>600</v>
      </c>
      <c r="H353" s="19" t="s">
        <v>67</v>
      </c>
      <c r="I353" s="19" t="s">
        <v>68</v>
      </c>
      <c r="J353" s="19" t="s">
        <v>69</v>
      </c>
      <c r="K353" s="19" t="s">
        <v>71</v>
      </c>
      <c r="L353" s="19" t="s">
        <v>72</v>
      </c>
      <c r="M353" s="19" t="s">
        <v>73</v>
      </c>
      <c r="N353" s="19" t="s">
        <v>75</v>
      </c>
      <c r="O353" s="19" t="s">
        <v>76</v>
      </c>
      <c r="P353" s="24" t="s">
        <v>78</v>
      </c>
      <c r="Q353" s="24" t="s">
        <v>79</v>
      </c>
      <c r="R353" s="19" t="s">
        <v>81</v>
      </c>
    </row>
    <row r="354" spans="1:18" ht="14.25" customHeight="1" x14ac:dyDescent="0.15">
      <c r="A354" s="21">
        <f t="shared" ref="A354:H354" si="246">A347</f>
        <v>0</v>
      </c>
      <c r="B354" s="21">
        <f t="shared" si="246"/>
        <v>0</v>
      </c>
      <c r="C354" s="21">
        <f t="shared" si="246"/>
        <v>0</v>
      </c>
      <c r="D354" s="21">
        <f t="shared" si="246"/>
        <v>0</v>
      </c>
      <c r="E354" s="23" t="str">
        <f t="shared" si="246"/>
        <v>2100</v>
      </c>
      <c r="F354" s="23" t="str">
        <f t="shared" si="246"/>
        <v>1900</v>
      </c>
      <c r="G354" s="23" t="str">
        <f t="shared" si="246"/>
        <v>1800</v>
      </c>
      <c r="H354" s="23">
        <f t="shared" si="246"/>
        <v>380</v>
      </c>
      <c r="I354" s="23" t="str">
        <f>I333</f>
        <v>0</v>
      </c>
      <c r="J354" s="23" t="str">
        <f t="shared" ref="J354:Q354" si="247">J347</f>
        <v>1000</v>
      </c>
      <c r="K354" s="23">
        <f t="shared" si="247"/>
        <v>375</v>
      </c>
      <c r="L354" s="23">
        <f t="shared" si="247"/>
        <v>585</v>
      </c>
      <c r="M354" s="23" t="str">
        <f t="shared" si="247"/>
        <v>1000</v>
      </c>
      <c r="N354" s="23">
        <f t="shared" si="247"/>
        <v>3300</v>
      </c>
      <c r="O354" s="23">
        <f t="shared" si="247"/>
        <v>0</v>
      </c>
      <c r="P354" s="27">
        <f t="shared" si="247"/>
        <v>0</v>
      </c>
      <c r="Q354" s="27">
        <f t="shared" si="247"/>
        <v>2</v>
      </c>
      <c r="R354" s="21"/>
    </row>
    <row r="355" spans="1:18" ht="14.25" customHeight="1" x14ac:dyDescent="0.15">
      <c r="A355" s="19">
        <v>6</v>
      </c>
      <c r="B355" s="19">
        <f>1.5*3</f>
        <v>4.5</v>
      </c>
      <c r="C355" s="19">
        <v>1.2</v>
      </c>
      <c r="D355" s="19">
        <f>B355*C355</f>
        <v>5.3999999999999995</v>
      </c>
      <c r="E355" s="19"/>
      <c r="F355" s="19"/>
      <c r="G355" s="19"/>
      <c r="H355" s="19"/>
      <c r="I355" s="19">
        <f>B355*0.4</f>
        <v>1.8</v>
      </c>
      <c r="J355" s="19">
        <v>2</v>
      </c>
      <c r="K355" s="19">
        <f t="shared" ref="K355:L355" si="248">A355</f>
        <v>6</v>
      </c>
      <c r="L355" s="19">
        <f t="shared" si="248"/>
        <v>4.5</v>
      </c>
      <c r="M355" s="19">
        <f>A355</f>
        <v>6</v>
      </c>
      <c r="N355" s="19">
        <f>(1.2*0.4)*2</f>
        <v>0.96</v>
      </c>
      <c r="O355" s="19"/>
      <c r="P355" s="24"/>
      <c r="Q355" s="24"/>
      <c r="R355" s="19"/>
    </row>
    <row r="356" spans="1:18" ht="14.25" customHeight="1" x14ac:dyDescent="0.15">
      <c r="A356" s="19"/>
      <c r="B356" s="19"/>
      <c r="C356" s="19"/>
      <c r="D356" s="26" t="str">
        <f>D349</f>
        <v>10500</v>
      </c>
      <c r="E356" s="19">
        <v>2</v>
      </c>
      <c r="F356" s="19">
        <v>0</v>
      </c>
      <c r="G356" s="19">
        <v>0</v>
      </c>
      <c r="H356" s="19">
        <f>B355*2</f>
        <v>9</v>
      </c>
      <c r="I356" s="19"/>
      <c r="J356" s="19"/>
      <c r="K356" s="19"/>
      <c r="L356" s="19"/>
      <c r="M356" s="19"/>
      <c r="N356" s="28"/>
      <c r="O356" s="19"/>
      <c r="P356" s="24"/>
      <c r="Q356" s="24"/>
      <c r="R356" s="19"/>
    </row>
    <row r="357" spans="1:18" ht="14.25" customHeight="1" x14ac:dyDescent="0.15">
      <c r="A357" s="19"/>
      <c r="B357" s="19"/>
      <c r="C357" s="19"/>
      <c r="D357" s="19">
        <f>D355*D356</f>
        <v>56699.999999999993</v>
      </c>
      <c r="E357" s="19">
        <f>E356*E354</f>
        <v>4200</v>
      </c>
      <c r="F357" s="19">
        <f t="shared" ref="F357:H357" si="249">F354*F356</f>
        <v>0</v>
      </c>
      <c r="G357" s="19">
        <f t="shared" si="249"/>
        <v>0</v>
      </c>
      <c r="H357" s="19">
        <f t="shared" si="249"/>
        <v>3420</v>
      </c>
      <c r="I357" s="19">
        <f t="shared" ref="I357:N357" si="250">I354*I355</f>
        <v>0</v>
      </c>
      <c r="J357" s="19">
        <f t="shared" si="250"/>
        <v>2000</v>
      </c>
      <c r="K357" s="19">
        <f t="shared" si="250"/>
        <v>2250</v>
      </c>
      <c r="L357" s="19">
        <f t="shared" si="250"/>
        <v>2632.5</v>
      </c>
      <c r="M357" s="19">
        <f t="shared" si="250"/>
        <v>6000</v>
      </c>
      <c r="N357" s="19">
        <f t="shared" si="250"/>
        <v>3168</v>
      </c>
      <c r="O357" s="19">
        <f>SUM(D357:N357)</f>
        <v>80370.5</v>
      </c>
      <c r="P357" s="24">
        <f>O357/A355</f>
        <v>13395.083333333334</v>
      </c>
      <c r="Q357" s="24">
        <f>P357*Q354</f>
        <v>26790.166666666668</v>
      </c>
      <c r="R357" s="19">
        <f>MROUND(Q357,100)</f>
        <v>26800</v>
      </c>
    </row>
    <row r="358" spans="1:18" ht="14.25" customHeight="1" x14ac:dyDescent="0.1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9"/>
      <c r="Q358" s="39"/>
    </row>
    <row r="359" spans="1:18" ht="14.25" customHeight="1" x14ac:dyDescent="0.3">
      <c r="A359" s="109" t="str">
        <f>PRICELIST!I55</f>
        <v>WFLX-LNR-SH-MB-1500-F</v>
      </c>
      <c r="B359" s="87"/>
      <c r="C359" s="8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22"/>
      <c r="Q359" s="22"/>
      <c r="R359" s="17"/>
    </row>
    <row r="360" spans="1:18" ht="14.25" customHeight="1" x14ac:dyDescent="0.15">
      <c r="A360" s="19" t="s">
        <v>57</v>
      </c>
      <c r="B360" s="19" t="s">
        <v>59</v>
      </c>
      <c r="C360" s="19" t="s">
        <v>62</v>
      </c>
      <c r="D360" s="19" t="s">
        <v>64</v>
      </c>
      <c r="E360" s="19">
        <v>1200</v>
      </c>
      <c r="F360" s="19">
        <v>900</v>
      </c>
      <c r="G360" s="19">
        <v>600</v>
      </c>
      <c r="H360" s="19" t="s">
        <v>67</v>
      </c>
      <c r="I360" s="19" t="s">
        <v>68</v>
      </c>
      <c r="J360" s="19" t="s">
        <v>69</v>
      </c>
      <c r="K360" s="19" t="s">
        <v>71</v>
      </c>
      <c r="L360" s="19" t="s">
        <v>72</v>
      </c>
      <c r="M360" s="19" t="s">
        <v>73</v>
      </c>
      <c r="N360" s="19" t="s">
        <v>75</v>
      </c>
      <c r="O360" s="19" t="s">
        <v>76</v>
      </c>
      <c r="P360" s="24" t="s">
        <v>78</v>
      </c>
      <c r="Q360" s="24" t="s">
        <v>79</v>
      </c>
      <c r="R360" s="19" t="s">
        <v>81</v>
      </c>
    </row>
    <row r="361" spans="1:18" ht="14.25" customHeight="1" x14ac:dyDescent="0.15">
      <c r="A361" s="21">
        <f t="shared" ref="A361:H361" si="251">A354</f>
        <v>0</v>
      </c>
      <c r="B361" s="21">
        <f t="shared" si="251"/>
        <v>0</v>
      </c>
      <c r="C361" s="21">
        <f t="shared" si="251"/>
        <v>0</v>
      </c>
      <c r="D361" s="21">
        <f t="shared" si="251"/>
        <v>0</v>
      </c>
      <c r="E361" s="23" t="str">
        <f t="shared" si="251"/>
        <v>2100</v>
      </c>
      <c r="F361" s="23" t="str">
        <f t="shared" si="251"/>
        <v>1900</v>
      </c>
      <c r="G361" s="23" t="str">
        <f t="shared" si="251"/>
        <v>1800</v>
      </c>
      <c r="H361" s="23">
        <f t="shared" si="251"/>
        <v>380</v>
      </c>
      <c r="I361" s="23" t="str">
        <f>I340</f>
        <v>4800</v>
      </c>
      <c r="J361" s="23" t="str">
        <f t="shared" ref="J361:Q361" si="252">J354</f>
        <v>1000</v>
      </c>
      <c r="K361" s="23">
        <f t="shared" si="252"/>
        <v>375</v>
      </c>
      <c r="L361" s="23">
        <f t="shared" si="252"/>
        <v>585</v>
      </c>
      <c r="M361" s="23" t="str">
        <f t="shared" si="252"/>
        <v>1000</v>
      </c>
      <c r="N361" s="23">
        <f t="shared" si="252"/>
        <v>3300</v>
      </c>
      <c r="O361" s="23">
        <f t="shared" si="252"/>
        <v>0</v>
      </c>
      <c r="P361" s="27">
        <f t="shared" si="252"/>
        <v>0</v>
      </c>
      <c r="Q361" s="27">
        <f t="shared" si="252"/>
        <v>2</v>
      </c>
      <c r="R361" s="21"/>
    </row>
    <row r="362" spans="1:18" ht="14.25" customHeight="1" x14ac:dyDescent="0.15">
      <c r="A362" s="19">
        <v>6</v>
      </c>
      <c r="B362" s="19">
        <f>1.5*3</f>
        <v>4.5</v>
      </c>
      <c r="C362" s="19">
        <v>1.2</v>
      </c>
      <c r="D362" s="19">
        <f>B362*C362</f>
        <v>5.3999999999999995</v>
      </c>
      <c r="E362" s="19"/>
      <c r="F362" s="19"/>
      <c r="G362" s="19"/>
      <c r="H362" s="19"/>
      <c r="I362" s="19">
        <f>B362*0.4</f>
        <v>1.8</v>
      </c>
      <c r="J362" s="19">
        <v>2</v>
      </c>
      <c r="K362" s="19">
        <f t="shared" ref="K362:L362" si="253">A362</f>
        <v>6</v>
      </c>
      <c r="L362" s="19">
        <f t="shared" si="253"/>
        <v>4.5</v>
      </c>
      <c r="M362" s="19">
        <f>A362</f>
        <v>6</v>
      </c>
      <c r="N362" s="19">
        <f>(1.2*0.4)*2</f>
        <v>0.96</v>
      </c>
      <c r="O362" s="19"/>
      <c r="P362" s="24"/>
      <c r="Q362" s="24"/>
      <c r="R362" s="19"/>
    </row>
    <row r="363" spans="1:18" ht="14.25" customHeight="1" x14ac:dyDescent="0.15">
      <c r="A363" s="19"/>
      <c r="B363" s="19"/>
      <c r="C363" s="19"/>
      <c r="D363" s="26" t="str">
        <f>D237</f>
        <v>16250</v>
      </c>
      <c r="E363" s="19">
        <v>2</v>
      </c>
      <c r="F363" s="19">
        <v>0</v>
      </c>
      <c r="G363" s="19">
        <v>0</v>
      </c>
      <c r="H363" s="19">
        <f>B362*2</f>
        <v>9</v>
      </c>
      <c r="I363" s="19"/>
      <c r="J363" s="19"/>
      <c r="K363" s="19"/>
      <c r="L363" s="19"/>
      <c r="M363" s="19"/>
      <c r="N363" s="28"/>
      <c r="O363" s="19"/>
      <c r="P363" s="24"/>
      <c r="Q363" s="24"/>
      <c r="R363" s="19"/>
    </row>
    <row r="364" spans="1:18" ht="14.25" customHeight="1" x14ac:dyDescent="0.15">
      <c r="A364" s="19"/>
      <c r="B364" s="19"/>
      <c r="C364" s="19"/>
      <c r="D364" s="19">
        <f>D362*D363</f>
        <v>87749.999999999985</v>
      </c>
      <c r="E364" s="19">
        <f>E363*E361</f>
        <v>4200</v>
      </c>
      <c r="F364" s="19">
        <f t="shared" ref="F364:H364" si="254">F361*F363</f>
        <v>0</v>
      </c>
      <c r="G364" s="19">
        <f t="shared" si="254"/>
        <v>0</v>
      </c>
      <c r="H364" s="19">
        <f t="shared" si="254"/>
        <v>3420</v>
      </c>
      <c r="I364" s="19">
        <f t="shared" ref="I364:N364" si="255">I361*I362</f>
        <v>8640</v>
      </c>
      <c r="J364" s="19">
        <f t="shared" si="255"/>
        <v>2000</v>
      </c>
      <c r="K364" s="19">
        <f t="shared" si="255"/>
        <v>2250</v>
      </c>
      <c r="L364" s="19">
        <f t="shared" si="255"/>
        <v>2632.5</v>
      </c>
      <c r="M364" s="19">
        <f t="shared" si="255"/>
        <v>6000</v>
      </c>
      <c r="N364" s="19">
        <f t="shared" si="255"/>
        <v>3168</v>
      </c>
      <c r="O364" s="19">
        <f>SUM(D364:N364)</f>
        <v>120060.49999999999</v>
      </c>
      <c r="P364" s="24">
        <f>O364/A362</f>
        <v>20010.083333333332</v>
      </c>
      <c r="Q364" s="24">
        <f>P364*Q361</f>
        <v>40020.166666666664</v>
      </c>
      <c r="R364" s="19">
        <f>MROUND(Q364,100)</f>
        <v>40000</v>
      </c>
    </row>
    <row r="365" spans="1:18" ht="14.25" customHeight="1" x14ac:dyDescent="0.1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9"/>
      <c r="Q365" s="39"/>
    </row>
    <row r="366" spans="1:18" ht="14.25" customHeight="1" x14ac:dyDescent="0.3">
      <c r="A366" s="109" t="str">
        <f>PRICELIST!I56</f>
        <v>WFLX-LNR-SH-MB-1500-G</v>
      </c>
      <c r="B366" s="87"/>
      <c r="C366" s="8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22"/>
      <c r="Q366" s="22"/>
      <c r="R366" s="17"/>
    </row>
    <row r="367" spans="1:18" ht="14.25" customHeight="1" x14ac:dyDescent="0.15">
      <c r="A367" s="19" t="s">
        <v>57</v>
      </c>
      <c r="B367" s="19" t="s">
        <v>59</v>
      </c>
      <c r="C367" s="19" t="s">
        <v>62</v>
      </c>
      <c r="D367" s="19" t="s">
        <v>64</v>
      </c>
      <c r="E367" s="19">
        <v>1200</v>
      </c>
      <c r="F367" s="19">
        <v>900</v>
      </c>
      <c r="G367" s="19">
        <v>600</v>
      </c>
      <c r="H367" s="19" t="s">
        <v>67</v>
      </c>
      <c r="I367" s="19" t="s">
        <v>68</v>
      </c>
      <c r="J367" s="19" t="s">
        <v>69</v>
      </c>
      <c r="K367" s="19" t="s">
        <v>71</v>
      </c>
      <c r="L367" s="19" t="s">
        <v>72</v>
      </c>
      <c r="M367" s="19" t="s">
        <v>73</v>
      </c>
      <c r="N367" s="19" t="s">
        <v>75</v>
      </c>
      <c r="O367" s="19" t="s">
        <v>76</v>
      </c>
      <c r="P367" s="24" t="s">
        <v>78</v>
      </c>
      <c r="Q367" s="24" t="s">
        <v>79</v>
      </c>
      <c r="R367" s="19" t="s">
        <v>81</v>
      </c>
    </row>
    <row r="368" spans="1:18" ht="14.25" customHeight="1" x14ac:dyDescent="0.15">
      <c r="A368" s="21">
        <f t="shared" ref="A368:H368" si="256">A361</f>
        <v>0</v>
      </c>
      <c r="B368" s="21">
        <f t="shared" si="256"/>
        <v>0</v>
      </c>
      <c r="C368" s="21">
        <f t="shared" si="256"/>
        <v>0</v>
      </c>
      <c r="D368" s="21">
        <f t="shared" si="256"/>
        <v>0</v>
      </c>
      <c r="E368" s="23" t="str">
        <f t="shared" si="256"/>
        <v>2100</v>
      </c>
      <c r="F368" s="23" t="str">
        <f t="shared" si="256"/>
        <v>1900</v>
      </c>
      <c r="G368" s="23" t="str">
        <f t="shared" si="256"/>
        <v>1800</v>
      </c>
      <c r="H368" s="23">
        <f t="shared" si="256"/>
        <v>380</v>
      </c>
      <c r="I368" s="23" t="str">
        <f>I347</f>
        <v>5500</v>
      </c>
      <c r="J368" s="23" t="str">
        <f t="shared" ref="J368:Q368" si="257">J361</f>
        <v>1000</v>
      </c>
      <c r="K368" s="23">
        <f t="shared" si="257"/>
        <v>375</v>
      </c>
      <c r="L368" s="23">
        <f t="shared" si="257"/>
        <v>585</v>
      </c>
      <c r="M368" s="23" t="str">
        <f t="shared" si="257"/>
        <v>1000</v>
      </c>
      <c r="N368" s="23">
        <f t="shared" si="257"/>
        <v>3300</v>
      </c>
      <c r="O368" s="23">
        <f t="shared" si="257"/>
        <v>0</v>
      </c>
      <c r="P368" s="27">
        <f t="shared" si="257"/>
        <v>0</v>
      </c>
      <c r="Q368" s="27">
        <f t="shared" si="257"/>
        <v>2</v>
      </c>
      <c r="R368" s="21"/>
    </row>
    <row r="369" spans="1:18" ht="14.25" customHeight="1" x14ac:dyDescent="0.15">
      <c r="A369" s="19">
        <v>6</v>
      </c>
      <c r="B369" s="19">
        <f>1.5*3</f>
        <v>4.5</v>
      </c>
      <c r="C369" s="19">
        <v>1.2</v>
      </c>
      <c r="D369" s="19">
        <f>B369*C369</f>
        <v>5.3999999999999995</v>
      </c>
      <c r="E369" s="19"/>
      <c r="F369" s="19"/>
      <c r="G369" s="19"/>
      <c r="H369" s="19"/>
      <c r="I369" s="19">
        <f>B369*0.4</f>
        <v>1.8</v>
      </c>
      <c r="J369" s="19">
        <v>2</v>
      </c>
      <c r="K369" s="19">
        <f t="shared" ref="K369:L369" si="258">A369</f>
        <v>6</v>
      </c>
      <c r="L369" s="19">
        <f t="shared" si="258"/>
        <v>4.5</v>
      </c>
      <c r="M369" s="19">
        <f>A369</f>
        <v>6</v>
      </c>
      <c r="N369" s="19">
        <f>(1.2*0.4)*2</f>
        <v>0.96</v>
      </c>
      <c r="O369" s="19"/>
      <c r="P369" s="24"/>
      <c r="Q369" s="24"/>
      <c r="R369" s="19"/>
    </row>
    <row r="370" spans="1:18" ht="14.25" customHeight="1" x14ac:dyDescent="0.15">
      <c r="A370" s="19"/>
      <c r="B370" s="19"/>
      <c r="C370" s="19"/>
      <c r="D370" s="26" t="str">
        <f>D363</f>
        <v>16250</v>
      </c>
      <c r="E370" s="19">
        <v>2</v>
      </c>
      <c r="F370" s="19">
        <v>0</v>
      </c>
      <c r="G370" s="19">
        <v>0</v>
      </c>
      <c r="H370" s="19">
        <f>B369*2</f>
        <v>9</v>
      </c>
      <c r="I370" s="19"/>
      <c r="J370" s="19"/>
      <c r="K370" s="19"/>
      <c r="L370" s="19"/>
      <c r="M370" s="19"/>
      <c r="N370" s="28"/>
      <c r="O370" s="19"/>
      <c r="P370" s="24"/>
      <c r="Q370" s="24"/>
      <c r="R370" s="19"/>
    </row>
    <row r="371" spans="1:18" ht="14.25" customHeight="1" x14ac:dyDescent="0.15">
      <c r="A371" s="19"/>
      <c r="B371" s="19"/>
      <c r="C371" s="19"/>
      <c r="D371" s="19">
        <f>D369*D370</f>
        <v>87749.999999999985</v>
      </c>
      <c r="E371" s="19">
        <f>E370*E368</f>
        <v>4200</v>
      </c>
      <c r="F371" s="19">
        <f t="shared" ref="F371:H371" si="259">F368*F370</f>
        <v>0</v>
      </c>
      <c r="G371" s="19">
        <f t="shared" si="259"/>
        <v>0</v>
      </c>
      <c r="H371" s="19">
        <f t="shared" si="259"/>
        <v>3420</v>
      </c>
      <c r="I371" s="19">
        <f t="shared" ref="I371:N371" si="260">I368*I369</f>
        <v>9900</v>
      </c>
      <c r="J371" s="19">
        <f t="shared" si="260"/>
        <v>2000</v>
      </c>
      <c r="K371" s="19">
        <f t="shared" si="260"/>
        <v>2250</v>
      </c>
      <c r="L371" s="19">
        <f t="shared" si="260"/>
        <v>2632.5</v>
      </c>
      <c r="M371" s="19">
        <f t="shared" si="260"/>
        <v>6000</v>
      </c>
      <c r="N371" s="19">
        <f t="shared" si="260"/>
        <v>3168</v>
      </c>
      <c r="O371" s="19">
        <f>SUM(D371:N371)</f>
        <v>121320.49999999999</v>
      </c>
      <c r="P371" s="24">
        <f>O371/A369</f>
        <v>20220.083333333332</v>
      </c>
      <c r="Q371" s="24">
        <f>P371*Q368</f>
        <v>40440.166666666664</v>
      </c>
      <c r="R371" s="19">
        <f>MROUND(Q371,100)</f>
        <v>40400</v>
      </c>
    </row>
    <row r="372" spans="1:18" ht="14.25" customHeight="1" x14ac:dyDescent="0.1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9"/>
      <c r="Q372" s="39"/>
    </row>
    <row r="373" spans="1:18" ht="14.25" customHeight="1" x14ac:dyDescent="0.3">
      <c r="A373" s="109" t="str">
        <f>PRICELIST!I57</f>
        <v>WFLX-LNR-SH-MB-1500-X</v>
      </c>
      <c r="B373" s="87"/>
      <c r="C373" s="8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22"/>
      <c r="Q373" s="22"/>
      <c r="R373" s="17"/>
    </row>
    <row r="374" spans="1:18" ht="14.25" customHeight="1" x14ac:dyDescent="0.15">
      <c r="A374" s="19" t="s">
        <v>57</v>
      </c>
      <c r="B374" s="19" t="s">
        <v>59</v>
      </c>
      <c r="C374" s="19" t="s">
        <v>62</v>
      </c>
      <c r="D374" s="19" t="s">
        <v>64</v>
      </c>
      <c r="E374" s="19">
        <v>1200</v>
      </c>
      <c r="F374" s="19">
        <v>900</v>
      </c>
      <c r="G374" s="19">
        <v>600</v>
      </c>
      <c r="H374" s="19" t="s">
        <v>67</v>
      </c>
      <c r="I374" s="19" t="s">
        <v>68</v>
      </c>
      <c r="J374" s="19" t="s">
        <v>69</v>
      </c>
      <c r="K374" s="19" t="s">
        <v>71</v>
      </c>
      <c r="L374" s="19" t="s">
        <v>72</v>
      </c>
      <c r="M374" s="19" t="s">
        <v>73</v>
      </c>
      <c r="N374" s="19" t="s">
        <v>75</v>
      </c>
      <c r="O374" s="19" t="s">
        <v>76</v>
      </c>
      <c r="P374" s="24" t="s">
        <v>78</v>
      </c>
      <c r="Q374" s="24" t="s">
        <v>79</v>
      </c>
      <c r="R374" s="19" t="s">
        <v>81</v>
      </c>
    </row>
    <row r="375" spans="1:18" ht="14.25" customHeight="1" x14ac:dyDescent="0.15">
      <c r="A375" s="21">
        <f t="shared" ref="A375:H375" si="261">A368</f>
        <v>0</v>
      </c>
      <c r="B375" s="21">
        <f t="shared" si="261"/>
        <v>0</v>
      </c>
      <c r="C375" s="21">
        <f t="shared" si="261"/>
        <v>0</v>
      </c>
      <c r="D375" s="21">
        <f t="shared" si="261"/>
        <v>0</v>
      </c>
      <c r="E375" s="23" t="str">
        <f t="shared" si="261"/>
        <v>2100</v>
      </c>
      <c r="F375" s="23" t="str">
        <f t="shared" si="261"/>
        <v>1900</v>
      </c>
      <c r="G375" s="23" t="str">
        <f t="shared" si="261"/>
        <v>1800</v>
      </c>
      <c r="H375" s="23">
        <f t="shared" si="261"/>
        <v>380</v>
      </c>
      <c r="I375" s="23" t="str">
        <f>I354</f>
        <v>0</v>
      </c>
      <c r="J375" s="23" t="str">
        <f t="shared" ref="J375:Q375" si="262">J368</f>
        <v>1000</v>
      </c>
      <c r="K375" s="23">
        <f t="shared" si="262"/>
        <v>375</v>
      </c>
      <c r="L375" s="23">
        <f t="shared" si="262"/>
        <v>585</v>
      </c>
      <c r="M375" s="23" t="str">
        <f t="shared" si="262"/>
        <v>1000</v>
      </c>
      <c r="N375" s="23">
        <f t="shared" si="262"/>
        <v>3300</v>
      </c>
      <c r="O375" s="23">
        <f t="shared" si="262"/>
        <v>0</v>
      </c>
      <c r="P375" s="27">
        <f t="shared" si="262"/>
        <v>0</v>
      </c>
      <c r="Q375" s="27">
        <f t="shared" si="262"/>
        <v>2</v>
      </c>
      <c r="R375" s="21"/>
    </row>
    <row r="376" spans="1:18" ht="14.25" customHeight="1" x14ac:dyDescent="0.15">
      <c r="A376" s="19">
        <v>6</v>
      </c>
      <c r="B376" s="19">
        <f>1.5*3</f>
        <v>4.5</v>
      </c>
      <c r="C376" s="19">
        <v>1.2</v>
      </c>
      <c r="D376" s="19">
        <f>B376*C376</f>
        <v>5.3999999999999995</v>
      </c>
      <c r="E376" s="19"/>
      <c r="F376" s="19"/>
      <c r="G376" s="19"/>
      <c r="H376" s="19"/>
      <c r="I376" s="19">
        <f>B376*0.4</f>
        <v>1.8</v>
      </c>
      <c r="J376" s="19">
        <v>2</v>
      </c>
      <c r="K376" s="19">
        <f t="shared" ref="K376:L376" si="263">A376</f>
        <v>6</v>
      </c>
      <c r="L376" s="19">
        <f t="shared" si="263"/>
        <v>4.5</v>
      </c>
      <c r="M376" s="19">
        <f>A376</f>
        <v>6</v>
      </c>
      <c r="N376" s="19">
        <f>(1.2*0.4)*2</f>
        <v>0.96</v>
      </c>
      <c r="O376" s="19"/>
      <c r="P376" s="24"/>
      <c r="Q376" s="24"/>
      <c r="R376" s="19"/>
    </row>
    <row r="377" spans="1:18" ht="14.25" customHeight="1" x14ac:dyDescent="0.15">
      <c r="A377" s="19"/>
      <c r="B377" s="19"/>
      <c r="C377" s="19"/>
      <c r="D377" s="26" t="str">
        <f>D370</f>
        <v>16250</v>
      </c>
      <c r="E377" s="19">
        <v>2</v>
      </c>
      <c r="F377" s="19">
        <v>0</v>
      </c>
      <c r="G377" s="19">
        <v>0</v>
      </c>
      <c r="H377" s="19">
        <f>B376*2</f>
        <v>9</v>
      </c>
      <c r="I377" s="19"/>
      <c r="J377" s="19"/>
      <c r="K377" s="19"/>
      <c r="L377" s="19"/>
      <c r="M377" s="19"/>
      <c r="N377" s="28"/>
      <c r="O377" s="19"/>
      <c r="P377" s="24"/>
      <c r="Q377" s="24"/>
      <c r="R377" s="19"/>
    </row>
    <row r="378" spans="1:18" ht="14.25" customHeight="1" x14ac:dyDescent="0.15">
      <c r="A378" s="19"/>
      <c r="B378" s="19"/>
      <c r="C378" s="19"/>
      <c r="D378" s="19">
        <f>D376*D377</f>
        <v>87749.999999999985</v>
      </c>
      <c r="E378" s="19">
        <f>E377*E375</f>
        <v>4200</v>
      </c>
      <c r="F378" s="19">
        <f t="shared" ref="F378:H378" si="264">F375*F377</f>
        <v>0</v>
      </c>
      <c r="G378" s="19">
        <f t="shared" si="264"/>
        <v>0</v>
      </c>
      <c r="H378" s="19">
        <f t="shared" si="264"/>
        <v>3420</v>
      </c>
      <c r="I378" s="19">
        <f t="shared" ref="I378:N378" si="265">I375*I376</f>
        <v>0</v>
      </c>
      <c r="J378" s="19">
        <f t="shared" si="265"/>
        <v>2000</v>
      </c>
      <c r="K378" s="19">
        <f t="shared" si="265"/>
        <v>2250</v>
      </c>
      <c r="L378" s="19">
        <f t="shared" si="265"/>
        <v>2632.5</v>
      </c>
      <c r="M378" s="19">
        <f t="shared" si="265"/>
        <v>6000</v>
      </c>
      <c r="N378" s="19">
        <f t="shared" si="265"/>
        <v>3168</v>
      </c>
      <c r="O378" s="19">
        <f>SUM(D378:N378)</f>
        <v>111420.49999999999</v>
      </c>
      <c r="P378" s="24">
        <f>O378/A376</f>
        <v>18570.083333333332</v>
      </c>
      <c r="Q378" s="24">
        <f>P378*Q375</f>
        <v>37140.166666666664</v>
      </c>
      <c r="R378" s="19">
        <f>MROUND(Q378,100)</f>
        <v>37100</v>
      </c>
    </row>
    <row r="379" spans="1:18" ht="14.25" customHeight="1" x14ac:dyDescent="0.1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9"/>
      <c r="Q379" s="39"/>
    </row>
    <row r="380" spans="1:18" ht="14.25" customHeight="1" x14ac:dyDescent="0.3">
      <c r="A380" s="109" t="str">
        <f>PRICELIST!I58</f>
        <v>WFLX-LNR-NSH-PB-900-F</v>
      </c>
      <c r="B380" s="87"/>
      <c r="C380" s="8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22"/>
      <c r="Q380" s="22"/>
      <c r="R380" s="17"/>
    </row>
    <row r="381" spans="1:18" ht="14.25" customHeight="1" x14ac:dyDescent="0.15">
      <c r="A381" s="19" t="s">
        <v>57</v>
      </c>
      <c r="B381" s="19" t="s">
        <v>59</v>
      </c>
      <c r="C381" s="19" t="s">
        <v>62</v>
      </c>
      <c r="D381" s="19" t="s">
        <v>64</v>
      </c>
      <c r="E381" s="19">
        <v>1200</v>
      </c>
      <c r="F381" s="19">
        <v>900</v>
      </c>
      <c r="G381" s="19">
        <v>600</v>
      </c>
      <c r="H381" s="19" t="s">
        <v>67</v>
      </c>
      <c r="I381" s="19" t="s">
        <v>68</v>
      </c>
      <c r="J381" s="19" t="s">
        <v>69</v>
      </c>
      <c r="K381" s="19" t="s">
        <v>71</v>
      </c>
      <c r="L381" s="19" t="s">
        <v>72</v>
      </c>
      <c r="M381" s="19" t="s">
        <v>73</v>
      </c>
      <c r="N381" s="19" t="s">
        <v>75</v>
      </c>
      <c r="O381" s="19" t="s">
        <v>76</v>
      </c>
      <c r="P381" s="24" t="s">
        <v>78</v>
      </c>
      <c r="Q381" s="24" t="s">
        <v>79</v>
      </c>
      <c r="R381" s="19" t="s">
        <v>81</v>
      </c>
    </row>
    <row r="382" spans="1:18" ht="14.25" customHeight="1" x14ac:dyDescent="0.15">
      <c r="A382" s="21"/>
      <c r="B382" s="21"/>
      <c r="C382" s="44" t="s">
        <v>188</v>
      </c>
      <c r="D382" s="21">
        <f t="shared" ref="D382:G382" si="266">D375</f>
        <v>0</v>
      </c>
      <c r="E382" s="23" t="str">
        <f t="shared" si="266"/>
        <v>2100</v>
      </c>
      <c r="F382" s="23" t="str">
        <f t="shared" si="266"/>
        <v>1900</v>
      </c>
      <c r="G382" s="23" t="str">
        <f t="shared" si="266"/>
        <v>1800</v>
      </c>
      <c r="H382" s="21">
        <v>380</v>
      </c>
      <c r="I382" s="23" t="str">
        <f>I361</f>
        <v>4800</v>
      </c>
      <c r="J382" s="23" t="str">
        <f>J375</f>
        <v>1000</v>
      </c>
      <c r="K382" s="21">
        <v>375</v>
      </c>
      <c r="L382" s="21">
        <v>585</v>
      </c>
      <c r="M382" s="23" t="str">
        <f>M375</f>
        <v>1000</v>
      </c>
      <c r="N382" s="21">
        <v>3300</v>
      </c>
      <c r="O382" s="21"/>
      <c r="P382" s="27"/>
      <c r="Q382" s="27">
        <f>Q375</f>
        <v>2</v>
      </c>
      <c r="R382" s="21"/>
    </row>
    <row r="383" spans="1:18" ht="14.25" customHeight="1" x14ac:dyDescent="0.15">
      <c r="A383" s="19">
        <v>3</v>
      </c>
      <c r="B383" s="19">
        <f>0.9*3</f>
        <v>2.7</v>
      </c>
      <c r="C383" s="19">
        <f>0.6+0.3</f>
        <v>0.89999999999999991</v>
      </c>
      <c r="D383" s="19">
        <f>B383*C383</f>
        <v>2.4299999999999997</v>
      </c>
      <c r="E383" s="19"/>
      <c r="F383" s="19"/>
      <c r="G383" s="19"/>
      <c r="H383" s="19"/>
      <c r="I383" s="19">
        <f>B383*0.4</f>
        <v>1.08</v>
      </c>
      <c r="J383" s="19">
        <v>2</v>
      </c>
      <c r="K383" s="19">
        <f t="shared" ref="K383:L383" si="267">A383</f>
        <v>3</v>
      </c>
      <c r="L383" s="19">
        <f t="shared" si="267"/>
        <v>2.7</v>
      </c>
      <c r="M383" s="19">
        <f>A383</f>
        <v>3</v>
      </c>
      <c r="N383" s="19">
        <f>(1.2*0.4)*2</f>
        <v>0.96</v>
      </c>
      <c r="O383" s="19"/>
      <c r="P383" s="24"/>
      <c r="Q383" s="24"/>
      <c r="R383" s="19"/>
    </row>
    <row r="384" spans="1:18" ht="14.25" customHeight="1" x14ac:dyDescent="0.15">
      <c r="A384" s="19"/>
      <c r="B384" s="19"/>
      <c r="C384" s="19"/>
      <c r="D384" s="26" t="str">
        <f>D258</f>
        <v>2200</v>
      </c>
      <c r="E384" s="19">
        <v>0</v>
      </c>
      <c r="F384" s="19">
        <v>0</v>
      </c>
      <c r="G384" s="19">
        <v>2</v>
      </c>
      <c r="H384" s="19">
        <f>B383*2</f>
        <v>5.4</v>
      </c>
      <c r="I384" s="19"/>
      <c r="J384" s="19"/>
      <c r="K384" s="19"/>
      <c r="L384" s="19"/>
      <c r="M384" s="19"/>
      <c r="N384" s="28"/>
      <c r="O384" s="19"/>
      <c r="P384" s="24"/>
      <c r="Q384" s="24"/>
      <c r="R384" s="19"/>
    </row>
    <row r="385" spans="1:18" ht="14.25" customHeight="1" x14ac:dyDescent="0.15">
      <c r="A385" s="19"/>
      <c r="B385" s="19"/>
      <c r="C385" s="19"/>
      <c r="D385" s="19">
        <f>D383*D384</f>
        <v>5345.9999999999991</v>
      </c>
      <c r="E385" s="19">
        <f>E384*E382</f>
        <v>0</v>
      </c>
      <c r="F385" s="19">
        <f t="shared" ref="F385:H385" si="268">F382*F384</f>
        <v>0</v>
      </c>
      <c r="G385" s="19">
        <f t="shared" si="268"/>
        <v>3600</v>
      </c>
      <c r="H385" s="19">
        <f t="shared" si="268"/>
        <v>2052</v>
      </c>
      <c r="I385" s="19">
        <f t="shared" ref="I385:N385" si="269">I382*I383</f>
        <v>5184</v>
      </c>
      <c r="J385" s="19">
        <f t="shared" si="269"/>
        <v>2000</v>
      </c>
      <c r="K385" s="19">
        <f t="shared" si="269"/>
        <v>1125</v>
      </c>
      <c r="L385" s="19">
        <f t="shared" si="269"/>
        <v>1579.5</v>
      </c>
      <c r="M385" s="19">
        <f t="shared" si="269"/>
        <v>3000</v>
      </c>
      <c r="N385" s="19">
        <f t="shared" si="269"/>
        <v>3168</v>
      </c>
      <c r="O385" s="19">
        <f>SUM(D385:N385)</f>
        <v>27054.5</v>
      </c>
      <c r="P385" s="24">
        <f>O385/A383</f>
        <v>9018.1666666666661</v>
      </c>
      <c r="Q385" s="24">
        <f>P385*Q382</f>
        <v>18036.333333333332</v>
      </c>
      <c r="R385" s="19">
        <f>MROUND(Q385,100)</f>
        <v>18000</v>
      </c>
    </row>
    <row r="386" spans="1:18" ht="14.25" customHeight="1" x14ac:dyDescent="0.1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9"/>
      <c r="Q386" s="39"/>
    </row>
    <row r="387" spans="1:18" ht="14.25" customHeight="1" x14ac:dyDescent="0.3">
      <c r="A387" s="109" t="str">
        <f>PRICELIST!I59</f>
        <v>WFLX-LNR-NSH-PB-900-G</v>
      </c>
      <c r="B387" s="87"/>
      <c r="C387" s="8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22"/>
      <c r="Q387" s="22"/>
      <c r="R387" s="17"/>
    </row>
    <row r="388" spans="1:18" ht="14.25" customHeight="1" x14ac:dyDescent="0.15">
      <c r="A388" s="19" t="s">
        <v>57</v>
      </c>
      <c r="B388" s="19" t="s">
        <v>59</v>
      </c>
      <c r="C388" s="19" t="s">
        <v>62</v>
      </c>
      <c r="D388" s="19" t="s">
        <v>64</v>
      </c>
      <c r="E388" s="19">
        <v>1200</v>
      </c>
      <c r="F388" s="19">
        <v>900</v>
      </c>
      <c r="G388" s="19">
        <v>600</v>
      </c>
      <c r="H388" s="19" t="s">
        <v>67</v>
      </c>
      <c r="I388" s="19" t="s">
        <v>68</v>
      </c>
      <c r="J388" s="19" t="s">
        <v>69</v>
      </c>
      <c r="K388" s="19" t="s">
        <v>71</v>
      </c>
      <c r="L388" s="19" t="s">
        <v>72</v>
      </c>
      <c r="M388" s="19" t="s">
        <v>73</v>
      </c>
      <c r="N388" s="19" t="s">
        <v>75</v>
      </c>
      <c r="O388" s="19" t="s">
        <v>76</v>
      </c>
      <c r="P388" s="24" t="s">
        <v>78</v>
      </c>
      <c r="Q388" s="24" t="s">
        <v>79</v>
      </c>
      <c r="R388" s="19" t="s">
        <v>81</v>
      </c>
    </row>
    <row r="389" spans="1:18" ht="14.25" customHeight="1" x14ac:dyDescent="0.15">
      <c r="A389" s="21"/>
      <c r="B389" s="21"/>
      <c r="C389" s="44" t="s">
        <v>188</v>
      </c>
      <c r="D389" s="21"/>
      <c r="E389" s="23" t="str">
        <f t="shared" ref="E389:H389" si="270">E382</f>
        <v>2100</v>
      </c>
      <c r="F389" s="23" t="str">
        <f t="shared" si="270"/>
        <v>1900</v>
      </c>
      <c r="G389" s="23" t="str">
        <f t="shared" si="270"/>
        <v>1800</v>
      </c>
      <c r="H389" s="23">
        <f t="shared" si="270"/>
        <v>380</v>
      </c>
      <c r="I389" s="23" t="str">
        <f>I368</f>
        <v>5500</v>
      </c>
      <c r="J389" s="23" t="str">
        <f t="shared" ref="J389:R389" si="271">J382</f>
        <v>1000</v>
      </c>
      <c r="K389" s="23">
        <f t="shared" si="271"/>
        <v>375</v>
      </c>
      <c r="L389" s="23">
        <f t="shared" si="271"/>
        <v>585</v>
      </c>
      <c r="M389" s="23" t="str">
        <f t="shared" si="271"/>
        <v>1000</v>
      </c>
      <c r="N389" s="23">
        <f t="shared" si="271"/>
        <v>3300</v>
      </c>
      <c r="O389" s="23">
        <f t="shared" si="271"/>
        <v>0</v>
      </c>
      <c r="P389" s="27">
        <f t="shared" si="271"/>
        <v>0</v>
      </c>
      <c r="Q389" s="27">
        <f t="shared" si="271"/>
        <v>2</v>
      </c>
      <c r="R389" s="23">
        <f t="shared" si="271"/>
        <v>0</v>
      </c>
    </row>
    <row r="390" spans="1:18" ht="14.25" customHeight="1" x14ac:dyDescent="0.15">
      <c r="A390" s="19">
        <v>3</v>
      </c>
      <c r="B390" s="19">
        <f>0.9*3</f>
        <v>2.7</v>
      </c>
      <c r="C390" s="19">
        <f>0.6+0.3</f>
        <v>0.89999999999999991</v>
      </c>
      <c r="D390" s="19">
        <f>B390*C390</f>
        <v>2.4299999999999997</v>
      </c>
      <c r="E390" s="19"/>
      <c r="F390" s="19"/>
      <c r="G390" s="19"/>
      <c r="H390" s="19"/>
      <c r="I390" s="19">
        <f>B390*0.4</f>
        <v>1.08</v>
      </c>
      <c r="J390" s="19">
        <v>2</v>
      </c>
      <c r="K390" s="19">
        <f t="shared" ref="K390:L390" si="272">A390</f>
        <v>3</v>
      </c>
      <c r="L390" s="19">
        <f t="shared" si="272"/>
        <v>2.7</v>
      </c>
      <c r="M390" s="19">
        <f>A390</f>
        <v>3</v>
      </c>
      <c r="N390" s="19">
        <f>(1.2*0.4)*2</f>
        <v>0.96</v>
      </c>
      <c r="O390" s="19"/>
      <c r="P390" s="24"/>
      <c r="Q390" s="24"/>
      <c r="R390" s="19"/>
    </row>
    <row r="391" spans="1:18" ht="14.25" customHeight="1" x14ac:dyDescent="0.15">
      <c r="A391" s="19"/>
      <c r="B391" s="19"/>
      <c r="C391" s="19"/>
      <c r="D391" s="26" t="str">
        <f>D384</f>
        <v>2200</v>
      </c>
      <c r="E391" s="19">
        <v>0</v>
      </c>
      <c r="F391" s="19">
        <v>0</v>
      </c>
      <c r="G391" s="19">
        <v>2</v>
      </c>
      <c r="H391" s="19">
        <f>B390*2</f>
        <v>5.4</v>
      </c>
      <c r="I391" s="19"/>
      <c r="J391" s="19"/>
      <c r="K391" s="19"/>
      <c r="L391" s="19"/>
      <c r="M391" s="19"/>
      <c r="N391" s="28"/>
      <c r="O391" s="19"/>
      <c r="P391" s="24"/>
      <c r="Q391" s="24"/>
      <c r="R391" s="19"/>
    </row>
    <row r="392" spans="1:18" ht="14.25" customHeight="1" x14ac:dyDescent="0.15">
      <c r="A392" s="19"/>
      <c r="B392" s="19"/>
      <c r="C392" s="19"/>
      <c r="D392" s="19">
        <f>D390*D391</f>
        <v>5345.9999999999991</v>
      </c>
      <c r="E392" s="19">
        <f>E391*E389</f>
        <v>0</v>
      </c>
      <c r="F392" s="19">
        <f t="shared" ref="F392:H392" si="273">F389*F391</f>
        <v>0</v>
      </c>
      <c r="G392" s="19">
        <f t="shared" si="273"/>
        <v>3600</v>
      </c>
      <c r="H392" s="19">
        <f t="shared" si="273"/>
        <v>2052</v>
      </c>
      <c r="I392" s="19">
        <f t="shared" ref="I392:N392" si="274">I389*I390</f>
        <v>5940</v>
      </c>
      <c r="J392" s="19">
        <f t="shared" si="274"/>
        <v>2000</v>
      </c>
      <c r="K392" s="19">
        <f t="shared" si="274"/>
        <v>1125</v>
      </c>
      <c r="L392" s="19">
        <f t="shared" si="274"/>
        <v>1579.5</v>
      </c>
      <c r="M392" s="19">
        <f t="shared" si="274"/>
        <v>3000</v>
      </c>
      <c r="N392" s="19">
        <f t="shared" si="274"/>
        <v>3168</v>
      </c>
      <c r="O392" s="19">
        <f>SUM(D392:N392)</f>
        <v>27810.5</v>
      </c>
      <c r="P392" s="24">
        <f>O392/A390</f>
        <v>9270.1666666666661</v>
      </c>
      <c r="Q392" s="24">
        <f>P392*Q389</f>
        <v>18540.333333333332</v>
      </c>
      <c r="R392" s="19">
        <f>MROUND(Q392,100)</f>
        <v>18500</v>
      </c>
    </row>
    <row r="393" spans="1:18" ht="14.25" customHeight="1" x14ac:dyDescent="0.1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9"/>
      <c r="Q393" s="27">
        <f>Q386</f>
        <v>0</v>
      </c>
    </row>
    <row r="394" spans="1:18" ht="14.25" customHeight="1" x14ac:dyDescent="0.3">
      <c r="A394" s="109" t="str">
        <f>PRICELIST!I60</f>
        <v>WFLX-LNR-NSH-PB-900-X</v>
      </c>
      <c r="B394" s="87"/>
      <c r="C394" s="8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22"/>
      <c r="Q394" s="22"/>
      <c r="R394" s="17"/>
    </row>
    <row r="395" spans="1:18" ht="14.25" customHeight="1" x14ac:dyDescent="0.15">
      <c r="A395" s="19" t="s">
        <v>57</v>
      </c>
      <c r="B395" s="19" t="s">
        <v>59</v>
      </c>
      <c r="C395" s="19" t="s">
        <v>62</v>
      </c>
      <c r="D395" s="19" t="s">
        <v>64</v>
      </c>
      <c r="E395" s="19">
        <v>1200</v>
      </c>
      <c r="F395" s="19">
        <v>900</v>
      </c>
      <c r="G395" s="19">
        <v>600</v>
      </c>
      <c r="H395" s="19" t="s">
        <v>67</v>
      </c>
      <c r="I395" s="19" t="s">
        <v>68</v>
      </c>
      <c r="J395" s="19" t="s">
        <v>69</v>
      </c>
      <c r="K395" s="19" t="s">
        <v>71</v>
      </c>
      <c r="L395" s="19" t="s">
        <v>72</v>
      </c>
      <c r="M395" s="19" t="s">
        <v>73</v>
      </c>
      <c r="N395" s="19" t="s">
        <v>75</v>
      </c>
      <c r="O395" s="19" t="s">
        <v>76</v>
      </c>
      <c r="P395" s="24" t="s">
        <v>78</v>
      </c>
      <c r="Q395" s="24" t="s">
        <v>79</v>
      </c>
      <c r="R395" s="19" t="s">
        <v>81</v>
      </c>
    </row>
    <row r="396" spans="1:18" ht="14.25" customHeight="1" x14ac:dyDescent="0.15">
      <c r="A396" s="21">
        <f t="shared" ref="A396:B396" si="275">A389</f>
        <v>0</v>
      </c>
      <c r="B396" s="21">
        <f t="shared" si="275"/>
        <v>0</v>
      </c>
      <c r="C396" s="44" t="s">
        <v>188</v>
      </c>
      <c r="D396" s="21">
        <f t="shared" ref="D396:H396" si="276">D389</f>
        <v>0</v>
      </c>
      <c r="E396" s="23" t="str">
        <f t="shared" si="276"/>
        <v>2100</v>
      </c>
      <c r="F396" s="23" t="str">
        <f t="shared" si="276"/>
        <v>1900</v>
      </c>
      <c r="G396" s="23" t="str">
        <f t="shared" si="276"/>
        <v>1800</v>
      </c>
      <c r="H396" s="23">
        <f t="shared" si="276"/>
        <v>380</v>
      </c>
      <c r="I396" s="23" t="str">
        <f>I375</f>
        <v>0</v>
      </c>
      <c r="J396" s="23" t="str">
        <f t="shared" ref="J396:Q396" si="277">J389</f>
        <v>1000</v>
      </c>
      <c r="K396" s="23">
        <f t="shared" si="277"/>
        <v>375</v>
      </c>
      <c r="L396" s="23">
        <f t="shared" si="277"/>
        <v>585</v>
      </c>
      <c r="M396" s="23" t="str">
        <f t="shared" si="277"/>
        <v>1000</v>
      </c>
      <c r="N396" s="23">
        <f t="shared" si="277"/>
        <v>3300</v>
      </c>
      <c r="O396" s="23">
        <f t="shared" si="277"/>
        <v>0</v>
      </c>
      <c r="P396" s="27">
        <f t="shared" si="277"/>
        <v>0</v>
      </c>
      <c r="Q396" s="27">
        <f t="shared" si="277"/>
        <v>2</v>
      </c>
      <c r="R396" s="21"/>
    </row>
    <row r="397" spans="1:18" ht="14.25" customHeight="1" x14ac:dyDescent="0.15">
      <c r="A397" s="19">
        <v>3</v>
      </c>
      <c r="B397" s="19">
        <f>0.9*3</f>
        <v>2.7</v>
      </c>
      <c r="C397" s="19">
        <f>0.6+0.3</f>
        <v>0.89999999999999991</v>
      </c>
      <c r="D397" s="19">
        <f>B397*C397</f>
        <v>2.4299999999999997</v>
      </c>
      <c r="E397" s="19"/>
      <c r="F397" s="19"/>
      <c r="G397" s="19"/>
      <c r="H397" s="19"/>
      <c r="I397" s="19">
        <f>B397*0.4</f>
        <v>1.08</v>
      </c>
      <c r="J397" s="19">
        <v>2</v>
      </c>
      <c r="K397" s="19">
        <f t="shared" ref="K397:L397" si="278">A397</f>
        <v>3</v>
      </c>
      <c r="L397" s="19">
        <f t="shared" si="278"/>
        <v>2.7</v>
      </c>
      <c r="M397" s="19">
        <f>A397</f>
        <v>3</v>
      </c>
      <c r="N397" s="19">
        <f>(1.2*0.4)*2</f>
        <v>0.96</v>
      </c>
      <c r="O397" s="19"/>
      <c r="P397" s="24"/>
      <c r="Q397" s="24"/>
      <c r="R397" s="19"/>
    </row>
    <row r="398" spans="1:18" ht="14.25" customHeight="1" x14ac:dyDescent="0.2">
      <c r="A398" s="19"/>
      <c r="B398" s="19"/>
      <c r="C398" s="19"/>
      <c r="D398" s="26" t="str">
        <f>D391</f>
        <v>2200</v>
      </c>
      <c r="E398" s="45">
        <v>0</v>
      </c>
      <c r="F398" s="45">
        <v>0</v>
      </c>
      <c r="G398" s="45">
        <v>2</v>
      </c>
      <c r="H398" s="19">
        <f>B397*2</f>
        <v>5.4</v>
      </c>
      <c r="I398" s="19"/>
      <c r="J398" s="19"/>
      <c r="K398" s="19"/>
      <c r="L398" s="19"/>
      <c r="M398" s="19"/>
      <c r="N398" s="28"/>
      <c r="O398" s="19"/>
      <c r="P398" s="24"/>
      <c r="Q398" s="24"/>
      <c r="R398" s="19"/>
    </row>
    <row r="399" spans="1:18" ht="14.25" customHeight="1" x14ac:dyDescent="0.2">
      <c r="A399" s="19"/>
      <c r="B399" s="19"/>
      <c r="C399" s="19"/>
      <c r="D399" s="19">
        <f>D397*D398</f>
        <v>5345.9999999999991</v>
      </c>
      <c r="E399" s="45">
        <f>E398*E396</f>
        <v>0</v>
      </c>
      <c r="F399" s="45">
        <f t="shared" ref="F399:H399" si="279">F396*F398</f>
        <v>0</v>
      </c>
      <c r="G399" s="45">
        <f t="shared" si="279"/>
        <v>3600</v>
      </c>
      <c r="H399" s="19">
        <f t="shared" si="279"/>
        <v>2052</v>
      </c>
      <c r="I399" s="19">
        <f t="shared" ref="I399:N399" si="280">I396*I397</f>
        <v>0</v>
      </c>
      <c r="J399" s="19">
        <f t="shared" si="280"/>
        <v>2000</v>
      </c>
      <c r="K399" s="19">
        <f t="shared" si="280"/>
        <v>1125</v>
      </c>
      <c r="L399" s="19">
        <f t="shared" si="280"/>
        <v>1579.5</v>
      </c>
      <c r="M399" s="19">
        <f t="shared" si="280"/>
        <v>3000</v>
      </c>
      <c r="N399" s="19">
        <f t="shared" si="280"/>
        <v>3168</v>
      </c>
      <c r="O399" s="19">
        <f>SUM(D399:N399)</f>
        <v>21870.5</v>
      </c>
      <c r="P399" s="24">
        <f>O399/A397</f>
        <v>7290.166666666667</v>
      </c>
      <c r="Q399" s="24">
        <f>P399*Q396</f>
        <v>14580.333333333334</v>
      </c>
      <c r="R399" s="19">
        <f>MROUND(Q399,100)</f>
        <v>14600</v>
      </c>
    </row>
    <row r="400" spans="1:18" ht="14.25" customHeight="1" x14ac:dyDescent="0.1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9"/>
      <c r="Q400" s="39"/>
    </row>
    <row r="401" spans="1:18" ht="14.25" customHeight="1" x14ac:dyDescent="0.3">
      <c r="A401" s="109" t="str">
        <f>PRICELIST!I61</f>
        <v>WFLX-LNR-NSH-PLM-900-F</v>
      </c>
      <c r="B401" s="87"/>
      <c r="C401" s="8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22"/>
      <c r="Q401" s="22"/>
      <c r="R401" s="17"/>
    </row>
    <row r="402" spans="1:18" ht="14.25" customHeight="1" x14ac:dyDescent="0.15">
      <c r="A402" s="19" t="s">
        <v>57</v>
      </c>
      <c r="B402" s="19" t="s">
        <v>59</v>
      </c>
      <c r="C402" s="19" t="s">
        <v>62</v>
      </c>
      <c r="D402" s="19" t="s">
        <v>64</v>
      </c>
      <c r="E402" s="19">
        <v>1200</v>
      </c>
      <c r="F402" s="19">
        <v>900</v>
      </c>
      <c r="G402" s="19">
        <v>600</v>
      </c>
      <c r="H402" s="19" t="s">
        <v>67</v>
      </c>
      <c r="I402" s="19" t="s">
        <v>68</v>
      </c>
      <c r="J402" s="19" t="s">
        <v>69</v>
      </c>
      <c r="K402" s="19" t="s">
        <v>71</v>
      </c>
      <c r="L402" s="19" t="s">
        <v>72</v>
      </c>
      <c r="M402" s="19" t="s">
        <v>73</v>
      </c>
      <c r="N402" s="19" t="s">
        <v>75</v>
      </c>
      <c r="O402" s="19" t="s">
        <v>76</v>
      </c>
      <c r="P402" s="24" t="s">
        <v>78</v>
      </c>
      <c r="Q402" s="24" t="s">
        <v>79</v>
      </c>
      <c r="R402" s="19" t="s">
        <v>81</v>
      </c>
    </row>
    <row r="403" spans="1:18" ht="14.25" customHeight="1" x14ac:dyDescent="0.15">
      <c r="A403" s="21">
        <f t="shared" ref="A403:B403" si="281">A396</f>
        <v>0</v>
      </c>
      <c r="B403" s="21">
        <f t="shared" si="281"/>
        <v>0</v>
      </c>
      <c r="C403" s="44" t="s">
        <v>188</v>
      </c>
      <c r="D403" s="21">
        <f t="shared" ref="D403:H403" si="282">D396</f>
        <v>0</v>
      </c>
      <c r="E403" s="23" t="str">
        <f t="shared" si="282"/>
        <v>2100</v>
      </c>
      <c r="F403" s="23" t="str">
        <f t="shared" si="282"/>
        <v>1900</v>
      </c>
      <c r="G403" s="23" t="str">
        <f t="shared" si="282"/>
        <v>1800</v>
      </c>
      <c r="H403" s="23">
        <f t="shared" si="282"/>
        <v>380</v>
      </c>
      <c r="I403" s="23" t="str">
        <f>I382</f>
        <v>4800</v>
      </c>
      <c r="J403" s="23" t="str">
        <f t="shared" ref="J403:Q403" si="283">J396</f>
        <v>1000</v>
      </c>
      <c r="K403" s="23">
        <f t="shared" si="283"/>
        <v>375</v>
      </c>
      <c r="L403" s="23">
        <f t="shared" si="283"/>
        <v>585</v>
      </c>
      <c r="M403" s="23" t="str">
        <f t="shared" si="283"/>
        <v>1000</v>
      </c>
      <c r="N403" s="23">
        <f t="shared" si="283"/>
        <v>3300</v>
      </c>
      <c r="O403" s="23">
        <f t="shared" si="283"/>
        <v>0</v>
      </c>
      <c r="P403" s="27">
        <f t="shared" si="283"/>
        <v>0</v>
      </c>
      <c r="Q403" s="27">
        <f t="shared" si="283"/>
        <v>2</v>
      </c>
      <c r="R403" s="21"/>
    </row>
    <row r="404" spans="1:18" ht="14.25" customHeight="1" x14ac:dyDescent="0.15">
      <c r="A404" s="19">
        <v>3</v>
      </c>
      <c r="B404" s="19">
        <f>0.9*3</f>
        <v>2.7</v>
      </c>
      <c r="C404" s="19">
        <f>0.6+0.3</f>
        <v>0.89999999999999991</v>
      </c>
      <c r="D404" s="19">
        <f>B404*C404</f>
        <v>2.4299999999999997</v>
      </c>
      <c r="E404" s="19"/>
      <c r="F404" s="19"/>
      <c r="G404" s="19"/>
      <c r="H404" s="19"/>
      <c r="I404" s="19">
        <f>B404*0.4</f>
        <v>1.08</v>
      </c>
      <c r="J404" s="19">
        <v>2</v>
      </c>
      <c r="K404" s="19">
        <f t="shared" ref="K404:L404" si="284">A404</f>
        <v>3</v>
      </c>
      <c r="L404" s="19">
        <f t="shared" si="284"/>
        <v>2.7</v>
      </c>
      <c r="M404" s="19">
        <f>A404</f>
        <v>3</v>
      </c>
      <c r="N404" s="19">
        <f>(1.2*0.4)*2</f>
        <v>0.96</v>
      </c>
      <c r="O404" s="19"/>
      <c r="P404" s="24"/>
      <c r="Q404" s="24"/>
      <c r="R404" s="19"/>
    </row>
    <row r="405" spans="1:18" ht="14.25" customHeight="1" x14ac:dyDescent="0.2">
      <c r="A405" s="19"/>
      <c r="B405" s="19"/>
      <c r="C405" s="19"/>
      <c r="D405" s="26" t="str">
        <f>'MASTER DATA'!C4</f>
        <v>3000</v>
      </c>
      <c r="E405" s="45">
        <v>0</v>
      </c>
      <c r="F405" s="45">
        <v>0</v>
      </c>
      <c r="G405" s="45">
        <v>2</v>
      </c>
      <c r="H405" s="19">
        <f>B404*2</f>
        <v>5.4</v>
      </c>
      <c r="I405" s="19"/>
      <c r="J405" s="19"/>
      <c r="K405" s="19"/>
      <c r="L405" s="19"/>
      <c r="M405" s="19"/>
      <c r="N405" s="28"/>
      <c r="O405" s="19"/>
      <c r="P405" s="24"/>
      <c r="Q405" s="24"/>
      <c r="R405" s="19"/>
    </row>
    <row r="406" spans="1:18" ht="14.25" customHeight="1" x14ac:dyDescent="0.2">
      <c r="A406" s="19"/>
      <c r="B406" s="19"/>
      <c r="C406" s="19"/>
      <c r="D406" s="19">
        <f>D404*D405</f>
        <v>7289.9999999999991</v>
      </c>
      <c r="E406" s="45">
        <f>E405*E403</f>
        <v>0</v>
      </c>
      <c r="F406" s="45">
        <f t="shared" ref="F406:H406" si="285">F403*F405</f>
        <v>0</v>
      </c>
      <c r="G406" s="45">
        <f t="shared" si="285"/>
        <v>3600</v>
      </c>
      <c r="H406" s="19">
        <f t="shared" si="285"/>
        <v>2052</v>
      </c>
      <c r="I406" s="19">
        <f t="shared" ref="I406:N406" si="286">I403*I404</f>
        <v>5184</v>
      </c>
      <c r="J406" s="19">
        <f t="shared" si="286"/>
        <v>2000</v>
      </c>
      <c r="K406" s="19">
        <f t="shared" si="286"/>
        <v>1125</v>
      </c>
      <c r="L406" s="19">
        <f t="shared" si="286"/>
        <v>1579.5</v>
      </c>
      <c r="M406" s="19">
        <f t="shared" si="286"/>
        <v>3000</v>
      </c>
      <c r="N406" s="19">
        <f t="shared" si="286"/>
        <v>3168</v>
      </c>
      <c r="O406" s="19">
        <f>SUM(D406:N406)</f>
        <v>28998.5</v>
      </c>
      <c r="P406" s="24">
        <f>O406/A404</f>
        <v>9666.1666666666661</v>
      </c>
      <c r="Q406" s="24">
        <f>P406*Q403</f>
        <v>19332.333333333332</v>
      </c>
      <c r="R406" s="19">
        <f>MROUND(Q406,100)</f>
        <v>19300</v>
      </c>
    </row>
    <row r="407" spans="1:18" ht="14.25" customHeight="1" x14ac:dyDescent="0.1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9"/>
      <c r="Q407" s="39"/>
    </row>
    <row r="408" spans="1:18" ht="14.25" customHeight="1" x14ac:dyDescent="0.3">
      <c r="A408" s="109" t="str">
        <f>PRICELIST!I62</f>
        <v>WFLX-LNR-NSH-PLM-900-G</v>
      </c>
      <c r="B408" s="87"/>
      <c r="C408" s="8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22"/>
      <c r="Q408" s="22"/>
      <c r="R408" s="17"/>
    </row>
    <row r="409" spans="1:18" ht="14.25" customHeight="1" x14ac:dyDescent="0.15">
      <c r="A409" s="19" t="s">
        <v>57</v>
      </c>
      <c r="B409" s="19" t="s">
        <v>59</v>
      </c>
      <c r="C409" s="19" t="s">
        <v>62</v>
      </c>
      <c r="D409" s="19" t="s">
        <v>64</v>
      </c>
      <c r="E409" s="19">
        <v>1200</v>
      </c>
      <c r="F409" s="19">
        <v>900</v>
      </c>
      <c r="G409" s="19">
        <v>600</v>
      </c>
      <c r="H409" s="19" t="s">
        <v>67</v>
      </c>
      <c r="I409" s="19" t="s">
        <v>68</v>
      </c>
      <c r="J409" s="19" t="s">
        <v>69</v>
      </c>
      <c r="K409" s="19" t="s">
        <v>71</v>
      </c>
      <c r="L409" s="19" t="s">
        <v>72</v>
      </c>
      <c r="M409" s="19" t="s">
        <v>73</v>
      </c>
      <c r="N409" s="19" t="s">
        <v>75</v>
      </c>
      <c r="O409" s="19" t="s">
        <v>76</v>
      </c>
      <c r="P409" s="24" t="s">
        <v>78</v>
      </c>
      <c r="Q409" s="24" t="s">
        <v>79</v>
      </c>
      <c r="R409" s="19" t="s">
        <v>81</v>
      </c>
    </row>
    <row r="410" spans="1:18" ht="14.25" customHeight="1" x14ac:dyDescent="0.15">
      <c r="A410" s="21">
        <f t="shared" ref="A410:B410" si="287">A403</f>
        <v>0</v>
      </c>
      <c r="B410" s="21">
        <f t="shared" si="287"/>
        <v>0</v>
      </c>
      <c r="C410" s="44" t="s">
        <v>188</v>
      </c>
      <c r="D410" s="21">
        <f t="shared" ref="D410:H410" si="288">D403</f>
        <v>0</v>
      </c>
      <c r="E410" s="23" t="str">
        <f t="shared" si="288"/>
        <v>2100</v>
      </c>
      <c r="F410" s="23" t="str">
        <f t="shared" si="288"/>
        <v>1900</v>
      </c>
      <c r="G410" s="23" t="str">
        <f t="shared" si="288"/>
        <v>1800</v>
      </c>
      <c r="H410" s="23">
        <f t="shared" si="288"/>
        <v>380</v>
      </c>
      <c r="I410" s="23" t="str">
        <f>I389</f>
        <v>5500</v>
      </c>
      <c r="J410" s="23" t="str">
        <f t="shared" ref="J410:Q410" si="289">J403</f>
        <v>1000</v>
      </c>
      <c r="K410" s="23">
        <f t="shared" si="289"/>
        <v>375</v>
      </c>
      <c r="L410" s="23">
        <f t="shared" si="289"/>
        <v>585</v>
      </c>
      <c r="M410" s="23" t="str">
        <f t="shared" si="289"/>
        <v>1000</v>
      </c>
      <c r="N410" s="23">
        <f t="shared" si="289"/>
        <v>3300</v>
      </c>
      <c r="O410" s="23">
        <f t="shared" si="289"/>
        <v>0</v>
      </c>
      <c r="P410" s="27">
        <f t="shared" si="289"/>
        <v>0</v>
      </c>
      <c r="Q410" s="27">
        <f t="shared" si="289"/>
        <v>2</v>
      </c>
      <c r="R410" s="21"/>
    </row>
    <row r="411" spans="1:18" ht="14.25" customHeight="1" x14ac:dyDescent="0.15">
      <c r="A411" s="19">
        <v>3</v>
      </c>
      <c r="B411" s="19">
        <f>0.9*3</f>
        <v>2.7</v>
      </c>
      <c r="C411" s="19">
        <f>0.6+0.3</f>
        <v>0.89999999999999991</v>
      </c>
      <c r="D411" s="19">
        <f>B411*C411</f>
        <v>2.4299999999999997</v>
      </c>
      <c r="E411" s="19"/>
      <c r="F411" s="19"/>
      <c r="G411" s="19"/>
      <c r="H411" s="19"/>
      <c r="I411" s="19">
        <f>B411*0.4</f>
        <v>1.08</v>
      </c>
      <c r="J411" s="19">
        <v>2</v>
      </c>
      <c r="K411" s="19">
        <f t="shared" ref="K411:L411" si="290">A411</f>
        <v>3</v>
      </c>
      <c r="L411" s="19">
        <f t="shared" si="290"/>
        <v>2.7</v>
      </c>
      <c r="M411" s="19">
        <f>A411</f>
        <v>3</v>
      </c>
      <c r="N411" s="19">
        <f>(1.2*0.4)*2</f>
        <v>0.96</v>
      </c>
      <c r="O411" s="19"/>
      <c r="P411" s="24"/>
      <c r="Q411" s="24"/>
      <c r="R411" s="19"/>
    </row>
    <row r="412" spans="1:18" ht="14.25" customHeight="1" x14ac:dyDescent="0.2">
      <c r="A412" s="19"/>
      <c r="B412" s="19"/>
      <c r="C412" s="19"/>
      <c r="D412" s="26" t="str">
        <f>D405</f>
        <v>3000</v>
      </c>
      <c r="E412" s="45">
        <v>0</v>
      </c>
      <c r="F412" s="45">
        <v>0</v>
      </c>
      <c r="G412" s="45">
        <v>2</v>
      </c>
      <c r="H412" s="19">
        <f>B411*2</f>
        <v>5.4</v>
      </c>
      <c r="I412" s="19"/>
      <c r="J412" s="19"/>
      <c r="K412" s="19"/>
      <c r="L412" s="19"/>
      <c r="M412" s="19"/>
      <c r="N412" s="28"/>
      <c r="O412" s="19"/>
      <c r="P412" s="24"/>
      <c r="Q412" s="24"/>
      <c r="R412" s="19"/>
    </row>
    <row r="413" spans="1:18" ht="14.25" customHeight="1" x14ac:dyDescent="0.2">
      <c r="A413" s="19"/>
      <c r="B413" s="19"/>
      <c r="C413" s="19"/>
      <c r="D413" s="19">
        <f>D411*D412</f>
        <v>7289.9999999999991</v>
      </c>
      <c r="E413" s="45">
        <f>E412*E410</f>
        <v>0</v>
      </c>
      <c r="F413" s="45">
        <f t="shared" ref="F413:H413" si="291">F410*F412</f>
        <v>0</v>
      </c>
      <c r="G413" s="45">
        <f t="shared" si="291"/>
        <v>3600</v>
      </c>
      <c r="H413" s="19">
        <f t="shared" si="291"/>
        <v>2052</v>
      </c>
      <c r="I413" s="19">
        <f t="shared" ref="I413:N413" si="292">I410*I411</f>
        <v>5940</v>
      </c>
      <c r="J413" s="19">
        <f t="shared" si="292"/>
        <v>2000</v>
      </c>
      <c r="K413" s="19">
        <f t="shared" si="292"/>
        <v>1125</v>
      </c>
      <c r="L413" s="19">
        <f t="shared" si="292"/>
        <v>1579.5</v>
      </c>
      <c r="M413" s="19">
        <f t="shared" si="292"/>
        <v>3000</v>
      </c>
      <c r="N413" s="19">
        <f t="shared" si="292"/>
        <v>3168</v>
      </c>
      <c r="O413" s="19">
        <f>SUM(D413:N413)</f>
        <v>29754.5</v>
      </c>
      <c r="P413" s="24">
        <f>O413/A411</f>
        <v>9918.1666666666661</v>
      </c>
      <c r="Q413" s="24">
        <f>P413*Q410</f>
        <v>19836.333333333332</v>
      </c>
      <c r="R413" s="19">
        <f>MROUND(Q413,100)</f>
        <v>19800</v>
      </c>
    </row>
    <row r="414" spans="1:18" ht="14.25" customHeight="1" x14ac:dyDescent="0.1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9"/>
      <c r="Q414" s="39"/>
    </row>
    <row r="415" spans="1:18" ht="14.25" customHeight="1" x14ac:dyDescent="0.3">
      <c r="A415" s="109" t="str">
        <f>PRICELIST!I63</f>
        <v>WFLX-LNR-NSH-PLM-900-X</v>
      </c>
      <c r="B415" s="87"/>
      <c r="C415" s="8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22"/>
      <c r="Q415" s="22"/>
      <c r="R415" s="17"/>
    </row>
    <row r="416" spans="1:18" ht="14.25" customHeight="1" x14ac:dyDescent="0.15">
      <c r="A416" s="19" t="s">
        <v>57</v>
      </c>
      <c r="B416" s="19" t="s">
        <v>59</v>
      </c>
      <c r="C416" s="19" t="s">
        <v>62</v>
      </c>
      <c r="D416" s="19" t="s">
        <v>64</v>
      </c>
      <c r="E416" s="19">
        <v>1200</v>
      </c>
      <c r="F416" s="19">
        <v>900</v>
      </c>
      <c r="G416" s="19">
        <v>600</v>
      </c>
      <c r="H416" s="19" t="s">
        <v>67</v>
      </c>
      <c r="I416" s="19" t="s">
        <v>68</v>
      </c>
      <c r="J416" s="19" t="s">
        <v>69</v>
      </c>
      <c r="K416" s="19" t="s">
        <v>71</v>
      </c>
      <c r="L416" s="19" t="s">
        <v>72</v>
      </c>
      <c r="M416" s="19" t="s">
        <v>73</v>
      </c>
      <c r="N416" s="19" t="s">
        <v>75</v>
      </c>
      <c r="O416" s="19" t="s">
        <v>76</v>
      </c>
      <c r="P416" s="24" t="s">
        <v>78</v>
      </c>
      <c r="Q416" s="24" t="s">
        <v>79</v>
      </c>
      <c r="R416" s="19" t="s">
        <v>81</v>
      </c>
    </row>
    <row r="417" spans="1:18" ht="14.25" customHeight="1" x14ac:dyDescent="0.15">
      <c r="A417" s="21">
        <f t="shared" ref="A417:B417" si="293">A410</f>
        <v>0</v>
      </c>
      <c r="B417" s="21">
        <f t="shared" si="293"/>
        <v>0</v>
      </c>
      <c r="C417" s="44" t="s">
        <v>188</v>
      </c>
      <c r="D417" s="21">
        <f t="shared" ref="D417:H417" si="294">D410</f>
        <v>0</v>
      </c>
      <c r="E417" s="23" t="str">
        <f t="shared" si="294"/>
        <v>2100</v>
      </c>
      <c r="F417" s="23" t="str">
        <f t="shared" si="294"/>
        <v>1900</v>
      </c>
      <c r="G417" s="23" t="str">
        <f t="shared" si="294"/>
        <v>1800</v>
      </c>
      <c r="H417" s="23">
        <f t="shared" si="294"/>
        <v>380</v>
      </c>
      <c r="I417" s="23" t="str">
        <f>I396</f>
        <v>0</v>
      </c>
      <c r="J417" s="23" t="str">
        <f t="shared" ref="J417:Q417" si="295">J410</f>
        <v>1000</v>
      </c>
      <c r="K417" s="23">
        <f t="shared" si="295"/>
        <v>375</v>
      </c>
      <c r="L417" s="23">
        <f t="shared" si="295"/>
        <v>585</v>
      </c>
      <c r="M417" s="23" t="str">
        <f t="shared" si="295"/>
        <v>1000</v>
      </c>
      <c r="N417" s="23">
        <f t="shared" si="295"/>
        <v>3300</v>
      </c>
      <c r="O417" s="23">
        <f t="shared" si="295"/>
        <v>0</v>
      </c>
      <c r="P417" s="27">
        <f t="shared" si="295"/>
        <v>0</v>
      </c>
      <c r="Q417" s="27">
        <f t="shared" si="295"/>
        <v>2</v>
      </c>
      <c r="R417" s="21"/>
    </row>
    <row r="418" spans="1:18" ht="14.25" customHeight="1" x14ac:dyDescent="0.15">
      <c r="A418" s="19">
        <v>3</v>
      </c>
      <c r="B418" s="19">
        <f>0.9*3</f>
        <v>2.7</v>
      </c>
      <c r="C418" s="19">
        <f>0.6+0.3</f>
        <v>0.89999999999999991</v>
      </c>
      <c r="D418" s="19">
        <f>B418*C418</f>
        <v>2.4299999999999997</v>
      </c>
      <c r="E418" s="19"/>
      <c r="F418" s="19"/>
      <c r="G418" s="19"/>
      <c r="H418" s="19"/>
      <c r="I418" s="19">
        <f>B418*0.4</f>
        <v>1.08</v>
      </c>
      <c r="J418" s="19">
        <v>2</v>
      </c>
      <c r="K418" s="19">
        <f t="shared" ref="K418:L418" si="296">A418</f>
        <v>3</v>
      </c>
      <c r="L418" s="19">
        <f t="shared" si="296"/>
        <v>2.7</v>
      </c>
      <c r="M418" s="19">
        <f>A418</f>
        <v>3</v>
      </c>
      <c r="N418" s="19">
        <f>(1.2*0.4)*2</f>
        <v>0.96</v>
      </c>
      <c r="O418" s="19"/>
      <c r="P418" s="24"/>
      <c r="Q418" s="24"/>
      <c r="R418" s="19"/>
    </row>
    <row r="419" spans="1:18" ht="14.25" customHeight="1" x14ac:dyDescent="0.2">
      <c r="A419" s="19"/>
      <c r="B419" s="19"/>
      <c r="C419" s="19"/>
      <c r="D419" s="26" t="str">
        <f>D279</f>
        <v>3000</v>
      </c>
      <c r="E419" s="45">
        <v>0</v>
      </c>
      <c r="F419" s="45">
        <v>0</v>
      </c>
      <c r="G419" s="45">
        <v>2</v>
      </c>
      <c r="H419" s="19">
        <f>B418*2</f>
        <v>5.4</v>
      </c>
      <c r="I419" s="19"/>
      <c r="J419" s="19"/>
      <c r="K419" s="19"/>
      <c r="L419" s="19"/>
      <c r="M419" s="19"/>
      <c r="N419" s="28"/>
      <c r="O419" s="19"/>
      <c r="P419" s="24"/>
      <c r="Q419" s="24"/>
      <c r="R419" s="19"/>
    </row>
    <row r="420" spans="1:18" ht="14.25" customHeight="1" x14ac:dyDescent="0.2">
      <c r="A420" s="19"/>
      <c r="B420" s="19"/>
      <c r="C420" s="19"/>
      <c r="D420" s="19">
        <f>D418*D419</f>
        <v>7289.9999999999991</v>
      </c>
      <c r="E420" s="45">
        <f>E419*E417</f>
        <v>0</v>
      </c>
      <c r="F420" s="45">
        <f t="shared" ref="F420:H420" si="297">F417*F419</f>
        <v>0</v>
      </c>
      <c r="G420" s="45">
        <f t="shared" si="297"/>
        <v>3600</v>
      </c>
      <c r="H420" s="19">
        <f t="shared" si="297"/>
        <v>2052</v>
      </c>
      <c r="I420" s="19">
        <f t="shared" ref="I420:N420" si="298">I417*I418</f>
        <v>0</v>
      </c>
      <c r="J420" s="19">
        <f t="shared" si="298"/>
        <v>2000</v>
      </c>
      <c r="K420" s="19">
        <f t="shared" si="298"/>
        <v>1125</v>
      </c>
      <c r="L420" s="19">
        <f t="shared" si="298"/>
        <v>1579.5</v>
      </c>
      <c r="M420" s="19">
        <f t="shared" si="298"/>
        <v>3000</v>
      </c>
      <c r="N420" s="19">
        <f t="shared" si="298"/>
        <v>3168</v>
      </c>
      <c r="O420" s="19">
        <f>SUM(D420:N420)</f>
        <v>23814.5</v>
      </c>
      <c r="P420" s="24">
        <f>O420/A418</f>
        <v>7938.166666666667</v>
      </c>
      <c r="Q420" s="24">
        <f>P420*Q417</f>
        <v>15876.333333333334</v>
      </c>
      <c r="R420" s="19">
        <f>MROUND(Q420,100)</f>
        <v>15900</v>
      </c>
    </row>
    <row r="421" spans="1:18" ht="14.25" customHeight="1" x14ac:dyDescent="0.1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9"/>
      <c r="Q421" s="39"/>
    </row>
    <row r="422" spans="1:18" ht="14.25" customHeight="1" x14ac:dyDescent="0.3">
      <c r="A422" s="109" t="str">
        <f>PRICELIST!I64</f>
        <v>WFLX-LNR-NSH-PoLM-900-F</v>
      </c>
      <c r="B422" s="87"/>
      <c r="C422" s="8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22"/>
      <c r="Q422" s="22"/>
      <c r="R422" s="17"/>
    </row>
    <row r="423" spans="1:18" ht="14.25" customHeight="1" x14ac:dyDescent="0.15">
      <c r="A423" s="19" t="s">
        <v>57</v>
      </c>
      <c r="B423" s="19" t="s">
        <v>59</v>
      </c>
      <c r="C423" s="19" t="s">
        <v>62</v>
      </c>
      <c r="D423" s="19" t="s">
        <v>64</v>
      </c>
      <c r="E423" s="19">
        <v>1200</v>
      </c>
      <c r="F423" s="19">
        <v>900</v>
      </c>
      <c r="G423" s="19">
        <v>600</v>
      </c>
      <c r="H423" s="19" t="s">
        <v>67</v>
      </c>
      <c r="I423" s="19" t="s">
        <v>68</v>
      </c>
      <c r="J423" s="19" t="s">
        <v>69</v>
      </c>
      <c r="K423" s="19" t="s">
        <v>71</v>
      </c>
      <c r="L423" s="19" t="s">
        <v>72</v>
      </c>
      <c r="M423" s="19" t="s">
        <v>73</v>
      </c>
      <c r="N423" s="19" t="s">
        <v>75</v>
      </c>
      <c r="O423" s="19" t="s">
        <v>76</v>
      </c>
      <c r="P423" s="24" t="s">
        <v>78</v>
      </c>
      <c r="Q423" s="24" t="s">
        <v>79</v>
      </c>
      <c r="R423" s="19" t="s">
        <v>81</v>
      </c>
    </row>
    <row r="424" spans="1:18" ht="14.25" customHeight="1" x14ac:dyDescent="0.15">
      <c r="A424" s="21">
        <f t="shared" ref="A424:B424" si="299">A417</f>
        <v>0</v>
      </c>
      <c r="B424" s="21">
        <f t="shared" si="299"/>
        <v>0</v>
      </c>
      <c r="C424" s="44" t="s">
        <v>188</v>
      </c>
      <c r="D424" s="21">
        <f t="shared" ref="D424:H424" si="300">D417</f>
        <v>0</v>
      </c>
      <c r="E424" s="23" t="str">
        <f t="shared" si="300"/>
        <v>2100</v>
      </c>
      <c r="F424" s="23" t="str">
        <f t="shared" si="300"/>
        <v>1900</v>
      </c>
      <c r="G424" s="23" t="str">
        <f t="shared" si="300"/>
        <v>1800</v>
      </c>
      <c r="H424" s="23">
        <f t="shared" si="300"/>
        <v>380</v>
      </c>
      <c r="I424" s="23" t="str">
        <f>I403</f>
        <v>4800</v>
      </c>
      <c r="J424" s="23" t="str">
        <f t="shared" ref="J424:Q424" si="301">J417</f>
        <v>1000</v>
      </c>
      <c r="K424" s="23">
        <f t="shared" si="301"/>
        <v>375</v>
      </c>
      <c r="L424" s="23">
        <f t="shared" si="301"/>
        <v>585</v>
      </c>
      <c r="M424" s="23" t="str">
        <f t="shared" si="301"/>
        <v>1000</v>
      </c>
      <c r="N424" s="23">
        <f t="shared" si="301"/>
        <v>3300</v>
      </c>
      <c r="O424" s="23">
        <f t="shared" si="301"/>
        <v>0</v>
      </c>
      <c r="P424" s="27">
        <f t="shared" si="301"/>
        <v>0</v>
      </c>
      <c r="Q424" s="27">
        <f t="shared" si="301"/>
        <v>2</v>
      </c>
      <c r="R424" s="21"/>
    </row>
    <row r="425" spans="1:18" ht="14.25" customHeight="1" x14ac:dyDescent="0.15">
      <c r="A425" s="19">
        <v>3</v>
      </c>
      <c r="B425" s="19">
        <f>0.9*3</f>
        <v>2.7</v>
      </c>
      <c r="C425" s="19">
        <f>0.6+0.3</f>
        <v>0.89999999999999991</v>
      </c>
      <c r="D425" s="19">
        <f>B425*C425</f>
        <v>2.4299999999999997</v>
      </c>
      <c r="E425" s="19"/>
      <c r="F425" s="19"/>
      <c r="G425" s="19"/>
      <c r="H425" s="19"/>
      <c r="I425" s="19">
        <f>B425*0.4</f>
        <v>1.08</v>
      </c>
      <c r="J425" s="19">
        <v>2</v>
      </c>
      <c r="K425" s="19">
        <f t="shared" ref="K425:L425" si="302">A425</f>
        <v>3</v>
      </c>
      <c r="L425" s="19">
        <f t="shared" si="302"/>
        <v>2.7</v>
      </c>
      <c r="M425" s="19">
        <f>A425</f>
        <v>3</v>
      </c>
      <c r="N425" s="19">
        <f>(1.2*0.4)*2</f>
        <v>0.96</v>
      </c>
      <c r="O425" s="19"/>
      <c r="P425" s="24"/>
      <c r="Q425" s="24"/>
      <c r="R425" s="19"/>
    </row>
    <row r="426" spans="1:18" ht="14.25" customHeight="1" x14ac:dyDescent="0.2">
      <c r="A426" s="19"/>
      <c r="B426" s="19"/>
      <c r="C426" s="19"/>
      <c r="D426" s="26" t="str">
        <f>'MASTER DATA'!C5</f>
        <v>7500</v>
      </c>
      <c r="E426" s="45">
        <v>0</v>
      </c>
      <c r="F426" s="45">
        <v>0</v>
      </c>
      <c r="G426" s="45">
        <v>2</v>
      </c>
      <c r="H426" s="19">
        <f>B425*2</f>
        <v>5.4</v>
      </c>
      <c r="I426" s="19"/>
      <c r="J426" s="19"/>
      <c r="K426" s="19"/>
      <c r="L426" s="19"/>
      <c r="M426" s="19"/>
      <c r="N426" s="28"/>
      <c r="O426" s="19"/>
      <c r="P426" s="24"/>
      <c r="Q426" s="24"/>
      <c r="R426" s="19"/>
    </row>
    <row r="427" spans="1:18" ht="14.25" customHeight="1" x14ac:dyDescent="0.2">
      <c r="A427" s="19"/>
      <c r="B427" s="19"/>
      <c r="C427" s="19"/>
      <c r="D427" s="19">
        <f>D425*D426</f>
        <v>18224.999999999996</v>
      </c>
      <c r="E427" s="45">
        <f>E426*E424</f>
        <v>0</v>
      </c>
      <c r="F427" s="45">
        <f t="shared" ref="F427:H427" si="303">F424*F426</f>
        <v>0</v>
      </c>
      <c r="G427" s="45">
        <f t="shared" si="303"/>
        <v>3600</v>
      </c>
      <c r="H427" s="19">
        <f t="shared" si="303"/>
        <v>2052</v>
      </c>
      <c r="I427" s="19">
        <f t="shared" ref="I427:N427" si="304">I424*I425</f>
        <v>5184</v>
      </c>
      <c r="J427" s="19">
        <f t="shared" si="304"/>
        <v>2000</v>
      </c>
      <c r="K427" s="19">
        <f t="shared" si="304"/>
        <v>1125</v>
      </c>
      <c r="L427" s="19">
        <f t="shared" si="304"/>
        <v>1579.5</v>
      </c>
      <c r="M427" s="19">
        <f t="shared" si="304"/>
        <v>3000</v>
      </c>
      <c r="N427" s="19">
        <f t="shared" si="304"/>
        <v>3168</v>
      </c>
      <c r="O427" s="19">
        <f>SUM(D427:N427)</f>
        <v>39933.5</v>
      </c>
      <c r="P427" s="24">
        <f>O427/A425</f>
        <v>13311.166666666666</v>
      </c>
      <c r="Q427" s="24">
        <f>P427*Q424</f>
        <v>26622.333333333332</v>
      </c>
      <c r="R427" s="19">
        <f>MROUND(Q427,100)</f>
        <v>26600</v>
      </c>
    </row>
    <row r="428" spans="1:18" ht="14.25" customHeight="1" x14ac:dyDescent="0.1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9"/>
      <c r="Q428" s="39"/>
    </row>
    <row r="429" spans="1:18" ht="14.25" customHeight="1" x14ac:dyDescent="0.3">
      <c r="A429" s="109" t="str">
        <f>PRICELIST!I65</f>
        <v>WFLX-LNR-NSH-PoLM-900-G</v>
      </c>
      <c r="B429" s="87"/>
      <c r="C429" s="8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22"/>
      <c r="Q429" s="22"/>
      <c r="R429" s="17"/>
    </row>
    <row r="430" spans="1:18" ht="14.25" customHeight="1" x14ac:dyDescent="0.15">
      <c r="A430" s="19" t="s">
        <v>57</v>
      </c>
      <c r="B430" s="19" t="s">
        <v>59</v>
      </c>
      <c r="C430" s="19" t="s">
        <v>62</v>
      </c>
      <c r="D430" s="19" t="s">
        <v>64</v>
      </c>
      <c r="E430" s="19">
        <v>1200</v>
      </c>
      <c r="F430" s="19">
        <v>900</v>
      </c>
      <c r="G430" s="19">
        <v>600</v>
      </c>
      <c r="H430" s="19" t="s">
        <v>67</v>
      </c>
      <c r="I430" s="19" t="s">
        <v>68</v>
      </c>
      <c r="J430" s="19" t="s">
        <v>69</v>
      </c>
      <c r="K430" s="19" t="s">
        <v>71</v>
      </c>
      <c r="L430" s="19" t="s">
        <v>72</v>
      </c>
      <c r="M430" s="19" t="s">
        <v>73</v>
      </c>
      <c r="N430" s="19" t="s">
        <v>75</v>
      </c>
      <c r="O430" s="19" t="s">
        <v>76</v>
      </c>
      <c r="P430" s="24" t="s">
        <v>78</v>
      </c>
      <c r="Q430" s="24" t="s">
        <v>79</v>
      </c>
      <c r="R430" s="19" t="s">
        <v>81</v>
      </c>
    </row>
    <row r="431" spans="1:18" ht="14.25" customHeight="1" x14ac:dyDescent="0.15">
      <c r="A431" s="21">
        <f t="shared" ref="A431:B431" si="305">A424</f>
        <v>0</v>
      </c>
      <c r="B431" s="21">
        <f t="shared" si="305"/>
        <v>0</v>
      </c>
      <c r="C431" s="44" t="s">
        <v>188</v>
      </c>
      <c r="D431" s="21">
        <f t="shared" ref="D431:H431" si="306">D424</f>
        <v>0</v>
      </c>
      <c r="E431" s="23" t="str">
        <f t="shared" si="306"/>
        <v>2100</v>
      </c>
      <c r="F431" s="23" t="str">
        <f t="shared" si="306"/>
        <v>1900</v>
      </c>
      <c r="G431" s="23" t="str">
        <f t="shared" si="306"/>
        <v>1800</v>
      </c>
      <c r="H431" s="23">
        <f t="shared" si="306"/>
        <v>380</v>
      </c>
      <c r="I431" s="23" t="str">
        <f>I410</f>
        <v>5500</v>
      </c>
      <c r="J431" s="23" t="str">
        <f t="shared" ref="J431:Q431" si="307">J424</f>
        <v>1000</v>
      </c>
      <c r="K431" s="23">
        <f t="shared" si="307"/>
        <v>375</v>
      </c>
      <c r="L431" s="23">
        <f t="shared" si="307"/>
        <v>585</v>
      </c>
      <c r="M431" s="23" t="str">
        <f t="shared" si="307"/>
        <v>1000</v>
      </c>
      <c r="N431" s="23">
        <f t="shared" si="307"/>
        <v>3300</v>
      </c>
      <c r="O431" s="23">
        <f t="shared" si="307"/>
        <v>0</v>
      </c>
      <c r="P431" s="27">
        <f t="shared" si="307"/>
        <v>0</v>
      </c>
      <c r="Q431" s="27">
        <f t="shared" si="307"/>
        <v>2</v>
      </c>
      <c r="R431" s="21"/>
    </row>
    <row r="432" spans="1:18" ht="14.25" customHeight="1" x14ac:dyDescent="0.15">
      <c r="A432" s="19">
        <v>3</v>
      </c>
      <c r="B432" s="19">
        <f>0.9*3</f>
        <v>2.7</v>
      </c>
      <c r="C432" s="19">
        <f>0.6+0.3</f>
        <v>0.89999999999999991</v>
      </c>
      <c r="D432" s="19">
        <f>B432*C432</f>
        <v>2.4299999999999997</v>
      </c>
      <c r="E432" s="19"/>
      <c r="F432" s="19"/>
      <c r="G432" s="19"/>
      <c r="H432" s="19"/>
      <c r="I432" s="19">
        <f>B432*0.4</f>
        <v>1.08</v>
      </c>
      <c r="J432" s="19">
        <v>2</v>
      </c>
      <c r="K432" s="19">
        <f t="shared" ref="K432:L432" si="308">A432</f>
        <v>3</v>
      </c>
      <c r="L432" s="19">
        <f t="shared" si="308"/>
        <v>2.7</v>
      </c>
      <c r="M432" s="19">
        <f>A432</f>
        <v>3</v>
      </c>
      <c r="N432" s="19">
        <f>(1.2*0.4)*2</f>
        <v>0.96</v>
      </c>
      <c r="O432" s="19"/>
      <c r="P432" s="24"/>
      <c r="Q432" s="24"/>
      <c r="R432" s="19"/>
    </row>
    <row r="433" spans="1:18" ht="14.25" customHeight="1" x14ac:dyDescent="0.2">
      <c r="A433" s="19"/>
      <c r="B433" s="19"/>
      <c r="C433" s="19"/>
      <c r="D433" s="26" t="str">
        <f>D426</f>
        <v>7500</v>
      </c>
      <c r="E433" s="45">
        <v>0</v>
      </c>
      <c r="F433" s="45">
        <v>0</v>
      </c>
      <c r="G433" s="45">
        <v>2</v>
      </c>
      <c r="H433" s="19">
        <f>B432*2</f>
        <v>5.4</v>
      </c>
      <c r="I433" s="19"/>
      <c r="J433" s="19"/>
      <c r="K433" s="19"/>
      <c r="L433" s="19"/>
      <c r="M433" s="19"/>
      <c r="N433" s="28"/>
      <c r="O433" s="19"/>
      <c r="P433" s="24"/>
      <c r="Q433" s="24"/>
      <c r="R433" s="19"/>
    </row>
    <row r="434" spans="1:18" ht="14.25" customHeight="1" x14ac:dyDescent="0.2">
      <c r="A434" s="19"/>
      <c r="B434" s="19"/>
      <c r="C434" s="19"/>
      <c r="D434" s="19">
        <f>D432*D433</f>
        <v>18224.999999999996</v>
      </c>
      <c r="E434" s="45">
        <f>E433*E431</f>
        <v>0</v>
      </c>
      <c r="F434" s="45">
        <f t="shared" ref="F434:H434" si="309">F431*F433</f>
        <v>0</v>
      </c>
      <c r="G434" s="45">
        <f t="shared" si="309"/>
        <v>3600</v>
      </c>
      <c r="H434" s="19">
        <f t="shared" si="309"/>
        <v>2052</v>
      </c>
      <c r="I434" s="19">
        <f t="shared" ref="I434:N434" si="310">I431*I432</f>
        <v>5940</v>
      </c>
      <c r="J434" s="19">
        <f t="shared" si="310"/>
        <v>2000</v>
      </c>
      <c r="K434" s="19">
        <f t="shared" si="310"/>
        <v>1125</v>
      </c>
      <c r="L434" s="19">
        <f t="shared" si="310"/>
        <v>1579.5</v>
      </c>
      <c r="M434" s="19">
        <f t="shared" si="310"/>
        <v>3000</v>
      </c>
      <c r="N434" s="19">
        <f t="shared" si="310"/>
        <v>3168</v>
      </c>
      <c r="O434" s="19">
        <f>SUM(D434:N434)</f>
        <v>40689.5</v>
      </c>
      <c r="P434" s="24">
        <f>O434/A432</f>
        <v>13563.166666666666</v>
      </c>
      <c r="Q434" s="24">
        <f>P434*Q431</f>
        <v>27126.333333333332</v>
      </c>
      <c r="R434" s="19">
        <f>MROUND(Q434,100)</f>
        <v>27100</v>
      </c>
    </row>
    <row r="435" spans="1:18" ht="14.25" customHeight="1" x14ac:dyDescent="0.1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9"/>
      <c r="Q435" s="39"/>
    </row>
    <row r="436" spans="1:18" ht="14.25" customHeight="1" x14ac:dyDescent="0.3">
      <c r="A436" s="109" t="str">
        <f>PRICELIST!I66</f>
        <v>WFLX-LNR-NSH-PoLM-900-X</v>
      </c>
      <c r="B436" s="87"/>
      <c r="C436" s="8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22"/>
      <c r="Q436" s="22"/>
      <c r="R436" s="17"/>
    </row>
    <row r="437" spans="1:18" ht="14.25" customHeight="1" x14ac:dyDescent="0.15">
      <c r="A437" s="19" t="s">
        <v>57</v>
      </c>
      <c r="B437" s="19" t="s">
        <v>59</v>
      </c>
      <c r="C437" s="19" t="s">
        <v>62</v>
      </c>
      <c r="D437" s="19" t="s">
        <v>64</v>
      </c>
      <c r="E437" s="19">
        <v>1200</v>
      </c>
      <c r="F437" s="19">
        <v>900</v>
      </c>
      <c r="G437" s="19">
        <v>600</v>
      </c>
      <c r="H437" s="19" t="s">
        <v>67</v>
      </c>
      <c r="I437" s="19" t="s">
        <v>68</v>
      </c>
      <c r="J437" s="19" t="s">
        <v>69</v>
      </c>
      <c r="K437" s="19" t="s">
        <v>71</v>
      </c>
      <c r="L437" s="19" t="s">
        <v>72</v>
      </c>
      <c r="M437" s="19" t="s">
        <v>73</v>
      </c>
      <c r="N437" s="19" t="s">
        <v>75</v>
      </c>
      <c r="O437" s="19" t="s">
        <v>76</v>
      </c>
      <c r="P437" s="24" t="s">
        <v>78</v>
      </c>
      <c r="Q437" s="24" t="s">
        <v>79</v>
      </c>
      <c r="R437" s="19" t="s">
        <v>81</v>
      </c>
    </row>
    <row r="438" spans="1:18" ht="14.25" customHeight="1" x14ac:dyDescent="0.15">
      <c r="A438" s="21">
        <f t="shared" ref="A438:B438" si="311">A431</f>
        <v>0</v>
      </c>
      <c r="B438" s="21">
        <f t="shared" si="311"/>
        <v>0</v>
      </c>
      <c r="C438" s="44" t="s">
        <v>188</v>
      </c>
      <c r="D438" s="21">
        <f t="shared" ref="D438:H438" si="312">D431</f>
        <v>0</v>
      </c>
      <c r="E438" s="23" t="str">
        <f t="shared" si="312"/>
        <v>2100</v>
      </c>
      <c r="F438" s="23" t="str">
        <f t="shared" si="312"/>
        <v>1900</v>
      </c>
      <c r="G438" s="23" t="str">
        <f t="shared" si="312"/>
        <v>1800</v>
      </c>
      <c r="H438" s="23">
        <f t="shared" si="312"/>
        <v>380</v>
      </c>
      <c r="I438" s="23" t="str">
        <f>I417</f>
        <v>0</v>
      </c>
      <c r="J438" s="23" t="str">
        <f t="shared" ref="J438:Q438" si="313">J431</f>
        <v>1000</v>
      </c>
      <c r="K438" s="23">
        <f t="shared" si="313"/>
        <v>375</v>
      </c>
      <c r="L438" s="23">
        <f t="shared" si="313"/>
        <v>585</v>
      </c>
      <c r="M438" s="23" t="str">
        <f t="shared" si="313"/>
        <v>1000</v>
      </c>
      <c r="N438" s="23">
        <f t="shared" si="313"/>
        <v>3300</v>
      </c>
      <c r="O438" s="23">
        <f t="shared" si="313"/>
        <v>0</v>
      </c>
      <c r="P438" s="27">
        <f t="shared" si="313"/>
        <v>0</v>
      </c>
      <c r="Q438" s="27">
        <f t="shared" si="313"/>
        <v>2</v>
      </c>
      <c r="R438" s="21"/>
    </row>
    <row r="439" spans="1:18" ht="14.25" customHeight="1" x14ac:dyDescent="0.15">
      <c r="A439" s="19">
        <v>3</v>
      </c>
      <c r="B439" s="19">
        <f>0.9*3</f>
        <v>2.7</v>
      </c>
      <c r="C439" s="19">
        <f>0.6+0.3</f>
        <v>0.89999999999999991</v>
      </c>
      <c r="D439" s="19">
        <f>B439*C439</f>
        <v>2.4299999999999997</v>
      </c>
      <c r="E439" s="19"/>
      <c r="F439" s="19"/>
      <c r="G439" s="19"/>
      <c r="H439" s="19"/>
      <c r="I439" s="19">
        <f>B439*0.4</f>
        <v>1.08</v>
      </c>
      <c r="J439" s="19">
        <v>2</v>
      </c>
      <c r="K439" s="19">
        <f t="shared" ref="K439:L439" si="314">A439</f>
        <v>3</v>
      </c>
      <c r="L439" s="19">
        <f t="shared" si="314"/>
        <v>2.7</v>
      </c>
      <c r="M439" s="19">
        <f>A439</f>
        <v>3</v>
      </c>
      <c r="N439" s="19">
        <f>(1.2*0.4)*2</f>
        <v>0.96</v>
      </c>
      <c r="O439" s="19"/>
      <c r="P439" s="24"/>
      <c r="Q439" s="24"/>
      <c r="R439" s="19"/>
    </row>
    <row r="440" spans="1:18" ht="14.25" customHeight="1" x14ac:dyDescent="0.2">
      <c r="A440" s="19"/>
      <c r="B440" s="19"/>
      <c r="C440" s="19"/>
      <c r="D440" s="26" t="str">
        <f>D314</f>
        <v>7500</v>
      </c>
      <c r="E440" s="45">
        <v>0</v>
      </c>
      <c r="F440" s="45">
        <v>0</v>
      </c>
      <c r="G440" s="45">
        <v>2</v>
      </c>
      <c r="H440" s="19">
        <f>B439*2</f>
        <v>5.4</v>
      </c>
      <c r="I440" s="19"/>
      <c r="J440" s="19"/>
      <c r="K440" s="19"/>
      <c r="L440" s="19"/>
      <c r="M440" s="19"/>
      <c r="N440" s="28"/>
      <c r="O440" s="19"/>
      <c r="P440" s="24"/>
      <c r="Q440" s="24"/>
      <c r="R440" s="19"/>
    </row>
    <row r="441" spans="1:18" ht="14.25" customHeight="1" x14ac:dyDescent="0.2">
      <c r="A441" s="19"/>
      <c r="B441" s="19"/>
      <c r="C441" s="19"/>
      <c r="D441" s="19">
        <f>D439*D440</f>
        <v>18224.999999999996</v>
      </c>
      <c r="E441" s="45">
        <f>E440*E438</f>
        <v>0</v>
      </c>
      <c r="F441" s="45">
        <f t="shared" ref="F441:H441" si="315">F438*F440</f>
        <v>0</v>
      </c>
      <c r="G441" s="45">
        <f t="shared" si="315"/>
        <v>3600</v>
      </c>
      <c r="H441" s="19">
        <f t="shared" si="315"/>
        <v>2052</v>
      </c>
      <c r="I441" s="19">
        <f t="shared" ref="I441:N441" si="316">I438*I439</f>
        <v>0</v>
      </c>
      <c r="J441" s="19">
        <f t="shared" si="316"/>
        <v>2000</v>
      </c>
      <c r="K441" s="19">
        <f t="shared" si="316"/>
        <v>1125</v>
      </c>
      <c r="L441" s="19">
        <f t="shared" si="316"/>
        <v>1579.5</v>
      </c>
      <c r="M441" s="19">
        <f t="shared" si="316"/>
        <v>3000</v>
      </c>
      <c r="N441" s="19">
        <f t="shared" si="316"/>
        <v>3168</v>
      </c>
      <c r="O441" s="19">
        <f>SUM(D441:N441)</f>
        <v>34749.5</v>
      </c>
      <c r="P441" s="24">
        <f>O441/A439</f>
        <v>11583.166666666666</v>
      </c>
      <c r="Q441" s="24">
        <f>P441*Q438</f>
        <v>23166.333333333332</v>
      </c>
      <c r="R441" s="19">
        <f>MROUND(Q441,100)</f>
        <v>23200</v>
      </c>
    </row>
    <row r="442" spans="1:18" ht="14.25" customHeight="1" x14ac:dyDescent="0.1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9"/>
      <c r="Q442" s="39"/>
    </row>
    <row r="443" spans="1:18" ht="14.25" customHeight="1" x14ac:dyDescent="0.3">
      <c r="A443" s="109" t="str">
        <f>PRICELIST!I67</f>
        <v>WFLX-LNR-NSH-LVM-900-F</v>
      </c>
      <c r="B443" s="87"/>
      <c r="C443" s="8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22"/>
      <c r="Q443" s="22"/>
      <c r="R443" s="17"/>
    </row>
    <row r="444" spans="1:18" ht="14.25" customHeight="1" x14ac:dyDescent="0.15">
      <c r="A444" s="19" t="s">
        <v>57</v>
      </c>
      <c r="B444" s="19" t="s">
        <v>59</v>
      </c>
      <c r="C444" s="19" t="s">
        <v>62</v>
      </c>
      <c r="D444" s="19" t="s">
        <v>64</v>
      </c>
      <c r="E444" s="19">
        <v>1200</v>
      </c>
      <c r="F444" s="19">
        <v>900</v>
      </c>
      <c r="G444" s="19">
        <v>600</v>
      </c>
      <c r="H444" s="19" t="s">
        <v>67</v>
      </c>
      <c r="I444" s="19" t="s">
        <v>68</v>
      </c>
      <c r="J444" s="19" t="s">
        <v>69</v>
      </c>
      <c r="K444" s="19" t="s">
        <v>71</v>
      </c>
      <c r="L444" s="19" t="s">
        <v>72</v>
      </c>
      <c r="M444" s="19" t="s">
        <v>73</v>
      </c>
      <c r="N444" s="19" t="s">
        <v>75</v>
      </c>
      <c r="O444" s="19" t="s">
        <v>76</v>
      </c>
      <c r="P444" s="24" t="s">
        <v>78</v>
      </c>
      <c r="Q444" s="24" t="s">
        <v>79</v>
      </c>
      <c r="R444" s="19" t="s">
        <v>81</v>
      </c>
    </row>
    <row r="445" spans="1:18" ht="14.25" customHeight="1" x14ac:dyDescent="0.15">
      <c r="A445" s="21">
        <f t="shared" ref="A445:B445" si="317">A438</f>
        <v>0</v>
      </c>
      <c r="B445" s="21">
        <f t="shared" si="317"/>
        <v>0</v>
      </c>
      <c r="C445" s="44" t="s">
        <v>188</v>
      </c>
      <c r="D445" s="21">
        <f t="shared" ref="D445:H445" si="318">D438</f>
        <v>0</v>
      </c>
      <c r="E445" s="23" t="str">
        <f t="shared" si="318"/>
        <v>2100</v>
      </c>
      <c r="F445" s="23" t="str">
        <f t="shared" si="318"/>
        <v>1900</v>
      </c>
      <c r="G445" s="23" t="str">
        <f t="shared" si="318"/>
        <v>1800</v>
      </c>
      <c r="H445" s="23">
        <f t="shared" si="318"/>
        <v>380</v>
      </c>
      <c r="I445" s="23" t="str">
        <f>I424</f>
        <v>4800</v>
      </c>
      <c r="J445" s="23" t="str">
        <f t="shared" ref="J445:Q445" si="319">J438</f>
        <v>1000</v>
      </c>
      <c r="K445" s="23">
        <f t="shared" si="319"/>
        <v>375</v>
      </c>
      <c r="L445" s="23">
        <f t="shared" si="319"/>
        <v>585</v>
      </c>
      <c r="M445" s="23" t="str">
        <f t="shared" si="319"/>
        <v>1000</v>
      </c>
      <c r="N445" s="23">
        <f t="shared" si="319"/>
        <v>3300</v>
      </c>
      <c r="O445" s="23">
        <f t="shared" si="319"/>
        <v>0</v>
      </c>
      <c r="P445" s="27">
        <f t="shared" si="319"/>
        <v>0</v>
      </c>
      <c r="Q445" s="27">
        <f t="shared" si="319"/>
        <v>2</v>
      </c>
      <c r="R445" s="21"/>
    </row>
    <row r="446" spans="1:18" ht="14.25" customHeight="1" x14ac:dyDescent="0.15">
      <c r="A446" s="19">
        <v>3</v>
      </c>
      <c r="B446" s="19">
        <f>0.9*3</f>
        <v>2.7</v>
      </c>
      <c r="C446" s="19">
        <f>0.6+0.3</f>
        <v>0.89999999999999991</v>
      </c>
      <c r="D446" s="19">
        <f>B446*C446</f>
        <v>2.4299999999999997</v>
      </c>
      <c r="E446" s="19"/>
      <c r="F446" s="19"/>
      <c r="G446" s="19"/>
      <c r="H446" s="19"/>
      <c r="I446" s="19">
        <f>B446*0.4</f>
        <v>1.08</v>
      </c>
      <c r="J446" s="19">
        <v>2</v>
      </c>
      <c r="K446" s="19">
        <f t="shared" ref="K446:L446" si="320">A446</f>
        <v>3</v>
      </c>
      <c r="L446" s="19">
        <f t="shared" si="320"/>
        <v>2.7</v>
      </c>
      <c r="M446" s="19">
        <f>A446</f>
        <v>3</v>
      </c>
      <c r="N446" s="19">
        <f>(1.2*0.4)*2</f>
        <v>0.96</v>
      </c>
      <c r="O446" s="19"/>
      <c r="P446" s="24"/>
      <c r="Q446" s="24"/>
      <c r="R446" s="19"/>
    </row>
    <row r="447" spans="1:18" ht="14.25" customHeight="1" x14ac:dyDescent="0.2">
      <c r="A447" s="19"/>
      <c r="B447" s="19"/>
      <c r="C447" s="19"/>
      <c r="D447" s="26" t="str">
        <f>D328</f>
        <v>9500</v>
      </c>
      <c r="E447" s="45">
        <v>0</v>
      </c>
      <c r="F447" s="45">
        <v>0</v>
      </c>
      <c r="G447" s="45">
        <v>2</v>
      </c>
      <c r="H447" s="19">
        <f>B446*2</f>
        <v>5.4</v>
      </c>
      <c r="I447" s="19"/>
      <c r="J447" s="19"/>
      <c r="K447" s="19"/>
      <c r="L447" s="19"/>
      <c r="M447" s="19"/>
      <c r="N447" s="28"/>
      <c r="O447" s="19"/>
      <c r="P447" s="24"/>
      <c r="Q447" s="24"/>
      <c r="R447" s="19"/>
    </row>
    <row r="448" spans="1:18" ht="14.25" customHeight="1" x14ac:dyDescent="0.2">
      <c r="A448" s="19"/>
      <c r="B448" s="19"/>
      <c r="C448" s="19"/>
      <c r="D448" s="19">
        <f>D446*D447</f>
        <v>23084.999999999996</v>
      </c>
      <c r="E448" s="45">
        <f>E447*E445</f>
        <v>0</v>
      </c>
      <c r="F448" s="45">
        <f t="shared" ref="F448:H448" si="321">F445*F447</f>
        <v>0</v>
      </c>
      <c r="G448" s="45">
        <f t="shared" si="321"/>
        <v>3600</v>
      </c>
      <c r="H448" s="19">
        <f t="shared" si="321"/>
        <v>2052</v>
      </c>
      <c r="I448" s="19">
        <f t="shared" ref="I448:N448" si="322">I445*I446</f>
        <v>5184</v>
      </c>
      <c r="J448" s="19">
        <f t="shared" si="322"/>
        <v>2000</v>
      </c>
      <c r="K448" s="19">
        <f t="shared" si="322"/>
        <v>1125</v>
      </c>
      <c r="L448" s="19">
        <f t="shared" si="322"/>
        <v>1579.5</v>
      </c>
      <c r="M448" s="19">
        <f t="shared" si="322"/>
        <v>3000</v>
      </c>
      <c r="N448" s="19">
        <f t="shared" si="322"/>
        <v>3168</v>
      </c>
      <c r="O448" s="19">
        <f>SUM(D448:N448)</f>
        <v>44793.5</v>
      </c>
      <c r="P448" s="24">
        <f>O448/A446</f>
        <v>14931.166666666666</v>
      </c>
      <c r="Q448" s="24">
        <f>P448*Q445</f>
        <v>29862.333333333332</v>
      </c>
      <c r="R448" s="19">
        <f>MROUND(Q448,100)</f>
        <v>29900</v>
      </c>
    </row>
    <row r="449" spans="1:18" ht="14.25" customHeight="1" x14ac:dyDescent="0.1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9"/>
      <c r="Q449" s="39"/>
    </row>
    <row r="450" spans="1:18" ht="14.25" customHeight="1" x14ac:dyDescent="0.3">
      <c r="A450" s="109" t="str">
        <f>PRICELIST!I68</f>
        <v>WFLX-LNR-NSH-LVM-900-G</v>
      </c>
      <c r="B450" s="87"/>
      <c r="C450" s="8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22"/>
      <c r="Q450" s="22"/>
      <c r="R450" s="17"/>
    </row>
    <row r="451" spans="1:18" ht="14.25" customHeight="1" x14ac:dyDescent="0.15">
      <c r="A451" s="19" t="s">
        <v>57</v>
      </c>
      <c r="B451" s="19" t="s">
        <v>59</v>
      </c>
      <c r="C451" s="19" t="s">
        <v>62</v>
      </c>
      <c r="D451" s="19" t="s">
        <v>64</v>
      </c>
      <c r="E451" s="19">
        <v>1200</v>
      </c>
      <c r="F451" s="19">
        <v>900</v>
      </c>
      <c r="G451" s="19">
        <v>600</v>
      </c>
      <c r="H451" s="19" t="s">
        <v>67</v>
      </c>
      <c r="I451" s="19" t="s">
        <v>68</v>
      </c>
      <c r="J451" s="19" t="s">
        <v>69</v>
      </c>
      <c r="K451" s="19" t="s">
        <v>71</v>
      </c>
      <c r="L451" s="19" t="s">
        <v>72</v>
      </c>
      <c r="M451" s="19" t="s">
        <v>73</v>
      </c>
      <c r="N451" s="19" t="s">
        <v>75</v>
      </c>
      <c r="O451" s="19" t="s">
        <v>76</v>
      </c>
      <c r="P451" s="24" t="s">
        <v>78</v>
      </c>
      <c r="Q451" s="24" t="s">
        <v>79</v>
      </c>
      <c r="R451" s="19" t="s">
        <v>81</v>
      </c>
    </row>
    <row r="452" spans="1:18" ht="14.25" customHeight="1" x14ac:dyDescent="0.15">
      <c r="A452" s="21">
        <f t="shared" ref="A452:B452" si="323">A445</f>
        <v>0</v>
      </c>
      <c r="B452" s="21">
        <f t="shared" si="323"/>
        <v>0</v>
      </c>
      <c r="C452" s="44" t="s">
        <v>188</v>
      </c>
      <c r="D452" s="21">
        <f t="shared" ref="D452:H452" si="324">D445</f>
        <v>0</v>
      </c>
      <c r="E452" s="23" t="str">
        <f t="shared" si="324"/>
        <v>2100</v>
      </c>
      <c r="F452" s="23" t="str">
        <f t="shared" si="324"/>
        <v>1900</v>
      </c>
      <c r="G452" s="23" t="str">
        <f t="shared" si="324"/>
        <v>1800</v>
      </c>
      <c r="H452" s="23">
        <f t="shared" si="324"/>
        <v>380</v>
      </c>
      <c r="I452" s="23" t="str">
        <f>I431</f>
        <v>5500</v>
      </c>
      <c r="J452" s="23" t="str">
        <f t="shared" ref="J452:Q452" si="325">J445</f>
        <v>1000</v>
      </c>
      <c r="K452" s="23">
        <f t="shared" si="325"/>
        <v>375</v>
      </c>
      <c r="L452" s="23">
        <f t="shared" si="325"/>
        <v>585</v>
      </c>
      <c r="M452" s="23" t="str">
        <f t="shared" si="325"/>
        <v>1000</v>
      </c>
      <c r="N452" s="23">
        <f t="shared" si="325"/>
        <v>3300</v>
      </c>
      <c r="O452" s="23">
        <f t="shared" si="325"/>
        <v>0</v>
      </c>
      <c r="P452" s="27">
        <f t="shared" si="325"/>
        <v>0</v>
      </c>
      <c r="Q452" s="27">
        <f t="shared" si="325"/>
        <v>2</v>
      </c>
      <c r="R452" s="21"/>
    </row>
    <row r="453" spans="1:18" ht="14.25" customHeight="1" x14ac:dyDescent="0.15">
      <c r="A453" s="19">
        <v>3</v>
      </c>
      <c r="B453" s="19">
        <f>0.9*3</f>
        <v>2.7</v>
      </c>
      <c r="C453" s="19">
        <f>0.6+0.3</f>
        <v>0.89999999999999991</v>
      </c>
      <c r="D453" s="19">
        <f>B453*C453</f>
        <v>2.4299999999999997</v>
      </c>
      <c r="E453" s="19"/>
      <c r="F453" s="19"/>
      <c r="G453" s="19"/>
      <c r="H453" s="19"/>
      <c r="I453" s="19">
        <f>B453*0.4</f>
        <v>1.08</v>
      </c>
      <c r="J453" s="19">
        <v>2</v>
      </c>
      <c r="K453" s="19">
        <f t="shared" ref="K453:L453" si="326">A453</f>
        <v>3</v>
      </c>
      <c r="L453" s="19">
        <f t="shared" si="326"/>
        <v>2.7</v>
      </c>
      <c r="M453" s="19">
        <f>A453</f>
        <v>3</v>
      </c>
      <c r="N453" s="19">
        <f>(1.2*0.4)*2</f>
        <v>0.96</v>
      </c>
      <c r="O453" s="19"/>
      <c r="P453" s="24"/>
      <c r="Q453" s="24"/>
      <c r="R453" s="19"/>
    </row>
    <row r="454" spans="1:18" ht="14.25" customHeight="1" x14ac:dyDescent="0.2">
      <c r="A454" s="19"/>
      <c r="B454" s="19"/>
      <c r="C454" s="19"/>
      <c r="D454" s="26" t="str">
        <f>D447</f>
        <v>9500</v>
      </c>
      <c r="E454" s="45">
        <v>0</v>
      </c>
      <c r="F454" s="45">
        <v>0</v>
      </c>
      <c r="G454" s="45">
        <v>2</v>
      </c>
      <c r="H454" s="19">
        <f>B453*2</f>
        <v>5.4</v>
      </c>
      <c r="I454" s="19"/>
      <c r="J454" s="19"/>
      <c r="K454" s="19"/>
      <c r="L454" s="19"/>
      <c r="M454" s="19"/>
      <c r="N454" s="28"/>
      <c r="O454" s="19"/>
      <c r="P454" s="24"/>
      <c r="Q454" s="24"/>
      <c r="R454" s="19"/>
    </row>
    <row r="455" spans="1:18" ht="14.25" customHeight="1" x14ac:dyDescent="0.2">
      <c r="A455" s="19"/>
      <c r="B455" s="19"/>
      <c r="C455" s="19"/>
      <c r="D455" s="19">
        <f>D453*D454</f>
        <v>23084.999999999996</v>
      </c>
      <c r="E455" s="45">
        <f>E454*E452</f>
        <v>0</v>
      </c>
      <c r="F455" s="45">
        <f t="shared" ref="F455:H455" si="327">F452*F454</f>
        <v>0</v>
      </c>
      <c r="G455" s="45">
        <f t="shared" si="327"/>
        <v>3600</v>
      </c>
      <c r="H455" s="19">
        <f t="shared" si="327"/>
        <v>2052</v>
      </c>
      <c r="I455" s="19">
        <f t="shared" ref="I455:N455" si="328">I452*I453</f>
        <v>5940</v>
      </c>
      <c r="J455" s="19">
        <f t="shared" si="328"/>
        <v>2000</v>
      </c>
      <c r="K455" s="19">
        <f t="shared" si="328"/>
        <v>1125</v>
      </c>
      <c r="L455" s="19">
        <f t="shared" si="328"/>
        <v>1579.5</v>
      </c>
      <c r="M455" s="19">
        <f t="shared" si="328"/>
        <v>3000</v>
      </c>
      <c r="N455" s="19">
        <f t="shared" si="328"/>
        <v>3168</v>
      </c>
      <c r="O455" s="19">
        <f>SUM(D455:N455)</f>
        <v>45549.5</v>
      </c>
      <c r="P455" s="24">
        <f>O455/A453</f>
        <v>15183.166666666666</v>
      </c>
      <c r="Q455" s="24">
        <f>P455*Q452</f>
        <v>30366.333333333332</v>
      </c>
      <c r="R455" s="19">
        <f>MROUND(Q455,100)</f>
        <v>30400</v>
      </c>
    </row>
    <row r="456" spans="1:18" ht="14.25" customHeight="1" x14ac:dyDescent="0.1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9"/>
      <c r="Q456" s="39"/>
    </row>
    <row r="457" spans="1:18" ht="14.25" customHeight="1" x14ac:dyDescent="0.3">
      <c r="A457" s="109" t="str">
        <f>PRICELIST!I69</f>
        <v>WFLX-LNR-NSH-LVM-900-X</v>
      </c>
      <c r="B457" s="87"/>
      <c r="C457" s="8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22"/>
      <c r="Q457" s="22"/>
      <c r="R457" s="17"/>
    </row>
    <row r="458" spans="1:18" ht="14.25" customHeight="1" x14ac:dyDescent="0.15">
      <c r="A458" s="19" t="s">
        <v>57</v>
      </c>
      <c r="B458" s="19" t="s">
        <v>59</v>
      </c>
      <c r="C458" s="19" t="s">
        <v>62</v>
      </c>
      <c r="D458" s="19" t="s">
        <v>64</v>
      </c>
      <c r="E458" s="19">
        <v>1200</v>
      </c>
      <c r="F458" s="19">
        <v>900</v>
      </c>
      <c r="G458" s="19">
        <v>600</v>
      </c>
      <c r="H458" s="19" t="s">
        <v>67</v>
      </c>
      <c r="I458" s="19" t="s">
        <v>68</v>
      </c>
      <c r="J458" s="19" t="s">
        <v>69</v>
      </c>
      <c r="K458" s="19" t="s">
        <v>71</v>
      </c>
      <c r="L458" s="19" t="s">
        <v>72</v>
      </c>
      <c r="M458" s="19" t="s">
        <v>73</v>
      </c>
      <c r="N458" s="19" t="s">
        <v>75</v>
      </c>
      <c r="O458" s="19" t="s">
        <v>76</v>
      </c>
      <c r="P458" s="24" t="s">
        <v>78</v>
      </c>
      <c r="Q458" s="24" t="s">
        <v>79</v>
      </c>
      <c r="R458" s="19" t="s">
        <v>81</v>
      </c>
    </row>
    <row r="459" spans="1:18" ht="14.25" customHeight="1" x14ac:dyDescent="0.15">
      <c r="A459" s="21">
        <f t="shared" ref="A459:B459" si="329">A452</f>
        <v>0</v>
      </c>
      <c r="B459" s="21">
        <f t="shared" si="329"/>
        <v>0</v>
      </c>
      <c r="C459" s="44" t="s">
        <v>188</v>
      </c>
      <c r="D459" s="21">
        <f t="shared" ref="D459:H459" si="330">D452</f>
        <v>0</v>
      </c>
      <c r="E459" s="23" t="str">
        <f t="shared" si="330"/>
        <v>2100</v>
      </c>
      <c r="F459" s="23" t="str">
        <f t="shared" si="330"/>
        <v>1900</v>
      </c>
      <c r="G459" s="23" t="str">
        <f t="shared" si="330"/>
        <v>1800</v>
      </c>
      <c r="H459" s="23">
        <f t="shared" si="330"/>
        <v>380</v>
      </c>
      <c r="I459" s="23" t="str">
        <f>I438</f>
        <v>0</v>
      </c>
      <c r="J459" s="23" t="str">
        <f t="shared" ref="J459:Q459" si="331">J452</f>
        <v>1000</v>
      </c>
      <c r="K459" s="23">
        <f t="shared" si="331"/>
        <v>375</v>
      </c>
      <c r="L459" s="23">
        <f t="shared" si="331"/>
        <v>585</v>
      </c>
      <c r="M459" s="23" t="str">
        <f t="shared" si="331"/>
        <v>1000</v>
      </c>
      <c r="N459" s="23">
        <f t="shared" si="331"/>
        <v>3300</v>
      </c>
      <c r="O459" s="23">
        <f t="shared" si="331"/>
        <v>0</v>
      </c>
      <c r="P459" s="27">
        <f t="shared" si="331"/>
        <v>0</v>
      </c>
      <c r="Q459" s="27">
        <f t="shared" si="331"/>
        <v>2</v>
      </c>
      <c r="R459" s="21"/>
    </row>
    <row r="460" spans="1:18" ht="14.25" customHeight="1" x14ac:dyDescent="0.15">
      <c r="A460" s="19">
        <v>3</v>
      </c>
      <c r="B460" s="19">
        <f>0.9*3</f>
        <v>2.7</v>
      </c>
      <c r="C460" s="19">
        <f>0.6+0.3</f>
        <v>0.89999999999999991</v>
      </c>
      <c r="D460" s="19">
        <f>B460*C460</f>
        <v>2.4299999999999997</v>
      </c>
      <c r="E460" s="19"/>
      <c r="F460" s="19"/>
      <c r="G460" s="19"/>
      <c r="H460" s="19"/>
      <c r="I460" s="19">
        <f>B460*0.4</f>
        <v>1.08</v>
      </c>
      <c r="J460" s="19">
        <v>2</v>
      </c>
      <c r="K460" s="19">
        <f t="shared" ref="K460:L460" si="332">A460</f>
        <v>3</v>
      </c>
      <c r="L460" s="19">
        <f t="shared" si="332"/>
        <v>2.7</v>
      </c>
      <c r="M460" s="19">
        <f>A460</f>
        <v>3</v>
      </c>
      <c r="N460" s="19">
        <f>(1.2*0.4)*2</f>
        <v>0.96</v>
      </c>
      <c r="O460" s="19"/>
      <c r="P460" s="24"/>
      <c r="Q460" s="24"/>
      <c r="R460" s="19"/>
    </row>
    <row r="461" spans="1:18" ht="14.25" customHeight="1" x14ac:dyDescent="0.2">
      <c r="A461" s="19"/>
      <c r="B461" s="19"/>
      <c r="C461" s="19"/>
      <c r="D461" s="26" t="str">
        <f>D454</f>
        <v>9500</v>
      </c>
      <c r="E461" s="45">
        <v>0</v>
      </c>
      <c r="F461" s="45">
        <v>0</v>
      </c>
      <c r="G461" s="45">
        <v>2</v>
      </c>
      <c r="H461" s="19">
        <f>B460*2</f>
        <v>5.4</v>
      </c>
      <c r="I461" s="19"/>
      <c r="J461" s="19"/>
      <c r="K461" s="19"/>
      <c r="L461" s="19"/>
      <c r="M461" s="19"/>
      <c r="N461" s="28"/>
      <c r="O461" s="19"/>
      <c r="P461" s="24"/>
      <c r="Q461" s="24"/>
      <c r="R461" s="19"/>
    </row>
    <row r="462" spans="1:18" ht="14.25" customHeight="1" x14ac:dyDescent="0.2">
      <c r="A462" s="19"/>
      <c r="B462" s="19"/>
      <c r="C462" s="19"/>
      <c r="D462" s="19">
        <f>D460*D461</f>
        <v>23084.999999999996</v>
      </c>
      <c r="E462" s="45">
        <f>E461*E459</f>
        <v>0</v>
      </c>
      <c r="F462" s="45">
        <f t="shared" ref="F462:H462" si="333">F459*F461</f>
        <v>0</v>
      </c>
      <c r="G462" s="45">
        <f t="shared" si="333"/>
        <v>3600</v>
      </c>
      <c r="H462" s="19">
        <f t="shared" si="333"/>
        <v>2052</v>
      </c>
      <c r="I462" s="19">
        <f t="shared" ref="I462:N462" si="334">I459*I460</f>
        <v>0</v>
      </c>
      <c r="J462" s="19">
        <f t="shared" si="334"/>
        <v>2000</v>
      </c>
      <c r="K462" s="19">
        <f t="shared" si="334"/>
        <v>1125</v>
      </c>
      <c r="L462" s="19">
        <f t="shared" si="334"/>
        <v>1579.5</v>
      </c>
      <c r="M462" s="19">
        <f t="shared" si="334"/>
        <v>3000</v>
      </c>
      <c r="N462" s="19">
        <f t="shared" si="334"/>
        <v>3168</v>
      </c>
      <c r="O462" s="19">
        <f>SUM(D462:N462)</f>
        <v>39609.5</v>
      </c>
      <c r="P462" s="24">
        <f>O462/A460</f>
        <v>13203.166666666666</v>
      </c>
      <c r="Q462" s="24">
        <f>P462*Q459</f>
        <v>26406.333333333332</v>
      </c>
      <c r="R462" s="19">
        <f>MROUND(Q462,100)</f>
        <v>26400</v>
      </c>
    </row>
    <row r="463" spans="1:18" ht="14.25" customHeight="1" x14ac:dyDescent="0.1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9"/>
      <c r="Q463" s="39"/>
    </row>
    <row r="464" spans="1:18" ht="14.25" customHeight="1" x14ac:dyDescent="0.3">
      <c r="A464" s="109" t="str">
        <f>PRICELIST!I70</f>
        <v>WFLX-LNR-NSH-LVP-900-F</v>
      </c>
      <c r="B464" s="87"/>
      <c r="C464" s="8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22"/>
      <c r="Q464" s="22"/>
      <c r="R464" s="17"/>
    </row>
    <row r="465" spans="1:18" ht="14.25" customHeight="1" x14ac:dyDescent="0.15">
      <c r="A465" s="19" t="s">
        <v>57</v>
      </c>
      <c r="B465" s="19" t="s">
        <v>59</v>
      </c>
      <c r="C465" s="19" t="s">
        <v>62</v>
      </c>
      <c r="D465" s="19" t="s">
        <v>64</v>
      </c>
      <c r="E465" s="19">
        <v>1200</v>
      </c>
      <c r="F465" s="19">
        <v>900</v>
      </c>
      <c r="G465" s="19">
        <v>600</v>
      </c>
      <c r="H465" s="19" t="s">
        <v>67</v>
      </c>
      <c r="I465" s="19" t="s">
        <v>68</v>
      </c>
      <c r="J465" s="19" t="s">
        <v>69</v>
      </c>
      <c r="K465" s="19" t="s">
        <v>71</v>
      </c>
      <c r="L465" s="19" t="s">
        <v>72</v>
      </c>
      <c r="M465" s="19" t="s">
        <v>73</v>
      </c>
      <c r="N465" s="19" t="s">
        <v>75</v>
      </c>
      <c r="O465" s="19" t="s">
        <v>76</v>
      </c>
      <c r="P465" s="24" t="s">
        <v>78</v>
      </c>
      <c r="Q465" s="24" t="s">
        <v>79</v>
      </c>
      <c r="R465" s="19" t="s">
        <v>81</v>
      </c>
    </row>
    <row r="466" spans="1:18" ht="14.25" customHeight="1" x14ac:dyDescent="0.15">
      <c r="A466" s="21">
        <f t="shared" ref="A466:B466" si="335">A459</f>
        <v>0</v>
      </c>
      <c r="B466" s="21">
        <f t="shared" si="335"/>
        <v>0</v>
      </c>
      <c r="C466" s="44" t="s">
        <v>188</v>
      </c>
      <c r="D466" s="21">
        <f t="shared" ref="D466:H466" si="336">D459</f>
        <v>0</v>
      </c>
      <c r="E466" s="23" t="str">
        <f t="shared" si="336"/>
        <v>2100</v>
      </c>
      <c r="F466" s="23" t="str">
        <f t="shared" si="336"/>
        <v>1900</v>
      </c>
      <c r="G466" s="23" t="str">
        <f t="shared" si="336"/>
        <v>1800</v>
      </c>
      <c r="H466" s="23">
        <f t="shared" si="336"/>
        <v>380</v>
      </c>
      <c r="I466" s="23" t="str">
        <f>I445</f>
        <v>4800</v>
      </c>
      <c r="J466" s="23" t="str">
        <f t="shared" ref="J466:Q466" si="337">J459</f>
        <v>1000</v>
      </c>
      <c r="K466" s="23">
        <f t="shared" si="337"/>
        <v>375</v>
      </c>
      <c r="L466" s="23">
        <f t="shared" si="337"/>
        <v>585</v>
      </c>
      <c r="M466" s="23" t="str">
        <f t="shared" si="337"/>
        <v>1000</v>
      </c>
      <c r="N466" s="23">
        <f t="shared" si="337"/>
        <v>3300</v>
      </c>
      <c r="O466" s="23">
        <f t="shared" si="337"/>
        <v>0</v>
      </c>
      <c r="P466" s="27">
        <f t="shared" si="337"/>
        <v>0</v>
      </c>
      <c r="Q466" s="27">
        <f t="shared" si="337"/>
        <v>2</v>
      </c>
      <c r="R466" s="21"/>
    </row>
    <row r="467" spans="1:18" ht="14.25" customHeight="1" x14ac:dyDescent="0.15">
      <c r="A467" s="19">
        <v>3</v>
      </c>
      <c r="B467" s="19">
        <f>0.9*3</f>
        <v>2.7</v>
      </c>
      <c r="C467" s="19">
        <f>0.6+0.3</f>
        <v>0.89999999999999991</v>
      </c>
      <c r="D467" s="19">
        <f>B467*C467</f>
        <v>2.4299999999999997</v>
      </c>
      <c r="E467" s="19"/>
      <c r="F467" s="19"/>
      <c r="G467" s="19"/>
      <c r="H467" s="19"/>
      <c r="I467" s="19">
        <f>B467*0.4</f>
        <v>1.08</v>
      </c>
      <c r="J467" s="19">
        <v>2</v>
      </c>
      <c r="K467" s="19">
        <f t="shared" ref="K467:L467" si="338">A467</f>
        <v>3</v>
      </c>
      <c r="L467" s="19">
        <f t="shared" si="338"/>
        <v>2.7</v>
      </c>
      <c r="M467" s="19">
        <f>A467</f>
        <v>3</v>
      </c>
      <c r="N467" s="19">
        <f>(1.2*0.4)*2</f>
        <v>0.96</v>
      </c>
      <c r="O467" s="19"/>
      <c r="P467" s="24"/>
      <c r="Q467" s="24"/>
      <c r="R467" s="19"/>
    </row>
    <row r="468" spans="1:18" ht="14.25" customHeight="1" x14ac:dyDescent="0.2">
      <c r="A468" s="19"/>
      <c r="B468" s="19"/>
      <c r="C468" s="19"/>
      <c r="D468" s="26" t="str">
        <f>D342</f>
        <v>10500</v>
      </c>
      <c r="E468" s="45">
        <v>0</v>
      </c>
      <c r="F468" s="45">
        <v>0</v>
      </c>
      <c r="G468" s="45">
        <v>2</v>
      </c>
      <c r="H468" s="19">
        <f>B467*2</f>
        <v>5.4</v>
      </c>
      <c r="I468" s="19"/>
      <c r="J468" s="19"/>
      <c r="K468" s="19"/>
      <c r="L468" s="19"/>
      <c r="M468" s="19"/>
      <c r="N468" s="28"/>
      <c r="O468" s="19"/>
      <c r="P468" s="24"/>
      <c r="Q468" s="24"/>
      <c r="R468" s="19"/>
    </row>
    <row r="469" spans="1:18" ht="14.25" customHeight="1" x14ac:dyDescent="0.2">
      <c r="A469" s="19"/>
      <c r="B469" s="19"/>
      <c r="C469" s="19"/>
      <c r="D469" s="19">
        <f>D467*D468</f>
        <v>25514.999999999996</v>
      </c>
      <c r="E469" s="45">
        <f>E468*E466</f>
        <v>0</v>
      </c>
      <c r="F469" s="45">
        <f t="shared" ref="F469:H469" si="339">F466*F468</f>
        <v>0</v>
      </c>
      <c r="G469" s="45">
        <f t="shared" si="339"/>
        <v>3600</v>
      </c>
      <c r="H469" s="19">
        <f t="shared" si="339"/>
        <v>2052</v>
      </c>
      <c r="I469" s="19">
        <f t="shared" ref="I469:N469" si="340">I466*I467</f>
        <v>5184</v>
      </c>
      <c r="J469" s="19">
        <f t="shared" si="340"/>
        <v>2000</v>
      </c>
      <c r="K469" s="19">
        <f t="shared" si="340"/>
        <v>1125</v>
      </c>
      <c r="L469" s="19">
        <f t="shared" si="340"/>
        <v>1579.5</v>
      </c>
      <c r="M469" s="19">
        <f t="shared" si="340"/>
        <v>3000</v>
      </c>
      <c r="N469" s="19">
        <f t="shared" si="340"/>
        <v>3168</v>
      </c>
      <c r="O469" s="19">
        <f>SUM(D469:N469)</f>
        <v>47223.5</v>
      </c>
      <c r="P469" s="24">
        <f>O469/A467</f>
        <v>15741.166666666666</v>
      </c>
      <c r="Q469" s="24">
        <f>P469*Q466</f>
        <v>31482.333333333332</v>
      </c>
      <c r="R469" s="19">
        <f>MROUND(Q469,100)</f>
        <v>31500</v>
      </c>
    </row>
    <row r="470" spans="1:18" ht="14.25" customHeight="1" x14ac:dyDescent="0.1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9"/>
      <c r="Q470" s="39"/>
    </row>
    <row r="471" spans="1:18" ht="14.25" customHeight="1" x14ac:dyDescent="0.3">
      <c r="A471" s="109" t="str">
        <f>PRICELIST!I71</f>
        <v>WFLX-LNR-NSH-LVP-900-G</v>
      </c>
      <c r="B471" s="87"/>
      <c r="C471" s="8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22"/>
      <c r="Q471" s="22"/>
      <c r="R471" s="17"/>
    </row>
    <row r="472" spans="1:18" ht="14.25" customHeight="1" x14ac:dyDescent="0.15">
      <c r="A472" s="19" t="s">
        <v>57</v>
      </c>
      <c r="B472" s="19" t="s">
        <v>59</v>
      </c>
      <c r="C472" s="19" t="s">
        <v>62</v>
      </c>
      <c r="D472" s="19" t="s">
        <v>64</v>
      </c>
      <c r="E472" s="19">
        <v>1200</v>
      </c>
      <c r="F472" s="19">
        <v>900</v>
      </c>
      <c r="G472" s="19">
        <v>600</v>
      </c>
      <c r="H472" s="19" t="s">
        <v>67</v>
      </c>
      <c r="I472" s="19" t="s">
        <v>68</v>
      </c>
      <c r="J472" s="19" t="s">
        <v>69</v>
      </c>
      <c r="K472" s="19" t="s">
        <v>71</v>
      </c>
      <c r="L472" s="19" t="s">
        <v>72</v>
      </c>
      <c r="M472" s="19" t="s">
        <v>73</v>
      </c>
      <c r="N472" s="19" t="s">
        <v>75</v>
      </c>
      <c r="O472" s="19" t="s">
        <v>76</v>
      </c>
      <c r="P472" s="24" t="s">
        <v>78</v>
      </c>
      <c r="Q472" s="24" t="s">
        <v>79</v>
      </c>
      <c r="R472" s="19" t="s">
        <v>81</v>
      </c>
    </row>
    <row r="473" spans="1:18" ht="14.25" customHeight="1" x14ac:dyDescent="0.15">
      <c r="A473" s="21">
        <f t="shared" ref="A473:B473" si="341">A466</f>
        <v>0</v>
      </c>
      <c r="B473" s="21">
        <f t="shared" si="341"/>
        <v>0</v>
      </c>
      <c r="C473" s="44" t="s">
        <v>188</v>
      </c>
      <c r="D473" s="21">
        <f t="shared" ref="D473:H473" si="342">D466</f>
        <v>0</v>
      </c>
      <c r="E473" s="23" t="str">
        <f t="shared" si="342"/>
        <v>2100</v>
      </c>
      <c r="F473" s="23" t="str">
        <f t="shared" si="342"/>
        <v>1900</v>
      </c>
      <c r="G473" s="23" t="str">
        <f t="shared" si="342"/>
        <v>1800</v>
      </c>
      <c r="H473" s="23">
        <f t="shared" si="342"/>
        <v>380</v>
      </c>
      <c r="I473" s="23" t="str">
        <f>I452</f>
        <v>5500</v>
      </c>
      <c r="J473" s="23" t="str">
        <f t="shared" ref="J473:Q473" si="343">J466</f>
        <v>1000</v>
      </c>
      <c r="K473" s="23">
        <f t="shared" si="343"/>
        <v>375</v>
      </c>
      <c r="L473" s="23">
        <f t="shared" si="343"/>
        <v>585</v>
      </c>
      <c r="M473" s="23" t="str">
        <f t="shared" si="343"/>
        <v>1000</v>
      </c>
      <c r="N473" s="23">
        <f t="shared" si="343"/>
        <v>3300</v>
      </c>
      <c r="O473" s="23">
        <f t="shared" si="343"/>
        <v>0</v>
      </c>
      <c r="P473" s="27">
        <f t="shared" si="343"/>
        <v>0</v>
      </c>
      <c r="Q473" s="27">
        <f t="shared" si="343"/>
        <v>2</v>
      </c>
      <c r="R473" s="21"/>
    </row>
    <row r="474" spans="1:18" ht="14.25" customHeight="1" x14ac:dyDescent="0.15">
      <c r="A474" s="19">
        <v>3</v>
      </c>
      <c r="B474" s="19">
        <f>0.9*3</f>
        <v>2.7</v>
      </c>
      <c r="C474" s="19">
        <f>0.6+0.3</f>
        <v>0.89999999999999991</v>
      </c>
      <c r="D474" s="19">
        <f>B474*C474</f>
        <v>2.4299999999999997</v>
      </c>
      <c r="E474" s="19"/>
      <c r="F474" s="19"/>
      <c r="G474" s="19"/>
      <c r="H474" s="19"/>
      <c r="I474" s="19">
        <f>B474*0.4</f>
        <v>1.08</v>
      </c>
      <c r="J474" s="19">
        <v>2</v>
      </c>
      <c r="K474" s="19">
        <f t="shared" ref="K474:L474" si="344">A474</f>
        <v>3</v>
      </c>
      <c r="L474" s="19">
        <f t="shared" si="344"/>
        <v>2.7</v>
      </c>
      <c r="M474" s="19">
        <f>A474</f>
        <v>3</v>
      </c>
      <c r="N474" s="19">
        <f>(1.2*0.4)*2</f>
        <v>0.96</v>
      </c>
      <c r="O474" s="19"/>
      <c r="P474" s="24"/>
      <c r="Q474" s="24"/>
      <c r="R474" s="19"/>
    </row>
    <row r="475" spans="1:18" ht="14.25" customHeight="1" x14ac:dyDescent="0.2">
      <c r="A475" s="19"/>
      <c r="B475" s="19"/>
      <c r="C475" s="19"/>
      <c r="D475" s="26" t="str">
        <f>D468</f>
        <v>10500</v>
      </c>
      <c r="E475" s="45">
        <v>0</v>
      </c>
      <c r="F475" s="45">
        <v>0</v>
      </c>
      <c r="G475" s="45">
        <v>2</v>
      </c>
      <c r="H475" s="19">
        <f>B474*2</f>
        <v>5.4</v>
      </c>
      <c r="I475" s="19"/>
      <c r="J475" s="19"/>
      <c r="K475" s="19"/>
      <c r="L475" s="19"/>
      <c r="M475" s="19"/>
      <c r="N475" s="28"/>
      <c r="O475" s="19"/>
      <c r="P475" s="24"/>
      <c r="Q475" s="24"/>
      <c r="R475" s="19"/>
    </row>
    <row r="476" spans="1:18" ht="14.25" customHeight="1" x14ac:dyDescent="0.2">
      <c r="A476" s="19"/>
      <c r="B476" s="19"/>
      <c r="C476" s="19"/>
      <c r="D476" s="19">
        <f>D474*D475</f>
        <v>25514.999999999996</v>
      </c>
      <c r="E476" s="45">
        <f>E475*E473</f>
        <v>0</v>
      </c>
      <c r="F476" s="45">
        <f t="shared" ref="F476:H476" si="345">F473*F475</f>
        <v>0</v>
      </c>
      <c r="G476" s="45">
        <f t="shared" si="345"/>
        <v>3600</v>
      </c>
      <c r="H476" s="19">
        <f t="shared" si="345"/>
        <v>2052</v>
      </c>
      <c r="I476" s="19">
        <f t="shared" ref="I476:N476" si="346">I473*I474</f>
        <v>5940</v>
      </c>
      <c r="J476" s="19">
        <f t="shared" si="346"/>
        <v>2000</v>
      </c>
      <c r="K476" s="19">
        <f t="shared" si="346"/>
        <v>1125</v>
      </c>
      <c r="L476" s="19">
        <f t="shared" si="346"/>
        <v>1579.5</v>
      </c>
      <c r="M476" s="19">
        <f t="shared" si="346"/>
        <v>3000</v>
      </c>
      <c r="N476" s="19">
        <f t="shared" si="346"/>
        <v>3168</v>
      </c>
      <c r="O476" s="19">
        <f>SUM(D476:N476)</f>
        <v>47979.5</v>
      </c>
      <c r="P476" s="24">
        <f>O476/A474</f>
        <v>15993.166666666666</v>
      </c>
      <c r="Q476" s="24">
        <f>P476*Q473</f>
        <v>31986.333333333332</v>
      </c>
      <c r="R476" s="19">
        <f>MROUND(Q476,100)</f>
        <v>32000</v>
      </c>
    </row>
    <row r="477" spans="1:18" ht="14.25" customHeight="1" x14ac:dyDescent="0.1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9"/>
      <c r="Q477" s="39"/>
    </row>
    <row r="478" spans="1:18" ht="14.25" customHeight="1" x14ac:dyDescent="0.3">
      <c r="A478" s="109" t="str">
        <f>PRICELIST!I72</f>
        <v>WFLX-LNR-NSH-LVP-900-X</v>
      </c>
      <c r="B478" s="87"/>
      <c r="C478" s="8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22"/>
      <c r="Q478" s="22"/>
      <c r="R478" s="17"/>
    </row>
    <row r="479" spans="1:18" ht="14.25" customHeight="1" x14ac:dyDescent="0.15">
      <c r="A479" s="19" t="s">
        <v>57</v>
      </c>
      <c r="B479" s="19" t="s">
        <v>59</v>
      </c>
      <c r="C479" s="19" t="s">
        <v>62</v>
      </c>
      <c r="D479" s="19" t="s">
        <v>64</v>
      </c>
      <c r="E479" s="19">
        <v>1200</v>
      </c>
      <c r="F479" s="19">
        <v>900</v>
      </c>
      <c r="G479" s="19">
        <v>600</v>
      </c>
      <c r="H479" s="19" t="s">
        <v>67</v>
      </c>
      <c r="I479" s="19" t="s">
        <v>68</v>
      </c>
      <c r="J479" s="19" t="s">
        <v>69</v>
      </c>
      <c r="K479" s="19" t="s">
        <v>71</v>
      </c>
      <c r="L479" s="19" t="s">
        <v>72</v>
      </c>
      <c r="M479" s="19" t="s">
        <v>73</v>
      </c>
      <c r="N479" s="19" t="s">
        <v>75</v>
      </c>
      <c r="O479" s="19" t="s">
        <v>76</v>
      </c>
      <c r="P479" s="24" t="s">
        <v>78</v>
      </c>
      <c r="Q479" s="24" t="s">
        <v>79</v>
      </c>
      <c r="R479" s="19" t="s">
        <v>81</v>
      </c>
    </row>
    <row r="480" spans="1:18" ht="14.25" customHeight="1" x14ac:dyDescent="0.15">
      <c r="A480" s="21">
        <f t="shared" ref="A480:B480" si="347">A473</f>
        <v>0</v>
      </c>
      <c r="B480" s="21">
        <f t="shared" si="347"/>
        <v>0</v>
      </c>
      <c r="C480" s="44" t="s">
        <v>188</v>
      </c>
      <c r="D480" s="21">
        <f t="shared" ref="D480:H480" si="348">D473</f>
        <v>0</v>
      </c>
      <c r="E480" s="23" t="str">
        <f t="shared" si="348"/>
        <v>2100</v>
      </c>
      <c r="F480" s="23" t="str">
        <f t="shared" si="348"/>
        <v>1900</v>
      </c>
      <c r="G480" s="23" t="str">
        <f t="shared" si="348"/>
        <v>1800</v>
      </c>
      <c r="H480" s="23">
        <f t="shared" si="348"/>
        <v>380</v>
      </c>
      <c r="I480" s="23" t="str">
        <f>I459</f>
        <v>0</v>
      </c>
      <c r="J480" s="23" t="str">
        <f t="shared" ref="J480:Q480" si="349">J473</f>
        <v>1000</v>
      </c>
      <c r="K480" s="23">
        <f t="shared" si="349"/>
        <v>375</v>
      </c>
      <c r="L480" s="23">
        <f t="shared" si="349"/>
        <v>585</v>
      </c>
      <c r="M480" s="23" t="str">
        <f t="shared" si="349"/>
        <v>1000</v>
      </c>
      <c r="N480" s="23">
        <f t="shared" si="349"/>
        <v>3300</v>
      </c>
      <c r="O480" s="23">
        <f t="shared" si="349"/>
        <v>0</v>
      </c>
      <c r="P480" s="27">
        <f t="shared" si="349"/>
        <v>0</v>
      </c>
      <c r="Q480" s="27">
        <f t="shared" si="349"/>
        <v>2</v>
      </c>
      <c r="R480" s="21"/>
    </row>
    <row r="481" spans="1:18" ht="14.25" customHeight="1" x14ac:dyDescent="0.15">
      <c r="A481" s="19">
        <v>3</v>
      </c>
      <c r="B481" s="19">
        <f>0.9*3</f>
        <v>2.7</v>
      </c>
      <c r="C481" s="19">
        <f>0.6+0.3</f>
        <v>0.89999999999999991</v>
      </c>
      <c r="D481" s="19">
        <f>B481*C481</f>
        <v>2.4299999999999997</v>
      </c>
      <c r="E481" s="19"/>
      <c r="F481" s="19"/>
      <c r="G481" s="19"/>
      <c r="H481" s="19"/>
      <c r="I481" s="19">
        <f>B481*0.4</f>
        <v>1.08</v>
      </c>
      <c r="J481" s="19">
        <v>2</v>
      </c>
      <c r="K481" s="19">
        <f t="shared" ref="K481:L481" si="350">A481</f>
        <v>3</v>
      </c>
      <c r="L481" s="19">
        <f t="shared" si="350"/>
        <v>2.7</v>
      </c>
      <c r="M481" s="19">
        <f>A481</f>
        <v>3</v>
      </c>
      <c r="N481" s="19">
        <f>(1.2*0.4)*2</f>
        <v>0.96</v>
      </c>
      <c r="O481" s="19"/>
      <c r="P481" s="24"/>
      <c r="Q481" s="24"/>
      <c r="R481" s="19"/>
    </row>
    <row r="482" spans="1:18" ht="14.25" customHeight="1" x14ac:dyDescent="0.2">
      <c r="A482" s="19"/>
      <c r="B482" s="19"/>
      <c r="C482" s="19"/>
      <c r="D482" s="26" t="str">
        <f>D475</f>
        <v>10500</v>
      </c>
      <c r="E482" s="45">
        <v>0</v>
      </c>
      <c r="F482" s="45">
        <v>0</v>
      </c>
      <c r="G482" s="45">
        <v>2</v>
      </c>
      <c r="H482" s="19">
        <f>B481*2</f>
        <v>5.4</v>
      </c>
      <c r="I482" s="19"/>
      <c r="J482" s="19"/>
      <c r="K482" s="19"/>
      <c r="L482" s="19"/>
      <c r="M482" s="19"/>
      <c r="N482" s="28"/>
      <c r="O482" s="19"/>
      <c r="P482" s="24"/>
      <c r="Q482" s="24"/>
      <c r="R482" s="19"/>
    </row>
    <row r="483" spans="1:18" ht="14.25" customHeight="1" x14ac:dyDescent="0.2">
      <c r="A483" s="19"/>
      <c r="B483" s="19"/>
      <c r="C483" s="19"/>
      <c r="D483" s="19">
        <f>D481*D482</f>
        <v>25514.999999999996</v>
      </c>
      <c r="E483" s="45">
        <f>E482*E480</f>
        <v>0</v>
      </c>
      <c r="F483" s="45">
        <f t="shared" ref="F483:H483" si="351">F480*F482</f>
        <v>0</v>
      </c>
      <c r="G483" s="45">
        <f t="shared" si="351"/>
        <v>3600</v>
      </c>
      <c r="H483" s="19">
        <f t="shared" si="351"/>
        <v>2052</v>
      </c>
      <c r="I483" s="19">
        <f t="shared" ref="I483:N483" si="352">I480*I481</f>
        <v>0</v>
      </c>
      <c r="J483" s="19">
        <f t="shared" si="352"/>
        <v>2000</v>
      </c>
      <c r="K483" s="19">
        <f t="shared" si="352"/>
        <v>1125</v>
      </c>
      <c r="L483" s="19">
        <f t="shared" si="352"/>
        <v>1579.5</v>
      </c>
      <c r="M483" s="19">
        <f t="shared" si="352"/>
        <v>3000</v>
      </c>
      <c r="N483" s="19">
        <f t="shared" si="352"/>
        <v>3168</v>
      </c>
      <c r="O483" s="19">
        <f>SUM(D483:N483)</f>
        <v>42039.5</v>
      </c>
      <c r="P483" s="24">
        <f>O483/A481</f>
        <v>14013.166666666666</v>
      </c>
      <c r="Q483" s="24">
        <f>P483*Q480</f>
        <v>28026.333333333332</v>
      </c>
      <c r="R483" s="19">
        <f>MROUND(Q483,100)</f>
        <v>28000</v>
      </c>
    </row>
    <row r="484" spans="1:18" ht="14.25" customHeight="1" x14ac:dyDescent="0.1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9"/>
      <c r="Q484" s="39"/>
    </row>
    <row r="485" spans="1:18" ht="14.25" customHeight="1" x14ac:dyDescent="0.3">
      <c r="A485" s="109" t="str">
        <f>PRICELIST!I73</f>
        <v>WFLX-LNR-NSH-MB-900-F</v>
      </c>
      <c r="B485" s="87"/>
      <c r="C485" s="8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22"/>
      <c r="Q485" s="22"/>
      <c r="R485" s="17"/>
    </row>
    <row r="486" spans="1:18" ht="14.25" customHeight="1" x14ac:dyDescent="0.15">
      <c r="A486" s="19" t="s">
        <v>57</v>
      </c>
      <c r="B486" s="19" t="s">
        <v>59</v>
      </c>
      <c r="C486" s="19" t="s">
        <v>62</v>
      </c>
      <c r="D486" s="19" t="s">
        <v>64</v>
      </c>
      <c r="E486" s="19">
        <v>1200</v>
      </c>
      <c r="F486" s="19">
        <v>900</v>
      </c>
      <c r="G486" s="19">
        <v>600</v>
      </c>
      <c r="H486" s="19" t="s">
        <v>67</v>
      </c>
      <c r="I486" s="19" t="s">
        <v>68</v>
      </c>
      <c r="J486" s="19" t="s">
        <v>69</v>
      </c>
      <c r="K486" s="19" t="s">
        <v>71</v>
      </c>
      <c r="L486" s="19" t="s">
        <v>72</v>
      </c>
      <c r="M486" s="19" t="s">
        <v>73</v>
      </c>
      <c r="N486" s="19" t="s">
        <v>75</v>
      </c>
      <c r="O486" s="19" t="s">
        <v>76</v>
      </c>
      <c r="P486" s="24" t="s">
        <v>78</v>
      </c>
      <c r="Q486" s="24" t="s">
        <v>79</v>
      </c>
      <c r="R486" s="19" t="s">
        <v>81</v>
      </c>
    </row>
    <row r="487" spans="1:18" ht="14.25" customHeight="1" x14ac:dyDescent="0.15">
      <c r="A487" s="21">
        <f t="shared" ref="A487:B487" si="353">A480</f>
        <v>0</v>
      </c>
      <c r="B487" s="21">
        <f t="shared" si="353"/>
        <v>0</v>
      </c>
      <c r="C487" s="44" t="s">
        <v>188</v>
      </c>
      <c r="D487" s="21">
        <f t="shared" ref="D487:H487" si="354">D480</f>
        <v>0</v>
      </c>
      <c r="E487" s="23" t="str">
        <f t="shared" si="354"/>
        <v>2100</v>
      </c>
      <c r="F487" s="23" t="str">
        <f t="shared" si="354"/>
        <v>1900</v>
      </c>
      <c r="G487" s="23" t="str">
        <f t="shared" si="354"/>
        <v>1800</v>
      </c>
      <c r="H487" s="23">
        <f t="shared" si="354"/>
        <v>380</v>
      </c>
      <c r="I487" s="23" t="str">
        <f>I466</f>
        <v>4800</v>
      </c>
      <c r="J487" s="23" t="str">
        <f t="shared" ref="J487:Q487" si="355">J480</f>
        <v>1000</v>
      </c>
      <c r="K487" s="23">
        <f t="shared" si="355"/>
        <v>375</v>
      </c>
      <c r="L487" s="23">
        <f t="shared" si="355"/>
        <v>585</v>
      </c>
      <c r="M487" s="23" t="str">
        <f t="shared" si="355"/>
        <v>1000</v>
      </c>
      <c r="N487" s="23">
        <f t="shared" si="355"/>
        <v>3300</v>
      </c>
      <c r="O487" s="23">
        <f t="shared" si="355"/>
        <v>0</v>
      </c>
      <c r="P487" s="27">
        <f t="shared" si="355"/>
        <v>0</v>
      </c>
      <c r="Q487" s="27">
        <f t="shared" si="355"/>
        <v>2</v>
      </c>
      <c r="R487" s="21"/>
    </row>
    <row r="488" spans="1:18" ht="14.25" customHeight="1" x14ac:dyDescent="0.15">
      <c r="A488" s="19">
        <v>3</v>
      </c>
      <c r="B488" s="19">
        <f>0.9*3</f>
        <v>2.7</v>
      </c>
      <c r="C488" s="19">
        <f>0.6+0.3</f>
        <v>0.89999999999999991</v>
      </c>
      <c r="D488" s="19">
        <f>B488*C488</f>
        <v>2.4299999999999997</v>
      </c>
      <c r="E488" s="19"/>
      <c r="F488" s="19"/>
      <c r="G488" s="19"/>
      <c r="H488" s="19"/>
      <c r="I488" s="19">
        <f>B488*0.4</f>
        <v>1.08</v>
      </c>
      <c r="J488" s="19">
        <v>2</v>
      </c>
      <c r="K488" s="19">
        <f t="shared" ref="K488:L488" si="356">A488</f>
        <v>3</v>
      </c>
      <c r="L488" s="19">
        <f t="shared" si="356"/>
        <v>2.7</v>
      </c>
      <c r="M488" s="19">
        <f>A488</f>
        <v>3</v>
      </c>
      <c r="N488" s="19">
        <f>(1.2*0.4)*2</f>
        <v>0.96</v>
      </c>
      <c r="O488" s="19"/>
      <c r="P488" s="24"/>
      <c r="Q488" s="24"/>
      <c r="R488" s="19"/>
    </row>
    <row r="489" spans="1:18" ht="14.25" customHeight="1" x14ac:dyDescent="0.2">
      <c r="A489" s="19"/>
      <c r="B489" s="19"/>
      <c r="C489" s="19"/>
      <c r="D489" s="26" t="str">
        <f>D363</f>
        <v>16250</v>
      </c>
      <c r="E489" s="45">
        <v>0</v>
      </c>
      <c r="F489" s="45">
        <v>0</v>
      </c>
      <c r="G489" s="45">
        <v>2</v>
      </c>
      <c r="H489" s="19">
        <f>B488*2</f>
        <v>5.4</v>
      </c>
      <c r="I489" s="19"/>
      <c r="J489" s="19"/>
      <c r="K489" s="19"/>
      <c r="L489" s="19"/>
      <c r="M489" s="19"/>
      <c r="N489" s="28"/>
      <c r="O489" s="19"/>
      <c r="P489" s="24"/>
      <c r="Q489" s="24"/>
      <c r="R489" s="19"/>
    </row>
    <row r="490" spans="1:18" ht="14.25" customHeight="1" x14ac:dyDescent="0.2">
      <c r="A490" s="19"/>
      <c r="B490" s="19"/>
      <c r="C490" s="19"/>
      <c r="D490" s="19">
        <f>D488*D489</f>
        <v>39487.499999999993</v>
      </c>
      <c r="E490" s="45">
        <f>E489*E487</f>
        <v>0</v>
      </c>
      <c r="F490" s="45">
        <f t="shared" ref="F490:H490" si="357">F487*F489</f>
        <v>0</v>
      </c>
      <c r="G490" s="45">
        <f t="shared" si="357"/>
        <v>3600</v>
      </c>
      <c r="H490" s="19">
        <f t="shared" si="357"/>
        <v>2052</v>
      </c>
      <c r="I490" s="19">
        <f t="shared" ref="I490:N490" si="358">I487*I488</f>
        <v>5184</v>
      </c>
      <c r="J490" s="19">
        <f t="shared" si="358"/>
        <v>2000</v>
      </c>
      <c r="K490" s="19">
        <f t="shared" si="358"/>
        <v>1125</v>
      </c>
      <c r="L490" s="19">
        <f t="shared" si="358"/>
        <v>1579.5</v>
      </c>
      <c r="M490" s="19">
        <f t="shared" si="358"/>
        <v>3000</v>
      </c>
      <c r="N490" s="19">
        <f t="shared" si="358"/>
        <v>3168</v>
      </c>
      <c r="O490" s="19">
        <f>SUM(D490:N490)</f>
        <v>61195.999999999993</v>
      </c>
      <c r="P490" s="24">
        <f>O490/A488</f>
        <v>20398.666666666664</v>
      </c>
      <c r="Q490" s="24">
        <f>P490*Q487</f>
        <v>40797.333333333328</v>
      </c>
      <c r="R490" s="19">
        <f>MROUND(Q490,100)</f>
        <v>40800</v>
      </c>
    </row>
    <row r="491" spans="1:18" ht="14.25" customHeight="1" x14ac:dyDescent="0.1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9"/>
      <c r="Q491" s="39"/>
    </row>
    <row r="492" spans="1:18" ht="14.25" customHeight="1" x14ac:dyDescent="0.3">
      <c r="A492" s="109" t="str">
        <f>PRICELIST!I74</f>
        <v>WFLX-LNR-NSH-MB-900-G</v>
      </c>
      <c r="B492" s="87"/>
      <c r="C492" s="8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22"/>
      <c r="Q492" s="22"/>
      <c r="R492" s="17"/>
    </row>
    <row r="493" spans="1:18" ht="14.25" customHeight="1" x14ac:dyDescent="0.15">
      <c r="A493" s="19" t="s">
        <v>57</v>
      </c>
      <c r="B493" s="19" t="s">
        <v>59</v>
      </c>
      <c r="C493" s="19" t="s">
        <v>62</v>
      </c>
      <c r="D493" s="19" t="s">
        <v>64</v>
      </c>
      <c r="E493" s="19">
        <v>1200</v>
      </c>
      <c r="F493" s="19">
        <v>900</v>
      </c>
      <c r="G493" s="19">
        <v>600</v>
      </c>
      <c r="H493" s="19" t="s">
        <v>67</v>
      </c>
      <c r="I493" s="19" t="s">
        <v>68</v>
      </c>
      <c r="J493" s="19" t="s">
        <v>69</v>
      </c>
      <c r="K493" s="19" t="s">
        <v>71</v>
      </c>
      <c r="L493" s="19" t="s">
        <v>72</v>
      </c>
      <c r="M493" s="19" t="s">
        <v>73</v>
      </c>
      <c r="N493" s="19" t="s">
        <v>75</v>
      </c>
      <c r="O493" s="19" t="s">
        <v>76</v>
      </c>
      <c r="P493" s="24" t="s">
        <v>78</v>
      </c>
      <c r="Q493" s="24" t="s">
        <v>79</v>
      </c>
      <c r="R493" s="19" t="s">
        <v>81</v>
      </c>
    </row>
    <row r="494" spans="1:18" ht="14.25" customHeight="1" x14ac:dyDescent="0.15">
      <c r="A494" s="21">
        <f t="shared" ref="A494:B494" si="359">A487</f>
        <v>0</v>
      </c>
      <c r="B494" s="21">
        <f t="shared" si="359"/>
        <v>0</v>
      </c>
      <c r="C494" s="44" t="s">
        <v>188</v>
      </c>
      <c r="D494" s="21">
        <f t="shared" ref="D494:H494" si="360">D487</f>
        <v>0</v>
      </c>
      <c r="E494" s="23" t="str">
        <f t="shared" si="360"/>
        <v>2100</v>
      </c>
      <c r="F494" s="23" t="str">
        <f t="shared" si="360"/>
        <v>1900</v>
      </c>
      <c r="G494" s="23" t="str">
        <f t="shared" si="360"/>
        <v>1800</v>
      </c>
      <c r="H494" s="23">
        <f t="shared" si="360"/>
        <v>380</v>
      </c>
      <c r="I494" s="23" t="str">
        <f>I473</f>
        <v>5500</v>
      </c>
      <c r="J494" s="23" t="str">
        <f t="shared" ref="J494:Q494" si="361">J487</f>
        <v>1000</v>
      </c>
      <c r="K494" s="23">
        <f t="shared" si="361"/>
        <v>375</v>
      </c>
      <c r="L494" s="23">
        <f t="shared" si="361"/>
        <v>585</v>
      </c>
      <c r="M494" s="23" t="str">
        <f t="shared" si="361"/>
        <v>1000</v>
      </c>
      <c r="N494" s="23">
        <f t="shared" si="361"/>
        <v>3300</v>
      </c>
      <c r="O494" s="23">
        <f t="shared" si="361"/>
        <v>0</v>
      </c>
      <c r="P494" s="27">
        <f t="shared" si="361"/>
        <v>0</v>
      </c>
      <c r="Q494" s="27">
        <f t="shared" si="361"/>
        <v>2</v>
      </c>
      <c r="R494" s="21"/>
    </row>
    <row r="495" spans="1:18" ht="14.25" customHeight="1" x14ac:dyDescent="0.15">
      <c r="A495" s="19">
        <v>3</v>
      </c>
      <c r="B495" s="19">
        <f>0.9*3</f>
        <v>2.7</v>
      </c>
      <c r="C495" s="19">
        <f>0.6+0.3</f>
        <v>0.89999999999999991</v>
      </c>
      <c r="D495" s="19">
        <f>B495*C495</f>
        <v>2.4299999999999997</v>
      </c>
      <c r="E495" s="19"/>
      <c r="F495" s="19"/>
      <c r="G495" s="19"/>
      <c r="H495" s="19"/>
      <c r="I495" s="19">
        <f>B495*0.4</f>
        <v>1.08</v>
      </c>
      <c r="J495" s="19">
        <v>2</v>
      </c>
      <c r="K495" s="19">
        <f t="shared" ref="K495:L495" si="362">A495</f>
        <v>3</v>
      </c>
      <c r="L495" s="19">
        <f t="shared" si="362"/>
        <v>2.7</v>
      </c>
      <c r="M495" s="19">
        <f>A495</f>
        <v>3</v>
      </c>
      <c r="N495" s="19">
        <f>(1.2*0.4)*2</f>
        <v>0.96</v>
      </c>
      <c r="O495" s="19"/>
      <c r="P495" s="24"/>
      <c r="Q495" s="24"/>
      <c r="R495" s="19"/>
    </row>
    <row r="496" spans="1:18" ht="14.25" customHeight="1" x14ac:dyDescent="0.2">
      <c r="A496" s="19"/>
      <c r="B496" s="19"/>
      <c r="C496" s="19"/>
      <c r="D496" s="26" t="str">
        <f>D489</f>
        <v>16250</v>
      </c>
      <c r="E496" s="45">
        <v>0</v>
      </c>
      <c r="F496" s="45">
        <v>0</v>
      </c>
      <c r="G496" s="45">
        <v>2</v>
      </c>
      <c r="H496" s="19">
        <f>B495*2</f>
        <v>5.4</v>
      </c>
      <c r="I496" s="19"/>
      <c r="J496" s="19"/>
      <c r="K496" s="19"/>
      <c r="L496" s="19"/>
      <c r="M496" s="19"/>
      <c r="N496" s="28"/>
      <c r="O496" s="19"/>
      <c r="P496" s="24"/>
      <c r="Q496" s="24"/>
      <c r="R496" s="19"/>
    </row>
    <row r="497" spans="1:18" ht="14.25" customHeight="1" x14ac:dyDescent="0.2">
      <c r="A497" s="19"/>
      <c r="B497" s="19"/>
      <c r="C497" s="19"/>
      <c r="D497" s="19">
        <f>D495*D496</f>
        <v>39487.499999999993</v>
      </c>
      <c r="E497" s="45">
        <f>E496*E494</f>
        <v>0</v>
      </c>
      <c r="F497" s="45">
        <f t="shared" ref="F497:H497" si="363">F494*F496</f>
        <v>0</v>
      </c>
      <c r="G497" s="45">
        <f t="shared" si="363"/>
        <v>3600</v>
      </c>
      <c r="H497" s="19">
        <f t="shared" si="363"/>
        <v>2052</v>
      </c>
      <c r="I497" s="19">
        <f t="shared" ref="I497:N497" si="364">I494*I495</f>
        <v>5940</v>
      </c>
      <c r="J497" s="19">
        <f t="shared" si="364"/>
        <v>2000</v>
      </c>
      <c r="K497" s="19">
        <f t="shared" si="364"/>
        <v>1125</v>
      </c>
      <c r="L497" s="19">
        <f t="shared" si="364"/>
        <v>1579.5</v>
      </c>
      <c r="M497" s="19">
        <f t="shared" si="364"/>
        <v>3000</v>
      </c>
      <c r="N497" s="19">
        <f t="shared" si="364"/>
        <v>3168</v>
      </c>
      <c r="O497" s="19">
        <f>SUM(D497:N497)</f>
        <v>61951.999999999993</v>
      </c>
      <c r="P497" s="24">
        <f>O497/A495</f>
        <v>20650.666666666664</v>
      </c>
      <c r="Q497" s="24">
        <f>P497*Q494</f>
        <v>41301.333333333328</v>
      </c>
      <c r="R497" s="19">
        <f>MROUND(Q497,100)</f>
        <v>41300</v>
      </c>
    </row>
    <row r="498" spans="1:18" ht="14.25" customHeight="1" x14ac:dyDescent="0.1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9"/>
      <c r="Q498" s="39"/>
    </row>
    <row r="499" spans="1:18" ht="14.25" customHeight="1" x14ac:dyDescent="0.3">
      <c r="A499" s="109" t="str">
        <f>PRICELIST!I75</f>
        <v>WFLX-LNR-NSH-MB-900-X</v>
      </c>
      <c r="B499" s="87"/>
      <c r="C499" s="8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22"/>
      <c r="Q499" s="22"/>
      <c r="R499" s="17"/>
    </row>
    <row r="500" spans="1:18" ht="14.25" customHeight="1" x14ac:dyDescent="0.15">
      <c r="A500" s="19" t="s">
        <v>57</v>
      </c>
      <c r="B500" s="19" t="s">
        <v>59</v>
      </c>
      <c r="C500" s="19" t="s">
        <v>62</v>
      </c>
      <c r="D500" s="19" t="s">
        <v>64</v>
      </c>
      <c r="E500" s="19">
        <v>1200</v>
      </c>
      <c r="F500" s="19">
        <v>900</v>
      </c>
      <c r="G500" s="19">
        <v>600</v>
      </c>
      <c r="H500" s="19" t="s">
        <v>67</v>
      </c>
      <c r="I500" s="19" t="s">
        <v>68</v>
      </c>
      <c r="J500" s="19" t="s">
        <v>69</v>
      </c>
      <c r="K500" s="19" t="s">
        <v>71</v>
      </c>
      <c r="L500" s="19" t="s">
        <v>72</v>
      </c>
      <c r="M500" s="19" t="s">
        <v>73</v>
      </c>
      <c r="N500" s="19" t="s">
        <v>75</v>
      </c>
      <c r="O500" s="19" t="s">
        <v>76</v>
      </c>
      <c r="P500" s="24" t="s">
        <v>78</v>
      </c>
      <c r="Q500" s="24" t="s">
        <v>79</v>
      </c>
      <c r="R500" s="19" t="s">
        <v>81</v>
      </c>
    </row>
    <row r="501" spans="1:18" ht="14.25" customHeight="1" x14ac:dyDescent="0.15">
      <c r="A501" s="21">
        <f t="shared" ref="A501:B501" si="365">A494</f>
        <v>0</v>
      </c>
      <c r="B501" s="21">
        <f t="shared" si="365"/>
        <v>0</v>
      </c>
      <c r="C501" s="44" t="s">
        <v>188</v>
      </c>
      <c r="D501" s="21">
        <f t="shared" ref="D501:H501" si="366">D494</f>
        <v>0</v>
      </c>
      <c r="E501" s="23" t="str">
        <f t="shared" si="366"/>
        <v>2100</v>
      </c>
      <c r="F501" s="23" t="str">
        <f t="shared" si="366"/>
        <v>1900</v>
      </c>
      <c r="G501" s="23" t="str">
        <f t="shared" si="366"/>
        <v>1800</v>
      </c>
      <c r="H501" s="23">
        <f t="shared" si="366"/>
        <v>380</v>
      </c>
      <c r="I501" s="23" t="str">
        <f>I480</f>
        <v>0</v>
      </c>
      <c r="J501" s="23" t="str">
        <f t="shared" ref="J501:Q501" si="367">J494</f>
        <v>1000</v>
      </c>
      <c r="K501" s="23">
        <f t="shared" si="367"/>
        <v>375</v>
      </c>
      <c r="L501" s="23">
        <f t="shared" si="367"/>
        <v>585</v>
      </c>
      <c r="M501" s="23" t="str">
        <f t="shared" si="367"/>
        <v>1000</v>
      </c>
      <c r="N501" s="23">
        <f t="shared" si="367"/>
        <v>3300</v>
      </c>
      <c r="O501" s="23">
        <f t="shared" si="367"/>
        <v>0</v>
      </c>
      <c r="P501" s="27">
        <f t="shared" si="367"/>
        <v>0</v>
      </c>
      <c r="Q501" s="27">
        <f t="shared" si="367"/>
        <v>2</v>
      </c>
      <c r="R501" s="21"/>
    </row>
    <row r="502" spans="1:18" ht="14.25" customHeight="1" x14ac:dyDescent="0.15">
      <c r="A502" s="19">
        <v>3</v>
      </c>
      <c r="B502" s="19">
        <f>0.9*3</f>
        <v>2.7</v>
      </c>
      <c r="C502" s="19">
        <f>0.6+0.3</f>
        <v>0.89999999999999991</v>
      </c>
      <c r="D502" s="19">
        <f>B502*C502</f>
        <v>2.4299999999999997</v>
      </c>
      <c r="E502" s="19"/>
      <c r="F502" s="19"/>
      <c r="G502" s="19"/>
      <c r="H502" s="19"/>
      <c r="I502" s="19">
        <f>B502*0.4</f>
        <v>1.08</v>
      </c>
      <c r="J502" s="19">
        <v>2</v>
      </c>
      <c r="K502" s="19">
        <f t="shared" ref="K502:L502" si="368">A502</f>
        <v>3</v>
      </c>
      <c r="L502" s="19">
        <f t="shared" si="368"/>
        <v>2.7</v>
      </c>
      <c r="M502" s="19">
        <f>A502</f>
        <v>3</v>
      </c>
      <c r="N502" s="19">
        <f>(1.2*0.4)*2</f>
        <v>0.96</v>
      </c>
      <c r="O502" s="19"/>
      <c r="P502" s="24"/>
      <c r="Q502" s="24"/>
      <c r="R502" s="19"/>
    </row>
    <row r="503" spans="1:18" ht="14.25" customHeight="1" x14ac:dyDescent="0.2">
      <c r="A503" s="19"/>
      <c r="B503" s="19"/>
      <c r="C503" s="19"/>
      <c r="D503" s="26" t="str">
        <f>D496</f>
        <v>16250</v>
      </c>
      <c r="E503" s="45">
        <v>0</v>
      </c>
      <c r="F503" s="45">
        <v>0</v>
      </c>
      <c r="G503" s="45">
        <v>2</v>
      </c>
      <c r="H503" s="19">
        <f>B502*2</f>
        <v>5.4</v>
      </c>
      <c r="I503" s="19"/>
      <c r="J503" s="19"/>
      <c r="K503" s="19"/>
      <c r="L503" s="19"/>
      <c r="M503" s="19"/>
      <c r="N503" s="28"/>
      <c r="O503" s="19"/>
      <c r="P503" s="24"/>
      <c r="Q503" s="24"/>
      <c r="R503" s="19"/>
    </row>
    <row r="504" spans="1:18" ht="14.25" customHeight="1" x14ac:dyDescent="0.2">
      <c r="A504" s="19"/>
      <c r="B504" s="19"/>
      <c r="C504" s="19"/>
      <c r="D504" s="19">
        <f>D502*D503</f>
        <v>39487.499999999993</v>
      </c>
      <c r="E504" s="45">
        <f>E503*E501</f>
        <v>0</v>
      </c>
      <c r="F504" s="45">
        <f t="shared" ref="F504:H504" si="369">F501*F503</f>
        <v>0</v>
      </c>
      <c r="G504" s="45">
        <f t="shared" si="369"/>
        <v>3600</v>
      </c>
      <c r="H504" s="19">
        <f t="shared" si="369"/>
        <v>2052</v>
      </c>
      <c r="I504" s="19">
        <f t="shared" ref="I504:N504" si="370">I501*I502</f>
        <v>0</v>
      </c>
      <c r="J504" s="19">
        <f t="shared" si="370"/>
        <v>2000</v>
      </c>
      <c r="K504" s="19">
        <f t="shared" si="370"/>
        <v>1125</v>
      </c>
      <c r="L504" s="19">
        <f t="shared" si="370"/>
        <v>1579.5</v>
      </c>
      <c r="M504" s="19">
        <f t="shared" si="370"/>
        <v>3000</v>
      </c>
      <c r="N504" s="19">
        <f t="shared" si="370"/>
        <v>3168</v>
      </c>
      <c r="O504" s="19">
        <f>SUM(D504:N504)</f>
        <v>56011.999999999993</v>
      </c>
      <c r="P504" s="24">
        <f>O504/A502</f>
        <v>18670.666666666664</v>
      </c>
      <c r="Q504" s="24">
        <f>P504*Q501</f>
        <v>37341.333333333328</v>
      </c>
      <c r="R504" s="19">
        <f>MROUND(Q504,100)</f>
        <v>37300</v>
      </c>
    </row>
    <row r="505" spans="1:18" ht="14.25" customHeight="1" x14ac:dyDescent="0.1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9"/>
      <c r="Q505" s="39"/>
    </row>
    <row r="506" spans="1:18" ht="14.25" customHeight="1" x14ac:dyDescent="0.3">
      <c r="A506" s="109" t="str">
        <f>PRICELIST!I76</f>
        <v>WFLX-LNR-NSH-PB-1200-F</v>
      </c>
      <c r="B506" s="87"/>
      <c r="C506" s="8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22"/>
      <c r="Q506" s="22"/>
      <c r="R506" s="17"/>
    </row>
    <row r="507" spans="1:18" ht="14.25" customHeight="1" x14ac:dyDescent="0.15">
      <c r="A507" s="19" t="s">
        <v>57</v>
      </c>
      <c r="B507" s="19" t="s">
        <v>59</v>
      </c>
      <c r="C507" s="19" t="s">
        <v>62</v>
      </c>
      <c r="D507" s="19" t="s">
        <v>64</v>
      </c>
      <c r="E507" s="19">
        <v>1200</v>
      </c>
      <c r="F507" s="19">
        <v>900</v>
      </c>
      <c r="G507" s="19">
        <v>600</v>
      </c>
      <c r="H507" s="19" t="s">
        <v>67</v>
      </c>
      <c r="I507" s="19" t="s">
        <v>68</v>
      </c>
      <c r="J507" s="19" t="s">
        <v>69</v>
      </c>
      <c r="K507" s="19" t="s">
        <v>71</v>
      </c>
      <c r="L507" s="19" t="s">
        <v>72</v>
      </c>
      <c r="M507" s="19" t="s">
        <v>73</v>
      </c>
      <c r="N507" s="19" t="s">
        <v>75</v>
      </c>
      <c r="O507" s="19" t="s">
        <v>76</v>
      </c>
      <c r="P507" s="24" t="s">
        <v>78</v>
      </c>
      <c r="Q507" s="24" t="s">
        <v>79</v>
      </c>
      <c r="R507" s="19" t="s">
        <v>81</v>
      </c>
    </row>
    <row r="508" spans="1:18" ht="14.25" customHeight="1" x14ac:dyDescent="0.15">
      <c r="A508" s="21"/>
      <c r="B508" s="21"/>
      <c r="C508" s="44" t="s">
        <v>188</v>
      </c>
      <c r="D508" s="21"/>
      <c r="E508" s="23" t="str">
        <f t="shared" ref="E508:G508" si="371">E501</f>
        <v>2100</v>
      </c>
      <c r="F508" s="23" t="str">
        <f t="shared" si="371"/>
        <v>1900</v>
      </c>
      <c r="G508" s="23" t="str">
        <f t="shared" si="371"/>
        <v>1800</v>
      </c>
      <c r="H508" s="21">
        <v>380</v>
      </c>
      <c r="I508" s="23" t="str">
        <f>I487</f>
        <v>4800</v>
      </c>
      <c r="J508" s="23" t="str">
        <f>J501</f>
        <v>1000</v>
      </c>
      <c r="K508" s="21">
        <v>375</v>
      </c>
      <c r="L508" s="21">
        <v>585</v>
      </c>
      <c r="M508" s="23" t="str">
        <f>M501</f>
        <v>1000</v>
      </c>
      <c r="N508" s="21">
        <v>3300</v>
      </c>
      <c r="O508" s="21"/>
      <c r="P508" s="27"/>
      <c r="Q508" s="27">
        <f>Q501</f>
        <v>2</v>
      </c>
      <c r="R508" s="21"/>
    </row>
    <row r="509" spans="1:18" ht="14.25" customHeight="1" x14ac:dyDescent="0.15">
      <c r="A509" s="19">
        <v>3</v>
      </c>
      <c r="B509" s="19">
        <f>1.2*3</f>
        <v>3.5999999999999996</v>
      </c>
      <c r="C509" s="19">
        <f>0.6+0.3</f>
        <v>0.89999999999999991</v>
      </c>
      <c r="D509" s="19">
        <f>B509*C509</f>
        <v>3.2399999999999993</v>
      </c>
      <c r="E509" s="19"/>
      <c r="F509" s="19"/>
      <c r="G509" s="19"/>
      <c r="H509" s="19"/>
      <c r="I509" s="19">
        <f>B509*0.4</f>
        <v>1.44</v>
      </c>
      <c r="J509" s="19">
        <v>2</v>
      </c>
      <c r="K509" s="19">
        <f t="shared" ref="K509:L509" si="372">A509</f>
        <v>3</v>
      </c>
      <c r="L509" s="19">
        <f t="shared" si="372"/>
        <v>3.5999999999999996</v>
      </c>
      <c r="M509" s="19">
        <f>A509</f>
        <v>3</v>
      </c>
      <c r="N509" s="19">
        <f>(1.2*0.4)*2</f>
        <v>0.96</v>
      </c>
      <c r="O509" s="19"/>
      <c r="P509" s="24"/>
      <c r="Q509" s="24"/>
      <c r="R509" s="19"/>
    </row>
    <row r="510" spans="1:18" ht="14.25" customHeight="1" x14ac:dyDescent="0.2">
      <c r="A510" s="19"/>
      <c r="B510" s="19"/>
      <c r="C510" s="19"/>
      <c r="D510" s="26" t="str">
        <f>D384</f>
        <v>2200</v>
      </c>
      <c r="E510" s="45">
        <v>0</v>
      </c>
      <c r="F510" s="45">
        <v>0</v>
      </c>
      <c r="G510" s="45">
        <v>2</v>
      </c>
      <c r="H510" s="19">
        <f>B509*2</f>
        <v>7.1999999999999993</v>
      </c>
      <c r="I510" s="19"/>
      <c r="J510" s="19"/>
      <c r="K510" s="19"/>
      <c r="L510" s="19"/>
      <c r="M510" s="19"/>
      <c r="N510" s="28"/>
      <c r="O510" s="19"/>
      <c r="P510" s="24"/>
      <c r="Q510" s="24"/>
      <c r="R510" s="19"/>
    </row>
    <row r="511" spans="1:18" ht="14.25" customHeight="1" x14ac:dyDescent="0.2">
      <c r="A511" s="19"/>
      <c r="B511" s="19"/>
      <c r="C511" s="19"/>
      <c r="D511" s="19">
        <f>D509*D510</f>
        <v>7127.9999999999982</v>
      </c>
      <c r="E511" s="45">
        <f>E510*E508</f>
        <v>0</v>
      </c>
      <c r="F511" s="45">
        <f t="shared" ref="F511:H511" si="373">F508*F510</f>
        <v>0</v>
      </c>
      <c r="G511" s="45">
        <f t="shared" si="373"/>
        <v>3600</v>
      </c>
      <c r="H511" s="19">
        <f t="shared" si="373"/>
        <v>2735.9999999999995</v>
      </c>
      <c r="I511" s="19">
        <f t="shared" ref="I511:N511" si="374">I508*I509</f>
        <v>6912</v>
      </c>
      <c r="J511" s="19">
        <f t="shared" si="374"/>
        <v>2000</v>
      </c>
      <c r="K511" s="19">
        <f t="shared" si="374"/>
        <v>1125</v>
      </c>
      <c r="L511" s="19">
        <f t="shared" si="374"/>
        <v>2106</v>
      </c>
      <c r="M511" s="19">
        <f t="shared" si="374"/>
        <v>3000</v>
      </c>
      <c r="N511" s="19">
        <f t="shared" si="374"/>
        <v>3168</v>
      </c>
      <c r="O511" s="19">
        <f>SUM(D511:N511)</f>
        <v>31775</v>
      </c>
      <c r="P511" s="24">
        <f>O511/A509</f>
        <v>10591.666666666666</v>
      </c>
      <c r="Q511" s="24">
        <f>P511*Q508</f>
        <v>21183.333333333332</v>
      </c>
      <c r="R511" s="19">
        <f>MROUND(Q511,100)</f>
        <v>21200</v>
      </c>
    </row>
    <row r="512" spans="1:18" ht="14.25" customHeight="1" x14ac:dyDescent="0.1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9"/>
      <c r="Q512" s="39"/>
    </row>
    <row r="513" spans="1:18" ht="14.25" customHeight="1" x14ac:dyDescent="0.3">
      <c r="A513" s="109" t="str">
        <f>PRICELIST!I77</f>
        <v>WFLX-LNR-NSH-PB-1200-G</v>
      </c>
      <c r="B513" s="87"/>
      <c r="C513" s="8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22"/>
      <c r="Q513" s="22"/>
      <c r="R513" s="17"/>
    </row>
    <row r="514" spans="1:18" ht="14.25" customHeight="1" x14ac:dyDescent="0.15">
      <c r="A514" s="19" t="s">
        <v>57</v>
      </c>
      <c r="B514" s="19" t="s">
        <v>59</v>
      </c>
      <c r="C514" s="19" t="s">
        <v>62</v>
      </c>
      <c r="D514" s="19" t="s">
        <v>64</v>
      </c>
      <c r="E514" s="19">
        <v>1200</v>
      </c>
      <c r="F514" s="19">
        <v>900</v>
      </c>
      <c r="G514" s="19">
        <v>600</v>
      </c>
      <c r="H514" s="19" t="s">
        <v>67</v>
      </c>
      <c r="I514" s="19" t="s">
        <v>68</v>
      </c>
      <c r="J514" s="19" t="s">
        <v>69</v>
      </c>
      <c r="K514" s="19" t="s">
        <v>71</v>
      </c>
      <c r="L514" s="19" t="s">
        <v>72</v>
      </c>
      <c r="M514" s="19" t="s">
        <v>73</v>
      </c>
      <c r="N514" s="19" t="s">
        <v>75</v>
      </c>
      <c r="O514" s="19" t="s">
        <v>76</v>
      </c>
      <c r="P514" s="24" t="s">
        <v>78</v>
      </c>
      <c r="Q514" s="24" t="s">
        <v>79</v>
      </c>
      <c r="R514" s="19" t="s">
        <v>81</v>
      </c>
    </row>
    <row r="515" spans="1:18" ht="14.25" customHeight="1" x14ac:dyDescent="0.15">
      <c r="A515" s="21"/>
      <c r="B515" s="21"/>
      <c r="C515" s="44" t="s">
        <v>188</v>
      </c>
      <c r="D515" s="21"/>
      <c r="E515" s="23" t="str">
        <f t="shared" ref="E515:H515" si="375">E508</f>
        <v>2100</v>
      </c>
      <c r="F515" s="23" t="str">
        <f t="shared" si="375"/>
        <v>1900</v>
      </c>
      <c r="G515" s="23" t="str">
        <f t="shared" si="375"/>
        <v>1800</v>
      </c>
      <c r="H515" s="23">
        <f t="shared" si="375"/>
        <v>380</v>
      </c>
      <c r="I515" s="23" t="str">
        <f>I494</f>
        <v>5500</v>
      </c>
      <c r="J515" s="23" t="str">
        <f t="shared" ref="J515:R515" si="376">J508</f>
        <v>1000</v>
      </c>
      <c r="K515" s="23">
        <f t="shared" si="376"/>
        <v>375</v>
      </c>
      <c r="L515" s="23">
        <f t="shared" si="376"/>
        <v>585</v>
      </c>
      <c r="M515" s="23" t="str">
        <f t="shared" si="376"/>
        <v>1000</v>
      </c>
      <c r="N515" s="23">
        <f t="shared" si="376"/>
        <v>3300</v>
      </c>
      <c r="O515" s="23">
        <f t="shared" si="376"/>
        <v>0</v>
      </c>
      <c r="P515" s="27">
        <f t="shared" si="376"/>
        <v>0</v>
      </c>
      <c r="Q515" s="27">
        <f t="shared" si="376"/>
        <v>2</v>
      </c>
      <c r="R515" s="23">
        <f t="shared" si="376"/>
        <v>0</v>
      </c>
    </row>
    <row r="516" spans="1:18" ht="14.25" customHeight="1" x14ac:dyDescent="0.15">
      <c r="A516" s="19">
        <v>3</v>
      </c>
      <c r="B516" s="19">
        <f>1.2*3</f>
        <v>3.5999999999999996</v>
      </c>
      <c r="C516" s="19">
        <f>0.6+0.3</f>
        <v>0.89999999999999991</v>
      </c>
      <c r="D516" s="19">
        <f>B516*C516</f>
        <v>3.2399999999999993</v>
      </c>
      <c r="E516" s="19"/>
      <c r="F516" s="19"/>
      <c r="G516" s="19"/>
      <c r="H516" s="19"/>
      <c r="I516" s="19">
        <f>B516*0.4</f>
        <v>1.44</v>
      </c>
      <c r="J516" s="19">
        <v>2</v>
      </c>
      <c r="K516" s="19">
        <f t="shared" ref="K516:L516" si="377">A516</f>
        <v>3</v>
      </c>
      <c r="L516" s="19">
        <f t="shared" si="377"/>
        <v>3.5999999999999996</v>
      </c>
      <c r="M516" s="19">
        <f>A516</f>
        <v>3</v>
      </c>
      <c r="N516" s="19">
        <f>(1.2*0.4)*2</f>
        <v>0.96</v>
      </c>
      <c r="O516" s="19"/>
      <c r="P516" s="24"/>
      <c r="Q516" s="24"/>
      <c r="R516" s="19"/>
    </row>
    <row r="517" spans="1:18" ht="14.25" customHeight="1" x14ac:dyDescent="0.2">
      <c r="A517" s="19"/>
      <c r="B517" s="19"/>
      <c r="C517" s="19"/>
      <c r="D517" s="26" t="str">
        <f>D510</f>
        <v>2200</v>
      </c>
      <c r="E517" s="45">
        <v>0</v>
      </c>
      <c r="F517" s="45">
        <v>0</v>
      </c>
      <c r="G517" s="45">
        <v>2</v>
      </c>
      <c r="H517" s="19">
        <f>B516*2</f>
        <v>7.1999999999999993</v>
      </c>
      <c r="I517" s="19"/>
      <c r="J517" s="19"/>
      <c r="K517" s="19"/>
      <c r="L517" s="19"/>
      <c r="M517" s="19"/>
      <c r="N517" s="28"/>
      <c r="O517" s="19"/>
      <c r="P517" s="24"/>
      <c r="Q517" s="24"/>
      <c r="R517" s="19"/>
    </row>
    <row r="518" spans="1:18" ht="14.25" customHeight="1" x14ac:dyDescent="0.2">
      <c r="A518" s="19"/>
      <c r="B518" s="19"/>
      <c r="C518" s="19"/>
      <c r="D518" s="19">
        <f>D516*D517</f>
        <v>7127.9999999999982</v>
      </c>
      <c r="E518" s="45">
        <f>E517*E515</f>
        <v>0</v>
      </c>
      <c r="F518" s="45">
        <f t="shared" ref="F518:H518" si="378">F515*F517</f>
        <v>0</v>
      </c>
      <c r="G518" s="45">
        <f t="shared" si="378"/>
        <v>3600</v>
      </c>
      <c r="H518" s="19">
        <f t="shared" si="378"/>
        <v>2735.9999999999995</v>
      </c>
      <c r="I518" s="19">
        <f t="shared" ref="I518:N518" si="379">I515*I516</f>
        <v>7920</v>
      </c>
      <c r="J518" s="19">
        <f t="shared" si="379"/>
        <v>2000</v>
      </c>
      <c r="K518" s="19">
        <f t="shared" si="379"/>
        <v>1125</v>
      </c>
      <c r="L518" s="19">
        <f t="shared" si="379"/>
        <v>2106</v>
      </c>
      <c r="M518" s="19">
        <f t="shared" si="379"/>
        <v>3000</v>
      </c>
      <c r="N518" s="19">
        <f t="shared" si="379"/>
        <v>3168</v>
      </c>
      <c r="O518" s="19">
        <f>SUM(D518:N518)</f>
        <v>32783</v>
      </c>
      <c r="P518" s="24">
        <f>O518/A516</f>
        <v>10927.666666666666</v>
      </c>
      <c r="Q518" s="24">
        <f>P518*Q515</f>
        <v>21855.333333333332</v>
      </c>
      <c r="R518" s="19">
        <f>MROUND(Q518,100)</f>
        <v>21900</v>
      </c>
    </row>
    <row r="519" spans="1:18" ht="14.25" customHeight="1" x14ac:dyDescent="0.1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9"/>
      <c r="Q519" s="39"/>
    </row>
    <row r="520" spans="1:18" ht="14.25" customHeight="1" x14ac:dyDescent="0.3">
      <c r="A520" s="109" t="str">
        <f>PRICELIST!I78</f>
        <v>WFLX-LNR-NSH-PB-1200-X</v>
      </c>
      <c r="B520" s="87"/>
      <c r="C520" s="8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22"/>
      <c r="Q520" s="22"/>
      <c r="R520" s="17"/>
    </row>
    <row r="521" spans="1:18" ht="14.25" customHeight="1" x14ac:dyDescent="0.15">
      <c r="A521" s="19" t="s">
        <v>57</v>
      </c>
      <c r="B521" s="19" t="s">
        <v>59</v>
      </c>
      <c r="C521" s="19" t="s">
        <v>62</v>
      </c>
      <c r="D521" s="19" t="s">
        <v>64</v>
      </c>
      <c r="E521" s="19">
        <v>1200</v>
      </c>
      <c r="F521" s="19">
        <v>900</v>
      </c>
      <c r="G521" s="19">
        <v>600</v>
      </c>
      <c r="H521" s="19" t="s">
        <v>67</v>
      </c>
      <c r="I521" s="19" t="s">
        <v>68</v>
      </c>
      <c r="J521" s="19" t="s">
        <v>69</v>
      </c>
      <c r="K521" s="19" t="s">
        <v>71</v>
      </c>
      <c r="L521" s="19" t="s">
        <v>72</v>
      </c>
      <c r="M521" s="19" t="s">
        <v>73</v>
      </c>
      <c r="N521" s="19" t="s">
        <v>75</v>
      </c>
      <c r="O521" s="19" t="s">
        <v>76</v>
      </c>
      <c r="P521" s="24" t="s">
        <v>78</v>
      </c>
      <c r="Q521" s="24" t="s">
        <v>79</v>
      </c>
      <c r="R521" s="19" t="s">
        <v>81</v>
      </c>
    </row>
    <row r="522" spans="1:18" ht="14.25" customHeight="1" x14ac:dyDescent="0.15">
      <c r="A522" s="21">
        <f t="shared" ref="A522:B522" si="380">A515</f>
        <v>0</v>
      </c>
      <c r="B522" s="21">
        <f t="shared" si="380"/>
        <v>0</v>
      </c>
      <c r="C522" s="44" t="s">
        <v>188</v>
      </c>
      <c r="D522" s="21">
        <f t="shared" ref="D522:H522" si="381">D515</f>
        <v>0</v>
      </c>
      <c r="E522" s="23" t="str">
        <f t="shared" si="381"/>
        <v>2100</v>
      </c>
      <c r="F522" s="23" t="str">
        <f t="shared" si="381"/>
        <v>1900</v>
      </c>
      <c r="G522" s="23" t="str">
        <f t="shared" si="381"/>
        <v>1800</v>
      </c>
      <c r="H522" s="23">
        <f t="shared" si="381"/>
        <v>380</v>
      </c>
      <c r="I522" s="23" t="str">
        <f>I501</f>
        <v>0</v>
      </c>
      <c r="J522" s="23" t="str">
        <f t="shared" ref="J522:Q522" si="382">J515</f>
        <v>1000</v>
      </c>
      <c r="K522" s="23">
        <f t="shared" si="382"/>
        <v>375</v>
      </c>
      <c r="L522" s="23">
        <f t="shared" si="382"/>
        <v>585</v>
      </c>
      <c r="M522" s="23" t="str">
        <f t="shared" si="382"/>
        <v>1000</v>
      </c>
      <c r="N522" s="23">
        <f t="shared" si="382"/>
        <v>3300</v>
      </c>
      <c r="O522" s="23">
        <f t="shared" si="382"/>
        <v>0</v>
      </c>
      <c r="P522" s="27">
        <f t="shared" si="382"/>
        <v>0</v>
      </c>
      <c r="Q522" s="27">
        <f t="shared" si="382"/>
        <v>2</v>
      </c>
      <c r="R522" s="21"/>
    </row>
    <row r="523" spans="1:18" ht="14.25" customHeight="1" x14ac:dyDescent="0.15">
      <c r="A523" s="19">
        <v>3</v>
      </c>
      <c r="B523" s="19">
        <f>1.2*3</f>
        <v>3.5999999999999996</v>
      </c>
      <c r="C523" s="19">
        <f>0.6+0.3</f>
        <v>0.89999999999999991</v>
      </c>
      <c r="D523" s="19">
        <f>B523*C523</f>
        <v>3.2399999999999993</v>
      </c>
      <c r="E523" s="19"/>
      <c r="F523" s="19"/>
      <c r="G523" s="19"/>
      <c r="H523" s="19"/>
      <c r="I523" s="19">
        <f>B523*0.4</f>
        <v>1.44</v>
      </c>
      <c r="J523" s="19">
        <v>2</v>
      </c>
      <c r="K523" s="19">
        <f t="shared" ref="K523:L523" si="383">A523</f>
        <v>3</v>
      </c>
      <c r="L523" s="19">
        <f t="shared" si="383"/>
        <v>3.5999999999999996</v>
      </c>
      <c r="M523" s="19">
        <f>A523</f>
        <v>3</v>
      </c>
      <c r="N523" s="19">
        <f>(1.2*0.4)*2</f>
        <v>0.96</v>
      </c>
      <c r="O523" s="19"/>
      <c r="P523" s="24"/>
      <c r="Q523" s="24"/>
      <c r="R523" s="19"/>
    </row>
    <row r="524" spans="1:18" ht="14.25" customHeight="1" x14ac:dyDescent="0.2">
      <c r="A524" s="19"/>
      <c r="B524" s="19"/>
      <c r="C524" s="19"/>
      <c r="D524" s="26" t="str">
        <f>D517</f>
        <v>2200</v>
      </c>
      <c r="E524" s="45">
        <v>0</v>
      </c>
      <c r="F524" s="45">
        <v>0</v>
      </c>
      <c r="G524" s="45">
        <v>2</v>
      </c>
      <c r="H524" s="19">
        <f>B523*2</f>
        <v>7.1999999999999993</v>
      </c>
      <c r="I524" s="19"/>
      <c r="J524" s="19"/>
      <c r="K524" s="19"/>
      <c r="L524" s="19"/>
      <c r="M524" s="19"/>
      <c r="N524" s="28"/>
      <c r="O524" s="19"/>
      <c r="P524" s="24"/>
      <c r="Q524" s="24"/>
      <c r="R524" s="19"/>
    </row>
    <row r="525" spans="1:18" ht="14.25" customHeight="1" x14ac:dyDescent="0.2">
      <c r="A525" s="19"/>
      <c r="B525" s="19"/>
      <c r="C525" s="19"/>
      <c r="D525" s="19">
        <f>D523*D524</f>
        <v>7127.9999999999982</v>
      </c>
      <c r="E525" s="45">
        <f>E524*E522</f>
        <v>0</v>
      </c>
      <c r="F525" s="45">
        <f t="shared" ref="F525:H525" si="384">F522*F524</f>
        <v>0</v>
      </c>
      <c r="G525" s="45">
        <f t="shared" si="384"/>
        <v>3600</v>
      </c>
      <c r="H525" s="19">
        <f t="shared" si="384"/>
        <v>2735.9999999999995</v>
      </c>
      <c r="I525" s="19">
        <f t="shared" ref="I525:N525" si="385">I522*I523</f>
        <v>0</v>
      </c>
      <c r="J525" s="19">
        <f t="shared" si="385"/>
        <v>2000</v>
      </c>
      <c r="K525" s="19">
        <f t="shared" si="385"/>
        <v>1125</v>
      </c>
      <c r="L525" s="19">
        <f t="shared" si="385"/>
        <v>2106</v>
      </c>
      <c r="M525" s="19">
        <f t="shared" si="385"/>
        <v>3000</v>
      </c>
      <c r="N525" s="19">
        <f t="shared" si="385"/>
        <v>3168</v>
      </c>
      <c r="O525" s="19">
        <f>SUM(D525:N525)</f>
        <v>24863</v>
      </c>
      <c r="P525" s="24">
        <f>O525/A523</f>
        <v>8287.6666666666661</v>
      </c>
      <c r="Q525" s="24">
        <f>P525*Q522</f>
        <v>16575.333333333332</v>
      </c>
      <c r="R525" s="19">
        <f>MROUND(Q525,100)</f>
        <v>16600</v>
      </c>
    </row>
    <row r="526" spans="1:18" ht="14.25" customHeight="1" x14ac:dyDescent="0.1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9"/>
      <c r="Q526" s="39"/>
    </row>
    <row r="527" spans="1:18" ht="14.25" customHeight="1" x14ac:dyDescent="0.3">
      <c r="A527" s="109" t="str">
        <f>PRICELIST!I79</f>
        <v>WFLX-LNR-NSH-PLM-1200-F</v>
      </c>
      <c r="B527" s="87"/>
      <c r="C527" s="8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22"/>
      <c r="Q527" s="22"/>
      <c r="R527" s="17"/>
    </row>
    <row r="528" spans="1:18" ht="14.25" customHeight="1" x14ac:dyDescent="0.15">
      <c r="A528" s="19" t="s">
        <v>57</v>
      </c>
      <c r="B528" s="19" t="s">
        <v>59</v>
      </c>
      <c r="C528" s="19" t="s">
        <v>62</v>
      </c>
      <c r="D528" s="19" t="s">
        <v>64</v>
      </c>
      <c r="E528" s="19">
        <v>1200</v>
      </c>
      <c r="F528" s="19">
        <v>900</v>
      </c>
      <c r="G528" s="19">
        <v>600</v>
      </c>
      <c r="H528" s="19" t="s">
        <v>67</v>
      </c>
      <c r="I528" s="19" t="s">
        <v>68</v>
      </c>
      <c r="J528" s="19" t="s">
        <v>69</v>
      </c>
      <c r="K528" s="19" t="s">
        <v>71</v>
      </c>
      <c r="L528" s="19" t="s">
        <v>72</v>
      </c>
      <c r="M528" s="19" t="s">
        <v>73</v>
      </c>
      <c r="N528" s="19" t="s">
        <v>75</v>
      </c>
      <c r="O528" s="19" t="s">
        <v>76</v>
      </c>
      <c r="P528" s="24" t="s">
        <v>78</v>
      </c>
      <c r="Q528" s="24" t="s">
        <v>79</v>
      </c>
      <c r="R528" s="19" t="s">
        <v>81</v>
      </c>
    </row>
    <row r="529" spans="1:18" ht="14.25" customHeight="1" x14ac:dyDescent="0.15">
      <c r="A529" s="21">
        <f t="shared" ref="A529:B529" si="386">A522</f>
        <v>0</v>
      </c>
      <c r="B529" s="21">
        <f t="shared" si="386"/>
        <v>0</v>
      </c>
      <c r="C529" s="44" t="s">
        <v>188</v>
      </c>
      <c r="D529" s="21">
        <f t="shared" ref="D529:H529" si="387">D522</f>
        <v>0</v>
      </c>
      <c r="E529" s="23" t="str">
        <f t="shared" si="387"/>
        <v>2100</v>
      </c>
      <c r="F529" s="23" t="str">
        <f t="shared" si="387"/>
        <v>1900</v>
      </c>
      <c r="G529" s="23" t="str">
        <f t="shared" si="387"/>
        <v>1800</v>
      </c>
      <c r="H529" s="23">
        <f t="shared" si="387"/>
        <v>380</v>
      </c>
      <c r="I529" s="23" t="str">
        <f>I508</f>
        <v>4800</v>
      </c>
      <c r="J529" s="23" t="str">
        <f t="shared" ref="J529:Q529" si="388">J522</f>
        <v>1000</v>
      </c>
      <c r="K529" s="23">
        <f t="shared" si="388"/>
        <v>375</v>
      </c>
      <c r="L529" s="23">
        <f t="shared" si="388"/>
        <v>585</v>
      </c>
      <c r="M529" s="23" t="str">
        <f t="shared" si="388"/>
        <v>1000</v>
      </c>
      <c r="N529" s="23">
        <f t="shared" si="388"/>
        <v>3300</v>
      </c>
      <c r="O529" s="23">
        <f t="shared" si="388"/>
        <v>0</v>
      </c>
      <c r="P529" s="27">
        <f t="shared" si="388"/>
        <v>0</v>
      </c>
      <c r="Q529" s="27">
        <f t="shared" si="388"/>
        <v>2</v>
      </c>
      <c r="R529" s="21"/>
    </row>
    <row r="530" spans="1:18" ht="14.25" customHeight="1" x14ac:dyDescent="0.15">
      <c r="A530" s="19">
        <v>3</v>
      </c>
      <c r="B530" s="19">
        <f>1.2*3</f>
        <v>3.5999999999999996</v>
      </c>
      <c r="C530" s="19">
        <f>0.6+0.3</f>
        <v>0.89999999999999991</v>
      </c>
      <c r="D530" s="19">
        <f>B530*C530</f>
        <v>3.2399999999999993</v>
      </c>
      <c r="E530" s="19"/>
      <c r="F530" s="19"/>
      <c r="G530" s="19"/>
      <c r="H530" s="19"/>
      <c r="I530" s="19">
        <f>B530*0.4</f>
        <v>1.44</v>
      </c>
      <c r="J530" s="19">
        <v>2</v>
      </c>
      <c r="K530" s="19">
        <f t="shared" ref="K530:L530" si="389">A530</f>
        <v>3</v>
      </c>
      <c r="L530" s="19">
        <f t="shared" si="389"/>
        <v>3.5999999999999996</v>
      </c>
      <c r="M530" s="19">
        <f>A530</f>
        <v>3</v>
      </c>
      <c r="N530" s="19">
        <f>(1.2*0.4)*2</f>
        <v>0.96</v>
      </c>
      <c r="O530" s="19"/>
      <c r="P530" s="24"/>
      <c r="Q530" s="24"/>
      <c r="R530" s="19"/>
    </row>
    <row r="531" spans="1:18" ht="14.25" customHeight="1" x14ac:dyDescent="0.2">
      <c r="A531" s="19"/>
      <c r="B531" s="19"/>
      <c r="C531" s="19"/>
      <c r="D531" s="26" t="str">
        <f>D405</f>
        <v>3000</v>
      </c>
      <c r="E531" s="45">
        <v>0</v>
      </c>
      <c r="F531" s="45">
        <v>0</v>
      </c>
      <c r="G531" s="45">
        <v>2</v>
      </c>
      <c r="H531" s="19">
        <f>B530*2</f>
        <v>7.1999999999999993</v>
      </c>
      <c r="I531" s="19"/>
      <c r="J531" s="19"/>
      <c r="K531" s="19"/>
      <c r="L531" s="19"/>
      <c r="M531" s="19"/>
      <c r="N531" s="28"/>
      <c r="O531" s="19"/>
      <c r="P531" s="24"/>
      <c r="Q531" s="24"/>
      <c r="R531" s="19"/>
    </row>
    <row r="532" spans="1:18" ht="14.25" customHeight="1" x14ac:dyDescent="0.2">
      <c r="A532" s="19"/>
      <c r="B532" s="19"/>
      <c r="C532" s="19"/>
      <c r="D532" s="19">
        <f>D530*D531</f>
        <v>9719.9999999999982</v>
      </c>
      <c r="E532" s="45">
        <f>E531*E529</f>
        <v>0</v>
      </c>
      <c r="F532" s="45">
        <f t="shared" ref="F532:H532" si="390">F529*F531</f>
        <v>0</v>
      </c>
      <c r="G532" s="45">
        <f t="shared" si="390"/>
        <v>3600</v>
      </c>
      <c r="H532" s="19">
        <f t="shared" si="390"/>
        <v>2735.9999999999995</v>
      </c>
      <c r="I532" s="19">
        <f t="shared" ref="I532:N532" si="391">I529*I530</f>
        <v>6912</v>
      </c>
      <c r="J532" s="19">
        <f t="shared" si="391"/>
        <v>2000</v>
      </c>
      <c r="K532" s="19">
        <f t="shared" si="391"/>
        <v>1125</v>
      </c>
      <c r="L532" s="19">
        <f t="shared" si="391"/>
        <v>2106</v>
      </c>
      <c r="M532" s="19">
        <f t="shared" si="391"/>
        <v>3000</v>
      </c>
      <c r="N532" s="19">
        <f t="shared" si="391"/>
        <v>3168</v>
      </c>
      <c r="O532" s="19">
        <f>SUM(D532:N532)</f>
        <v>34367</v>
      </c>
      <c r="P532" s="24">
        <f>O532/A530</f>
        <v>11455.666666666666</v>
      </c>
      <c r="Q532" s="24">
        <f>P532*Q529</f>
        <v>22911.333333333332</v>
      </c>
      <c r="R532" s="19">
        <f>MROUND(Q532,100)</f>
        <v>22900</v>
      </c>
    </row>
    <row r="533" spans="1:18" ht="14.25" customHeight="1" x14ac:dyDescent="0.1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9"/>
      <c r="Q533" s="39"/>
    </row>
    <row r="534" spans="1:18" ht="14.25" customHeight="1" x14ac:dyDescent="0.3">
      <c r="A534" s="109" t="str">
        <f>PRICELIST!I80</f>
        <v>WFLX-LNR-NSH-PLM-1200-G</v>
      </c>
      <c r="B534" s="87"/>
      <c r="C534" s="8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22"/>
      <c r="Q534" s="22"/>
      <c r="R534" s="17"/>
    </row>
    <row r="535" spans="1:18" ht="14.25" customHeight="1" x14ac:dyDescent="0.15">
      <c r="A535" s="19" t="s">
        <v>57</v>
      </c>
      <c r="B535" s="19" t="s">
        <v>59</v>
      </c>
      <c r="C535" s="19" t="s">
        <v>62</v>
      </c>
      <c r="D535" s="19" t="s">
        <v>64</v>
      </c>
      <c r="E535" s="19">
        <v>1200</v>
      </c>
      <c r="F535" s="19">
        <v>900</v>
      </c>
      <c r="G535" s="19">
        <v>600</v>
      </c>
      <c r="H535" s="19" t="s">
        <v>67</v>
      </c>
      <c r="I535" s="19" t="s">
        <v>68</v>
      </c>
      <c r="J535" s="19" t="s">
        <v>69</v>
      </c>
      <c r="K535" s="19" t="s">
        <v>71</v>
      </c>
      <c r="L535" s="19" t="s">
        <v>72</v>
      </c>
      <c r="M535" s="19" t="s">
        <v>73</v>
      </c>
      <c r="N535" s="19" t="s">
        <v>75</v>
      </c>
      <c r="O535" s="19" t="s">
        <v>76</v>
      </c>
      <c r="P535" s="24" t="s">
        <v>78</v>
      </c>
      <c r="Q535" s="24" t="s">
        <v>79</v>
      </c>
      <c r="R535" s="19" t="s">
        <v>81</v>
      </c>
    </row>
    <row r="536" spans="1:18" ht="14.25" customHeight="1" x14ac:dyDescent="0.15">
      <c r="A536" s="21">
        <f t="shared" ref="A536:B536" si="392">A529</f>
        <v>0</v>
      </c>
      <c r="B536" s="21">
        <f t="shared" si="392"/>
        <v>0</v>
      </c>
      <c r="C536" s="44" t="s">
        <v>188</v>
      </c>
      <c r="D536" s="21">
        <f t="shared" ref="D536:H536" si="393">D529</f>
        <v>0</v>
      </c>
      <c r="E536" s="23" t="str">
        <f t="shared" si="393"/>
        <v>2100</v>
      </c>
      <c r="F536" s="23" t="str">
        <f t="shared" si="393"/>
        <v>1900</v>
      </c>
      <c r="G536" s="23" t="str">
        <f t="shared" si="393"/>
        <v>1800</v>
      </c>
      <c r="H536" s="23">
        <f t="shared" si="393"/>
        <v>380</v>
      </c>
      <c r="I536" s="23" t="str">
        <f>I515</f>
        <v>5500</v>
      </c>
      <c r="J536" s="23" t="str">
        <f t="shared" ref="J536:Q536" si="394">J529</f>
        <v>1000</v>
      </c>
      <c r="K536" s="23">
        <f t="shared" si="394"/>
        <v>375</v>
      </c>
      <c r="L536" s="23">
        <f t="shared" si="394"/>
        <v>585</v>
      </c>
      <c r="M536" s="23" t="str">
        <f t="shared" si="394"/>
        <v>1000</v>
      </c>
      <c r="N536" s="23">
        <f t="shared" si="394"/>
        <v>3300</v>
      </c>
      <c r="O536" s="23">
        <f t="shared" si="394"/>
        <v>0</v>
      </c>
      <c r="P536" s="27">
        <f t="shared" si="394"/>
        <v>0</v>
      </c>
      <c r="Q536" s="27">
        <f t="shared" si="394"/>
        <v>2</v>
      </c>
      <c r="R536" s="21"/>
    </row>
    <row r="537" spans="1:18" ht="14.25" customHeight="1" x14ac:dyDescent="0.15">
      <c r="A537" s="19">
        <v>3</v>
      </c>
      <c r="B537" s="19">
        <f>1.2*3</f>
        <v>3.5999999999999996</v>
      </c>
      <c r="C537" s="19">
        <f>0.6+0.3</f>
        <v>0.89999999999999991</v>
      </c>
      <c r="D537" s="19">
        <f>B537*C537</f>
        <v>3.2399999999999993</v>
      </c>
      <c r="E537" s="19"/>
      <c r="F537" s="19"/>
      <c r="G537" s="19"/>
      <c r="H537" s="19"/>
      <c r="I537" s="19">
        <f>B537*0.4</f>
        <v>1.44</v>
      </c>
      <c r="J537" s="19">
        <v>2</v>
      </c>
      <c r="K537" s="19">
        <f t="shared" ref="K537:L537" si="395">A537</f>
        <v>3</v>
      </c>
      <c r="L537" s="19">
        <f t="shared" si="395"/>
        <v>3.5999999999999996</v>
      </c>
      <c r="M537" s="19">
        <f>A537</f>
        <v>3</v>
      </c>
      <c r="N537" s="19">
        <f>(1.2*0.4)*2</f>
        <v>0.96</v>
      </c>
      <c r="O537" s="19"/>
      <c r="P537" s="24"/>
      <c r="Q537" s="24"/>
      <c r="R537" s="19"/>
    </row>
    <row r="538" spans="1:18" ht="14.25" customHeight="1" x14ac:dyDescent="0.2">
      <c r="A538" s="19"/>
      <c r="B538" s="19"/>
      <c r="C538" s="19"/>
      <c r="D538" s="26" t="str">
        <f>D531</f>
        <v>3000</v>
      </c>
      <c r="E538" s="45">
        <v>0</v>
      </c>
      <c r="F538" s="45">
        <v>0</v>
      </c>
      <c r="G538" s="45">
        <v>2</v>
      </c>
      <c r="H538" s="19">
        <f>B537*2</f>
        <v>7.1999999999999993</v>
      </c>
      <c r="I538" s="19"/>
      <c r="J538" s="19"/>
      <c r="K538" s="19"/>
      <c r="L538" s="19"/>
      <c r="M538" s="19"/>
      <c r="N538" s="28"/>
      <c r="O538" s="19"/>
      <c r="P538" s="24"/>
      <c r="Q538" s="24"/>
      <c r="R538" s="19"/>
    </row>
    <row r="539" spans="1:18" ht="14.25" customHeight="1" x14ac:dyDescent="0.2">
      <c r="A539" s="19"/>
      <c r="B539" s="19"/>
      <c r="C539" s="19"/>
      <c r="D539" s="19">
        <f>D537*D538</f>
        <v>9719.9999999999982</v>
      </c>
      <c r="E539" s="45">
        <f>E538*E536</f>
        <v>0</v>
      </c>
      <c r="F539" s="45">
        <f t="shared" ref="F539:H539" si="396">F536*F538</f>
        <v>0</v>
      </c>
      <c r="G539" s="45">
        <f t="shared" si="396"/>
        <v>3600</v>
      </c>
      <c r="H539" s="19">
        <f t="shared" si="396"/>
        <v>2735.9999999999995</v>
      </c>
      <c r="I539" s="19">
        <f t="shared" ref="I539:N539" si="397">I536*I537</f>
        <v>7920</v>
      </c>
      <c r="J539" s="19">
        <f t="shared" si="397"/>
        <v>2000</v>
      </c>
      <c r="K539" s="19">
        <f t="shared" si="397"/>
        <v>1125</v>
      </c>
      <c r="L539" s="19">
        <f t="shared" si="397"/>
        <v>2106</v>
      </c>
      <c r="M539" s="19">
        <f t="shared" si="397"/>
        <v>3000</v>
      </c>
      <c r="N539" s="19">
        <f t="shared" si="397"/>
        <v>3168</v>
      </c>
      <c r="O539" s="19">
        <f>SUM(D539:N539)</f>
        <v>35375</v>
      </c>
      <c r="P539" s="24">
        <f>O539/A537</f>
        <v>11791.666666666666</v>
      </c>
      <c r="Q539" s="24">
        <f>P539*Q536</f>
        <v>23583.333333333332</v>
      </c>
      <c r="R539" s="19">
        <f>MROUND(Q539,100)</f>
        <v>23600</v>
      </c>
    </row>
    <row r="540" spans="1:18" ht="14.25" customHeight="1" x14ac:dyDescent="0.1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9"/>
      <c r="Q540" s="39"/>
    </row>
    <row r="541" spans="1:18" ht="14.25" customHeight="1" x14ac:dyDescent="0.3">
      <c r="A541" s="109" t="str">
        <f>PRICELIST!I81</f>
        <v>WFLX-LNR-NSH-PLM-1200-X</v>
      </c>
      <c r="B541" s="87"/>
      <c r="C541" s="8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22"/>
      <c r="Q541" s="22"/>
      <c r="R541" s="17"/>
    </row>
    <row r="542" spans="1:18" ht="14.25" customHeight="1" x14ac:dyDescent="0.15">
      <c r="A542" s="19" t="s">
        <v>57</v>
      </c>
      <c r="B542" s="19" t="s">
        <v>59</v>
      </c>
      <c r="C542" s="19" t="s">
        <v>62</v>
      </c>
      <c r="D542" s="19" t="s">
        <v>64</v>
      </c>
      <c r="E542" s="19">
        <v>1200</v>
      </c>
      <c r="F542" s="19">
        <v>900</v>
      </c>
      <c r="G542" s="19">
        <v>600</v>
      </c>
      <c r="H542" s="19" t="s">
        <v>67</v>
      </c>
      <c r="I542" s="19" t="s">
        <v>68</v>
      </c>
      <c r="J542" s="19" t="s">
        <v>69</v>
      </c>
      <c r="K542" s="19" t="s">
        <v>71</v>
      </c>
      <c r="L542" s="19" t="s">
        <v>72</v>
      </c>
      <c r="M542" s="19" t="s">
        <v>73</v>
      </c>
      <c r="N542" s="19" t="s">
        <v>75</v>
      </c>
      <c r="O542" s="19" t="s">
        <v>76</v>
      </c>
      <c r="P542" s="24" t="s">
        <v>78</v>
      </c>
      <c r="Q542" s="24" t="s">
        <v>79</v>
      </c>
      <c r="R542" s="19" t="s">
        <v>81</v>
      </c>
    </row>
    <row r="543" spans="1:18" ht="14.25" customHeight="1" x14ac:dyDescent="0.15">
      <c r="A543" s="21">
        <f t="shared" ref="A543:B543" si="398">A536</f>
        <v>0</v>
      </c>
      <c r="B543" s="21">
        <f t="shared" si="398"/>
        <v>0</v>
      </c>
      <c r="C543" s="44" t="s">
        <v>188</v>
      </c>
      <c r="D543" s="21">
        <f t="shared" ref="D543:H543" si="399">D536</f>
        <v>0</v>
      </c>
      <c r="E543" s="23" t="str">
        <f t="shared" si="399"/>
        <v>2100</v>
      </c>
      <c r="F543" s="23" t="str">
        <f t="shared" si="399"/>
        <v>1900</v>
      </c>
      <c r="G543" s="23" t="str">
        <f t="shared" si="399"/>
        <v>1800</v>
      </c>
      <c r="H543" s="23">
        <f t="shared" si="399"/>
        <v>380</v>
      </c>
      <c r="I543" s="23" t="str">
        <f>I522</f>
        <v>0</v>
      </c>
      <c r="J543" s="23" t="str">
        <f t="shared" ref="J543:Q543" si="400">J536</f>
        <v>1000</v>
      </c>
      <c r="K543" s="23">
        <f t="shared" si="400"/>
        <v>375</v>
      </c>
      <c r="L543" s="23">
        <f t="shared" si="400"/>
        <v>585</v>
      </c>
      <c r="M543" s="23" t="str">
        <f t="shared" si="400"/>
        <v>1000</v>
      </c>
      <c r="N543" s="23">
        <f t="shared" si="400"/>
        <v>3300</v>
      </c>
      <c r="O543" s="23">
        <f t="shared" si="400"/>
        <v>0</v>
      </c>
      <c r="P543" s="27">
        <f t="shared" si="400"/>
        <v>0</v>
      </c>
      <c r="Q543" s="27">
        <f t="shared" si="400"/>
        <v>2</v>
      </c>
      <c r="R543" s="21"/>
    </row>
    <row r="544" spans="1:18" ht="14.25" customHeight="1" x14ac:dyDescent="0.15">
      <c r="A544" s="19">
        <v>3</v>
      </c>
      <c r="B544" s="19">
        <f>1.2*3</f>
        <v>3.5999999999999996</v>
      </c>
      <c r="C544" s="19">
        <f>0.6+0.3</f>
        <v>0.89999999999999991</v>
      </c>
      <c r="D544" s="19">
        <f>B544*C544</f>
        <v>3.2399999999999993</v>
      </c>
      <c r="E544" s="19"/>
      <c r="F544" s="19"/>
      <c r="G544" s="19"/>
      <c r="H544" s="19"/>
      <c r="I544" s="19">
        <f>B544*0.4</f>
        <v>1.44</v>
      </c>
      <c r="J544" s="19">
        <v>2</v>
      </c>
      <c r="K544" s="19">
        <f t="shared" ref="K544:L544" si="401">A544</f>
        <v>3</v>
      </c>
      <c r="L544" s="19">
        <f t="shared" si="401"/>
        <v>3.5999999999999996</v>
      </c>
      <c r="M544" s="19">
        <f>A544</f>
        <v>3</v>
      </c>
      <c r="N544" s="19">
        <f>(1.2*0.4)*2</f>
        <v>0.96</v>
      </c>
      <c r="O544" s="19"/>
      <c r="P544" s="24"/>
      <c r="Q544" s="24"/>
      <c r="R544" s="19"/>
    </row>
    <row r="545" spans="1:18" ht="14.25" customHeight="1" x14ac:dyDescent="0.2">
      <c r="A545" s="19"/>
      <c r="B545" s="19"/>
      <c r="C545" s="19"/>
      <c r="D545" s="26" t="str">
        <f>D538</f>
        <v>3000</v>
      </c>
      <c r="E545" s="45">
        <v>0</v>
      </c>
      <c r="F545" s="45">
        <v>0</v>
      </c>
      <c r="G545" s="45">
        <v>2</v>
      </c>
      <c r="H545" s="19">
        <f>B544*2</f>
        <v>7.1999999999999993</v>
      </c>
      <c r="I545" s="19"/>
      <c r="J545" s="19"/>
      <c r="K545" s="19"/>
      <c r="L545" s="19"/>
      <c r="M545" s="19"/>
      <c r="N545" s="28"/>
      <c r="O545" s="19"/>
      <c r="P545" s="24"/>
      <c r="Q545" s="24"/>
      <c r="R545" s="19"/>
    </row>
    <row r="546" spans="1:18" ht="14.25" customHeight="1" x14ac:dyDescent="0.2">
      <c r="A546" s="19"/>
      <c r="B546" s="19"/>
      <c r="C546" s="19"/>
      <c r="D546" s="19">
        <f>D544*D545</f>
        <v>9719.9999999999982</v>
      </c>
      <c r="E546" s="45">
        <f>E545*E543</f>
        <v>0</v>
      </c>
      <c r="F546" s="45">
        <f t="shared" ref="F546:H546" si="402">F543*F545</f>
        <v>0</v>
      </c>
      <c r="G546" s="45">
        <f t="shared" si="402"/>
        <v>3600</v>
      </c>
      <c r="H546" s="19">
        <f t="shared" si="402"/>
        <v>2735.9999999999995</v>
      </c>
      <c r="I546" s="19">
        <f t="shared" ref="I546:N546" si="403">I543*I544</f>
        <v>0</v>
      </c>
      <c r="J546" s="19">
        <f t="shared" si="403"/>
        <v>2000</v>
      </c>
      <c r="K546" s="19">
        <f t="shared" si="403"/>
        <v>1125</v>
      </c>
      <c r="L546" s="19">
        <f t="shared" si="403"/>
        <v>2106</v>
      </c>
      <c r="M546" s="19">
        <f t="shared" si="403"/>
        <v>3000</v>
      </c>
      <c r="N546" s="19">
        <f t="shared" si="403"/>
        <v>3168</v>
      </c>
      <c r="O546" s="19">
        <f>SUM(D546:N546)</f>
        <v>27455</v>
      </c>
      <c r="P546" s="24">
        <f>O546/A544</f>
        <v>9151.6666666666661</v>
      </c>
      <c r="Q546" s="24">
        <f>P546*Q543</f>
        <v>18303.333333333332</v>
      </c>
      <c r="R546" s="19">
        <f>MROUND(Q546,100)</f>
        <v>18300</v>
      </c>
    </row>
    <row r="547" spans="1:18" ht="14.25" customHeight="1" x14ac:dyDescent="0.1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9"/>
      <c r="Q547" s="39"/>
    </row>
    <row r="548" spans="1:18" ht="14.25" customHeight="1" x14ac:dyDescent="0.3">
      <c r="A548" s="109" t="str">
        <f>PRICELIST!I82</f>
        <v>WFLX-LNR-NSH-PoLM-1200-F</v>
      </c>
      <c r="B548" s="87"/>
      <c r="C548" s="8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22"/>
      <c r="Q548" s="22"/>
      <c r="R548" s="17"/>
    </row>
    <row r="549" spans="1:18" ht="14.25" customHeight="1" x14ac:dyDescent="0.15">
      <c r="A549" s="19" t="s">
        <v>57</v>
      </c>
      <c r="B549" s="19" t="s">
        <v>59</v>
      </c>
      <c r="C549" s="19" t="s">
        <v>62</v>
      </c>
      <c r="D549" s="19" t="s">
        <v>64</v>
      </c>
      <c r="E549" s="19">
        <v>1200</v>
      </c>
      <c r="F549" s="19">
        <v>900</v>
      </c>
      <c r="G549" s="19">
        <v>600</v>
      </c>
      <c r="H549" s="19" t="s">
        <v>67</v>
      </c>
      <c r="I549" s="19" t="s">
        <v>68</v>
      </c>
      <c r="J549" s="19" t="s">
        <v>69</v>
      </c>
      <c r="K549" s="19" t="s">
        <v>71</v>
      </c>
      <c r="L549" s="19" t="s">
        <v>72</v>
      </c>
      <c r="M549" s="19" t="s">
        <v>73</v>
      </c>
      <c r="N549" s="19" t="s">
        <v>75</v>
      </c>
      <c r="O549" s="19" t="s">
        <v>76</v>
      </c>
      <c r="P549" s="24" t="s">
        <v>78</v>
      </c>
      <c r="Q549" s="24" t="s">
        <v>79</v>
      </c>
      <c r="R549" s="19" t="s">
        <v>81</v>
      </c>
    </row>
    <row r="550" spans="1:18" ht="14.25" customHeight="1" x14ac:dyDescent="0.15">
      <c r="A550" s="21">
        <f t="shared" ref="A550:B550" si="404">A543</f>
        <v>0</v>
      </c>
      <c r="B550" s="21">
        <f t="shared" si="404"/>
        <v>0</v>
      </c>
      <c r="C550" s="44" t="s">
        <v>188</v>
      </c>
      <c r="D550" s="21">
        <f t="shared" ref="D550:H550" si="405">D543</f>
        <v>0</v>
      </c>
      <c r="E550" s="23" t="str">
        <f t="shared" si="405"/>
        <v>2100</v>
      </c>
      <c r="F550" s="23" t="str">
        <f t="shared" si="405"/>
        <v>1900</v>
      </c>
      <c r="G550" s="23" t="str">
        <f t="shared" si="405"/>
        <v>1800</v>
      </c>
      <c r="H550" s="23">
        <f t="shared" si="405"/>
        <v>380</v>
      </c>
      <c r="I550" s="23" t="str">
        <f>I529</f>
        <v>4800</v>
      </c>
      <c r="J550" s="23" t="str">
        <f t="shared" ref="J550:Q550" si="406">J543</f>
        <v>1000</v>
      </c>
      <c r="K550" s="23">
        <f t="shared" si="406"/>
        <v>375</v>
      </c>
      <c r="L550" s="23">
        <f t="shared" si="406"/>
        <v>585</v>
      </c>
      <c r="M550" s="23" t="str">
        <f t="shared" si="406"/>
        <v>1000</v>
      </c>
      <c r="N550" s="23">
        <f t="shared" si="406"/>
        <v>3300</v>
      </c>
      <c r="O550" s="23">
        <f t="shared" si="406"/>
        <v>0</v>
      </c>
      <c r="P550" s="27">
        <f t="shared" si="406"/>
        <v>0</v>
      </c>
      <c r="Q550" s="27">
        <f t="shared" si="406"/>
        <v>2</v>
      </c>
      <c r="R550" s="21"/>
    </row>
    <row r="551" spans="1:18" ht="14.25" customHeight="1" x14ac:dyDescent="0.15">
      <c r="A551" s="19">
        <v>3</v>
      </c>
      <c r="B551" s="19">
        <f>1.2*3</f>
        <v>3.5999999999999996</v>
      </c>
      <c r="C551" s="19">
        <f>0.6+0.3</f>
        <v>0.89999999999999991</v>
      </c>
      <c r="D551" s="19">
        <f>B551*C551</f>
        <v>3.2399999999999993</v>
      </c>
      <c r="E551" s="19"/>
      <c r="F551" s="19"/>
      <c r="G551" s="19"/>
      <c r="H551" s="19"/>
      <c r="I551" s="19">
        <f>B551*0.4</f>
        <v>1.44</v>
      </c>
      <c r="J551" s="19">
        <v>2</v>
      </c>
      <c r="K551" s="19">
        <f t="shared" ref="K551:L551" si="407">A551</f>
        <v>3</v>
      </c>
      <c r="L551" s="19">
        <f t="shared" si="407"/>
        <v>3.5999999999999996</v>
      </c>
      <c r="M551" s="19">
        <f>A551</f>
        <v>3</v>
      </c>
      <c r="N551" s="19">
        <f>(1.2*0.4)*2</f>
        <v>0.96</v>
      </c>
      <c r="O551" s="19"/>
      <c r="P551" s="24"/>
      <c r="Q551" s="24"/>
      <c r="R551" s="19"/>
    </row>
    <row r="552" spans="1:18" ht="14.25" customHeight="1" x14ac:dyDescent="0.2">
      <c r="A552" s="19"/>
      <c r="B552" s="19"/>
      <c r="C552" s="19"/>
      <c r="D552" s="26" t="str">
        <f>D433</f>
        <v>7500</v>
      </c>
      <c r="E552" s="45">
        <v>0</v>
      </c>
      <c r="F552" s="45">
        <v>0</v>
      </c>
      <c r="G552" s="45">
        <v>2</v>
      </c>
      <c r="H552" s="19">
        <f>B551*2</f>
        <v>7.1999999999999993</v>
      </c>
      <c r="I552" s="19"/>
      <c r="J552" s="19"/>
      <c r="K552" s="19"/>
      <c r="L552" s="19"/>
      <c r="M552" s="19"/>
      <c r="N552" s="28"/>
      <c r="O552" s="19"/>
      <c r="P552" s="24"/>
      <c r="Q552" s="24"/>
      <c r="R552" s="19"/>
    </row>
    <row r="553" spans="1:18" ht="14.25" customHeight="1" x14ac:dyDescent="0.2">
      <c r="A553" s="19"/>
      <c r="B553" s="19"/>
      <c r="C553" s="19"/>
      <c r="D553" s="19">
        <f>D551*D552</f>
        <v>24299.999999999996</v>
      </c>
      <c r="E553" s="45">
        <f>E552*E550</f>
        <v>0</v>
      </c>
      <c r="F553" s="45">
        <f t="shared" ref="F553:H553" si="408">F550*F552</f>
        <v>0</v>
      </c>
      <c r="G553" s="45">
        <f t="shared" si="408"/>
        <v>3600</v>
      </c>
      <c r="H553" s="19">
        <f t="shared" si="408"/>
        <v>2735.9999999999995</v>
      </c>
      <c r="I553" s="19">
        <f t="shared" ref="I553:N553" si="409">I550*I551</f>
        <v>6912</v>
      </c>
      <c r="J553" s="19">
        <f t="shared" si="409"/>
        <v>2000</v>
      </c>
      <c r="K553" s="19">
        <f t="shared" si="409"/>
        <v>1125</v>
      </c>
      <c r="L553" s="19">
        <f t="shared" si="409"/>
        <v>2106</v>
      </c>
      <c r="M553" s="19">
        <f t="shared" si="409"/>
        <v>3000</v>
      </c>
      <c r="N553" s="19">
        <f t="shared" si="409"/>
        <v>3168</v>
      </c>
      <c r="O553" s="19">
        <f>SUM(D553:N553)</f>
        <v>48947</v>
      </c>
      <c r="P553" s="24">
        <f>O553/A551</f>
        <v>16315.666666666666</v>
      </c>
      <c r="Q553" s="24">
        <f>P553*Q550</f>
        <v>32631.333333333332</v>
      </c>
      <c r="R553" s="19">
        <f>MROUND(Q553,100)</f>
        <v>32600</v>
      </c>
    </row>
    <row r="554" spans="1:18" ht="14.25" customHeight="1" x14ac:dyDescent="0.1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9"/>
      <c r="Q554" s="39"/>
    </row>
    <row r="555" spans="1:18" ht="14.25" customHeight="1" x14ac:dyDescent="0.3">
      <c r="A555" s="109" t="str">
        <f>PRICELIST!I83</f>
        <v>WFLX-LNR-NSH-PoLM-1200-G</v>
      </c>
      <c r="B555" s="87"/>
      <c r="C555" s="8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22"/>
      <c r="Q555" s="22"/>
      <c r="R555" s="17"/>
    </row>
    <row r="556" spans="1:18" ht="14.25" customHeight="1" x14ac:dyDescent="0.15">
      <c r="A556" s="19" t="s">
        <v>57</v>
      </c>
      <c r="B556" s="19" t="s">
        <v>59</v>
      </c>
      <c r="C556" s="19" t="s">
        <v>62</v>
      </c>
      <c r="D556" s="19" t="s">
        <v>64</v>
      </c>
      <c r="E556" s="19">
        <v>1200</v>
      </c>
      <c r="F556" s="19">
        <v>900</v>
      </c>
      <c r="G556" s="19">
        <v>600</v>
      </c>
      <c r="H556" s="19" t="s">
        <v>67</v>
      </c>
      <c r="I556" s="19" t="s">
        <v>68</v>
      </c>
      <c r="J556" s="19" t="s">
        <v>69</v>
      </c>
      <c r="K556" s="19" t="s">
        <v>71</v>
      </c>
      <c r="L556" s="19" t="s">
        <v>72</v>
      </c>
      <c r="M556" s="19" t="s">
        <v>73</v>
      </c>
      <c r="N556" s="19" t="s">
        <v>75</v>
      </c>
      <c r="O556" s="19" t="s">
        <v>76</v>
      </c>
      <c r="P556" s="24" t="s">
        <v>78</v>
      </c>
      <c r="Q556" s="24" t="s">
        <v>79</v>
      </c>
      <c r="R556" s="19" t="s">
        <v>81</v>
      </c>
    </row>
    <row r="557" spans="1:18" ht="14.25" customHeight="1" x14ac:dyDescent="0.15">
      <c r="A557" s="21">
        <f t="shared" ref="A557:B557" si="410">A550</f>
        <v>0</v>
      </c>
      <c r="B557" s="21">
        <f t="shared" si="410"/>
        <v>0</v>
      </c>
      <c r="C557" s="44" t="s">
        <v>188</v>
      </c>
      <c r="D557" s="21">
        <f t="shared" ref="D557:H557" si="411">D550</f>
        <v>0</v>
      </c>
      <c r="E557" s="23" t="str">
        <f t="shared" si="411"/>
        <v>2100</v>
      </c>
      <c r="F557" s="23" t="str">
        <f t="shared" si="411"/>
        <v>1900</v>
      </c>
      <c r="G557" s="23" t="str">
        <f t="shared" si="411"/>
        <v>1800</v>
      </c>
      <c r="H557" s="23">
        <f t="shared" si="411"/>
        <v>380</v>
      </c>
      <c r="I557" s="23" t="str">
        <f>I536</f>
        <v>5500</v>
      </c>
      <c r="J557" s="23" t="str">
        <f t="shared" ref="J557:Q557" si="412">J550</f>
        <v>1000</v>
      </c>
      <c r="K557" s="23">
        <f t="shared" si="412"/>
        <v>375</v>
      </c>
      <c r="L557" s="23">
        <f t="shared" si="412"/>
        <v>585</v>
      </c>
      <c r="M557" s="23" t="str">
        <f t="shared" si="412"/>
        <v>1000</v>
      </c>
      <c r="N557" s="23">
        <f t="shared" si="412"/>
        <v>3300</v>
      </c>
      <c r="O557" s="23">
        <f t="shared" si="412"/>
        <v>0</v>
      </c>
      <c r="P557" s="27">
        <f t="shared" si="412"/>
        <v>0</v>
      </c>
      <c r="Q557" s="27">
        <f t="shared" si="412"/>
        <v>2</v>
      </c>
      <c r="R557" s="21"/>
    </row>
    <row r="558" spans="1:18" ht="14.25" customHeight="1" x14ac:dyDescent="0.15">
      <c r="A558" s="19">
        <v>3</v>
      </c>
      <c r="B558" s="19">
        <f>1.2*3</f>
        <v>3.5999999999999996</v>
      </c>
      <c r="C558" s="19">
        <f>0.6+0.3</f>
        <v>0.89999999999999991</v>
      </c>
      <c r="D558" s="19">
        <f>B558*C558</f>
        <v>3.2399999999999993</v>
      </c>
      <c r="E558" s="19"/>
      <c r="F558" s="19"/>
      <c r="G558" s="19"/>
      <c r="H558" s="19"/>
      <c r="I558" s="19">
        <f>B558*0.4</f>
        <v>1.44</v>
      </c>
      <c r="J558" s="19">
        <v>2</v>
      </c>
      <c r="K558" s="19">
        <f t="shared" ref="K558:L558" si="413">A558</f>
        <v>3</v>
      </c>
      <c r="L558" s="19">
        <f t="shared" si="413"/>
        <v>3.5999999999999996</v>
      </c>
      <c r="M558" s="19">
        <f>A558</f>
        <v>3</v>
      </c>
      <c r="N558" s="19">
        <f>(1.2*0.4)*2</f>
        <v>0.96</v>
      </c>
      <c r="O558" s="19"/>
      <c r="P558" s="24"/>
      <c r="Q558" s="24"/>
      <c r="R558" s="19"/>
    </row>
    <row r="559" spans="1:18" ht="14.25" customHeight="1" x14ac:dyDescent="0.2">
      <c r="A559" s="19"/>
      <c r="B559" s="19"/>
      <c r="C559" s="19"/>
      <c r="D559" s="26" t="str">
        <f>D552</f>
        <v>7500</v>
      </c>
      <c r="E559" s="45">
        <v>0</v>
      </c>
      <c r="F559" s="45">
        <v>0</v>
      </c>
      <c r="G559" s="45">
        <v>2</v>
      </c>
      <c r="H559" s="19">
        <f>B558*2</f>
        <v>7.1999999999999993</v>
      </c>
      <c r="I559" s="19"/>
      <c r="J559" s="19"/>
      <c r="K559" s="19"/>
      <c r="L559" s="19"/>
      <c r="M559" s="19"/>
      <c r="N559" s="28"/>
      <c r="O559" s="19"/>
      <c r="P559" s="24"/>
      <c r="Q559" s="24"/>
      <c r="R559" s="19"/>
    </row>
    <row r="560" spans="1:18" ht="14.25" customHeight="1" x14ac:dyDescent="0.2">
      <c r="A560" s="19"/>
      <c r="B560" s="19"/>
      <c r="C560" s="19"/>
      <c r="D560" s="19">
        <f>D558*D559</f>
        <v>24299.999999999996</v>
      </c>
      <c r="E560" s="45">
        <f>E559*E557</f>
        <v>0</v>
      </c>
      <c r="F560" s="45">
        <f t="shared" ref="F560:H560" si="414">F557*F559</f>
        <v>0</v>
      </c>
      <c r="G560" s="45">
        <f t="shared" si="414"/>
        <v>3600</v>
      </c>
      <c r="H560" s="19">
        <f t="shared" si="414"/>
        <v>2735.9999999999995</v>
      </c>
      <c r="I560" s="19">
        <f t="shared" ref="I560:N560" si="415">I557*I558</f>
        <v>7920</v>
      </c>
      <c r="J560" s="19">
        <f t="shared" si="415"/>
        <v>2000</v>
      </c>
      <c r="K560" s="19">
        <f t="shared" si="415"/>
        <v>1125</v>
      </c>
      <c r="L560" s="19">
        <f t="shared" si="415"/>
        <v>2106</v>
      </c>
      <c r="M560" s="19">
        <f t="shared" si="415"/>
        <v>3000</v>
      </c>
      <c r="N560" s="19">
        <f t="shared" si="415"/>
        <v>3168</v>
      </c>
      <c r="O560" s="19">
        <f>SUM(D560:N560)</f>
        <v>49955</v>
      </c>
      <c r="P560" s="24">
        <f>O560/A558</f>
        <v>16651.666666666668</v>
      </c>
      <c r="Q560" s="24">
        <f>P560*Q557</f>
        <v>33303.333333333336</v>
      </c>
      <c r="R560" s="19">
        <f>MROUND(Q560,100)</f>
        <v>33300</v>
      </c>
    </row>
    <row r="561" spans="1:18" ht="14.25" customHeight="1" x14ac:dyDescent="0.1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9"/>
      <c r="Q561" s="39"/>
    </row>
    <row r="562" spans="1:18" ht="14.25" customHeight="1" x14ac:dyDescent="0.3">
      <c r="A562" s="109" t="str">
        <f>PRICELIST!I84</f>
        <v>WFLX-LNR-NSH-PoLM-1200-X</v>
      </c>
      <c r="B562" s="87"/>
      <c r="C562" s="8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22"/>
      <c r="Q562" s="22"/>
      <c r="R562" s="17"/>
    </row>
    <row r="563" spans="1:18" ht="14.25" customHeight="1" x14ac:dyDescent="0.15">
      <c r="A563" s="19" t="s">
        <v>57</v>
      </c>
      <c r="B563" s="19" t="s">
        <v>59</v>
      </c>
      <c r="C563" s="19" t="s">
        <v>62</v>
      </c>
      <c r="D563" s="19" t="s">
        <v>64</v>
      </c>
      <c r="E563" s="19">
        <v>1200</v>
      </c>
      <c r="F563" s="19">
        <v>900</v>
      </c>
      <c r="G563" s="19">
        <v>600</v>
      </c>
      <c r="H563" s="19" t="s">
        <v>67</v>
      </c>
      <c r="I563" s="19" t="s">
        <v>68</v>
      </c>
      <c r="J563" s="19" t="s">
        <v>69</v>
      </c>
      <c r="K563" s="19" t="s">
        <v>71</v>
      </c>
      <c r="L563" s="19" t="s">
        <v>72</v>
      </c>
      <c r="M563" s="19" t="s">
        <v>73</v>
      </c>
      <c r="N563" s="19" t="s">
        <v>75</v>
      </c>
      <c r="O563" s="19" t="s">
        <v>76</v>
      </c>
      <c r="P563" s="24" t="s">
        <v>78</v>
      </c>
      <c r="Q563" s="24" t="s">
        <v>79</v>
      </c>
      <c r="R563" s="19" t="s">
        <v>81</v>
      </c>
    </row>
    <row r="564" spans="1:18" ht="14.25" customHeight="1" x14ac:dyDescent="0.15">
      <c r="A564" s="21">
        <f t="shared" ref="A564:B564" si="416">A557</f>
        <v>0</v>
      </c>
      <c r="B564" s="21">
        <f t="shared" si="416"/>
        <v>0</v>
      </c>
      <c r="C564" s="44" t="s">
        <v>188</v>
      </c>
      <c r="D564" s="21">
        <f t="shared" ref="D564:H564" si="417">D557</f>
        <v>0</v>
      </c>
      <c r="E564" s="23" t="str">
        <f t="shared" si="417"/>
        <v>2100</v>
      </c>
      <c r="F564" s="23" t="str">
        <f t="shared" si="417"/>
        <v>1900</v>
      </c>
      <c r="G564" s="23" t="str">
        <f t="shared" si="417"/>
        <v>1800</v>
      </c>
      <c r="H564" s="23">
        <f t="shared" si="417"/>
        <v>380</v>
      </c>
      <c r="I564" s="23" t="str">
        <f>I543</f>
        <v>0</v>
      </c>
      <c r="J564" s="23" t="str">
        <f t="shared" ref="J564:Q564" si="418">J557</f>
        <v>1000</v>
      </c>
      <c r="K564" s="23">
        <f t="shared" si="418"/>
        <v>375</v>
      </c>
      <c r="L564" s="23">
        <f t="shared" si="418"/>
        <v>585</v>
      </c>
      <c r="M564" s="23" t="str">
        <f t="shared" si="418"/>
        <v>1000</v>
      </c>
      <c r="N564" s="23">
        <f t="shared" si="418"/>
        <v>3300</v>
      </c>
      <c r="O564" s="23">
        <f t="shared" si="418"/>
        <v>0</v>
      </c>
      <c r="P564" s="27">
        <f t="shared" si="418"/>
        <v>0</v>
      </c>
      <c r="Q564" s="27">
        <f t="shared" si="418"/>
        <v>2</v>
      </c>
      <c r="R564" s="21"/>
    </row>
    <row r="565" spans="1:18" ht="14.25" customHeight="1" x14ac:dyDescent="0.15">
      <c r="A565" s="19">
        <v>3</v>
      </c>
      <c r="B565" s="19">
        <f>1.2*3</f>
        <v>3.5999999999999996</v>
      </c>
      <c r="C565" s="19">
        <f>0.6+0.3</f>
        <v>0.89999999999999991</v>
      </c>
      <c r="D565" s="19">
        <f>B565*C565</f>
        <v>3.2399999999999993</v>
      </c>
      <c r="E565" s="19"/>
      <c r="F565" s="19"/>
      <c r="G565" s="19"/>
      <c r="H565" s="19"/>
      <c r="I565" s="19">
        <f>B565*0.4</f>
        <v>1.44</v>
      </c>
      <c r="J565" s="19">
        <v>2</v>
      </c>
      <c r="K565" s="19">
        <f t="shared" ref="K565:L565" si="419">A565</f>
        <v>3</v>
      </c>
      <c r="L565" s="19">
        <f t="shared" si="419"/>
        <v>3.5999999999999996</v>
      </c>
      <c r="M565" s="19">
        <f>A565</f>
        <v>3</v>
      </c>
      <c r="N565" s="19">
        <f>(1.2*0.4)*2</f>
        <v>0.96</v>
      </c>
      <c r="O565" s="19"/>
      <c r="P565" s="24"/>
      <c r="Q565" s="24"/>
      <c r="R565" s="19"/>
    </row>
    <row r="566" spans="1:18" ht="14.25" customHeight="1" x14ac:dyDescent="0.2">
      <c r="A566" s="19"/>
      <c r="B566" s="19"/>
      <c r="C566" s="19"/>
      <c r="D566" s="26" t="str">
        <f>D559</f>
        <v>7500</v>
      </c>
      <c r="E566" s="45">
        <v>0</v>
      </c>
      <c r="F566" s="45">
        <v>0</v>
      </c>
      <c r="G566" s="45">
        <v>2</v>
      </c>
      <c r="H566" s="19">
        <f>B565*2</f>
        <v>7.1999999999999993</v>
      </c>
      <c r="I566" s="19"/>
      <c r="J566" s="19"/>
      <c r="K566" s="19"/>
      <c r="L566" s="19"/>
      <c r="M566" s="19"/>
      <c r="N566" s="28"/>
      <c r="O566" s="19"/>
      <c r="P566" s="24"/>
      <c r="Q566" s="24"/>
      <c r="R566" s="19"/>
    </row>
    <row r="567" spans="1:18" ht="14.25" customHeight="1" x14ac:dyDescent="0.2">
      <c r="A567" s="19"/>
      <c r="B567" s="19"/>
      <c r="C567" s="19"/>
      <c r="D567" s="19">
        <f>D565*D566</f>
        <v>24299.999999999996</v>
      </c>
      <c r="E567" s="45">
        <f>E566*E564</f>
        <v>0</v>
      </c>
      <c r="F567" s="45">
        <f t="shared" ref="F567:H567" si="420">F564*F566</f>
        <v>0</v>
      </c>
      <c r="G567" s="45">
        <f t="shared" si="420"/>
        <v>3600</v>
      </c>
      <c r="H567" s="19">
        <f t="shared" si="420"/>
        <v>2735.9999999999995</v>
      </c>
      <c r="I567" s="19">
        <f t="shared" ref="I567:N567" si="421">I564*I565</f>
        <v>0</v>
      </c>
      <c r="J567" s="19">
        <f t="shared" si="421"/>
        <v>2000</v>
      </c>
      <c r="K567" s="19">
        <f t="shared" si="421"/>
        <v>1125</v>
      </c>
      <c r="L567" s="19">
        <f t="shared" si="421"/>
        <v>2106</v>
      </c>
      <c r="M567" s="19">
        <f t="shared" si="421"/>
        <v>3000</v>
      </c>
      <c r="N567" s="19">
        <f t="shared" si="421"/>
        <v>3168</v>
      </c>
      <c r="O567" s="19">
        <f>SUM(D567:N567)</f>
        <v>42035</v>
      </c>
      <c r="P567" s="24">
        <f>O567/A565</f>
        <v>14011.666666666666</v>
      </c>
      <c r="Q567" s="24">
        <f>P567*Q564</f>
        <v>28023.333333333332</v>
      </c>
      <c r="R567" s="19">
        <f>MROUND(Q567,100)</f>
        <v>28000</v>
      </c>
    </row>
    <row r="568" spans="1:18" ht="14.25" customHeight="1" x14ac:dyDescent="0.1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9"/>
      <c r="Q568" s="39"/>
    </row>
    <row r="569" spans="1:18" ht="14.25" customHeight="1" x14ac:dyDescent="0.3">
      <c r="A569" s="109" t="str">
        <f>PRICELIST!I85</f>
        <v>WFLX-LNR-NSH-LVM-1200-F</v>
      </c>
      <c r="B569" s="87"/>
      <c r="C569" s="8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22"/>
      <c r="Q569" s="22"/>
      <c r="R569" s="17"/>
    </row>
    <row r="570" spans="1:18" ht="14.25" customHeight="1" x14ac:dyDescent="0.15">
      <c r="A570" s="19" t="s">
        <v>57</v>
      </c>
      <c r="B570" s="19" t="s">
        <v>59</v>
      </c>
      <c r="C570" s="19" t="s">
        <v>62</v>
      </c>
      <c r="D570" s="19" t="s">
        <v>64</v>
      </c>
      <c r="E570" s="19">
        <v>1200</v>
      </c>
      <c r="F570" s="19">
        <v>900</v>
      </c>
      <c r="G570" s="19">
        <v>600</v>
      </c>
      <c r="H570" s="19" t="s">
        <v>67</v>
      </c>
      <c r="I570" s="19" t="s">
        <v>68</v>
      </c>
      <c r="J570" s="19" t="s">
        <v>69</v>
      </c>
      <c r="K570" s="19" t="s">
        <v>71</v>
      </c>
      <c r="L570" s="19" t="s">
        <v>72</v>
      </c>
      <c r="M570" s="19" t="s">
        <v>73</v>
      </c>
      <c r="N570" s="19" t="s">
        <v>75</v>
      </c>
      <c r="O570" s="19" t="s">
        <v>76</v>
      </c>
      <c r="P570" s="24" t="s">
        <v>78</v>
      </c>
      <c r="Q570" s="24" t="s">
        <v>79</v>
      </c>
      <c r="R570" s="19" t="s">
        <v>81</v>
      </c>
    </row>
    <row r="571" spans="1:18" ht="14.25" customHeight="1" x14ac:dyDescent="0.15">
      <c r="A571" s="21">
        <f t="shared" ref="A571:B571" si="422">A564</f>
        <v>0</v>
      </c>
      <c r="B571" s="21">
        <f t="shared" si="422"/>
        <v>0</v>
      </c>
      <c r="C571" s="44" t="s">
        <v>188</v>
      </c>
      <c r="D571" s="21">
        <f t="shared" ref="D571:H571" si="423">D564</f>
        <v>0</v>
      </c>
      <c r="E571" s="23" t="str">
        <f t="shared" si="423"/>
        <v>2100</v>
      </c>
      <c r="F571" s="23" t="str">
        <f t="shared" si="423"/>
        <v>1900</v>
      </c>
      <c r="G571" s="23" t="str">
        <f t="shared" si="423"/>
        <v>1800</v>
      </c>
      <c r="H571" s="23">
        <f t="shared" si="423"/>
        <v>380</v>
      </c>
      <c r="I571" s="23" t="str">
        <f>I550</f>
        <v>4800</v>
      </c>
      <c r="J571" s="23" t="str">
        <f t="shared" ref="J571:Q571" si="424">J564</f>
        <v>1000</v>
      </c>
      <c r="K571" s="23">
        <f t="shared" si="424"/>
        <v>375</v>
      </c>
      <c r="L571" s="23">
        <f t="shared" si="424"/>
        <v>585</v>
      </c>
      <c r="M571" s="23" t="str">
        <f t="shared" si="424"/>
        <v>1000</v>
      </c>
      <c r="N571" s="23">
        <f t="shared" si="424"/>
        <v>3300</v>
      </c>
      <c r="O571" s="23">
        <f t="shared" si="424"/>
        <v>0</v>
      </c>
      <c r="P571" s="27">
        <f t="shared" si="424"/>
        <v>0</v>
      </c>
      <c r="Q571" s="27">
        <f t="shared" si="424"/>
        <v>2</v>
      </c>
      <c r="R571" s="21"/>
    </row>
    <row r="572" spans="1:18" ht="14.25" customHeight="1" x14ac:dyDescent="0.15">
      <c r="A572" s="19">
        <v>3</v>
      </c>
      <c r="B572" s="19">
        <f>1.2*3</f>
        <v>3.5999999999999996</v>
      </c>
      <c r="C572" s="19">
        <f>0.6+0.3</f>
        <v>0.89999999999999991</v>
      </c>
      <c r="D572" s="19">
        <f>B572*C572</f>
        <v>3.2399999999999993</v>
      </c>
      <c r="E572" s="19"/>
      <c r="F572" s="19"/>
      <c r="G572" s="19"/>
      <c r="H572" s="19"/>
      <c r="I572" s="19">
        <f>B572*0.4</f>
        <v>1.44</v>
      </c>
      <c r="J572" s="19">
        <v>2</v>
      </c>
      <c r="K572" s="19">
        <f t="shared" ref="K572:L572" si="425">A572</f>
        <v>3</v>
      </c>
      <c r="L572" s="19">
        <f t="shared" si="425"/>
        <v>3.5999999999999996</v>
      </c>
      <c r="M572" s="19">
        <f>A572</f>
        <v>3</v>
      </c>
      <c r="N572" s="19">
        <f>(1.2*0.4)*2</f>
        <v>0.96</v>
      </c>
      <c r="O572" s="19"/>
      <c r="P572" s="24"/>
      <c r="Q572" s="24"/>
      <c r="R572" s="19"/>
    </row>
    <row r="573" spans="1:18" ht="14.25" customHeight="1" x14ac:dyDescent="0.2">
      <c r="A573" s="19"/>
      <c r="B573" s="19"/>
      <c r="C573" s="19"/>
      <c r="D573" s="26" t="str">
        <f>D461</f>
        <v>9500</v>
      </c>
      <c r="E573" s="45">
        <v>0</v>
      </c>
      <c r="F573" s="45">
        <v>0</v>
      </c>
      <c r="G573" s="45">
        <v>2</v>
      </c>
      <c r="H573" s="19">
        <f>B572*2</f>
        <v>7.1999999999999993</v>
      </c>
      <c r="I573" s="19"/>
      <c r="J573" s="19"/>
      <c r="K573" s="19"/>
      <c r="L573" s="19"/>
      <c r="M573" s="19"/>
      <c r="N573" s="28"/>
      <c r="O573" s="19"/>
      <c r="P573" s="24"/>
      <c r="Q573" s="24"/>
      <c r="R573" s="19"/>
    </row>
    <row r="574" spans="1:18" ht="14.25" customHeight="1" x14ac:dyDescent="0.2">
      <c r="A574" s="19"/>
      <c r="B574" s="19"/>
      <c r="C574" s="19"/>
      <c r="D574" s="19">
        <f>D572*D573</f>
        <v>30779.999999999993</v>
      </c>
      <c r="E574" s="45">
        <f>E573*E571</f>
        <v>0</v>
      </c>
      <c r="F574" s="45">
        <f t="shared" ref="F574:H574" si="426">F571*F573</f>
        <v>0</v>
      </c>
      <c r="G574" s="45">
        <f t="shared" si="426"/>
        <v>3600</v>
      </c>
      <c r="H574" s="19">
        <f t="shared" si="426"/>
        <v>2735.9999999999995</v>
      </c>
      <c r="I574" s="19">
        <f t="shared" ref="I574:N574" si="427">I571*I572</f>
        <v>6912</v>
      </c>
      <c r="J574" s="19">
        <f t="shared" si="427"/>
        <v>2000</v>
      </c>
      <c r="K574" s="19">
        <f t="shared" si="427"/>
        <v>1125</v>
      </c>
      <c r="L574" s="19">
        <f t="shared" si="427"/>
        <v>2106</v>
      </c>
      <c r="M574" s="19">
        <f t="shared" si="427"/>
        <v>3000</v>
      </c>
      <c r="N574" s="19">
        <f t="shared" si="427"/>
        <v>3168</v>
      </c>
      <c r="O574" s="19">
        <f>SUM(D574:N574)</f>
        <v>55426.999999999993</v>
      </c>
      <c r="P574" s="24">
        <f>O574/A572</f>
        <v>18475.666666666664</v>
      </c>
      <c r="Q574" s="24">
        <f>P574*Q571</f>
        <v>36951.333333333328</v>
      </c>
      <c r="R574" s="19">
        <f>MROUND(Q574,100)</f>
        <v>37000</v>
      </c>
    </row>
    <row r="575" spans="1:18" ht="14.25" customHeight="1" x14ac:dyDescent="0.1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9"/>
      <c r="Q575" s="39"/>
    </row>
    <row r="576" spans="1:18" ht="14.25" customHeight="1" x14ac:dyDescent="0.3">
      <c r="A576" s="109" t="str">
        <f>PRICELIST!I86</f>
        <v>WFLX-LNR-NSH-LVM-1200-G</v>
      </c>
      <c r="B576" s="87"/>
      <c r="C576" s="8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22"/>
      <c r="Q576" s="22"/>
      <c r="R576" s="17"/>
    </row>
    <row r="577" spans="1:18" ht="14.25" customHeight="1" x14ac:dyDescent="0.15">
      <c r="A577" s="19" t="s">
        <v>57</v>
      </c>
      <c r="B577" s="19" t="s">
        <v>59</v>
      </c>
      <c r="C577" s="19" t="s">
        <v>62</v>
      </c>
      <c r="D577" s="19" t="s">
        <v>64</v>
      </c>
      <c r="E577" s="19">
        <v>1200</v>
      </c>
      <c r="F577" s="19">
        <v>900</v>
      </c>
      <c r="G577" s="19">
        <v>600</v>
      </c>
      <c r="H577" s="19" t="s">
        <v>67</v>
      </c>
      <c r="I577" s="19" t="s">
        <v>68</v>
      </c>
      <c r="J577" s="19" t="s">
        <v>69</v>
      </c>
      <c r="K577" s="19" t="s">
        <v>71</v>
      </c>
      <c r="L577" s="19" t="s">
        <v>72</v>
      </c>
      <c r="M577" s="19" t="s">
        <v>73</v>
      </c>
      <c r="N577" s="19" t="s">
        <v>75</v>
      </c>
      <c r="O577" s="19" t="s">
        <v>76</v>
      </c>
      <c r="P577" s="24" t="s">
        <v>78</v>
      </c>
      <c r="Q577" s="24" t="s">
        <v>79</v>
      </c>
      <c r="R577" s="19" t="s">
        <v>81</v>
      </c>
    </row>
    <row r="578" spans="1:18" ht="14.25" customHeight="1" x14ac:dyDescent="0.15">
      <c r="A578" s="21">
        <f t="shared" ref="A578:B578" si="428">A571</f>
        <v>0</v>
      </c>
      <c r="B578" s="21">
        <f t="shared" si="428"/>
        <v>0</v>
      </c>
      <c r="C578" s="44" t="s">
        <v>188</v>
      </c>
      <c r="D578" s="21">
        <f t="shared" ref="D578:H578" si="429">D571</f>
        <v>0</v>
      </c>
      <c r="E578" s="23" t="str">
        <f t="shared" si="429"/>
        <v>2100</v>
      </c>
      <c r="F578" s="23" t="str">
        <f t="shared" si="429"/>
        <v>1900</v>
      </c>
      <c r="G578" s="23" t="str">
        <f t="shared" si="429"/>
        <v>1800</v>
      </c>
      <c r="H578" s="23">
        <f t="shared" si="429"/>
        <v>380</v>
      </c>
      <c r="I578" s="23" t="str">
        <f>I557</f>
        <v>5500</v>
      </c>
      <c r="J578" s="23" t="str">
        <f t="shared" ref="J578:Q578" si="430">J571</f>
        <v>1000</v>
      </c>
      <c r="K578" s="23">
        <f t="shared" si="430"/>
        <v>375</v>
      </c>
      <c r="L578" s="23">
        <f t="shared" si="430"/>
        <v>585</v>
      </c>
      <c r="M578" s="23" t="str">
        <f t="shared" si="430"/>
        <v>1000</v>
      </c>
      <c r="N578" s="23">
        <f t="shared" si="430"/>
        <v>3300</v>
      </c>
      <c r="O578" s="23">
        <f t="shared" si="430"/>
        <v>0</v>
      </c>
      <c r="P578" s="27">
        <f t="shared" si="430"/>
        <v>0</v>
      </c>
      <c r="Q578" s="27">
        <f t="shared" si="430"/>
        <v>2</v>
      </c>
      <c r="R578" s="21"/>
    </row>
    <row r="579" spans="1:18" ht="14.25" customHeight="1" x14ac:dyDescent="0.15">
      <c r="A579" s="19">
        <v>3</v>
      </c>
      <c r="B579" s="19">
        <f>1.2*3</f>
        <v>3.5999999999999996</v>
      </c>
      <c r="C579" s="19">
        <f>0.6+0.3</f>
        <v>0.89999999999999991</v>
      </c>
      <c r="D579" s="19">
        <f>B579*C579</f>
        <v>3.2399999999999993</v>
      </c>
      <c r="E579" s="19"/>
      <c r="F579" s="19"/>
      <c r="G579" s="19"/>
      <c r="H579" s="19"/>
      <c r="I579" s="19">
        <f>B579*0.4</f>
        <v>1.44</v>
      </c>
      <c r="J579" s="19">
        <v>2</v>
      </c>
      <c r="K579" s="19">
        <f t="shared" ref="K579:L579" si="431">A579</f>
        <v>3</v>
      </c>
      <c r="L579" s="19">
        <f t="shared" si="431"/>
        <v>3.5999999999999996</v>
      </c>
      <c r="M579" s="19">
        <f>A579</f>
        <v>3</v>
      </c>
      <c r="N579" s="19">
        <f>(1.2*0.4)*2</f>
        <v>0.96</v>
      </c>
      <c r="O579" s="19"/>
      <c r="P579" s="24"/>
      <c r="Q579" s="24"/>
      <c r="R579" s="19"/>
    </row>
    <row r="580" spans="1:18" ht="14.25" customHeight="1" x14ac:dyDescent="0.2">
      <c r="A580" s="19"/>
      <c r="B580" s="19"/>
      <c r="C580" s="19"/>
      <c r="D580" s="26" t="str">
        <f>D573</f>
        <v>9500</v>
      </c>
      <c r="E580" s="45">
        <v>0</v>
      </c>
      <c r="F580" s="45">
        <v>0</v>
      </c>
      <c r="G580" s="45">
        <v>2</v>
      </c>
      <c r="H580" s="19">
        <f>B579*2</f>
        <v>7.1999999999999993</v>
      </c>
      <c r="I580" s="19"/>
      <c r="J580" s="19"/>
      <c r="K580" s="19"/>
      <c r="L580" s="19"/>
      <c r="M580" s="19"/>
      <c r="N580" s="28"/>
      <c r="O580" s="19"/>
      <c r="P580" s="24"/>
      <c r="Q580" s="24"/>
      <c r="R580" s="19"/>
    </row>
    <row r="581" spans="1:18" ht="14.25" customHeight="1" x14ac:dyDescent="0.2">
      <c r="A581" s="19"/>
      <c r="B581" s="19"/>
      <c r="C581" s="19"/>
      <c r="D581" s="19">
        <f>D579*D580</f>
        <v>30779.999999999993</v>
      </c>
      <c r="E581" s="45">
        <f>E580*E578</f>
        <v>0</v>
      </c>
      <c r="F581" s="45">
        <f t="shared" ref="F581:H581" si="432">F578*F580</f>
        <v>0</v>
      </c>
      <c r="G581" s="45">
        <f t="shared" si="432"/>
        <v>3600</v>
      </c>
      <c r="H581" s="19">
        <f t="shared" si="432"/>
        <v>2735.9999999999995</v>
      </c>
      <c r="I581" s="19">
        <f t="shared" ref="I581:N581" si="433">I578*I579</f>
        <v>7920</v>
      </c>
      <c r="J581" s="19">
        <f t="shared" si="433"/>
        <v>2000</v>
      </c>
      <c r="K581" s="19">
        <f t="shared" si="433"/>
        <v>1125</v>
      </c>
      <c r="L581" s="19">
        <f t="shared" si="433"/>
        <v>2106</v>
      </c>
      <c r="M581" s="19">
        <f t="shared" si="433"/>
        <v>3000</v>
      </c>
      <c r="N581" s="19">
        <f t="shared" si="433"/>
        <v>3168</v>
      </c>
      <c r="O581" s="19">
        <f>SUM(D581:N581)</f>
        <v>56434.999999999993</v>
      </c>
      <c r="P581" s="24">
        <f>O581/A579</f>
        <v>18811.666666666664</v>
      </c>
      <c r="Q581" s="24">
        <f>P581*Q578</f>
        <v>37623.333333333328</v>
      </c>
      <c r="R581" s="19">
        <f>MROUND(Q581,100)</f>
        <v>37600</v>
      </c>
    </row>
    <row r="582" spans="1:18" ht="14.25" customHeight="1" x14ac:dyDescent="0.1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9"/>
      <c r="Q582" s="39"/>
    </row>
    <row r="583" spans="1:18" ht="14.25" customHeight="1" x14ac:dyDescent="0.3">
      <c r="A583" s="109" t="str">
        <f>PRICELIST!I87</f>
        <v>WFLX-LNR-NSH-LVM-1200-X</v>
      </c>
      <c r="B583" s="87"/>
      <c r="C583" s="8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22"/>
      <c r="Q583" s="22"/>
      <c r="R583" s="17"/>
    </row>
    <row r="584" spans="1:18" ht="14.25" customHeight="1" x14ac:dyDescent="0.15">
      <c r="A584" s="19" t="s">
        <v>57</v>
      </c>
      <c r="B584" s="19" t="s">
        <v>59</v>
      </c>
      <c r="C584" s="19" t="s">
        <v>62</v>
      </c>
      <c r="D584" s="19" t="s">
        <v>64</v>
      </c>
      <c r="E584" s="19">
        <v>1200</v>
      </c>
      <c r="F584" s="19">
        <v>900</v>
      </c>
      <c r="G584" s="19">
        <v>600</v>
      </c>
      <c r="H584" s="19" t="s">
        <v>67</v>
      </c>
      <c r="I584" s="19" t="s">
        <v>68</v>
      </c>
      <c r="J584" s="19" t="s">
        <v>69</v>
      </c>
      <c r="K584" s="19" t="s">
        <v>71</v>
      </c>
      <c r="L584" s="19" t="s">
        <v>72</v>
      </c>
      <c r="M584" s="19" t="s">
        <v>73</v>
      </c>
      <c r="N584" s="19" t="s">
        <v>75</v>
      </c>
      <c r="O584" s="19" t="s">
        <v>76</v>
      </c>
      <c r="P584" s="24" t="s">
        <v>78</v>
      </c>
      <c r="Q584" s="24" t="s">
        <v>79</v>
      </c>
      <c r="R584" s="19" t="s">
        <v>81</v>
      </c>
    </row>
    <row r="585" spans="1:18" ht="14.25" customHeight="1" x14ac:dyDescent="0.15">
      <c r="A585" s="21">
        <f t="shared" ref="A585:B585" si="434">A578</f>
        <v>0</v>
      </c>
      <c r="B585" s="21">
        <f t="shared" si="434"/>
        <v>0</v>
      </c>
      <c r="C585" s="44" t="s">
        <v>188</v>
      </c>
      <c r="D585" s="21">
        <f t="shared" ref="D585:H585" si="435">D578</f>
        <v>0</v>
      </c>
      <c r="E585" s="23" t="str">
        <f t="shared" si="435"/>
        <v>2100</v>
      </c>
      <c r="F585" s="23" t="str">
        <f t="shared" si="435"/>
        <v>1900</v>
      </c>
      <c r="G585" s="23" t="str">
        <f t="shared" si="435"/>
        <v>1800</v>
      </c>
      <c r="H585" s="23">
        <f t="shared" si="435"/>
        <v>380</v>
      </c>
      <c r="I585" s="23" t="str">
        <f>I564</f>
        <v>0</v>
      </c>
      <c r="J585" s="23" t="str">
        <f t="shared" ref="J585:Q585" si="436">J578</f>
        <v>1000</v>
      </c>
      <c r="K585" s="23">
        <f t="shared" si="436"/>
        <v>375</v>
      </c>
      <c r="L585" s="23">
        <f t="shared" si="436"/>
        <v>585</v>
      </c>
      <c r="M585" s="23" t="str">
        <f t="shared" si="436"/>
        <v>1000</v>
      </c>
      <c r="N585" s="23">
        <f t="shared" si="436"/>
        <v>3300</v>
      </c>
      <c r="O585" s="23">
        <f t="shared" si="436"/>
        <v>0</v>
      </c>
      <c r="P585" s="27">
        <f t="shared" si="436"/>
        <v>0</v>
      </c>
      <c r="Q585" s="27">
        <f t="shared" si="436"/>
        <v>2</v>
      </c>
      <c r="R585" s="21"/>
    </row>
    <row r="586" spans="1:18" ht="14.25" customHeight="1" x14ac:dyDescent="0.15">
      <c r="A586" s="19">
        <v>3</v>
      </c>
      <c r="B586" s="19">
        <f>1.2*3</f>
        <v>3.5999999999999996</v>
      </c>
      <c r="C586" s="19">
        <f>0.6+0.3</f>
        <v>0.89999999999999991</v>
      </c>
      <c r="D586" s="19">
        <f>B586*C586</f>
        <v>3.2399999999999993</v>
      </c>
      <c r="E586" s="19"/>
      <c r="F586" s="19"/>
      <c r="G586" s="19"/>
      <c r="H586" s="19"/>
      <c r="I586" s="19">
        <f>B586*0.4</f>
        <v>1.44</v>
      </c>
      <c r="J586" s="19">
        <v>2</v>
      </c>
      <c r="K586" s="19">
        <f t="shared" ref="K586:L586" si="437">A586</f>
        <v>3</v>
      </c>
      <c r="L586" s="19">
        <f t="shared" si="437"/>
        <v>3.5999999999999996</v>
      </c>
      <c r="M586" s="19">
        <f>A586</f>
        <v>3</v>
      </c>
      <c r="N586" s="19">
        <f>(1.2*0.4)*2</f>
        <v>0.96</v>
      </c>
      <c r="O586" s="19"/>
      <c r="P586" s="24"/>
      <c r="Q586" s="24"/>
      <c r="R586" s="19"/>
    </row>
    <row r="587" spans="1:18" ht="14.25" customHeight="1" x14ac:dyDescent="0.2">
      <c r="A587" s="19"/>
      <c r="B587" s="19"/>
      <c r="C587" s="19"/>
      <c r="D587" s="26" t="str">
        <f>D580</f>
        <v>9500</v>
      </c>
      <c r="E587" s="45">
        <v>0</v>
      </c>
      <c r="F587" s="45">
        <v>0</v>
      </c>
      <c r="G587" s="45">
        <v>2</v>
      </c>
      <c r="H587" s="19">
        <f>B586*2</f>
        <v>7.1999999999999993</v>
      </c>
      <c r="I587" s="19"/>
      <c r="J587" s="19"/>
      <c r="K587" s="19"/>
      <c r="L587" s="19"/>
      <c r="M587" s="19"/>
      <c r="N587" s="28"/>
      <c r="O587" s="19"/>
      <c r="P587" s="24"/>
      <c r="Q587" s="24"/>
      <c r="R587" s="19"/>
    </row>
    <row r="588" spans="1:18" ht="14.25" customHeight="1" x14ac:dyDescent="0.2">
      <c r="A588" s="19"/>
      <c r="B588" s="19"/>
      <c r="C588" s="19"/>
      <c r="D588" s="19">
        <f>D586*D587</f>
        <v>30779.999999999993</v>
      </c>
      <c r="E588" s="45">
        <f>E587*E585</f>
        <v>0</v>
      </c>
      <c r="F588" s="45">
        <f t="shared" ref="F588:H588" si="438">F585*F587</f>
        <v>0</v>
      </c>
      <c r="G588" s="45">
        <f t="shared" si="438"/>
        <v>3600</v>
      </c>
      <c r="H588" s="19">
        <f t="shared" si="438"/>
        <v>2735.9999999999995</v>
      </c>
      <c r="I588" s="19">
        <f t="shared" ref="I588:N588" si="439">I585*I586</f>
        <v>0</v>
      </c>
      <c r="J588" s="19">
        <f t="shared" si="439"/>
        <v>2000</v>
      </c>
      <c r="K588" s="19">
        <f t="shared" si="439"/>
        <v>1125</v>
      </c>
      <c r="L588" s="19">
        <f t="shared" si="439"/>
        <v>2106</v>
      </c>
      <c r="M588" s="19">
        <f t="shared" si="439"/>
        <v>3000</v>
      </c>
      <c r="N588" s="19">
        <f t="shared" si="439"/>
        <v>3168</v>
      </c>
      <c r="O588" s="19">
        <f>SUM(D588:N588)</f>
        <v>48514.999999999993</v>
      </c>
      <c r="P588" s="24">
        <f>O588/A586</f>
        <v>16171.666666666664</v>
      </c>
      <c r="Q588" s="24">
        <f>P588*Q585</f>
        <v>32343.333333333328</v>
      </c>
      <c r="R588" s="19">
        <f>MROUND(Q588,100)</f>
        <v>32300</v>
      </c>
    </row>
    <row r="589" spans="1:18" ht="14.25" customHeight="1" x14ac:dyDescent="0.1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9"/>
      <c r="Q589" s="39"/>
    </row>
    <row r="590" spans="1:18" ht="14.25" customHeight="1" x14ac:dyDescent="0.3">
      <c r="A590" s="109" t="str">
        <f>PRICELIST!I88</f>
        <v>WFLX-LNR-NSH-LVP-1200-F</v>
      </c>
      <c r="B590" s="87"/>
      <c r="C590" s="8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22"/>
      <c r="Q590" s="22"/>
      <c r="R590" s="17"/>
    </row>
    <row r="591" spans="1:18" ht="14.25" customHeight="1" x14ac:dyDescent="0.15">
      <c r="A591" s="19" t="s">
        <v>57</v>
      </c>
      <c r="B591" s="19" t="s">
        <v>59</v>
      </c>
      <c r="C591" s="19" t="s">
        <v>62</v>
      </c>
      <c r="D591" s="19" t="s">
        <v>64</v>
      </c>
      <c r="E591" s="19">
        <v>1200</v>
      </c>
      <c r="F591" s="19">
        <v>900</v>
      </c>
      <c r="G591" s="19">
        <v>600</v>
      </c>
      <c r="H591" s="19" t="s">
        <v>67</v>
      </c>
      <c r="I591" s="19" t="s">
        <v>68</v>
      </c>
      <c r="J591" s="19" t="s">
        <v>69</v>
      </c>
      <c r="K591" s="19" t="s">
        <v>71</v>
      </c>
      <c r="L591" s="19" t="s">
        <v>72</v>
      </c>
      <c r="M591" s="19" t="s">
        <v>73</v>
      </c>
      <c r="N591" s="19" t="s">
        <v>75</v>
      </c>
      <c r="O591" s="19" t="s">
        <v>76</v>
      </c>
      <c r="P591" s="24" t="s">
        <v>78</v>
      </c>
      <c r="Q591" s="24" t="s">
        <v>79</v>
      </c>
      <c r="R591" s="19" t="s">
        <v>81</v>
      </c>
    </row>
    <row r="592" spans="1:18" ht="14.25" customHeight="1" x14ac:dyDescent="0.15">
      <c r="A592" s="21">
        <f t="shared" ref="A592:B592" si="440">A585</f>
        <v>0</v>
      </c>
      <c r="B592" s="21">
        <f t="shared" si="440"/>
        <v>0</v>
      </c>
      <c r="C592" s="44" t="s">
        <v>188</v>
      </c>
      <c r="D592" s="21">
        <f t="shared" ref="D592:H592" si="441">D585</f>
        <v>0</v>
      </c>
      <c r="E592" s="23" t="str">
        <f t="shared" si="441"/>
        <v>2100</v>
      </c>
      <c r="F592" s="23" t="str">
        <f t="shared" si="441"/>
        <v>1900</v>
      </c>
      <c r="G592" s="23" t="str">
        <f t="shared" si="441"/>
        <v>1800</v>
      </c>
      <c r="H592" s="23">
        <f t="shared" si="441"/>
        <v>380</v>
      </c>
      <c r="I592" s="23" t="str">
        <f>I571</f>
        <v>4800</v>
      </c>
      <c r="J592" s="23" t="str">
        <f t="shared" ref="J592:Q592" si="442">J585</f>
        <v>1000</v>
      </c>
      <c r="K592" s="23">
        <f t="shared" si="442"/>
        <v>375</v>
      </c>
      <c r="L592" s="23">
        <f t="shared" si="442"/>
        <v>585</v>
      </c>
      <c r="M592" s="23" t="str">
        <f t="shared" si="442"/>
        <v>1000</v>
      </c>
      <c r="N592" s="23">
        <f t="shared" si="442"/>
        <v>3300</v>
      </c>
      <c r="O592" s="23">
        <f t="shared" si="442"/>
        <v>0</v>
      </c>
      <c r="P592" s="27">
        <f t="shared" si="442"/>
        <v>0</v>
      </c>
      <c r="Q592" s="27">
        <f t="shared" si="442"/>
        <v>2</v>
      </c>
      <c r="R592" s="21"/>
    </row>
    <row r="593" spans="1:18" ht="14.25" customHeight="1" x14ac:dyDescent="0.15">
      <c r="A593" s="19">
        <v>3</v>
      </c>
      <c r="B593" s="19">
        <f>1.2*3</f>
        <v>3.5999999999999996</v>
      </c>
      <c r="C593" s="19">
        <f>0.6+0.3</f>
        <v>0.89999999999999991</v>
      </c>
      <c r="D593" s="19">
        <f>B593*C593</f>
        <v>3.2399999999999993</v>
      </c>
      <c r="E593" s="19"/>
      <c r="F593" s="19"/>
      <c r="G593" s="19"/>
      <c r="H593" s="19"/>
      <c r="I593" s="19">
        <f>B593*0.4</f>
        <v>1.44</v>
      </c>
      <c r="J593" s="19">
        <v>2</v>
      </c>
      <c r="K593" s="19">
        <f t="shared" ref="K593:L593" si="443">A593</f>
        <v>3</v>
      </c>
      <c r="L593" s="19">
        <f t="shared" si="443"/>
        <v>3.5999999999999996</v>
      </c>
      <c r="M593" s="19">
        <f>A593</f>
        <v>3</v>
      </c>
      <c r="N593" s="19">
        <f>(1.2*0.4)*2</f>
        <v>0.96</v>
      </c>
      <c r="O593" s="19"/>
      <c r="P593" s="24"/>
      <c r="Q593" s="24"/>
      <c r="R593" s="19"/>
    </row>
    <row r="594" spans="1:18" ht="14.25" customHeight="1" x14ac:dyDescent="0.2">
      <c r="A594" s="19"/>
      <c r="B594" s="19"/>
      <c r="C594" s="19"/>
      <c r="D594" s="26" t="str">
        <f>D475</f>
        <v>10500</v>
      </c>
      <c r="E594" s="45">
        <v>0</v>
      </c>
      <c r="F594" s="45">
        <v>0</v>
      </c>
      <c r="G594" s="45">
        <v>2</v>
      </c>
      <c r="H594" s="19">
        <f>B593*2</f>
        <v>7.1999999999999993</v>
      </c>
      <c r="I594" s="19"/>
      <c r="J594" s="19"/>
      <c r="K594" s="19"/>
      <c r="L594" s="19"/>
      <c r="M594" s="19"/>
      <c r="N594" s="28"/>
      <c r="O594" s="19"/>
      <c r="P594" s="24"/>
      <c r="Q594" s="24"/>
      <c r="R594" s="19"/>
    </row>
    <row r="595" spans="1:18" ht="14.25" customHeight="1" x14ac:dyDescent="0.2">
      <c r="A595" s="19"/>
      <c r="B595" s="19"/>
      <c r="C595" s="19"/>
      <c r="D595" s="19">
        <f>D593*D594</f>
        <v>34019.999999999993</v>
      </c>
      <c r="E595" s="45">
        <f>E594*E592</f>
        <v>0</v>
      </c>
      <c r="F595" s="45">
        <f t="shared" ref="F595:H595" si="444">F592*F594</f>
        <v>0</v>
      </c>
      <c r="G595" s="45">
        <f t="shared" si="444"/>
        <v>3600</v>
      </c>
      <c r="H595" s="19">
        <f t="shared" si="444"/>
        <v>2735.9999999999995</v>
      </c>
      <c r="I595" s="19">
        <f t="shared" ref="I595:N595" si="445">I592*I593</f>
        <v>6912</v>
      </c>
      <c r="J595" s="19">
        <f t="shared" si="445"/>
        <v>2000</v>
      </c>
      <c r="K595" s="19">
        <f t="shared" si="445"/>
        <v>1125</v>
      </c>
      <c r="L595" s="19">
        <f t="shared" si="445"/>
        <v>2106</v>
      </c>
      <c r="M595" s="19">
        <f t="shared" si="445"/>
        <v>3000</v>
      </c>
      <c r="N595" s="19">
        <f t="shared" si="445"/>
        <v>3168</v>
      </c>
      <c r="O595" s="19">
        <f>SUM(D595:N595)</f>
        <v>58666.999999999993</v>
      </c>
      <c r="P595" s="24">
        <f>O595/A593</f>
        <v>19555.666666666664</v>
      </c>
      <c r="Q595" s="24">
        <f>P595*Q592</f>
        <v>39111.333333333328</v>
      </c>
      <c r="R595" s="19">
        <f>MROUND(Q595,100)</f>
        <v>39100</v>
      </c>
    </row>
    <row r="596" spans="1:18" ht="14.25" customHeight="1" x14ac:dyDescent="0.1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9"/>
      <c r="Q596" s="39"/>
    </row>
    <row r="597" spans="1:18" ht="14.25" customHeight="1" x14ac:dyDescent="0.3">
      <c r="A597" s="109" t="str">
        <f>PRICELIST!I89</f>
        <v>WFLX-LNR-NSH-LVP-1200-G</v>
      </c>
      <c r="B597" s="87"/>
      <c r="C597" s="8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22"/>
      <c r="Q597" s="22"/>
      <c r="R597" s="17"/>
    </row>
    <row r="598" spans="1:18" ht="14.25" customHeight="1" x14ac:dyDescent="0.15">
      <c r="A598" s="19" t="s">
        <v>57</v>
      </c>
      <c r="B598" s="19" t="s">
        <v>59</v>
      </c>
      <c r="C598" s="19" t="s">
        <v>62</v>
      </c>
      <c r="D598" s="19" t="s">
        <v>64</v>
      </c>
      <c r="E598" s="19">
        <v>1200</v>
      </c>
      <c r="F598" s="19">
        <v>900</v>
      </c>
      <c r="G598" s="19">
        <v>600</v>
      </c>
      <c r="H598" s="19" t="s">
        <v>67</v>
      </c>
      <c r="I598" s="19" t="s">
        <v>68</v>
      </c>
      <c r="J598" s="19" t="s">
        <v>69</v>
      </c>
      <c r="K598" s="19" t="s">
        <v>71</v>
      </c>
      <c r="L598" s="19" t="s">
        <v>72</v>
      </c>
      <c r="M598" s="19" t="s">
        <v>73</v>
      </c>
      <c r="N598" s="19" t="s">
        <v>75</v>
      </c>
      <c r="O598" s="19" t="s">
        <v>76</v>
      </c>
      <c r="P598" s="24" t="s">
        <v>78</v>
      </c>
      <c r="Q598" s="24" t="s">
        <v>79</v>
      </c>
      <c r="R598" s="19" t="s">
        <v>81</v>
      </c>
    </row>
    <row r="599" spans="1:18" ht="14.25" customHeight="1" x14ac:dyDescent="0.15">
      <c r="A599" s="21">
        <f t="shared" ref="A599:B599" si="446">A592</f>
        <v>0</v>
      </c>
      <c r="B599" s="21">
        <f t="shared" si="446"/>
        <v>0</v>
      </c>
      <c r="C599" s="44" t="s">
        <v>188</v>
      </c>
      <c r="D599" s="21">
        <f t="shared" ref="D599:H599" si="447">D592</f>
        <v>0</v>
      </c>
      <c r="E599" s="23" t="str">
        <f t="shared" si="447"/>
        <v>2100</v>
      </c>
      <c r="F599" s="23" t="str">
        <f t="shared" si="447"/>
        <v>1900</v>
      </c>
      <c r="G599" s="23" t="str">
        <f t="shared" si="447"/>
        <v>1800</v>
      </c>
      <c r="H599" s="23">
        <f t="shared" si="447"/>
        <v>380</v>
      </c>
      <c r="I599" s="23" t="str">
        <f>I578</f>
        <v>5500</v>
      </c>
      <c r="J599" s="23" t="str">
        <f t="shared" ref="J599:Q599" si="448">J592</f>
        <v>1000</v>
      </c>
      <c r="K599" s="23">
        <f t="shared" si="448"/>
        <v>375</v>
      </c>
      <c r="L599" s="23">
        <f t="shared" si="448"/>
        <v>585</v>
      </c>
      <c r="M599" s="23" t="str">
        <f t="shared" si="448"/>
        <v>1000</v>
      </c>
      <c r="N599" s="23">
        <f t="shared" si="448"/>
        <v>3300</v>
      </c>
      <c r="O599" s="23">
        <f t="shared" si="448"/>
        <v>0</v>
      </c>
      <c r="P599" s="27">
        <f t="shared" si="448"/>
        <v>0</v>
      </c>
      <c r="Q599" s="27">
        <f t="shared" si="448"/>
        <v>2</v>
      </c>
      <c r="R599" s="21"/>
    </row>
    <row r="600" spans="1:18" ht="14.25" customHeight="1" x14ac:dyDescent="0.15">
      <c r="A600" s="19">
        <v>3</v>
      </c>
      <c r="B600" s="19">
        <f>1.2*3</f>
        <v>3.5999999999999996</v>
      </c>
      <c r="C600" s="19">
        <f>0.6+0.3</f>
        <v>0.89999999999999991</v>
      </c>
      <c r="D600" s="19">
        <f>B600*C600</f>
        <v>3.2399999999999993</v>
      </c>
      <c r="E600" s="19"/>
      <c r="F600" s="19"/>
      <c r="G600" s="19"/>
      <c r="H600" s="19"/>
      <c r="I600" s="19">
        <f>B600*0.4</f>
        <v>1.44</v>
      </c>
      <c r="J600" s="19">
        <v>2</v>
      </c>
      <c r="K600" s="19">
        <f t="shared" ref="K600:L600" si="449">A600</f>
        <v>3</v>
      </c>
      <c r="L600" s="19">
        <f t="shared" si="449"/>
        <v>3.5999999999999996</v>
      </c>
      <c r="M600" s="19">
        <f>A600</f>
        <v>3</v>
      </c>
      <c r="N600" s="19">
        <f>(1.2*0.4)*2</f>
        <v>0.96</v>
      </c>
      <c r="O600" s="19"/>
      <c r="P600" s="24"/>
      <c r="Q600" s="24"/>
      <c r="R600" s="19"/>
    </row>
    <row r="601" spans="1:18" ht="14.25" customHeight="1" x14ac:dyDescent="0.2">
      <c r="A601" s="19"/>
      <c r="B601" s="19"/>
      <c r="C601" s="19"/>
      <c r="D601" s="26" t="str">
        <f>D594</f>
        <v>10500</v>
      </c>
      <c r="E601" s="45">
        <v>0</v>
      </c>
      <c r="F601" s="45">
        <v>0</v>
      </c>
      <c r="G601" s="45">
        <v>2</v>
      </c>
      <c r="H601" s="19">
        <f>B600*2</f>
        <v>7.1999999999999993</v>
      </c>
      <c r="I601" s="19"/>
      <c r="J601" s="19"/>
      <c r="K601" s="19"/>
      <c r="L601" s="19"/>
      <c r="M601" s="19"/>
      <c r="N601" s="28"/>
      <c r="O601" s="19"/>
      <c r="P601" s="24"/>
      <c r="Q601" s="24"/>
      <c r="R601" s="19"/>
    </row>
    <row r="602" spans="1:18" ht="14.25" customHeight="1" x14ac:dyDescent="0.2">
      <c r="A602" s="19"/>
      <c r="B602" s="19"/>
      <c r="C602" s="19"/>
      <c r="D602" s="19">
        <f>D600*D601</f>
        <v>34019.999999999993</v>
      </c>
      <c r="E602" s="45">
        <f>E601*E599</f>
        <v>0</v>
      </c>
      <c r="F602" s="45">
        <f t="shared" ref="F602:H602" si="450">F599*F601</f>
        <v>0</v>
      </c>
      <c r="G602" s="45">
        <f t="shared" si="450"/>
        <v>3600</v>
      </c>
      <c r="H602" s="19">
        <f t="shared" si="450"/>
        <v>2735.9999999999995</v>
      </c>
      <c r="I602" s="19">
        <f t="shared" ref="I602:N602" si="451">I599*I600</f>
        <v>7920</v>
      </c>
      <c r="J602" s="19">
        <f t="shared" si="451"/>
        <v>2000</v>
      </c>
      <c r="K602" s="19">
        <f t="shared" si="451"/>
        <v>1125</v>
      </c>
      <c r="L602" s="19">
        <f t="shared" si="451"/>
        <v>2106</v>
      </c>
      <c r="M602" s="19">
        <f t="shared" si="451"/>
        <v>3000</v>
      </c>
      <c r="N602" s="19">
        <f t="shared" si="451"/>
        <v>3168</v>
      </c>
      <c r="O602" s="19">
        <f>SUM(D602:N602)</f>
        <v>59674.999999999993</v>
      </c>
      <c r="P602" s="24">
        <f>O602/A600</f>
        <v>19891.666666666664</v>
      </c>
      <c r="Q602" s="24">
        <f>P602*Q599</f>
        <v>39783.333333333328</v>
      </c>
      <c r="R602" s="19">
        <f>MROUND(Q602,100)</f>
        <v>39800</v>
      </c>
    </row>
    <row r="603" spans="1:18" ht="14.25" customHeight="1" x14ac:dyDescent="0.1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9"/>
      <c r="Q603" s="39"/>
    </row>
    <row r="604" spans="1:18" ht="14.25" customHeight="1" x14ac:dyDescent="0.3">
      <c r="A604" s="109" t="str">
        <f>PRICELIST!I90</f>
        <v>WFLX-LNR-NSH-LVP-1200-X</v>
      </c>
      <c r="B604" s="87"/>
      <c r="C604" s="8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22"/>
      <c r="Q604" s="22"/>
      <c r="R604" s="17"/>
    </row>
    <row r="605" spans="1:18" ht="14.25" customHeight="1" x14ac:dyDescent="0.15">
      <c r="A605" s="19" t="s">
        <v>57</v>
      </c>
      <c r="B605" s="19" t="s">
        <v>59</v>
      </c>
      <c r="C605" s="19" t="s">
        <v>62</v>
      </c>
      <c r="D605" s="19" t="s">
        <v>64</v>
      </c>
      <c r="E605" s="19">
        <v>1200</v>
      </c>
      <c r="F605" s="19">
        <v>900</v>
      </c>
      <c r="G605" s="19">
        <v>600</v>
      </c>
      <c r="H605" s="19" t="s">
        <v>67</v>
      </c>
      <c r="I605" s="19" t="s">
        <v>68</v>
      </c>
      <c r="J605" s="19" t="s">
        <v>69</v>
      </c>
      <c r="K605" s="19" t="s">
        <v>71</v>
      </c>
      <c r="L605" s="19" t="s">
        <v>72</v>
      </c>
      <c r="M605" s="19" t="s">
        <v>73</v>
      </c>
      <c r="N605" s="19" t="s">
        <v>75</v>
      </c>
      <c r="O605" s="19" t="s">
        <v>76</v>
      </c>
      <c r="P605" s="24" t="s">
        <v>78</v>
      </c>
      <c r="Q605" s="24" t="s">
        <v>79</v>
      </c>
      <c r="R605" s="19" t="s">
        <v>81</v>
      </c>
    </row>
    <row r="606" spans="1:18" ht="14.25" customHeight="1" x14ac:dyDescent="0.15">
      <c r="A606" s="21">
        <f t="shared" ref="A606:B606" si="452">A599</f>
        <v>0</v>
      </c>
      <c r="B606" s="21">
        <f t="shared" si="452"/>
        <v>0</v>
      </c>
      <c r="C606" s="44" t="s">
        <v>188</v>
      </c>
      <c r="D606" s="21">
        <f t="shared" ref="D606:H606" si="453">D599</f>
        <v>0</v>
      </c>
      <c r="E606" s="23" t="str">
        <f t="shared" si="453"/>
        <v>2100</v>
      </c>
      <c r="F606" s="23" t="str">
        <f t="shared" si="453"/>
        <v>1900</v>
      </c>
      <c r="G606" s="23" t="str">
        <f t="shared" si="453"/>
        <v>1800</v>
      </c>
      <c r="H606" s="23">
        <f t="shared" si="453"/>
        <v>380</v>
      </c>
      <c r="I606" s="23" t="str">
        <f>I585</f>
        <v>0</v>
      </c>
      <c r="J606" s="23" t="str">
        <f t="shared" ref="J606:Q606" si="454">J599</f>
        <v>1000</v>
      </c>
      <c r="K606" s="23">
        <f t="shared" si="454"/>
        <v>375</v>
      </c>
      <c r="L606" s="23">
        <f t="shared" si="454"/>
        <v>585</v>
      </c>
      <c r="M606" s="23" t="str">
        <f t="shared" si="454"/>
        <v>1000</v>
      </c>
      <c r="N606" s="23">
        <f t="shared" si="454"/>
        <v>3300</v>
      </c>
      <c r="O606" s="23">
        <f t="shared" si="454"/>
        <v>0</v>
      </c>
      <c r="P606" s="27">
        <f t="shared" si="454"/>
        <v>0</v>
      </c>
      <c r="Q606" s="27">
        <f t="shared" si="454"/>
        <v>2</v>
      </c>
      <c r="R606" s="21"/>
    </row>
    <row r="607" spans="1:18" ht="14.25" customHeight="1" x14ac:dyDescent="0.15">
      <c r="A607" s="19">
        <v>3</v>
      </c>
      <c r="B607" s="19">
        <f>1.2*3</f>
        <v>3.5999999999999996</v>
      </c>
      <c r="C607" s="19">
        <f>0.6+0.3</f>
        <v>0.89999999999999991</v>
      </c>
      <c r="D607" s="19">
        <f>B607*C607</f>
        <v>3.2399999999999993</v>
      </c>
      <c r="E607" s="19"/>
      <c r="F607" s="19"/>
      <c r="G607" s="19"/>
      <c r="H607" s="19"/>
      <c r="I607" s="19">
        <f>B607*0.4</f>
        <v>1.44</v>
      </c>
      <c r="J607" s="19">
        <v>2</v>
      </c>
      <c r="K607" s="19">
        <f t="shared" ref="K607:L607" si="455">A607</f>
        <v>3</v>
      </c>
      <c r="L607" s="19">
        <f t="shared" si="455"/>
        <v>3.5999999999999996</v>
      </c>
      <c r="M607" s="19">
        <f>A607</f>
        <v>3</v>
      </c>
      <c r="N607" s="19">
        <f>(1.2*0.4)*2</f>
        <v>0.96</v>
      </c>
      <c r="O607" s="19"/>
      <c r="P607" s="24"/>
      <c r="Q607" s="24"/>
      <c r="R607" s="19"/>
    </row>
    <row r="608" spans="1:18" ht="14.25" customHeight="1" x14ac:dyDescent="0.2">
      <c r="A608" s="19"/>
      <c r="B608" s="19"/>
      <c r="C608" s="19"/>
      <c r="D608" s="26" t="str">
        <f>D601</f>
        <v>10500</v>
      </c>
      <c r="E608" s="45">
        <v>0</v>
      </c>
      <c r="F608" s="45">
        <v>0</v>
      </c>
      <c r="G608" s="45">
        <v>2</v>
      </c>
      <c r="H608" s="19">
        <f>B607*2</f>
        <v>7.1999999999999993</v>
      </c>
      <c r="I608" s="19"/>
      <c r="J608" s="19"/>
      <c r="K608" s="19"/>
      <c r="L608" s="19"/>
      <c r="M608" s="19"/>
      <c r="N608" s="28"/>
      <c r="O608" s="19"/>
      <c r="P608" s="24"/>
      <c r="Q608" s="24"/>
      <c r="R608" s="19"/>
    </row>
    <row r="609" spans="1:18" ht="14.25" customHeight="1" x14ac:dyDescent="0.2">
      <c r="A609" s="19"/>
      <c r="B609" s="19"/>
      <c r="C609" s="19"/>
      <c r="D609" s="19">
        <f>D607*D608</f>
        <v>34019.999999999993</v>
      </c>
      <c r="E609" s="45">
        <f>E608*E606</f>
        <v>0</v>
      </c>
      <c r="F609" s="45">
        <f t="shared" ref="F609:H609" si="456">F606*F608</f>
        <v>0</v>
      </c>
      <c r="G609" s="45">
        <f t="shared" si="456"/>
        <v>3600</v>
      </c>
      <c r="H609" s="19">
        <f t="shared" si="456"/>
        <v>2735.9999999999995</v>
      </c>
      <c r="I609" s="19">
        <f t="shared" ref="I609:N609" si="457">I606*I607</f>
        <v>0</v>
      </c>
      <c r="J609" s="19">
        <f t="shared" si="457"/>
        <v>2000</v>
      </c>
      <c r="K609" s="19">
        <f t="shared" si="457"/>
        <v>1125</v>
      </c>
      <c r="L609" s="19">
        <f t="shared" si="457"/>
        <v>2106</v>
      </c>
      <c r="M609" s="19">
        <f t="shared" si="457"/>
        <v>3000</v>
      </c>
      <c r="N609" s="19">
        <f t="shared" si="457"/>
        <v>3168</v>
      </c>
      <c r="O609" s="19">
        <f>SUM(D609:N609)</f>
        <v>51754.999999999993</v>
      </c>
      <c r="P609" s="24">
        <f>O609/A607</f>
        <v>17251.666666666664</v>
      </c>
      <c r="Q609" s="24">
        <f>P609*Q606</f>
        <v>34503.333333333328</v>
      </c>
      <c r="R609" s="19">
        <f>MROUND(Q609,100)</f>
        <v>34500</v>
      </c>
    </row>
    <row r="610" spans="1:18" ht="14.25" customHeight="1" x14ac:dyDescent="0.1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9"/>
      <c r="Q610" s="39"/>
    </row>
    <row r="611" spans="1:18" ht="14.25" customHeight="1" x14ac:dyDescent="0.3">
      <c r="A611" s="109" t="str">
        <f>PRICELIST!I91</f>
        <v>WFLX-LNR-NSH-MB-1200-F</v>
      </c>
      <c r="B611" s="87"/>
      <c r="C611" s="8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22"/>
      <c r="Q611" s="22"/>
      <c r="R611" s="17"/>
    </row>
    <row r="612" spans="1:18" ht="14.25" customHeight="1" x14ac:dyDescent="0.15">
      <c r="A612" s="19" t="s">
        <v>57</v>
      </c>
      <c r="B612" s="19" t="s">
        <v>59</v>
      </c>
      <c r="C612" s="19" t="s">
        <v>62</v>
      </c>
      <c r="D612" s="19" t="s">
        <v>64</v>
      </c>
      <c r="E612" s="19">
        <v>1200</v>
      </c>
      <c r="F612" s="19">
        <v>900</v>
      </c>
      <c r="G612" s="19">
        <v>600</v>
      </c>
      <c r="H612" s="19" t="s">
        <v>67</v>
      </c>
      <c r="I612" s="19" t="s">
        <v>68</v>
      </c>
      <c r="J612" s="19" t="s">
        <v>69</v>
      </c>
      <c r="K612" s="19" t="s">
        <v>71</v>
      </c>
      <c r="L612" s="19" t="s">
        <v>72</v>
      </c>
      <c r="M612" s="19" t="s">
        <v>73</v>
      </c>
      <c r="N612" s="19" t="s">
        <v>75</v>
      </c>
      <c r="O612" s="19" t="s">
        <v>76</v>
      </c>
      <c r="P612" s="24" t="s">
        <v>78</v>
      </c>
      <c r="Q612" s="24" t="s">
        <v>79</v>
      </c>
      <c r="R612" s="19" t="s">
        <v>81</v>
      </c>
    </row>
    <row r="613" spans="1:18" ht="14.25" customHeight="1" x14ac:dyDescent="0.15">
      <c r="A613" s="21">
        <f t="shared" ref="A613:B613" si="458">A606</f>
        <v>0</v>
      </c>
      <c r="B613" s="21">
        <f t="shared" si="458"/>
        <v>0</v>
      </c>
      <c r="C613" s="44" t="s">
        <v>188</v>
      </c>
      <c r="D613" s="21">
        <f t="shared" ref="D613:H613" si="459">D606</f>
        <v>0</v>
      </c>
      <c r="E613" s="23" t="str">
        <f t="shared" si="459"/>
        <v>2100</v>
      </c>
      <c r="F613" s="23" t="str">
        <f t="shared" si="459"/>
        <v>1900</v>
      </c>
      <c r="G613" s="23" t="str">
        <f t="shared" si="459"/>
        <v>1800</v>
      </c>
      <c r="H613" s="23">
        <f t="shared" si="459"/>
        <v>380</v>
      </c>
      <c r="I613" s="23" t="str">
        <f>I592</f>
        <v>4800</v>
      </c>
      <c r="J613" s="23" t="str">
        <f t="shared" ref="J613:Q613" si="460">J606</f>
        <v>1000</v>
      </c>
      <c r="K613" s="23">
        <f t="shared" si="460"/>
        <v>375</v>
      </c>
      <c r="L613" s="23">
        <f t="shared" si="460"/>
        <v>585</v>
      </c>
      <c r="M613" s="23" t="str">
        <f t="shared" si="460"/>
        <v>1000</v>
      </c>
      <c r="N613" s="23">
        <f t="shared" si="460"/>
        <v>3300</v>
      </c>
      <c r="O613" s="23">
        <f t="shared" si="460"/>
        <v>0</v>
      </c>
      <c r="P613" s="27">
        <f t="shared" si="460"/>
        <v>0</v>
      </c>
      <c r="Q613" s="27">
        <f t="shared" si="460"/>
        <v>2</v>
      </c>
      <c r="R613" s="21"/>
    </row>
    <row r="614" spans="1:18" ht="14.25" customHeight="1" x14ac:dyDescent="0.15">
      <c r="A614" s="19">
        <v>3</v>
      </c>
      <c r="B614" s="19">
        <f>1.2*3</f>
        <v>3.5999999999999996</v>
      </c>
      <c r="C614" s="19">
        <f>0.6+0.3</f>
        <v>0.89999999999999991</v>
      </c>
      <c r="D614" s="19">
        <f>B614*C614</f>
        <v>3.2399999999999993</v>
      </c>
      <c r="E614" s="19"/>
      <c r="F614" s="19"/>
      <c r="G614" s="19"/>
      <c r="H614" s="19"/>
      <c r="I614" s="19">
        <f>B614*0.4</f>
        <v>1.44</v>
      </c>
      <c r="J614" s="19">
        <v>2</v>
      </c>
      <c r="K614" s="19">
        <f t="shared" ref="K614:L614" si="461">A614</f>
        <v>3</v>
      </c>
      <c r="L614" s="19">
        <f t="shared" si="461"/>
        <v>3.5999999999999996</v>
      </c>
      <c r="M614" s="19">
        <f>A614</f>
        <v>3</v>
      </c>
      <c r="N614" s="19">
        <f>(1.2*0.4)*2</f>
        <v>0.96</v>
      </c>
      <c r="O614" s="19"/>
      <c r="P614" s="24"/>
      <c r="Q614" s="24"/>
      <c r="R614" s="19"/>
    </row>
    <row r="615" spans="1:18" ht="14.25" customHeight="1" x14ac:dyDescent="0.2">
      <c r="A615" s="19"/>
      <c r="B615" s="19"/>
      <c r="C615" s="19"/>
      <c r="D615" s="26" t="str">
        <f>D489</f>
        <v>16250</v>
      </c>
      <c r="E615" s="45">
        <v>0</v>
      </c>
      <c r="F615" s="45">
        <v>0</v>
      </c>
      <c r="G615" s="45">
        <v>2</v>
      </c>
      <c r="H615" s="19">
        <f>B614*2</f>
        <v>7.1999999999999993</v>
      </c>
      <c r="I615" s="19"/>
      <c r="J615" s="19"/>
      <c r="K615" s="19"/>
      <c r="L615" s="19"/>
      <c r="M615" s="19"/>
      <c r="N615" s="28"/>
      <c r="O615" s="19"/>
      <c r="P615" s="24"/>
      <c r="Q615" s="24"/>
      <c r="R615" s="19"/>
    </row>
    <row r="616" spans="1:18" ht="14.25" customHeight="1" x14ac:dyDescent="0.2">
      <c r="A616" s="19"/>
      <c r="B616" s="19"/>
      <c r="C616" s="19"/>
      <c r="D616" s="19">
        <f>D614*D615</f>
        <v>52649.999999999985</v>
      </c>
      <c r="E616" s="45">
        <f>E615*E613</f>
        <v>0</v>
      </c>
      <c r="F616" s="45">
        <f t="shared" ref="F616:H616" si="462">F613*F615</f>
        <v>0</v>
      </c>
      <c r="G616" s="45">
        <f t="shared" si="462"/>
        <v>3600</v>
      </c>
      <c r="H616" s="19">
        <f t="shared" si="462"/>
        <v>2735.9999999999995</v>
      </c>
      <c r="I616" s="19">
        <f t="shared" ref="I616:N616" si="463">I613*I614</f>
        <v>6912</v>
      </c>
      <c r="J616" s="19">
        <f t="shared" si="463"/>
        <v>2000</v>
      </c>
      <c r="K616" s="19">
        <f t="shared" si="463"/>
        <v>1125</v>
      </c>
      <c r="L616" s="19">
        <f t="shared" si="463"/>
        <v>2106</v>
      </c>
      <c r="M616" s="19">
        <f t="shared" si="463"/>
        <v>3000</v>
      </c>
      <c r="N616" s="19">
        <f t="shared" si="463"/>
        <v>3168</v>
      </c>
      <c r="O616" s="19">
        <f>SUM(D616:N616)</f>
        <v>77296.999999999985</v>
      </c>
      <c r="P616" s="24">
        <f>O616/A614</f>
        <v>25765.666666666661</v>
      </c>
      <c r="Q616" s="24">
        <f>P616*Q613</f>
        <v>51531.333333333321</v>
      </c>
      <c r="R616" s="19">
        <f>MROUND(Q616,100)</f>
        <v>51500</v>
      </c>
    </row>
    <row r="617" spans="1:18" ht="14.25" customHeight="1" x14ac:dyDescent="0.1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9"/>
      <c r="Q617" s="39"/>
    </row>
    <row r="618" spans="1:18" ht="14.25" customHeight="1" x14ac:dyDescent="0.3">
      <c r="A618" s="109" t="str">
        <f>PRICELIST!I92</f>
        <v>WFLX-LNR-NSH-MB-1200-G</v>
      </c>
      <c r="B618" s="87"/>
      <c r="C618" s="8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22"/>
      <c r="Q618" s="22"/>
      <c r="R618" s="17"/>
    </row>
    <row r="619" spans="1:18" ht="14.25" customHeight="1" x14ac:dyDescent="0.15">
      <c r="A619" s="19" t="s">
        <v>57</v>
      </c>
      <c r="B619" s="19" t="s">
        <v>59</v>
      </c>
      <c r="C619" s="19" t="s">
        <v>62</v>
      </c>
      <c r="D619" s="19" t="s">
        <v>64</v>
      </c>
      <c r="E619" s="19">
        <v>1200</v>
      </c>
      <c r="F619" s="19">
        <v>900</v>
      </c>
      <c r="G619" s="19">
        <v>600</v>
      </c>
      <c r="H619" s="19" t="s">
        <v>67</v>
      </c>
      <c r="I619" s="19" t="s">
        <v>68</v>
      </c>
      <c r="J619" s="19" t="s">
        <v>69</v>
      </c>
      <c r="K619" s="19" t="s">
        <v>71</v>
      </c>
      <c r="L619" s="19" t="s">
        <v>72</v>
      </c>
      <c r="M619" s="19" t="s">
        <v>73</v>
      </c>
      <c r="N619" s="19" t="s">
        <v>75</v>
      </c>
      <c r="O619" s="19" t="s">
        <v>76</v>
      </c>
      <c r="P619" s="24" t="s">
        <v>78</v>
      </c>
      <c r="Q619" s="24" t="s">
        <v>79</v>
      </c>
      <c r="R619" s="19" t="s">
        <v>81</v>
      </c>
    </row>
    <row r="620" spans="1:18" ht="14.25" customHeight="1" x14ac:dyDescent="0.15">
      <c r="A620" s="21">
        <f t="shared" ref="A620:B620" si="464">A613</f>
        <v>0</v>
      </c>
      <c r="B620" s="21">
        <f t="shared" si="464"/>
        <v>0</v>
      </c>
      <c r="C620" s="44" t="s">
        <v>188</v>
      </c>
      <c r="D620" s="21">
        <f t="shared" ref="D620:H620" si="465">D613</f>
        <v>0</v>
      </c>
      <c r="E620" s="23" t="str">
        <f t="shared" si="465"/>
        <v>2100</v>
      </c>
      <c r="F620" s="23" t="str">
        <f t="shared" si="465"/>
        <v>1900</v>
      </c>
      <c r="G620" s="23" t="str">
        <f t="shared" si="465"/>
        <v>1800</v>
      </c>
      <c r="H620" s="23">
        <f t="shared" si="465"/>
        <v>380</v>
      </c>
      <c r="I620" s="23" t="str">
        <f>I599</f>
        <v>5500</v>
      </c>
      <c r="J620" s="23" t="str">
        <f t="shared" ref="J620:Q620" si="466">J613</f>
        <v>1000</v>
      </c>
      <c r="K620" s="23">
        <f t="shared" si="466"/>
        <v>375</v>
      </c>
      <c r="L620" s="23">
        <f t="shared" si="466"/>
        <v>585</v>
      </c>
      <c r="M620" s="23" t="str">
        <f t="shared" si="466"/>
        <v>1000</v>
      </c>
      <c r="N620" s="23">
        <f t="shared" si="466"/>
        <v>3300</v>
      </c>
      <c r="O620" s="23">
        <f t="shared" si="466"/>
        <v>0</v>
      </c>
      <c r="P620" s="27">
        <f t="shared" si="466"/>
        <v>0</v>
      </c>
      <c r="Q620" s="27">
        <f t="shared" si="466"/>
        <v>2</v>
      </c>
      <c r="R620" s="21"/>
    </row>
    <row r="621" spans="1:18" ht="14.25" customHeight="1" x14ac:dyDescent="0.15">
      <c r="A621" s="19">
        <v>3</v>
      </c>
      <c r="B621" s="19">
        <f>1.2*3</f>
        <v>3.5999999999999996</v>
      </c>
      <c r="C621" s="19">
        <f>0.6+0.3</f>
        <v>0.89999999999999991</v>
      </c>
      <c r="D621" s="19">
        <f>B621*C621</f>
        <v>3.2399999999999993</v>
      </c>
      <c r="E621" s="19"/>
      <c r="F621" s="19"/>
      <c r="G621" s="19"/>
      <c r="H621" s="19"/>
      <c r="I621" s="19">
        <f>B621*0.4</f>
        <v>1.44</v>
      </c>
      <c r="J621" s="19">
        <v>2</v>
      </c>
      <c r="K621" s="19">
        <f t="shared" ref="K621:L621" si="467">A621</f>
        <v>3</v>
      </c>
      <c r="L621" s="19">
        <f t="shared" si="467"/>
        <v>3.5999999999999996</v>
      </c>
      <c r="M621" s="19">
        <f>A621</f>
        <v>3</v>
      </c>
      <c r="N621" s="19">
        <f>(1.2*0.4)*2</f>
        <v>0.96</v>
      </c>
      <c r="O621" s="19"/>
      <c r="P621" s="24"/>
      <c r="Q621" s="24"/>
      <c r="R621" s="19"/>
    </row>
    <row r="622" spans="1:18" ht="14.25" customHeight="1" x14ac:dyDescent="0.2">
      <c r="A622" s="19"/>
      <c r="B622" s="19"/>
      <c r="C622" s="19"/>
      <c r="D622" s="26" t="str">
        <f>D615</f>
        <v>16250</v>
      </c>
      <c r="E622" s="45">
        <v>0</v>
      </c>
      <c r="F622" s="45">
        <v>0</v>
      </c>
      <c r="G622" s="45">
        <v>2</v>
      </c>
      <c r="H622" s="19">
        <f>B621*2</f>
        <v>7.1999999999999993</v>
      </c>
      <c r="I622" s="19"/>
      <c r="J622" s="19"/>
      <c r="K622" s="19"/>
      <c r="L622" s="19"/>
      <c r="M622" s="19"/>
      <c r="N622" s="28"/>
      <c r="O622" s="19"/>
      <c r="P622" s="24"/>
      <c r="Q622" s="24"/>
      <c r="R622" s="19"/>
    </row>
    <row r="623" spans="1:18" ht="14.25" customHeight="1" x14ac:dyDescent="0.2">
      <c r="A623" s="19"/>
      <c r="B623" s="19"/>
      <c r="C623" s="19"/>
      <c r="D623" s="19">
        <f>D621*D622</f>
        <v>52649.999999999985</v>
      </c>
      <c r="E623" s="45">
        <f>E622*E620</f>
        <v>0</v>
      </c>
      <c r="F623" s="45">
        <f t="shared" ref="F623:H623" si="468">F620*F622</f>
        <v>0</v>
      </c>
      <c r="G623" s="45">
        <f t="shared" si="468"/>
        <v>3600</v>
      </c>
      <c r="H623" s="19">
        <f t="shared" si="468"/>
        <v>2735.9999999999995</v>
      </c>
      <c r="I623" s="19">
        <f t="shared" ref="I623:N623" si="469">I620*I621</f>
        <v>7920</v>
      </c>
      <c r="J623" s="19">
        <f t="shared" si="469"/>
        <v>2000</v>
      </c>
      <c r="K623" s="19">
        <f t="shared" si="469"/>
        <v>1125</v>
      </c>
      <c r="L623" s="19">
        <f t="shared" si="469"/>
        <v>2106</v>
      </c>
      <c r="M623" s="19">
        <f t="shared" si="469"/>
        <v>3000</v>
      </c>
      <c r="N623" s="19">
        <f t="shared" si="469"/>
        <v>3168</v>
      </c>
      <c r="O623" s="19">
        <f>SUM(D623:N623)</f>
        <v>78304.999999999985</v>
      </c>
      <c r="P623" s="24">
        <f>O623/A621</f>
        <v>26101.666666666661</v>
      </c>
      <c r="Q623" s="24">
        <f>P623*Q620</f>
        <v>52203.333333333321</v>
      </c>
      <c r="R623" s="19">
        <f>MROUND(Q623,100)</f>
        <v>52200</v>
      </c>
    </row>
    <row r="624" spans="1:18" ht="14.25" customHeight="1" x14ac:dyDescent="0.1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9"/>
      <c r="Q624" s="39"/>
    </row>
    <row r="625" spans="1:18" ht="14.25" customHeight="1" x14ac:dyDescent="0.3">
      <c r="A625" s="109" t="str">
        <f>PRICELIST!I93</f>
        <v>WFLX-LNR-NSH-MB-1200-X</v>
      </c>
      <c r="B625" s="87"/>
      <c r="C625" s="8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22"/>
      <c r="Q625" s="22"/>
      <c r="R625" s="17"/>
    </row>
    <row r="626" spans="1:18" ht="14.25" customHeight="1" x14ac:dyDescent="0.15">
      <c r="A626" s="19" t="s">
        <v>57</v>
      </c>
      <c r="B626" s="19" t="s">
        <v>59</v>
      </c>
      <c r="C626" s="19" t="s">
        <v>62</v>
      </c>
      <c r="D626" s="19" t="s">
        <v>64</v>
      </c>
      <c r="E626" s="19">
        <v>1200</v>
      </c>
      <c r="F626" s="19">
        <v>900</v>
      </c>
      <c r="G626" s="19">
        <v>600</v>
      </c>
      <c r="H626" s="19" t="s">
        <v>67</v>
      </c>
      <c r="I626" s="19" t="s">
        <v>68</v>
      </c>
      <c r="J626" s="19" t="s">
        <v>69</v>
      </c>
      <c r="K626" s="19" t="s">
        <v>71</v>
      </c>
      <c r="L626" s="19" t="s">
        <v>72</v>
      </c>
      <c r="M626" s="19" t="s">
        <v>73</v>
      </c>
      <c r="N626" s="19" t="s">
        <v>75</v>
      </c>
      <c r="O626" s="19" t="s">
        <v>76</v>
      </c>
      <c r="P626" s="24" t="s">
        <v>78</v>
      </c>
      <c r="Q626" s="24" t="s">
        <v>79</v>
      </c>
      <c r="R626" s="19" t="s">
        <v>81</v>
      </c>
    </row>
    <row r="627" spans="1:18" ht="14.25" customHeight="1" x14ac:dyDescent="0.15">
      <c r="A627" s="21">
        <f t="shared" ref="A627:B627" si="470">A620</f>
        <v>0</v>
      </c>
      <c r="B627" s="21">
        <f t="shared" si="470"/>
        <v>0</v>
      </c>
      <c r="C627" s="44" t="s">
        <v>188</v>
      </c>
      <c r="D627" s="21">
        <f t="shared" ref="D627:H627" si="471">D620</f>
        <v>0</v>
      </c>
      <c r="E627" s="23" t="str">
        <f t="shared" si="471"/>
        <v>2100</v>
      </c>
      <c r="F627" s="23" t="str">
        <f t="shared" si="471"/>
        <v>1900</v>
      </c>
      <c r="G627" s="23" t="str">
        <f t="shared" si="471"/>
        <v>1800</v>
      </c>
      <c r="H627" s="23">
        <f t="shared" si="471"/>
        <v>380</v>
      </c>
      <c r="I627" s="23" t="str">
        <f>I606</f>
        <v>0</v>
      </c>
      <c r="J627" s="23" t="str">
        <f t="shared" ref="J627:Q627" si="472">J620</f>
        <v>1000</v>
      </c>
      <c r="K627" s="23">
        <f t="shared" si="472"/>
        <v>375</v>
      </c>
      <c r="L627" s="23">
        <f t="shared" si="472"/>
        <v>585</v>
      </c>
      <c r="M627" s="23" t="str">
        <f t="shared" si="472"/>
        <v>1000</v>
      </c>
      <c r="N627" s="23">
        <f t="shared" si="472"/>
        <v>3300</v>
      </c>
      <c r="O627" s="23">
        <f t="shared" si="472"/>
        <v>0</v>
      </c>
      <c r="P627" s="27">
        <f t="shared" si="472"/>
        <v>0</v>
      </c>
      <c r="Q627" s="27">
        <f t="shared" si="472"/>
        <v>2</v>
      </c>
      <c r="R627" s="21"/>
    </row>
    <row r="628" spans="1:18" ht="14.25" customHeight="1" x14ac:dyDescent="0.15">
      <c r="A628" s="19">
        <v>3</v>
      </c>
      <c r="B628" s="19">
        <f>1.2*3</f>
        <v>3.5999999999999996</v>
      </c>
      <c r="C628" s="19">
        <f>0.6+0.3</f>
        <v>0.89999999999999991</v>
      </c>
      <c r="D628" s="19">
        <f>B628*C628</f>
        <v>3.2399999999999993</v>
      </c>
      <c r="E628" s="19"/>
      <c r="F628" s="19"/>
      <c r="G628" s="19"/>
      <c r="H628" s="19"/>
      <c r="I628" s="19">
        <f>B628*0.4</f>
        <v>1.44</v>
      </c>
      <c r="J628" s="19">
        <v>2</v>
      </c>
      <c r="K628" s="19">
        <f t="shared" ref="K628:L628" si="473">A628</f>
        <v>3</v>
      </c>
      <c r="L628" s="19">
        <f t="shared" si="473"/>
        <v>3.5999999999999996</v>
      </c>
      <c r="M628" s="19">
        <f>A628</f>
        <v>3</v>
      </c>
      <c r="N628" s="19">
        <f>(1.2*0.4)*2</f>
        <v>0.96</v>
      </c>
      <c r="O628" s="19"/>
      <c r="P628" s="24"/>
      <c r="Q628" s="24"/>
      <c r="R628" s="19"/>
    </row>
    <row r="629" spans="1:18" ht="14.25" customHeight="1" x14ac:dyDescent="0.2">
      <c r="A629" s="19"/>
      <c r="B629" s="19"/>
      <c r="C629" s="19"/>
      <c r="D629" s="26" t="str">
        <f>D622</f>
        <v>16250</v>
      </c>
      <c r="E629" s="45">
        <v>0</v>
      </c>
      <c r="F629" s="45">
        <v>0</v>
      </c>
      <c r="G629" s="45">
        <v>2</v>
      </c>
      <c r="H629" s="19">
        <f>B628*2</f>
        <v>7.1999999999999993</v>
      </c>
      <c r="I629" s="19"/>
      <c r="J629" s="19"/>
      <c r="K629" s="19"/>
      <c r="L629" s="19"/>
      <c r="M629" s="19"/>
      <c r="N629" s="28"/>
      <c r="O629" s="19"/>
      <c r="P629" s="24"/>
      <c r="Q629" s="24"/>
      <c r="R629" s="19"/>
    </row>
    <row r="630" spans="1:18" ht="14.25" customHeight="1" x14ac:dyDescent="0.2">
      <c r="A630" s="19"/>
      <c r="B630" s="19"/>
      <c r="C630" s="19"/>
      <c r="D630" s="19">
        <f>D628*D629</f>
        <v>52649.999999999985</v>
      </c>
      <c r="E630" s="45">
        <f>E629*E627</f>
        <v>0</v>
      </c>
      <c r="F630" s="45">
        <f t="shared" ref="F630:H630" si="474">F627*F629</f>
        <v>0</v>
      </c>
      <c r="G630" s="45">
        <f t="shared" si="474"/>
        <v>3600</v>
      </c>
      <c r="H630" s="19">
        <f t="shared" si="474"/>
        <v>2735.9999999999995</v>
      </c>
      <c r="I630" s="19">
        <f t="shared" ref="I630:N630" si="475">I627*I628</f>
        <v>0</v>
      </c>
      <c r="J630" s="19">
        <f t="shared" si="475"/>
        <v>2000</v>
      </c>
      <c r="K630" s="19">
        <f t="shared" si="475"/>
        <v>1125</v>
      </c>
      <c r="L630" s="19">
        <f t="shared" si="475"/>
        <v>2106</v>
      </c>
      <c r="M630" s="19">
        <f t="shared" si="475"/>
        <v>3000</v>
      </c>
      <c r="N630" s="19">
        <f t="shared" si="475"/>
        <v>3168</v>
      </c>
      <c r="O630" s="19">
        <f>SUM(D630:N630)</f>
        <v>70384.999999999985</v>
      </c>
      <c r="P630" s="24">
        <f>O630/A628</f>
        <v>23461.666666666661</v>
      </c>
      <c r="Q630" s="24">
        <f>P630*Q627</f>
        <v>46923.333333333321</v>
      </c>
      <c r="R630" s="19">
        <f>MROUND(Q630,100)</f>
        <v>46900</v>
      </c>
    </row>
    <row r="631" spans="1:18" ht="14.25" customHeight="1" x14ac:dyDescent="0.1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9"/>
      <c r="Q631" s="39"/>
    </row>
    <row r="632" spans="1:18" ht="14.25" customHeight="1" x14ac:dyDescent="0.3">
      <c r="A632" s="109" t="str">
        <f>PRICELIST!I94</f>
        <v>WFLX-LNR-NSH-PB-1500-F</v>
      </c>
      <c r="B632" s="87"/>
      <c r="C632" s="8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22"/>
      <c r="Q632" s="22"/>
      <c r="R632" s="17"/>
    </row>
    <row r="633" spans="1:18" ht="14.25" customHeight="1" x14ac:dyDescent="0.15">
      <c r="A633" s="19" t="s">
        <v>57</v>
      </c>
      <c r="B633" s="19" t="s">
        <v>59</v>
      </c>
      <c r="C633" s="19" t="s">
        <v>62</v>
      </c>
      <c r="D633" s="19" t="s">
        <v>64</v>
      </c>
      <c r="E633" s="19">
        <v>1200</v>
      </c>
      <c r="F633" s="19">
        <v>900</v>
      </c>
      <c r="G633" s="19">
        <v>600</v>
      </c>
      <c r="H633" s="19" t="s">
        <v>67</v>
      </c>
      <c r="I633" s="19" t="s">
        <v>68</v>
      </c>
      <c r="J633" s="19" t="s">
        <v>69</v>
      </c>
      <c r="K633" s="19" t="s">
        <v>71</v>
      </c>
      <c r="L633" s="19" t="s">
        <v>72</v>
      </c>
      <c r="M633" s="19" t="s">
        <v>73</v>
      </c>
      <c r="N633" s="19" t="s">
        <v>75</v>
      </c>
      <c r="O633" s="19" t="s">
        <v>76</v>
      </c>
      <c r="P633" s="24" t="s">
        <v>78</v>
      </c>
      <c r="Q633" s="24" t="s">
        <v>79</v>
      </c>
      <c r="R633" s="19" t="s">
        <v>81</v>
      </c>
    </row>
    <row r="634" spans="1:18" ht="14.25" customHeight="1" x14ac:dyDescent="0.15">
      <c r="A634" s="21"/>
      <c r="B634" s="21"/>
      <c r="C634" s="44" t="s">
        <v>188</v>
      </c>
      <c r="D634" s="21"/>
      <c r="E634" s="23" t="str">
        <f t="shared" ref="E634:G634" si="476">E627</f>
        <v>2100</v>
      </c>
      <c r="F634" s="23" t="str">
        <f t="shared" si="476"/>
        <v>1900</v>
      </c>
      <c r="G634" s="23" t="str">
        <f t="shared" si="476"/>
        <v>1800</v>
      </c>
      <c r="H634" s="21">
        <v>380</v>
      </c>
      <c r="I634" s="23" t="str">
        <f>I613</f>
        <v>4800</v>
      </c>
      <c r="J634" s="23" t="str">
        <f>J627</f>
        <v>1000</v>
      </c>
      <c r="K634" s="21">
        <v>375</v>
      </c>
      <c r="L634" s="21">
        <v>585</v>
      </c>
      <c r="M634" s="23" t="str">
        <f>M627</f>
        <v>1000</v>
      </c>
      <c r="N634" s="21">
        <v>3300</v>
      </c>
      <c r="O634" s="21"/>
      <c r="P634" s="27"/>
      <c r="Q634" s="27">
        <f>Q627</f>
        <v>2</v>
      </c>
      <c r="R634" s="21"/>
    </row>
    <row r="635" spans="1:18" ht="14.25" customHeight="1" x14ac:dyDescent="0.15">
      <c r="A635" s="19">
        <v>3</v>
      </c>
      <c r="B635" s="19">
        <f>1.5*3</f>
        <v>4.5</v>
      </c>
      <c r="C635" s="19">
        <f>0.6+0.3</f>
        <v>0.89999999999999991</v>
      </c>
      <c r="D635" s="19">
        <f>B635*C635</f>
        <v>4.05</v>
      </c>
      <c r="E635" s="19"/>
      <c r="F635" s="19"/>
      <c r="G635" s="19"/>
      <c r="H635" s="19"/>
      <c r="I635" s="19">
        <f>B635*0.4</f>
        <v>1.8</v>
      </c>
      <c r="J635" s="19">
        <v>2</v>
      </c>
      <c r="K635" s="19">
        <f t="shared" ref="K635:L635" si="477">A635</f>
        <v>3</v>
      </c>
      <c r="L635" s="19">
        <f t="shared" si="477"/>
        <v>4.5</v>
      </c>
      <c r="M635" s="19">
        <f>A635</f>
        <v>3</v>
      </c>
      <c r="N635" s="19">
        <f>(1.2*0.4)*2</f>
        <v>0.96</v>
      </c>
      <c r="O635" s="19"/>
      <c r="P635" s="24"/>
      <c r="Q635" s="24"/>
      <c r="R635" s="19"/>
    </row>
    <row r="636" spans="1:18" ht="14.25" customHeight="1" x14ac:dyDescent="0.2">
      <c r="A636" s="19"/>
      <c r="B636" s="19"/>
      <c r="C636" s="19"/>
      <c r="D636" s="26" t="str">
        <f>D510</f>
        <v>2200</v>
      </c>
      <c r="E636" s="45">
        <v>0</v>
      </c>
      <c r="F636" s="45">
        <v>0</v>
      </c>
      <c r="G636" s="45">
        <v>2</v>
      </c>
      <c r="H636" s="19">
        <f>B635*2</f>
        <v>9</v>
      </c>
      <c r="I636" s="19"/>
      <c r="J636" s="19"/>
      <c r="K636" s="19"/>
      <c r="L636" s="19"/>
      <c r="M636" s="19"/>
      <c r="N636" s="28"/>
      <c r="O636" s="19"/>
      <c r="P636" s="24"/>
      <c r="Q636" s="24"/>
      <c r="R636" s="19"/>
    </row>
    <row r="637" spans="1:18" ht="14.25" customHeight="1" x14ac:dyDescent="0.2">
      <c r="A637" s="19"/>
      <c r="B637" s="19"/>
      <c r="C637" s="19"/>
      <c r="D637" s="19">
        <f>D635*D636</f>
        <v>8910</v>
      </c>
      <c r="E637" s="45">
        <f>E636*E634</f>
        <v>0</v>
      </c>
      <c r="F637" s="45">
        <f t="shared" ref="F637:H637" si="478">F634*F636</f>
        <v>0</v>
      </c>
      <c r="G637" s="45">
        <f t="shared" si="478"/>
        <v>3600</v>
      </c>
      <c r="H637" s="19">
        <f t="shared" si="478"/>
        <v>3420</v>
      </c>
      <c r="I637" s="19">
        <f t="shared" ref="I637:N637" si="479">I634*I635</f>
        <v>8640</v>
      </c>
      <c r="J637" s="19">
        <f t="shared" si="479"/>
        <v>2000</v>
      </c>
      <c r="K637" s="19">
        <f t="shared" si="479"/>
        <v>1125</v>
      </c>
      <c r="L637" s="19">
        <f t="shared" si="479"/>
        <v>2632.5</v>
      </c>
      <c r="M637" s="19">
        <f t="shared" si="479"/>
        <v>3000</v>
      </c>
      <c r="N637" s="19">
        <f t="shared" si="479"/>
        <v>3168</v>
      </c>
      <c r="O637" s="19">
        <f>SUM(D637:N637)</f>
        <v>36495.5</v>
      </c>
      <c r="P637" s="24">
        <f>O637/A635</f>
        <v>12165.166666666666</v>
      </c>
      <c r="Q637" s="24">
        <f>P637*Q634</f>
        <v>24330.333333333332</v>
      </c>
      <c r="R637" s="19">
        <f>MROUND(Q637,100)</f>
        <v>24300</v>
      </c>
    </row>
    <row r="638" spans="1:18" ht="14.25" customHeight="1" x14ac:dyDescent="0.1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9"/>
      <c r="Q638" s="39"/>
    </row>
    <row r="639" spans="1:18" ht="14.25" customHeight="1" x14ac:dyDescent="0.3">
      <c r="A639" s="109" t="str">
        <f>PRICELIST!I95</f>
        <v>WFLX-LNR-NSH-PB-1500-G</v>
      </c>
      <c r="B639" s="87"/>
      <c r="C639" s="8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22"/>
      <c r="Q639" s="22"/>
      <c r="R639" s="17"/>
    </row>
    <row r="640" spans="1:18" ht="14.25" customHeight="1" x14ac:dyDescent="0.15">
      <c r="A640" s="19" t="s">
        <v>57</v>
      </c>
      <c r="B640" s="19" t="s">
        <v>59</v>
      </c>
      <c r="C640" s="19" t="s">
        <v>62</v>
      </c>
      <c r="D640" s="19" t="s">
        <v>64</v>
      </c>
      <c r="E640" s="19">
        <v>1200</v>
      </c>
      <c r="F640" s="19">
        <v>900</v>
      </c>
      <c r="G640" s="19">
        <v>600</v>
      </c>
      <c r="H640" s="19" t="s">
        <v>67</v>
      </c>
      <c r="I640" s="19" t="s">
        <v>68</v>
      </c>
      <c r="J640" s="19" t="s">
        <v>69</v>
      </c>
      <c r="K640" s="19" t="s">
        <v>71</v>
      </c>
      <c r="L640" s="19" t="s">
        <v>72</v>
      </c>
      <c r="M640" s="19" t="s">
        <v>73</v>
      </c>
      <c r="N640" s="19" t="s">
        <v>75</v>
      </c>
      <c r="O640" s="19" t="s">
        <v>76</v>
      </c>
      <c r="P640" s="24" t="s">
        <v>78</v>
      </c>
      <c r="Q640" s="24" t="s">
        <v>79</v>
      </c>
      <c r="R640" s="19" t="s">
        <v>81</v>
      </c>
    </row>
    <row r="641" spans="1:18" ht="14.25" customHeight="1" x14ac:dyDescent="0.15">
      <c r="A641" s="21"/>
      <c r="B641" s="21"/>
      <c r="C641" s="44" t="s">
        <v>188</v>
      </c>
      <c r="D641" s="21"/>
      <c r="E641" s="23" t="str">
        <f t="shared" ref="E641:H641" si="480">E634</f>
        <v>2100</v>
      </c>
      <c r="F641" s="23" t="str">
        <f t="shared" si="480"/>
        <v>1900</v>
      </c>
      <c r="G641" s="23" t="str">
        <f t="shared" si="480"/>
        <v>1800</v>
      </c>
      <c r="H641" s="23">
        <f t="shared" si="480"/>
        <v>380</v>
      </c>
      <c r="I641" s="23" t="str">
        <f>I620</f>
        <v>5500</v>
      </c>
      <c r="J641" s="23" t="str">
        <f t="shared" ref="J641:R641" si="481">J634</f>
        <v>1000</v>
      </c>
      <c r="K641" s="23">
        <f t="shared" si="481"/>
        <v>375</v>
      </c>
      <c r="L641" s="23">
        <f t="shared" si="481"/>
        <v>585</v>
      </c>
      <c r="M641" s="23" t="str">
        <f t="shared" si="481"/>
        <v>1000</v>
      </c>
      <c r="N641" s="23">
        <f t="shared" si="481"/>
        <v>3300</v>
      </c>
      <c r="O641" s="23">
        <f t="shared" si="481"/>
        <v>0</v>
      </c>
      <c r="P641" s="27">
        <f t="shared" si="481"/>
        <v>0</v>
      </c>
      <c r="Q641" s="27">
        <f t="shared" si="481"/>
        <v>2</v>
      </c>
      <c r="R641" s="23">
        <f t="shared" si="481"/>
        <v>0</v>
      </c>
    </row>
    <row r="642" spans="1:18" ht="14.25" customHeight="1" x14ac:dyDescent="0.15">
      <c r="A642" s="19">
        <v>3</v>
      </c>
      <c r="B642" s="19">
        <f>1.5*3</f>
        <v>4.5</v>
      </c>
      <c r="C642" s="19">
        <f>0.6+0.3</f>
        <v>0.89999999999999991</v>
      </c>
      <c r="D642" s="19">
        <f>B642*C642</f>
        <v>4.05</v>
      </c>
      <c r="E642" s="19"/>
      <c r="F642" s="19"/>
      <c r="G642" s="19"/>
      <c r="H642" s="19"/>
      <c r="I642" s="19">
        <f>B642*0.4</f>
        <v>1.8</v>
      </c>
      <c r="J642" s="19">
        <v>2</v>
      </c>
      <c r="K642" s="19">
        <f t="shared" ref="K642:L642" si="482">A642</f>
        <v>3</v>
      </c>
      <c r="L642" s="19">
        <f t="shared" si="482"/>
        <v>4.5</v>
      </c>
      <c r="M642" s="19">
        <f>A642</f>
        <v>3</v>
      </c>
      <c r="N642" s="19">
        <f>(1.2*0.4)*2</f>
        <v>0.96</v>
      </c>
      <c r="O642" s="19"/>
      <c r="P642" s="24"/>
      <c r="Q642" s="24"/>
      <c r="R642" s="19"/>
    </row>
    <row r="643" spans="1:18" ht="14.25" customHeight="1" x14ac:dyDescent="0.2">
      <c r="A643" s="19"/>
      <c r="B643" s="19"/>
      <c r="C643" s="19"/>
      <c r="D643" s="26" t="str">
        <f>D636</f>
        <v>2200</v>
      </c>
      <c r="E643" s="45">
        <v>0</v>
      </c>
      <c r="F643" s="45">
        <v>0</v>
      </c>
      <c r="G643" s="45">
        <v>2</v>
      </c>
      <c r="H643" s="19">
        <f>B642*2</f>
        <v>9</v>
      </c>
      <c r="I643" s="19"/>
      <c r="J643" s="19"/>
      <c r="K643" s="19"/>
      <c r="L643" s="19"/>
      <c r="M643" s="19"/>
      <c r="N643" s="28"/>
      <c r="O643" s="19"/>
      <c r="P643" s="24"/>
      <c r="Q643" s="24"/>
      <c r="R643" s="19"/>
    </row>
    <row r="644" spans="1:18" ht="14.25" customHeight="1" x14ac:dyDescent="0.2">
      <c r="A644" s="19"/>
      <c r="B644" s="19"/>
      <c r="C644" s="19"/>
      <c r="D644" s="19">
        <f>D642*D643</f>
        <v>8910</v>
      </c>
      <c r="E644" s="45">
        <f>E643*E641</f>
        <v>0</v>
      </c>
      <c r="F644" s="45">
        <f t="shared" ref="F644:H644" si="483">F641*F643</f>
        <v>0</v>
      </c>
      <c r="G644" s="45">
        <f t="shared" si="483"/>
        <v>3600</v>
      </c>
      <c r="H644" s="19">
        <f t="shared" si="483"/>
        <v>3420</v>
      </c>
      <c r="I644" s="19">
        <f t="shared" ref="I644:N644" si="484">I641*I642</f>
        <v>9900</v>
      </c>
      <c r="J644" s="19">
        <f t="shared" si="484"/>
        <v>2000</v>
      </c>
      <c r="K644" s="19">
        <f t="shared" si="484"/>
        <v>1125</v>
      </c>
      <c r="L644" s="19">
        <f t="shared" si="484"/>
        <v>2632.5</v>
      </c>
      <c r="M644" s="19">
        <f t="shared" si="484"/>
        <v>3000</v>
      </c>
      <c r="N644" s="19">
        <f t="shared" si="484"/>
        <v>3168</v>
      </c>
      <c r="O644" s="19">
        <f>SUM(D644:N644)</f>
        <v>37755.5</v>
      </c>
      <c r="P644" s="24">
        <f>O644/A642</f>
        <v>12585.166666666666</v>
      </c>
      <c r="Q644" s="24">
        <f>P644*Q641</f>
        <v>25170.333333333332</v>
      </c>
      <c r="R644" s="19">
        <f>MROUND(Q644,100)</f>
        <v>25200</v>
      </c>
    </row>
    <row r="645" spans="1:18" ht="14.25" customHeight="1" x14ac:dyDescent="0.1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9"/>
      <c r="Q645" s="39"/>
    </row>
    <row r="646" spans="1:18" ht="14.25" customHeight="1" x14ac:dyDescent="0.3">
      <c r="A646" s="109" t="str">
        <f>PRICELIST!I96</f>
        <v>WFLX-LNR-NSH-PB-1500-X</v>
      </c>
      <c r="B646" s="87"/>
      <c r="C646" s="8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22"/>
      <c r="Q646" s="22"/>
      <c r="R646" s="17"/>
    </row>
    <row r="647" spans="1:18" ht="14.25" customHeight="1" x14ac:dyDescent="0.15">
      <c r="A647" s="19" t="s">
        <v>57</v>
      </c>
      <c r="B647" s="19" t="s">
        <v>59</v>
      </c>
      <c r="C647" s="19" t="s">
        <v>62</v>
      </c>
      <c r="D647" s="19" t="s">
        <v>64</v>
      </c>
      <c r="E647" s="19">
        <v>1200</v>
      </c>
      <c r="F647" s="19">
        <v>900</v>
      </c>
      <c r="G647" s="19">
        <v>600</v>
      </c>
      <c r="H647" s="19" t="s">
        <v>67</v>
      </c>
      <c r="I647" s="19" t="s">
        <v>68</v>
      </c>
      <c r="J647" s="19" t="s">
        <v>69</v>
      </c>
      <c r="K647" s="19" t="s">
        <v>71</v>
      </c>
      <c r="L647" s="19" t="s">
        <v>72</v>
      </c>
      <c r="M647" s="19" t="s">
        <v>73</v>
      </c>
      <c r="N647" s="19" t="s">
        <v>75</v>
      </c>
      <c r="O647" s="19" t="s">
        <v>76</v>
      </c>
      <c r="P647" s="24" t="s">
        <v>78</v>
      </c>
      <c r="Q647" s="24" t="s">
        <v>79</v>
      </c>
      <c r="R647" s="19" t="s">
        <v>81</v>
      </c>
    </row>
    <row r="648" spans="1:18" ht="14.25" customHeight="1" x14ac:dyDescent="0.15">
      <c r="A648" s="21">
        <f t="shared" ref="A648:B648" si="485">A641</f>
        <v>0</v>
      </c>
      <c r="B648" s="21">
        <f t="shared" si="485"/>
        <v>0</v>
      </c>
      <c r="C648" s="44" t="s">
        <v>188</v>
      </c>
      <c r="D648" s="21">
        <f t="shared" ref="D648:H648" si="486">D641</f>
        <v>0</v>
      </c>
      <c r="E648" s="23" t="str">
        <f t="shared" si="486"/>
        <v>2100</v>
      </c>
      <c r="F648" s="23" t="str">
        <f t="shared" si="486"/>
        <v>1900</v>
      </c>
      <c r="G648" s="23" t="str">
        <f t="shared" si="486"/>
        <v>1800</v>
      </c>
      <c r="H648" s="23">
        <f t="shared" si="486"/>
        <v>380</v>
      </c>
      <c r="I648" s="23" t="str">
        <f>I627</f>
        <v>0</v>
      </c>
      <c r="J648" s="23" t="str">
        <f t="shared" ref="J648:Q648" si="487">J641</f>
        <v>1000</v>
      </c>
      <c r="K648" s="23">
        <f t="shared" si="487"/>
        <v>375</v>
      </c>
      <c r="L648" s="23">
        <f t="shared" si="487"/>
        <v>585</v>
      </c>
      <c r="M648" s="23" t="str">
        <f t="shared" si="487"/>
        <v>1000</v>
      </c>
      <c r="N648" s="23">
        <f t="shared" si="487"/>
        <v>3300</v>
      </c>
      <c r="O648" s="23">
        <f t="shared" si="487"/>
        <v>0</v>
      </c>
      <c r="P648" s="27">
        <f t="shared" si="487"/>
        <v>0</v>
      </c>
      <c r="Q648" s="27">
        <f t="shared" si="487"/>
        <v>2</v>
      </c>
      <c r="R648" s="21"/>
    </row>
    <row r="649" spans="1:18" ht="14.25" customHeight="1" x14ac:dyDescent="0.15">
      <c r="A649" s="19">
        <v>3</v>
      </c>
      <c r="B649" s="19">
        <f>1.5*3</f>
        <v>4.5</v>
      </c>
      <c r="C649" s="19">
        <f>0.6+0.3</f>
        <v>0.89999999999999991</v>
      </c>
      <c r="D649" s="19">
        <f>B649*C649</f>
        <v>4.05</v>
      </c>
      <c r="E649" s="19"/>
      <c r="F649" s="19"/>
      <c r="G649" s="19"/>
      <c r="H649" s="19"/>
      <c r="I649" s="19">
        <f>B649*0.4</f>
        <v>1.8</v>
      </c>
      <c r="J649" s="19">
        <v>2</v>
      </c>
      <c r="K649" s="19">
        <f t="shared" ref="K649:L649" si="488">A649</f>
        <v>3</v>
      </c>
      <c r="L649" s="19">
        <f t="shared" si="488"/>
        <v>4.5</v>
      </c>
      <c r="M649" s="19">
        <f>A649</f>
        <v>3</v>
      </c>
      <c r="N649" s="19">
        <f>(1.2*0.4)*2</f>
        <v>0.96</v>
      </c>
      <c r="O649" s="19"/>
      <c r="P649" s="24"/>
      <c r="Q649" s="24"/>
      <c r="R649" s="19"/>
    </row>
    <row r="650" spans="1:18" ht="14.25" customHeight="1" x14ac:dyDescent="0.2">
      <c r="A650" s="19"/>
      <c r="B650" s="19"/>
      <c r="C650" s="19"/>
      <c r="D650" s="26" t="str">
        <f>D643</f>
        <v>2200</v>
      </c>
      <c r="E650" s="45">
        <v>0</v>
      </c>
      <c r="F650" s="45">
        <v>0</v>
      </c>
      <c r="G650" s="45">
        <v>2</v>
      </c>
      <c r="H650" s="19">
        <f>B649*2</f>
        <v>9</v>
      </c>
      <c r="I650" s="19"/>
      <c r="J650" s="19"/>
      <c r="K650" s="19"/>
      <c r="L650" s="19"/>
      <c r="M650" s="19"/>
      <c r="N650" s="28"/>
      <c r="O650" s="19"/>
      <c r="P650" s="24"/>
      <c r="Q650" s="24"/>
      <c r="R650" s="19"/>
    </row>
    <row r="651" spans="1:18" ht="14.25" customHeight="1" x14ac:dyDescent="0.2">
      <c r="A651" s="19"/>
      <c r="B651" s="19"/>
      <c r="C651" s="19"/>
      <c r="D651" s="19">
        <f>D649*D650</f>
        <v>8910</v>
      </c>
      <c r="E651" s="45">
        <f>E650*E648</f>
        <v>0</v>
      </c>
      <c r="F651" s="45">
        <f t="shared" ref="F651:H651" si="489">F648*F650</f>
        <v>0</v>
      </c>
      <c r="G651" s="45">
        <f t="shared" si="489"/>
        <v>3600</v>
      </c>
      <c r="H651" s="19">
        <f t="shared" si="489"/>
        <v>3420</v>
      </c>
      <c r="I651" s="19">
        <f t="shared" ref="I651:N651" si="490">I648*I649</f>
        <v>0</v>
      </c>
      <c r="J651" s="19">
        <f t="shared" si="490"/>
        <v>2000</v>
      </c>
      <c r="K651" s="19">
        <f t="shared" si="490"/>
        <v>1125</v>
      </c>
      <c r="L651" s="19">
        <f t="shared" si="490"/>
        <v>2632.5</v>
      </c>
      <c r="M651" s="19">
        <f t="shared" si="490"/>
        <v>3000</v>
      </c>
      <c r="N651" s="19">
        <f t="shared" si="490"/>
        <v>3168</v>
      </c>
      <c r="O651" s="19">
        <f>SUM(D651:N651)</f>
        <v>27855.5</v>
      </c>
      <c r="P651" s="24">
        <f>O651/A649</f>
        <v>9285.1666666666661</v>
      </c>
      <c r="Q651" s="24">
        <f>P651*Q648</f>
        <v>18570.333333333332</v>
      </c>
      <c r="R651" s="19">
        <f>MROUND(Q651,100)</f>
        <v>18600</v>
      </c>
    </row>
    <row r="652" spans="1:18" ht="14.25" customHeight="1" x14ac:dyDescent="0.1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9"/>
      <c r="Q652" s="39"/>
    </row>
    <row r="653" spans="1:18" ht="14.25" customHeight="1" x14ac:dyDescent="0.3">
      <c r="A653" s="109" t="str">
        <f>PRICELIST!I97</f>
        <v>WFLX-LNR-NSH-PLM-1500-F</v>
      </c>
      <c r="B653" s="87"/>
      <c r="C653" s="8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22"/>
      <c r="Q653" s="22"/>
      <c r="R653" s="17"/>
    </row>
    <row r="654" spans="1:18" ht="14.25" customHeight="1" x14ac:dyDescent="0.15">
      <c r="A654" s="19" t="s">
        <v>57</v>
      </c>
      <c r="B654" s="19" t="s">
        <v>59</v>
      </c>
      <c r="C654" s="19" t="s">
        <v>62</v>
      </c>
      <c r="D654" s="19" t="s">
        <v>64</v>
      </c>
      <c r="E654" s="19">
        <v>1200</v>
      </c>
      <c r="F654" s="19">
        <v>900</v>
      </c>
      <c r="G654" s="19">
        <v>600</v>
      </c>
      <c r="H654" s="19" t="s">
        <v>67</v>
      </c>
      <c r="I654" s="19" t="s">
        <v>68</v>
      </c>
      <c r="J654" s="19" t="s">
        <v>69</v>
      </c>
      <c r="K654" s="19" t="s">
        <v>71</v>
      </c>
      <c r="L654" s="19" t="s">
        <v>72</v>
      </c>
      <c r="M654" s="19" t="s">
        <v>73</v>
      </c>
      <c r="N654" s="19" t="s">
        <v>75</v>
      </c>
      <c r="O654" s="19" t="s">
        <v>76</v>
      </c>
      <c r="P654" s="24" t="s">
        <v>78</v>
      </c>
      <c r="Q654" s="24" t="s">
        <v>79</v>
      </c>
      <c r="R654" s="19" t="s">
        <v>81</v>
      </c>
    </row>
    <row r="655" spans="1:18" ht="14.25" customHeight="1" x14ac:dyDescent="0.15">
      <c r="A655" s="21">
        <f t="shared" ref="A655:B655" si="491">A648</f>
        <v>0</v>
      </c>
      <c r="B655" s="21">
        <f t="shared" si="491"/>
        <v>0</v>
      </c>
      <c r="C655" s="44" t="s">
        <v>188</v>
      </c>
      <c r="D655" s="21">
        <f t="shared" ref="D655:H655" si="492">D648</f>
        <v>0</v>
      </c>
      <c r="E655" s="23" t="str">
        <f t="shared" si="492"/>
        <v>2100</v>
      </c>
      <c r="F655" s="23" t="str">
        <f t="shared" si="492"/>
        <v>1900</v>
      </c>
      <c r="G655" s="23" t="str">
        <f t="shared" si="492"/>
        <v>1800</v>
      </c>
      <c r="H655" s="23">
        <f t="shared" si="492"/>
        <v>380</v>
      </c>
      <c r="I655" s="23" t="str">
        <f>I634</f>
        <v>4800</v>
      </c>
      <c r="J655" s="23" t="str">
        <f t="shared" ref="J655:Q655" si="493">J648</f>
        <v>1000</v>
      </c>
      <c r="K655" s="23">
        <f t="shared" si="493"/>
        <v>375</v>
      </c>
      <c r="L655" s="23">
        <f t="shared" si="493"/>
        <v>585</v>
      </c>
      <c r="M655" s="23" t="str">
        <f t="shared" si="493"/>
        <v>1000</v>
      </c>
      <c r="N655" s="23">
        <f t="shared" si="493"/>
        <v>3300</v>
      </c>
      <c r="O655" s="23">
        <f t="shared" si="493"/>
        <v>0</v>
      </c>
      <c r="P655" s="27">
        <f t="shared" si="493"/>
        <v>0</v>
      </c>
      <c r="Q655" s="27">
        <f t="shared" si="493"/>
        <v>2</v>
      </c>
      <c r="R655" s="21"/>
    </row>
    <row r="656" spans="1:18" ht="14.25" customHeight="1" x14ac:dyDescent="0.15">
      <c r="A656" s="19">
        <v>3</v>
      </c>
      <c r="B656" s="19">
        <f>1.5*3</f>
        <v>4.5</v>
      </c>
      <c r="C656" s="19">
        <f>0.6+0.3</f>
        <v>0.89999999999999991</v>
      </c>
      <c r="D656" s="19">
        <f>B656*C656</f>
        <v>4.05</v>
      </c>
      <c r="E656" s="19"/>
      <c r="F656" s="19"/>
      <c r="G656" s="19"/>
      <c r="H656" s="19"/>
      <c r="I656" s="19">
        <f>B656*0.4</f>
        <v>1.8</v>
      </c>
      <c r="J656" s="19">
        <v>2</v>
      </c>
      <c r="K656" s="19">
        <f t="shared" ref="K656:L656" si="494">A656</f>
        <v>3</v>
      </c>
      <c r="L656" s="19">
        <f t="shared" si="494"/>
        <v>4.5</v>
      </c>
      <c r="M656" s="19">
        <f>A656</f>
        <v>3</v>
      </c>
      <c r="N656" s="19">
        <f>(1.2*0.4)*2</f>
        <v>0.96</v>
      </c>
      <c r="O656" s="19"/>
      <c r="P656" s="24"/>
      <c r="Q656" s="24"/>
      <c r="R656" s="19"/>
    </row>
    <row r="657" spans="1:18" ht="14.25" customHeight="1" x14ac:dyDescent="0.2">
      <c r="A657" s="19"/>
      <c r="B657" s="19"/>
      <c r="C657" s="19"/>
      <c r="D657" s="26" t="str">
        <f>D531</f>
        <v>3000</v>
      </c>
      <c r="E657" s="45">
        <v>0</v>
      </c>
      <c r="F657" s="45">
        <v>0</v>
      </c>
      <c r="G657" s="45">
        <v>2</v>
      </c>
      <c r="H657" s="19">
        <f>B656*2</f>
        <v>9</v>
      </c>
      <c r="I657" s="19"/>
      <c r="J657" s="19"/>
      <c r="K657" s="19"/>
      <c r="L657" s="19"/>
      <c r="M657" s="19"/>
      <c r="N657" s="28"/>
      <c r="O657" s="19"/>
      <c r="P657" s="24"/>
      <c r="Q657" s="24"/>
      <c r="R657" s="19"/>
    </row>
    <row r="658" spans="1:18" ht="14.25" customHeight="1" x14ac:dyDescent="0.2">
      <c r="A658" s="19"/>
      <c r="B658" s="19"/>
      <c r="C658" s="19"/>
      <c r="D658" s="19">
        <f>D656*D657</f>
        <v>12150</v>
      </c>
      <c r="E658" s="45">
        <f>E657*E655</f>
        <v>0</v>
      </c>
      <c r="F658" s="45">
        <f t="shared" ref="F658:H658" si="495">F655*F657</f>
        <v>0</v>
      </c>
      <c r="G658" s="45">
        <f t="shared" si="495"/>
        <v>3600</v>
      </c>
      <c r="H658" s="19">
        <f t="shared" si="495"/>
        <v>3420</v>
      </c>
      <c r="I658" s="19">
        <f t="shared" ref="I658:N658" si="496">I655*I656</f>
        <v>8640</v>
      </c>
      <c r="J658" s="19">
        <f t="shared" si="496"/>
        <v>2000</v>
      </c>
      <c r="K658" s="19">
        <f t="shared" si="496"/>
        <v>1125</v>
      </c>
      <c r="L658" s="19">
        <f t="shared" si="496"/>
        <v>2632.5</v>
      </c>
      <c r="M658" s="19">
        <f t="shared" si="496"/>
        <v>3000</v>
      </c>
      <c r="N658" s="19">
        <f t="shared" si="496"/>
        <v>3168</v>
      </c>
      <c r="O658" s="19">
        <f>SUM(D658:N658)</f>
        <v>39735.5</v>
      </c>
      <c r="P658" s="24">
        <f>O658/A656</f>
        <v>13245.166666666666</v>
      </c>
      <c r="Q658" s="24">
        <f>P658*Q655</f>
        <v>26490.333333333332</v>
      </c>
      <c r="R658" s="19">
        <f>MROUND(Q658,100)</f>
        <v>26500</v>
      </c>
    </row>
    <row r="659" spans="1:18" ht="14.25" customHeight="1" x14ac:dyDescent="0.1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9"/>
      <c r="Q659" s="39"/>
    </row>
    <row r="660" spans="1:18" ht="14.25" customHeight="1" x14ac:dyDescent="0.3">
      <c r="A660" s="109" t="str">
        <f>PRICELIST!I98</f>
        <v>WFLX-LNR-NSH-PLM-1500-G</v>
      </c>
      <c r="B660" s="87"/>
      <c r="C660" s="8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22"/>
      <c r="Q660" s="22"/>
      <c r="R660" s="17"/>
    </row>
    <row r="661" spans="1:18" ht="14.25" customHeight="1" x14ac:dyDescent="0.15">
      <c r="A661" s="19" t="s">
        <v>57</v>
      </c>
      <c r="B661" s="19" t="s">
        <v>59</v>
      </c>
      <c r="C661" s="19" t="s">
        <v>62</v>
      </c>
      <c r="D661" s="19" t="s">
        <v>64</v>
      </c>
      <c r="E661" s="19">
        <v>1200</v>
      </c>
      <c r="F661" s="19">
        <v>900</v>
      </c>
      <c r="G661" s="19">
        <v>600</v>
      </c>
      <c r="H661" s="19" t="s">
        <v>67</v>
      </c>
      <c r="I661" s="19" t="s">
        <v>68</v>
      </c>
      <c r="J661" s="19" t="s">
        <v>69</v>
      </c>
      <c r="K661" s="19" t="s">
        <v>71</v>
      </c>
      <c r="L661" s="19" t="s">
        <v>72</v>
      </c>
      <c r="M661" s="19" t="s">
        <v>73</v>
      </c>
      <c r="N661" s="19" t="s">
        <v>75</v>
      </c>
      <c r="O661" s="19" t="s">
        <v>76</v>
      </c>
      <c r="P661" s="24" t="s">
        <v>78</v>
      </c>
      <c r="Q661" s="24" t="s">
        <v>79</v>
      </c>
      <c r="R661" s="19" t="s">
        <v>81</v>
      </c>
    </row>
    <row r="662" spans="1:18" ht="14.25" customHeight="1" x14ac:dyDescent="0.15">
      <c r="A662" s="21">
        <f t="shared" ref="A662:B662" si="497">A655</f>
        <v>0</v>
      </c>
      <c r="B662" s="21">
        <f t="shared" si="497"/>
        <v>0</v>
      </c>
      <c r="C662" s="44" t="s">
        <v>188</v>
      </c>
      <c r="D662" s="21">
        <f t="shared" ref="D662:H662" si="498">D655</f>
        <v>0</v>
      </c>
      <c r="E662" s="23" t="str">
        <f t="shared" si="498"/>
        <v>2100</v>
      </c>
      <c r="F662" s="23" t="str">
        <f t="shared" si="498"/>
        <v>1900</v>
      </c>
      <c r="G662" s="23" t="str">
        <f t="shared" si="498"/>
        <v>1800</v>
      </c>
      <c r="H662" s="23">
        <f t="shared" si="498"/>
        <v>380</v>
      </c>
      <c r="I662" s="23" t="str">
        <f>I641</f>
        <v>5500</v>
      </c>
      <c r="J662" s="23" t="str">
        <f t="shared" ref="J662:Q662" si="499">J655</f>
        <v>1000</v>
      </c>
      <c r="K662" s="23">
        <f t="shared" si="499"/>
        <v>375</v>
      </c>
      <c r="L662" s="23">
        <f t="shared" si="499"/>
        <v>585</v>
      </c>
      <c r="M662" s="23" t="str">
        <f t="shared" si="499"/>
        <v>1000</v>
      </c>
      <c r="N662" s="23">
        <f t="shared" si="499"/>
        <v>3300</v>
      </c>
      <c r="O662" s="23">
        <f t="shared" si="499"/>
        <v>0</v>
      </c>
      <c r="P662" s="27">
        <f t="shared" si="499"/>
        <v>0</v>
      </c>
      <c r="Q662" s="27">
        <f t="shared" si="499"/>
        <v>2</v>
      </c>
      <c r="R662" s="21"/>
    </row>
    <row r="663" spans="1:18" ht="14.25" customHeight="1" x14ac:dyDescent="0.15">
      <c r="A663" s="19">
        <v>3</v>
      </c>
      <c r="B663" s="19">
        <f>1.5*3</f>
        <v>4.5</v>
      </c>
      <c r="C663" s="19">
        <f>0.6+0.3</f>
        <v>0.89999999999999991</v>
      </c>
      <c r="D663" s="19">
        <f>B663*C663</f>
        <v>4.05</v>
      </c>
      <c r="E663" s="19"/>
      <c r="F663" s="19"/>
      <c r="G663" s="19"/>
      <c r="H663" s="19"/>
      <c r="I663" s="19">
        <f>B663*0.4</f>
        <v>1.8</v>
      </c>
      <c r="J663" s="19">
        <v>2</v>
      </c>
      <c r="K663" s="19">
        <f t="shared" ref="K663:L663" si="500">A663</f>
        <v>3</v>
      </c>
      <c r="L663" s="19">
        <f t="shared" si="500"/>
        <v>4.5</v>
      </c>
      <c r="M663" s="19">
        <f>A663</f>
        <v>3</v>
      </c>
      <c r="N663" s="19">
        <f>(1.2*0.4)*2</f>
        <v>0.96</v>
      </c>
      <c r="O663" s="19"/>
      <c r="P663" s="24"/>
      <c r="Q663" s="24"/>
      <c r="R663" s="19"/>
    </row>
    <row r="664" spans="1:18" ht="14.25" customHeight="1" x14ac:dyDescent="0.2">
      <c r="A664" s="19"/>
      <c r="B664" s="19"/>
      <c r="C664" s="19"/>
      <c r="D664" s="26" t="str">
        <f>D657</f>
        <v>3000</v>
      </c>
      <c r="E664" s="45">
        <v>0</v>
      </c>
      <c r="F664" s="45">
        <v>0</v>
      </c>
      <c r="G664" s="45">
        <v>2</v>
      </c>
      <c r="H664" s="19">
        <f>B663*2</f>
        <v>9</v>
      </c>
      <c r="I664" s="19"/>
      <c r="J664" s="19"/>
      <c r="K664" s="19"/>
      <c r="L664" s="19"/>
      <c r="M664" s="19"/>
      <c r="N664" s="28"/>
      <c r="O664" s="19"/>
      <c r="P664" s="24"/>
      <c r="Q664" s="24"/>
      <c r="R664" s="19"/>
    </row>
    <row r="665" spans="1:18" ht="14.25" customHeight="1" x14ac:dyDescent="0.2">
      <c r="A665" s="19"/>
      <c r="B665" s="19"/>
      <c r="C665" s="19"/>
      <c r="D665" s="19">
        <f>D663*D664</f>
        <v>12150</v>
      </c>
      <c r="E665" s="45">
        <f>E664*E662</f>
        <v>0</v>
      </c>
      <c r="F665" s="45">
        <f t="shared" ref="F665:H665" si="501">F662*F664</f>
        <v>0</v>
      </c>
      <c r="G665" s="45">
        <f t="shared" si="501"/>
        <v>3600</v>
      </c>
      <c r="H665" s="19">
        <f t="shared" si="501"/>
        <v>3420</v>
      </c>
      <c r="I665" s="19">
        <f t="shared" ref="I665:N665" si="502">I662*I663</f>
        <v>9900</v>
      </c>
      <c r="J665" s="19">
        <f t="shared" si="502"/>
        <v>2000</v>
      </c>
      <c r="K665" s="19">
        <f t="shared" si="502"/>
        <v>1125</v>
      </c>
      <c r="L665" s="19">
        <f t="shared" si="502"/>
        <v>2632.5</v>
      </c>
      <c r="M665" s="19">
        <f t="shared" si="502"/>
        <v>3000</v>
      </c>
      <c r="N665" s="19">
        <f t="shared" si="502"/>
        <v>3168</v>
      </c>
      <c r="O665" s="19">
        <f>SUM(D665:N665)</f>
        <v>40995.5</v>
      </c>
      <c r="P665" s="24">
        <f>O665/A663</f>
        <v>13665.166666666666</v>
      </c>
      <c r="Q665" s="24">
        <f>P665*Q662</f>
        <v>27330.333333333332</v>
      </c>
      <c r="R665" s="19">
        <f>MROUND(Q665,100)</f>
        <v>27300</v>
      </c>
    </row>
    <row r="666" spans="1:18" ht="14.25" customHeight="1" x14ac:dyDescent="0.1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9"/>
      <c r="Q666" s="39"/>
    </row>
    <row r="667" spans="1:18" ht="14.25" customHeight="1" x14ac:dyDescent="0.3">
      <c r="A667" s="109" t="str">
        <f>PRICELIST!I99</f>
        <v>WFLX-LNR-NSH-PLM-1500-X</v>
      </c>
      <c r="B667" s="87"/>
      <c r="C667" s="8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22"/>
      <c r="Q667" s="22"/>
      <c r="R667" s="17"/>
    </row>
    <row r="668" spans="1:18" ht="14.25" customHeight="1" x14ac:dyDescent="0.15">
      <c r="A668" s="19" t="s">
        <v>57</v>
      </c>
      <c r="B668" s="19" t="s">
        <v>59</v>
      </c>
      <c r="C668" s="19" t="s">
        <v>62</v>
      </c>
      <c r="D668" s="19" t="s">
        <v>64</v>
      </c>
      <c r="E668" s="19">
        <v>1200</v>
      </c>
      <c r="F668" s="19">
        <v>900</v>
      </c>
      <c r="G668" s="19">
        <v>600</v>
      </c>
      <c r="H668" s="19" t="s">
        <v>67</v>
      </c>
      <c r="I668" s="19" t="s">
        <v>68</v>
      </c>
      <c r="J668" s="19" t="s">
        <v>69</v>
      </c>
      <c r="K668" s="19" t="s">
        <v>71</v>
      </c>
      <c r="L668" s="19" t="s">
        <v>72</v>
      </c>
      <c r="M668" s="19" t="s">
        <v>73</v>
      </c>
      <c r="N668" s="19" t="s">
        <v>75</v>
      </c>
      <c r="O668" s="19" t="s">
        <v>76</v>
      </c>
      <c r="P668" s="24" t="s">
        <v>78</v>
      </c>
      <c r="Q668" s="24" t="s">
        <v>79</v>
      </c>
      <c r="R668" s="19" t="s">
        <v>81</v>
      </c>
    </row>
    <row r="669" spans="1:18" ht="14.25" customHeight="1" x14ac:dyDescent="0.15">
      <c r="A669" s="21">
        <f t="shared" ref="A669:B669" si="503">A662</f>
        <v>0</v>
      </c>
      <c r="B669" s="21">
        <f t="shared" si="503"/>
        <v>0</v>
      </c>
      <c r="C669" s="44" t="s">
        <v>188</v>
      </c>
      <c r="D669" s="21">
        <f t="shared" ref="D669:H669" si="504">D662</f>
        <v>0</v>
      </c>
      <c r="E669" s="23" t="str">
        <f t="shared" si="504"/>
        <v>2100</v>
      </c>
      <c r="F669" s="23" t="str">
        <f t="shared" si="504"/>
        <v>1900</v>
      </c>
      <c r="G669" s="23" t="str">
        <f t="shared" si="504"/>
        <v>1800</v>
      </c>
      <c r="H669" s="23">
        <f t="shared" si="504"/>
        <v>380</v>
      </c>
      <c r="I669" s="23" t="str">
        <f>I648</f>
        <v>0</v>
      </c>
      <c r="J669" s="23" t="str">
        <f t="shared" ref="J669:Q669" si="505">J662</f>
        <v>1000</v>
      </c>
      <c r="K669" s="23">
        <f t="shared" si="505"/>
        <v>375</v>
      </c>
      <c r="L669" s="23">
        <f t="shared" si="505"/>
        <v>585</v>
      </c>
      <c r="M669" s="23" t="str">
        <f t="shared" si="505"/>
        <v>1000</v>
      </c>
      <c r="N669" s="23">
        <f t="shared" si="505"/>
        <v>3300</v>
      </c>
      <c r="O669" s="23">
        <f t="shared" si="505"/>
        <v>0</v>
      </c>
      <c r="P669" s="27">
        <f t="shared" si="505"/>
        <v>0</v>
      </c>
      <c r="Q669" s="27">
        <f t="shared" si="505"/>
        <v>2</v>
      </c>
      <c r="R669" s="21"/>
    </row>
    <row r="670" spans="1:18" ht="14.25" customHeight="1" x14ac:dyDescent="0.15">
      <c r="A670" s="19">
        <v>3</v>
      </c>
      <c r="B670" s="19">
        <f>1.5*3</f>
        <v>4.5</v>
      </c>
      <c r="C670" s="19">
        <f>0.6+0.3</f>
        <v>0.89999999999999991</v>
      </c>
      <c r="D670" s="19">
        <f>B670*C670</f>
        <v>4.05</v>
      </c>
      <c r="E670" s="19"/>
      <c r="F670" s="19"/>
      <c r="G670" s="19"/>
      <c r="H670" s="19"/>
      <c r="I670" s="19">
        <f>B670*0.4</f>
        <v>1.8</v>
      </c>
      <c r="J670" s="19">
        <v>2</v>
      </c>
      <c r="K670" s="19">
        <f t="shared" ref="K670:L670" si="506">A670</f>
        <v>3</v>
      </c>
      <c r="L670" s="19">
        <f t="shared" si="506"/>
        <v>4.5</v>
      </c>
      <c r="M670" s="19">
        <f>A670</f>
        <v>3</v>
      </c>
      <c r="N670" s="19">
        <f>(1.2*0.4)*2</f>
        <v>0.96</v>
      </c>
      <c r="O670" s="19"/>
      <c r="P670" s="24"/>
      <c r="Q670" s="24"/>
      <c r="R670" s="19"/>
    </row>
    <row r="671" spans="1:18" ht="14.25" customHeight="1" x14ac:dyDescent="0.2">
      <c r="A671" s="19"/>
      <c r="B671" s="19"/>
      <c r="C671" s="19"/>
      <c r="D671" s="26" t="str">
        <f>D664</f>
        <v>3000</v>
      </c>
      <c r="E671" s="45">
        <v>0</v>
      </c>
      <c r="F671" s="45">
        <v>0</v>
      </c>
      <c r="G671" s="45">
        <v>2</v>
      </c>
      <c r="H671" s="19">
        <f>B670*2</f>
        <v>9</v>
      </c>
      <c r="I671" s="19"/>
      <c r="J671" s="19"/>
      <c r="K671" s="19"/>
      <c r="L671" s="19"/>
      <c r="M671" s="19"/>
      <c r="N671" s="28"/>
      <c r="O671" s="19"/>
      <c r="P671" s="24"/>
      <c r="Q671" s="24"/>
      <c r="R671" s="19"/>
    </row>
    <row r="672" spans="1:18" ht="14.25" customHeight="1" x14ac:dyDescent="0.2">
      <c r="A672" s="19"/>
      <c r="B672" s="19"/>
      <c r="C672" s="19"/>
      <c r="D672" s="19">
        <f>D670*D671</f>
        <v>12150</v>
      </c>
      <c r="E672" s="45">
        <f>E671*E669</f>
        <v>0</v>
      </c>
      <c r="F672" s="45">
        <f t="shared" ref="F672:H672" si="507">F669*F671</f>
        <v>0</v>
      </c>
      <c r="G672" s="45">
        <f t="shared" si="507"/>
        <v>3600</v>
      </c>
      <c r="H672" s="19">
        <f t="shared" si="507"/>
        <v>3420</v>
      </c>
      <c r="I672" s="19">
        <f t="shared" ref="I672:N672" si="508">I669*I670</f>
        <v>0</v>
      </c>
      <c r="J672" s="19">
        <f t="shared" si="508"/>
        <v>2000</v>
      </c>
      <c r="K672" s="19">
        <f t="shared" si="508"/>
        <v>1125</v>
      </c>
      <c r="L672" s="19">
        <f t="shared" si="508"/>
        <v>2632.5</v>
      </c>
      <c r="M672" s="19">
        <f t="shared" si="508"/>
        <v>3000</v>
      </c>
      <c r="N672" s="19">
        <f t="shared" si="508"/>
        <v>3168</v>
      </c>
      <c r="O672" s="19">
        <f>SUM(D672:N672)</f>
        <v>31095.5</v>
      </c>
      <c r="P672" s="24">
        <f>O672/A670</f>
        <v>10365.166666666666</v>
      </c>
      <c r="Q672" s="24">
        <f>P672*Q669</f>
        <v>20730.333333333332</v>
      </c>
      <c r="R672" s="19">
        <f>MROUND(Q672,100)</f>
        <v>20700</v>
      </c>
    </row>
    <row r="673" spans="1:18" ht="14.25" customHeight="1" x14ac:dyDescent="0.1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9"/>
      <c r="Q673" s="39"/>
    </row>
    <row r="674" spans="1:18" ht="14.25" customHeight="1" x14ac:dyDescent="0.3">
      <c r="A674" s="109" t="str">
        <f>PRICELIST!I100</f>
        <v>WFLX-LNR-NSH-PoLM-1500-F</v>
      </c>
      <c r="B674" s="87"/>
      <c r="C674" s="8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22"/>
      <c r="Q674" s="22"/>
      <c r="R674" s="17"/>
    </row>
    <row r="675" spans="1:18" ht="14.25" customHeight="1" x14ac:dyDescent="0.15">
      <c r="A675" s="19" t="s">
        <v>57</v>
      </c>
      <c r="B675" s="19" t="s">
        <v>59</v>
      </c>
      <c r="C675" s="19" t="s">
        <v>62</v>
      </c>
      <c r="D675" s="19" t="s">
        <v>64</v>
      </c>
      <c r="E675" s="19">
        <v>1200</v>
      </c>
      <c r="F675" s="19">
        <v>900</v>
      </c>
      <c r="G675" s="19">
        <v>600</v>
      </c>
      <c r="H675" s="19" t="s">
        <v>67</v>
      </c>
      <c r="I675" s="19" t="s">
        <v>68</v>
      </c>
      <c r="J675" s="19" t="s">
        <v>69</v>
      </c>
      <c r="K675" s="19" t="s">
        <v>71</v>
      </c>
      <c r="L675" s="19" t="s">
        <v>72</v>
      </c>
      <c r="M675" s="19" t="s">
        <v>73</v>
      </c>
      <c r="N675" s="19" t="s">
        <v>75</v>
      </c>
      <c r="O675" s="19" t="s">
        <v>76</v>
      </c>
      <c r="P675" s="24" t="s">
        <v>78</v>
      </c>
      <c r="Q675" s="24" t="s">
        <v>79</v>
      </c>
      <c r="R675" s="19" t="s">
        <v>81</v>
      </c>
    </row>
    <row r="676" spans="1:18" ht="14.25" customHeight="1" x14ac:dyDescent="0.15">
      <c r="A676" s="21">
        <f t="shared" ref="A676:B676" si="509">A669</f>
        <v>0</v>
      </c>
      <c r="B676" s="21">
        <f t="shared" si="509"/>
        <v>0</v>
      </c>
      <c r="C676" s="44" t="s">
        <v>188</v>
      </c>
      <c r="D676" s="21">
        <f t="shared" ref="D676:H676" si="510">D669</f>
        <v>0</v>
      </c>
      <c r="E676" s="23" t="str">
        <f t="shared" si="510"/>
        <v>2100</v>
      </c>
      <c r="F676" s="23" t="str">
        <f t="shared" si="510"/>
        <v>1900</v>
      </c>
      <c r="G676" s="23" t="str">
        <f t="shared" si="510"/>
        <v>1800</v>
      </c>
      <c r="H676" s="23">
        <f t="shared" si="510"/>
        <v>380</v>
      </c>
      <c r="I676" s="23" t="str">
        <f>I655</f>
        <v>4800</v>
      </c>
      <c r="J676" s="23" t="str">
        <f t="shared" ref="J676:Q676" si="511">J669</f>
        <v>1000</v>
      </c>
      <c r="K676" s="23">
        <f t="shared" si="511"/>
        <v>375</v>
      </c>
      <c r="L676" s="23">
        <f t="shared" si="511"/>
        <v>585</v>
      </c>
      <c r="M676" s="23" t="str">
        <f t="shared" si="511"/>
        <v>1000</v>
      </c>
      <c r="N676" s="23">
        <f t="shared" si="511"/>
        <v>3300</v>
      </c>
      <c r="O676" s="23">
        <f t="shared" si="511"/>
        <v>0</v>
      </c>
      <c r="P676" s="27">
        <f t="shared" si="511"/>
        <v>0</v>
      </c>
      <c r="Q676" s="27">
        <f t="shared" si="511"/>
        <v>2</v>
      </c>
      <c r="R676" s="21"/>
    </row>
    <row r="677" spans="1:18" ht="14.25" customHeight="1" x14ac:dyDescent="0.15">
      <c r="A677" s="19">
        <v>3</v>
      </c>
      <c r="B677" s="19">
        <f>1.5*3</f>
        <v>4.5</v>
      </c>
      <c r="C677" s="19">
        <f>0.6+0.3</f>
        <v>0.89999999999999991</v>
      </c>
      <c r="D677" s="19">
        <f>B677*C677</f>
        <v>4.05</v>
      </c>
      <c r="E677" s="19"/>
      <c r="F677" s="19"/>
      <c r="G677" s="19"/>
      <c r="H677" s="19"/>
      <c r="I677" s="19">
        <f>B677*0.4</f>
        <v>1.8</v>
      </c>
      <c r="J677" s="19">
        <v>2</v>
      </c>
      <c r="K677" s="19">
        <f t="shared" ref="K677:L677" si="512">A677</f>
        <v>3</v>
      </c>
      <c r="L677" s="19">
        <f t="shared" si="512"/>
        <v>4.5</v>
      </c>
      <c r="M677" s="19">
        <f>A677</f>
        <v>3</v>
      </c>
      <c r="N677" s="19">
        <f>(1.2*0.4)*2</f>
        <v>0.96</v>
      </c>
      <c r="O677" s="19"/>
      <c r="P677" s="24"/>
      <c r="Q677" s="24"/>
      <c r="R677" s="19"/>
    </row>
    <row r="678" spans="1:18" ht="14.25" customHeight="1" x14ac:dyDescent="0.2">
      <c r="A678" s="19"/>
      <c r="B678" s="19"/>
      <c r="C678" s="19"/>
      <c r="D678" s="26" t="str">
        <f>D559</f>
        <v>7500</v>
      </c>
      <c r="E678" s="45">
        <v>0</v>
      </c>
      <c r="F678" s="45">
        <v>0</v>
      </c>
      <c r="G678" s="45">
        <v>2</v>
      </c>
      <c r="H678" s="19">
        <f>B677*2</f>
        <v>9</v>
      </c>
      <c r="I678" s="19"/>
      <c r="J678" s="19"/>
      <c r="K678" s="19"/>
      <c r="L678" s="19"/>
      <c r="M678" s="19"/>
      <c r="N678" s="28"/>
      <c r="O678" s="19"/>
      <c r="P678" s="24"/>
      <c r="Q678" s="24"/>
      <c r="R678" s="19"/>
    </row>
    <row r="679" spans="1:18" ht="14.25" customHeight="1" x14ac:dyDescent="0.2">
      <c r="A679" s="19"/>
      <c r="B679" s="19"/>
      <c r="C679" s="19"/>
      <c r="D679" s="19">
        <f>D677*D678</f>
        <v>30375</v>
      </c>
      <c r="E679" s="45">
        <f>E678*E676</f>
        <v>0</v>
      </c>
      <c r="F679" s="45">
        <f t="shared" ref="F679:H679" si="513">F676*F678</f>
        <v>0</v>
      </c>
      <c r="G679" s="45">
        <f t="shared" si="513"/>
        <v>3600</v>
      </c>
      <c r="H679" s="19">
        <f t="shared" si="513"/>
        <v>3420</v>
      </c>
      <c r="I679" s="19">
        <f t="shared" ref="I679:N679" si="514">I676*I677</f>
        <v>8640</v>
      </c>
      <c r="J679" s="19">
        <f t="shared" si="514"/>
        <v>2000</v>
      </c>
      <c r="K679" s="19">
        <f t="shared" si="514"/>
        <v>1125</v>
      </c>
      <c r="L679" s="19">
        <f t="shared" si="514"/>
        <v>2632.5</v>
      </c>
      <c r="M679" s="19">
        <f t="shared" si="514"/>
        <v>3000</v>
      </c>
      <c r="N679" s="19">
        <f t="shared" si="514"/>
        <v>3168</v>
      </c>
      <c r="O679" s="19">
        <f>SUM(D679:N679)</f>
        <v>57960.5</v>
      </c>
      <c r="P679" s="24">
        <f>O679/A677</f>
        <v>19320.166666666668</v>
      </c>
      <c r="Q679" s="24">
        <f>P679*Q676</f>
        <v>38640.333333333336</v>
      </c>
      <c r="R679" s="19">
        <f>MROUND(Q679,100)</f>
        <v>38600</v>
      </c>
    </row>
    <row r="680" spans="1:18" ht="14.25" customHeight="1" x14ac:dyDescent="0.1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9"/>
      <c r="Q680" s="39"/>
    </row>
    <row r="681" spans="1:18" ht="14.25" customHeight="1" x14ac:dyDescent="0.3">
      <c r="A681" s="109" t="str">
        <f>PRICELIST!I101</f>
        <v>WFLX-LNR-NSH-PoLM-1500-G</v>
      </c>
      <c r="B681" s="87"/>
      <c r="C681" s="8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22"/>
      <c r="Q681" s="22"/>
      <c r="R681" s="17"/>
    </row>
    <row r="682" spans="1:18" ht="14.25" customHeight="1" x14ac:dyDescent="0.15">
      <c r="A682" s="19" t="s">
        <v>57</v>
      </c>
      <c r="B682" s="19" t="s">
        <v>59</v>
      </c>
      <c r="C682" s="19" t="s">
        <v>62</v>
      </c>
      <c r="D682" s="19" t="s">
        <v>64</v>
      </c>
      <c r="E682" s="19">
        <v>1200</v>
      </c>
      <c r="F682" s="19">
        <v>900</v>
      </c>
      <c r="G682" s="19">
        <v>600</v>
      </c>
      <c r="H682" s="19" t="s">
        <v>67</v>
      </c>
      <c r="I682" s="19" t="s">
        <v>68</v>
      </c>
      <c r="J682" s="19" t="s">
        <v>69</v>
      </c>
      <c r="K682" s="19" t="s">
        <v>71</v>
      </c>
      <c r="L682" s="19" t="s">
        <v>72</v>
      </c>
      <c r="M682" s="19" t="s">
        <v>73</v>
      </c>
      <c r="N682" s="19" t="s">
        <v>75</v>
      </c>
      <c r="O682" s="19" t="s">
        <v>76</v>
      </c>
      <c r="P682" s="24" t="s">
        <v>78</v>
      </c>
      <c r="Q682" s="24" t="s">
        <v>79</v>
      </c>
      <c r="R682" s="19" t="s">
        <v>81</v>
      </c>
    </row>
    <row r="683" spans="1:18" ht="14.25" customHeight="1" x14ac:dyDescent="0.15">
      <c r="A683" s="21">
        <f t="shared" ref="A683:B683" si="515">A676</f>
        <v>0</v>
      </c>
      <c r="B683" s="21">
        <f t="shared" si="515"/>
        <v>0</v>
      </c>
      <c r="C683" s="44" t="s">
        <v>188</v>
      </c>
      <c r="D683" s="21">
        <f t="shared" ref="D683:H683" si="516">D676</f>
        <v>0</v>
      </c>
      <c r="E683" s="23" t="str">
        <f t="shared" si="516"/>
        <v>2100</v>
      </c>
      <c r="F683" s="23" t="str">
        <f t="shared" si="516"/>
        <v>1900</v>
      </c>
      <c r="G683" s="23" t="str">
        <f t="shared" si="516"/>
        <v>1800</v>
      </c>
      <c r="H683" s="23">
        <f t="shared" si="516"/>
        <v>380</v>
      </c>
      <c r="I683" s="23" t="str">
        <f>I662</f>
        <v>5500</v>
      </c>
      <c r="J683" s="23" t="str">
        <f t="shared" ref="J683:Q683" si="517">J676</f>
        <v>1000</v>
      </c>
      <c r="K683" s="23">
        <f t="shared" si="517"/>
        <v>375</v>
      </c>
      <c r="L683" s="23">
        <f t="shared" si="517"/>
        <v>585</v>
      </c>
      <c r="M683" s="23" t="str">
        <f t="shared" si="517"/>
        <v>1000</v>
      </c>
      <c r="N683" s="23">
        <f t="shared" si="517"/>
        <v>3300</v>
      </c>
      <c r="O683" s="23">
        <f t="shared" si="517"/>
        <v>0</v>
      </c>
      <c r="P683" s="27">
        <f t="shared" si="517"/>
        <v>0</v>
      </c>
      <c r="Q683" s="27">
        <f t="shared" si="517"/>
        <v>2</v>
      </c>
      <c r="R683" s="21"/>
    </row>
    <row r="684" spans="1:18" ht="14.25" customHeight="1" x14ac:dyDescent="0.15">
      <c r="A684" s="19">
        <v>3</v>
      </c>
      <c r="B684" s="19">
        <f>1.5*3</f>
        <v>4.5</v>
      </c>
      <c r="C684" s="19">
        <f>0.6+0.3</f>
        <v>0.89999999999999991</v>
      </c>
      <c r="D684" s="19">
        <f>B684*C684</f>
        <v>4.05</v>
      </c>
      <c r="E684" s="19"/>
      <c r="F684" s="19"/>
      <c r="G684" s="19"/>
      <c r="H684" s="19"/>
      <c r="I684" s="19">
        <f>B684*0.4</f>
        <v>1.8</v>
      </c>
      <c r="J684" s="19">
        <v>2</v>
      </c>
      <c r="K684" s="19">
        <f t="shared" ref="K684:L684" si="518">A684</f>
        <v>3</v>
      </c>
      <c r="L684" s="19">
        <f t="shared" si="518"/>
        <v>4.5</v>
      </c>
      <c r="M684" s="19">
        <f>A684</f>
        <v>3</v>
      </c>
      <c r="N684" s="19">
        <f>(1.2*0.4)*2</f>
        <v>0.96</v>
      </c>
      <c r="O684" s="19"/>
      <c r="P684" s="24"/>
      <c r="Q684" s="24"/>
      <c r="R684" s="19"/>
    </row>
    <row r="685" spans="1:18" ht="14.25" customHeight="1" x14ac:dyDescent="0.2">
      <c r="A685" s="19"/>
      <c r="B685" s="19"/>
      <c r="C685" s="19"/>
      <c r="D685" s="26" t="str">
        <f>D678</f>
        <v>7500</v>
      </c>
      <c r="E685" s="45">
        <v>0</v>
      </c>
      <c r="F685" s="45">
        <v>0</v>
      </c>
      <c r="G685" s="45">
        <v>2</v>
      </c>
      <c r="H685" s="19">
        <f>B684*2</f>
        <v>9</v>
      </c>
      <c r="I685" s="19"/>
      <c r="J685" s="19"/>
      <c r="K685" s="19"/>
      <c r="L685" s="19"/>
      <c r="M685" s="19"/>
      <c r="N685" s="28"/>
      <c r="O685" s="19"/>
      <c r="P685" s="24"/>
      <c r="Q685" s="24"/>
      <c r="R685" s="19"/>
    </row>
    <row r="686" spans="1:18" ht="14.25" customHeight="1" x14ac:dyDescent="0.2">
      <c r="A686" s="19"/>
      <c r="B686" s="19"/>
      <c r="C686" s="19"/>
      <c r="D686" s="19">
        <f>D684*D685</f>
        <v>30375</v>
      </c>
      <c r="E686" s="45">
        <f>E685*E683</f>
        <v>0</v>
      </c>
      <c r="F686" s="45">
        <f t="shared" ref="F686:H686" si="519">F683*F685</f>
        <v>0</v>
      </c>
      <c r="G686" s="45">
        <f t="shared" si="519"/>
        <v>3600</v>
      </c>
      <c r="H686" s="19">
        <f t="shared" si="519"/>
        <v>3420</v>
      </c>
      <c r="I686" s="19">
        <f t="shared" ref="I686:N686" si="520">I683*I684</f>
        <v>9900</v>
      </c>
      <c r="J686" s="19">
        <f t="shared" si="520"/>
        <v>2000</v>
      </c>
      <c r="K686" s="19">
        <f t="shared" si="520"/>
        <v>1125</v>
      </c>
      <c r="L686" s="19">
        <f t="shared" si="520"/>
        <v>2632.5</v>
      </c>
      <c r="M686" s="19">
        <f t="shared" si="520"/>
        <v>3000</v>
      </c>
      <c r="N686" s="19">
        <f t="shared" si="520"/>
        <v>3168</v>
      </c>
      <c r="O686" s="19">
        <f>SUM(D686:N686)</f>
        <v>59220.5</v>
      </c>
      <c r="P686" s="24">
        <f>O686/A684</f>
        <v>19740.166666666668</v>
      </c>
      <c r="Q686" s="24">
        <f>P686*Q683</f>
        <v>39480.333333333336</v>
      </c>
      <c r="R686" s="19">
        <f>MROUND(Q686,100)</f>
        <v>39500</v>
      </c>
    </row>
    <row r="687" spans="1:18" ht="14.25" customHeight="1" x14ac:dyDescent="0.1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9"/>
      <c r="Q687" s="39"/>
    </row>
    <row r="688" spans="1:18" ht="14.25" customHeight="1" x14ac:dyDescent="0.3">
      <c r="A688" s="109" t="str">
        <f>PRICELIST!I102</f>
        <v>WFLX-LNR-NSH-PoLM-1500-X</v>
      </c>
      <c r="B688" s="87"/>
      <c r="C688" s="8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22"/>
      <c r="Q688" s="22"/>
      <c r="R688" s="17"/>
    </row>
    <row r="689" spans="1:18" ht="14.25" customHeight="1" x14ac:dyDescent="0.15">
      <c r="A689" s="19" t="s">
        <v>57</v>
      </c>
      <c r="B689" s="19" t="s">
        <v>59</v>
      </c>
      <c r="C689" s="19" t="s">
        <v>62</v>
      </c>
      <c r="D689" s="19" t="s">
        <v>64</v>
      </c>
      <c r="E689" s="19">
        <v>1200</v>
      </c>
      <c r="F689" s="19">
        <v>900</v>
      </c>
      <c r="G689" s="19">
        <v>600</v>
      </c>
      <c r="H689" s="19" t="s">
        <v>67</v>
      </c>
      <c r="I689" s="19" t="s">
        <v>68</v>
      </c>
      <c r="J689" s="19" t="s">
        <v>69</v>
      </c>
      <c r="K689" s="19" t="s">
        <v>71</v>
      </c>
      <c r="L689" s="19" t="s">
        <v>72</v>
      </c>
      <c r="M689" s="19" t="s">
        <v>73</v>
      </c>
      <c r="N689" s="19" t="s">
        <v>75</v>
      </c>
      <c r="O689" s="19" t="s">
        <v>76</v>
      </c>
      <c r="P689" s="24" t="s">
        <v>78</v>
      </c>
      <c r="Q689" s="24" t="s">
        <v>79</v>
      </c>
      <c r="R689" s="19" t="s">
        <v>81</v>
      </c>
    </row>
    <row r="690" spans="1:18" ht="14.25" customHeight="1" x14ac:dyDescent="0.15">
      <c r="A690" s="21">
        <f t="shared" ref="A690:B690" si="521">A683</f>
        <v>0</v>
      </c>
      <c r="B690" s="21">
        <f t="shared" si="521"/>
        <v>0</v>
      </c>
      <c r="C690" s="44" t="s">
        <v>188</v>
      </c>
      <c r="D690" s="21">
        <f t="shared" ref="D690:H690" si="522">D683</f>
        <v>0</v>
      </c>
      <c r="E690" s="23" t="str">
        <f t="shared" si="522"/>
        <v>2100</v>
      </c>
      <c r="F690" s="23" t="str">
        <f t="shared" si="522"/>
        <v>1900</v>
      </c>
      <c r="G690" s="23" t="str">
        <f t="shared" si="522"/>
        <v>1800</v>
      </c>
      <c r="H690" s="23">
        <f t="shared" si="522"/>
        <v>380</v>
      </c>
      <c r="I690" s="23" t="str">
        <f>I669</f>
        <v>0</v>
      </c>
      <c r="J690" s="23" t="str">
        <f t="shared" ref="J690:Q690" si="523">J683</f>
        <v>1000</v>
      </c>
      <c r="K690" s="23">
        <f t="shared" si="523"/>
        <v>375</v>
      </c>
      <c r="L690" s="23">
        <f t="shared" si="523"/>
        <v>585</v>
      </c>
      <c r="M690" s="23" t="str">
        <f t="shared" si="523"/>
        <v>1000</v>
      </c>
      <c r="N690" s="23">
        <f t="shared" si="523"/>
        <v>3300</v>
      </c>
      <c r="O690" s="23">
        <f t="shared" si="523"/>
        <v>0</v>
      </c>
      <c r="P690" s="27">
        <f t="shared" si="523"/>
        <v>0</v>
      </c>
      <c r="Q690" s="27">
        <f t="shared" si="523"/>
        <v>2</v>
      </c>
      <c r="R690" s="21"/>
    </row>
    <row r="691" spans="1:18" ht="14.25" customHeight="1" x14ac:dyDescent="0.15">
      <c r="A691" s="19">
        <v>3</v>
      </c>
      <c r="B691" s="19">
        <f>1.5*3</f>
        <v>4.5</v>
      </c>
      <c r="C691" s="19">
        <f>0.6+0.3</f>
        <v>0.89999999999999991</v>
      </c>
      <c r="D691" s="19">
        <f>B691*C691</f>
        <v>4.05</v>
      </c>
      <c r="E691" s="19"/>
      <c r="F691" s="19"/>
      <c r="G691" s="19"/>
      <c r="H691" s="19"/>
      <c r="I691" s="19">
        <f>B691*0.4</f>
        <v>1.8</v>
      </c>
      <c r="J691" s="19">
        <v>2</v>
      </c>
      <c r="K691" s="19">
        <f t="shared" ref="K691:L691" si="524">A691</f>
        <v>3</v>
      </c>
      <c r="L691" s="19">
        <f t="shared" si="524"/>
        <v>4.5</v>
      </c>
      <c r="M691" s="19">
        <f>A691</f>
        <v>3</v>
      </c>
      <c r="N691" s="19">
        <f>(1.2*0.4)*2</f>
        <v>0.96</v>
      </c>
      <c r="O691" s="19"/>
      <c r="P691" s="24"/>
      <c r="Q691" s="24"/>
      <c r="R691" s="19"/>
    </row>
    <row r="692" spans="1:18" ht="14.25" customHeight="1" x14ac:dyDescent="0.2">
      <c r="A692" s="19"/>
      <c r="B692" s="19"/>
      <c r="C692" s="19"/>
      <c r="D692" s="26" t="str">
        <f>D685</f>
        <v>7500</v>
      </c>
      <c r="E692" s="45">
        <v>0</v>
      </c>
      <c r="F692" s="45">
        <v>0</v>
      </c>
      <c r="G692" s="45">
        <v>2</v>
      </c>
      <c r="H692" s="19">
        <f>B691*2</f>
        <v>9</v>
      </c>
      <c r="I692" s="19"/>
      <c r="J692" s="19"/>
      <c r="K692" s="19"/>
      <c r="L692" s="19"/>
      <c r="M692" s="19"/>
      <c r="N692" s="28"/>
      <c r="O692" s="19"/>
      <c r="P692" s="24"/>
      <c r="Q692" s="24"/>
      <c r="R692" s="19"/>
    </row>
    <row r="693" spans="1:18" ht="14.25" customHeight="1" x14ac:dyDescent="0.2">
      <c r="A693" s="19"/>
      <c r="B693" s="19"/>
      <c r="C693" s="19"/>
      <c r="D693" s="19">
        <f>D691*D692</f>
        <v>30375</v>
      </c>
      <c r="E693" s="45">
        <f>E692*E690</f>
        <v>0</v>
      </c>
      <c r="F693" s="45">
        <f t="shared" ref="F693:H693" si="525">F690*F692</f>
        <v>0</v>
      </c>
      <c r="G693" s="45">
        <f t="shared" si="525"/>
        <v>3600</v>
      </c>
      <c r="H693" s="19">
        <f t="shared" si="525"/>
        <v>3420</v>
      </c>
      <c r="I693" s="19">
        <f t="shared" ref="I693:N693" si="526">I690*I691</f>
        <v>0</v>
      </c>
      <c r="J693" s="19">
        <f t="shared" si="526"/>
        <v>2000</v>
      </c>
      <c r="K693" s="19">
        <f t="shared" si="526"/>
        <v>1125</v>
      </c>
      <c r="L693" s="19">
        <f t="shared" si="526"/>
        <v>2632.5</v>
      </c>
      <c r="M693" s="19">
        <f t="shared" si="526"/>
        <v>3000</v>
      </c>
      <c r="N693" s="19">
        <f t="shared" si="526"/>
        <v>3168</v>
      </c>
      <c r="O693" s="19">
        <f>SUM(D693:N693)</f>
        <v>49320.5</v>
      </c>
      <c r="P693" s="24">
        <f>O693/A691</f>
        <v>16440.166666666668</v>
      </c>
      <c r="Q693" s="24">
        <f>P693*Q690</f>
        <v>32880.333333333336</v>
      </c>
      <c r="R693" s="19">
        <f>MROUND(Q693,100)</f>
        <v>32900</v>
      </c>
    </row>
    <row r="694" spans="1:18" ht="14.25" customHeight="1" x14ac:dyDescent="0.1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9"/>
      <c r="Q694" s="39"/>
    </row>
    <row r="695" spans="1:18" ht="14.25" customHeight="1" x14ac:dyDescent="0.3">
      <c r="A695" s="109" t="str">
        <f>PRICELIST!I103</f>
        <v>WFLX-LNR-NSH-LVM-1500-F</v>
      </c>
      <c r="B695" s="87"/>
      <c r="C695" s="8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22"/>
      <c r="Q695" s="22"/>
      <c r="R695" s="17"/>
    </row>
    <row r="696" spans="1:18" ht="14.25" customHeight="1" x14ac:dyDescent="0.15">
      <c r="A696" s="19" t="s">
        <v>57</v>
      </c>
      <c r="B696" s="19" t="s">
        <v>59</v>
      </c>
      <c r="C696" s="19" t="s">
        <v>62</v>
      </c>
      <c r="D696" s="19" t="s">
        <v>64</v>
      </c>
      <c r="E696" s="19">
        <v>1200</v>
      </c>
      <c r="F696" s="19">
        <v>900</v>
      </c>
      <c r="G696" s="19">
        <v>600</v>
      </c>
      <c r="H696" s="19" t="s">
        <v>67</v>
      </c>
      <c r="I696" s="19" t="s">
        <v>68</v>
      </c>
      <c r="J696" s="19" t="s">
        <v>69</v>
      </c>
      <c r="K696" s="19" t="s">
        <v>71</v>
      </c>
      <c r="L696" s="19" t="s">
        <v>72</v>
      </c>
      <c r="M696" s="19" t="s">
        <v>73</v>
      </c>
      <c r="N696" s="19" t="s">
        <v>75</v>
      </c>
      <c r="O696" s="19" t="s">
        <v>76</v>
      </c>
      <c r="P696" s="24" t="s">
        <v>78</v>
      </c>
      <c r="Q696" s="24" t="s">
        <v>79</v>
      </c>
      <c r="R696" s="19" t="s">
        <v>81</v>
      </c>
    </row>
    <row r="697" spans="1:18" ht="14.25" customHeight="1" x14ac:dyDescent="0.15">
      <c r="A697" s="21">
        <f t="shared" ref="A697:B697" si="527">A690</f>
        <v>0</v>
      </c>
      <c r="B697" s="21">
        <f t="shared" si="527"/>
        <v>0</v>
      </c>
      <c r="C697" s="44" t="s">
        <v>188</v>
      </c>
      <c r="D697" s="21">
        <f t="shared" ref="D697:H697" si="528">D690</f>
        <v>0</v>
      </c>
      <c r="E697" s="23" t="str">
        <f t="shared" si="528"/>
        <v>2100</v>
      </c>
      <c r="F697" s="23" t="str">
        <f t="shared" si="528"/>
        <v>1900</v>
      </c>
      <c r="G697" s="23" t="str">
        <f t="shared" si="528"/>
        <v>1800</v>
      </c>
      <c r="H697" s="23">
        <f t="shared" si="528"/>
        <v>380</v>
      </c>
      <c r="I697" s="23" t="str">
        <f>I676</f>
        <v>4800</v>
      </c>
      <c r="J697" s="23" t="str">
        <f t="shared" ref="J697:Q697" si="529">J690</f>
        <v>1000</v>
      </c>
      <c r="K697" s="23">
        <f t="shared" si="529"/>
        <v>375</v>
      </c>
      <c r="L697" s="23">
        <f t="shared" si="529"/>
        <v>585</v>
      </c>
      <c r="M697" s="23" t="str">
        <f t="shared" si="529"/>
        <v>1000</v>
      </c>
      <c r="N697" s="23">
        <f t="shared" si="529"/>
        <v>3300</v>
      </c>
      <c r="O697" s="23">
        <f t="shared" si="529"/>
        <v>0</v>
      </c>
      <c r="P697" s="27">
        <f t="shared" si="529"/>
        <v>0</v>
      </c>
      <c r="Q697" s="27">
        <f t="shared" si="529"/>
        <v>2</v>
      </c>
      <c r="R697" s="21"/>
    </row>
    <row r="698" spans="1:18" ht="14.25" customHeight="1" x14ac:dyDescent="0.15">
      <c r="A698" s="19">
        <v>3</v>
      </c>
      <c r="B698" s="19">
        <f>1.5*3</f>
        <v>4.5</v>
      </c>
      <c r="C698" s="19">
        <f>0.6+0.3</f>
        <v>0.89999999999999991</v>
      </c>
      <c r="D698" s="19">
        <f>B698*C698</f>
        <v>4.05</v>
      </c>
      <c r="E698" s="19"/>
      <c r="F698" s="19"/>
      <c r="G698" s="19"/>
      <c r="H698" s="19"/>
      <c r="I698" s="19">
        <f>B698*0.4</f>
        <v>1.8</v>
      </c>
      <c r="J698" s="19">
        <v>2</v>
      </c>
      <c r="K698" s="19">
        <f t="shared" ref="K698:L698" si="530">A698</f>
        <v>3</v>
      </c>
      <c r="L698" s="19">
        <f t="shared" si="530"/>
        <v>4.5</v>
      </c>
      <c r="M698" s="19">
        <f>A698</f>
        <v>3</v>
      </c>
      <c r="N698" s="19">
        <f>(1.2*0.4)*2</f>
        <v>0.96</v>
      </c>
      <c r="O698" s="19"/>
      <c r="P698" s="24"/>
      <c r="Q698" s="24"/>
      <c r="R698" s="19"/>
    </row>
    <row r="699" spans="1:18" ht="14.25" customHeight="1" x14ac:dyDescent="0.2">
      <c r="A699" s="19"/>
      <c r="B699" s="19"/>
      <c r="C699" s="19"/>
      <c r="D699" s="26" t="str">
        <f>D587</f>
        <v>9500</v>
      </c>
      <c r="E699" s="45">
        <v>0</v>
      </c>
      <c r="F699" s="45">
        <v>0</v>
      </c>
      <c r="G699" s="45">
        <v>2</v>
      </c>
      <c r="H699" s="19">
        <f>B698*2</f>
        <v>9</v>
      </c>
      <c r="I699" s="19"/>
      <c r="J699" s="19"/>
      <c r="K699" s="19"/>
      <c r="L699" s="19"/>
      <c r="M699" s="19"/>
      <c r="N699" s="28"/>
      <c r="O699" s="19"/>
      <c r="P699" s="24"/>
      <c r="Q699" s="24"/>
      <c r="R699" s="19"/>
    </row>
    <row r="700" spans="1:18" ht="14.25" customHeight="1" x14ac:dyDescent="0.2">
      <c r="A700" s="19"/>
      <c r="B700" s="19"/>
      <c r="C700" s="19"/>
      <c r="D700" s="19">
        <f>D698*D699</f>
        <v>38475</v>
      </c>
      <c r="E700" s="45">
        <f>E699*E697</f>
        <v>0</v>
      </c>
      <c r="F700" s="45">
        <f t="shared" ref="F700:H700" si="531">F697*F699</f>
        <v>0</v>
      </c>
      <c r="G700" s="45">
        <f t="shared" si="531"/>
        <v>3600</v>
      </c>
      <c r="H700" s="19">
        <f t="shared" si="531"/>
        <v>3420</v>
      </c>
      <c r="I700" s="19">
        <f t="shared" ref="I700:N700" si="532">I697*I698</f>
        <v>8640</v>
      </c>
      <c r="J700" s="19">
        <f t="shared" si="532"/>
        <v>2000</v>
      </c>
      <c r="K700" s="19">
        <f t="shared" si="532"/>
        <v>1125</v>
      </c>
      <c r="L700" s="19">
        <f t="shared" si="532"/>
        <v>2632.5</v>
      </c>
      <c r="M700" s="19">
        <f t="shared" si="532"/>
        <v>3000</v>
      </c>
      <c r="N700" s="19">
        <f t="shared" si="532"/>
        <v>3168</v>
      </c>
      <c r="O700" s="19">
        <f>SUM(D700:N700)</f>
        <v>66060.5</v>
      </c>
      <c r="P700" s="24">
        <f>O700/A698</f>
        <v>22020.166666666668</v>
      </c>
      <c r="Q700" s="24">
        <f>P700*Q697</f>
        <v>44040.333333333336</v>
      </c>
      <c r="R700" s="19">
        <f>MROUND(Q700,100)</f>
        <v>44000</v>
      </c>
    </row>
    <row r="701" spans="1:18" ht="14.25" customHeight="1" x14ac:dyDescent="0.1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9"/>
      <c r="Q701" s="39"/>
    </row>
    <row r="702" spans="1:18" ht="14.25" customHeight="1" x14ac:dyDescent="0.3">
      <c r="A702" s="109" t="str">
        <f>PRICELIST!I104</f>
        <v>WFLX-LNR-NSH-LVM-1500-G</v>
      </c>
      <c r="B702" s="87"/>
      <c r="C702" s="8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22"/>
      <c r="Q702" s="22"/>
      <c r="R702" s="17"/>
    </row>
    <row r="703" spans="1:18" ht="14.25" customHeight="1" x14ac:dyDescent="0.15">
      <c r="A703" s="19" t="s">
        <v>57</v>
      </c>
      <c r="B703" s="19" t="s">
        <v>59</v>
      </c>
      <c r="C703" s="19" t="s">
        <v>62</v>
      </c>
      <c r="D703" s="19" t="s">
        <v>64</v>
      </c>
      <c r="E703" s="19">
        <v>1200</v>
      </c>
      <c r="F703" s="19">
        <v>900</v>
      </c>
      <c r="G703" s="19">
        <v>600</v>
      </c>
      <c r="H703" s="19" t="s">
        <v>67</v>
      </c>
      <c r="I703" s="19" t="s">
        <v>68</v>
      </c>
      <c r="J703" s="19" t="s">
        <v>69</v>
      </c>
      <c r="K703" s="19" t="s">
        <v>71</v>
      </c>
      <c r="L703" s="19" t="s">
        <v>72</v>
      </c>
      <c r="M703" s="19" t="s">
        <v>73</v>
      </c>
      <c r="N703" s="19" t="s">
        <v>75</v>
      </c>
      <c r="O703" s="19" t="s">
        <v>76</v>
      </c>
      <c r="P703" s="24" t="s">
        <v>78</v>
      </c>
      <c r="Q703" s="24" t="s">
        <v>79</v>
      </c>
      <c r="R703" s="19" t="s">
        <v>81</v>
      </c>
    </row>
    <row r="704" spans="1:18" ht="14.25" customHeight="1" x14ac:dyDescent="0.15">
      <c r="A704" s="21">
        <f t="shared" ref="A704:B704" si="533">A697</f>
        <v>0</v>
      </c>
      <c r="B704" s="21">
        <f t="shared" si="533"/>
        <v>0</v>
      </c>
      <c r="C704" s="44" t="s">
        <v>188</v>
      </c>
      <c r="D704" s="21">
        <f t="shared" ref="D704:H704" si="534">D697</f>
        <v>0</v>
      </c>
      <c r="E704" s="23" t="str">
        <f t="shared" si="534"/>
        <v>2100</v>
      </c>
      <c r="F704" s="23" t="str">
        <f t="shared" si="534"/>
        <v>1900</v>
      </c>
      <c r="G704" s="23" t="str">
        <f t="shared" si="534"/>
        <v>1800</v>
      </c>
      <c r="H704" s="23">
        <f t="shared" si="534"/>
        <v>380</v>
      </c>
      <c r="I704" s="23" t="str">
        <f>I683</f>
        <v>5500</v>
      </c>
      <c r="J704" s="23" t="str">
        <f t="shared" ref="J704:Q704" si="535">J697</f>
        <v>1000</v>
      </c>
      <c r="K704" s="23">
        <f t="shared" si="535"/>
        <v>375</v>
      </c>
      <c r="L704" s="23">
        <f t="shared" si="535"/>
        <v>585</v>
      </c>
      <c r="M704" s="23" t="str">
        <f t="shared" si="535"/>
        <v>1000</v>
      </c>
      <c r="N704" s="23">
        <f t="shared" si="535"/>
        <v>3300</v>
      </c>
      <c r="O704" s="23">
        <f t="shared" si="535"/>
        <v>0</v>
      </c>
      <c r="P704" s="27">
        <f t="shared" si="535"/>
        <v>0</v>
      </c>
      <c r="Q704" s="27">
        <f t="shared" si="535"/>
        <v>2</v>
      </c>
      <c r="R704" s="21"/>
    </row>
    <row r="705" spans="1:18" ht="14.25" customHeight="1" x14ac:dyDescent="0.15">
      <c r="A705" s="19">
        <v>3</v>
      </c>
      <c r="B705" s="19">
        <f>1.5*3</f>
        <v>4.5</v>
      </c>
      <c r="C705" s="19">
        <f>0.6+0.3</f>
        <v>0.89999999999999991</v>
      </c>
      <c r="D705" s="19">
        <f>B705*C705</f>
        <v>4.05</v>
      </c>
      <c r="E705" s="19"/>
      <c r="F705" s="19"/>
      <c r="G705" s="19"/>
      <c r="H705" s="19"/>
      <c r="I705" s="19">
        <f>B705*0.4</f>
        <v>1.8</v>
      </c>
      <c r="J705" s="19">
        <v>2</v>
      </c>
      <c r="K705" s="19">
        <f t="shared" ref="K705:L705" si="536">A705</f>
        <v>3</v>
      </c>
      <c r="L705" s="19">
        <f t="shared" si="536"/>
        <v>4.5</v>
      </c>
      <c r="M705" s="19">
        <f>A705</f>
        <v>3</v>
      </c>
      <c r="N705" s="19">
        <f>(1.2*0.4)*2</f>
        <v>0.96</v>
      </c>
      <c r="O705" s="19"/>
      <c r="P705" s="24"/>
      <c r="Q705" s="24"/>
      <c r="R705" s="19"/>
    </row>
    <row r="706" spans="1:18" ht="14.25" customHeight="1" x14ac:dyDescent="0.2">
      <c r="A706" s="19"/>
      <c r="B706" s="19"/>
      <c r="C706" s="19"/>
      <c r="D706" s="26" t="str">
        <f>D699</f>
        <v>9500</v>
      </c>
      <c r="E706" s="45">
        <v>0</v>
      </c>
      <c r="F706" s="45">
        <v>0</v>
      </c>
      <c r="G706" s="45">
        <v>2</v>
      </c>
      <c r="H706" s="19">
        <f>B705*2</f>
        <v>9</v>
      </c>
      <c r="I706" s="19"/>
      <c r="J706" s="19"/>
      <c r="K706" s="19"/>
      <c r="L706" s="19"/>
      <c r="M706" s="19"/>
      <c r="N706" s="28"/>
      <c r="O706" s="19"/>
      <c r="P706" s="24"/>
      <c r="Q706" s="24"/>
      <c r="R706" s="19"/>
    </row>
    <row r="707" spans="1:18" ht="14.25" customHeight="1" x14ac:dyDescent="0.2">
      <c r="A707" s="19"/>
      <c r="B707" s="19"/>
      <c r="C707" s="19"/>
      <c r="D707" s="19">
        <f>D705*D706</f>
        <v>38475</v>
      </c>
      <c r="E707" s="45">
        <f>E706*E704</f>
        <v>0</v>
      </c>
      <c r="F707" s="45">
        <f t="shared" ref="F707:H707" si="537">F704*F706</f>
        <v>0</v>
      </c>
      <c r="G707" s="45">
        <f t="shared" si="537"/>
        <v>3600</v>
      </c>
      <c r="H707" s="19">
        <f t="shared" si="537"/>
        <v>3420</v>
      </c>
      <c r="I707" s="19">
        <f t="shared" ref="I707:N707" si="538">I704*I705</f>
        <v>9900</v>
      </c>
      <c r="J707" s="19">
        <f t="shared" si="538"/>
        <v>2000</v>
      </c>
      <c r="K707" s="19">
        <f t="shared" si="538"/>
        <v>1125</v>
      </c>
      <c r="L707" s="19">
        <f t="shared" si="538"/>
        <v>2632.5</v>
      </c>
      <c r="M707" s="19">
        <f t="shared" si="538"/>
        <v>3000</v>
      </c>
      <c r="N707" s="19">
        <f t="shared" si="538"/>
        <v>3168</v>
      </c>
      <c r="O707" s="19">
        <f>SUM(D707:N707)</f>
        <v>67320.5</v>
      </c>
      <c r="P707" s="24">
        <f>O707/A705</f>
        <v>22440.166666666668</v>
      </c>
      <c r="Q707" s="24">
        <f>P707*Q704</f>
        <v>44880.333333333336</v>
      </c>
      <c r="R707" s="19">
        <f>MROUND(Q707,100)</f>
        <v>44900</v>
      </c>
    </row>
    <row r="708" spans="1:18" ht="14.25" customHeight="1" x14ac:dyDescent="0.1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9"/>
      <c r="Q708" s="39"/>
    </row>
    <row r="709" spans="1:18" ht="14.25" customHeight="1" x14ac:dyDescent="0.3">
      <c r="A709" s="109" t="str">
        <f>PRICELIST!I105</f>
        <v>WFLX-LNR-NSH-LVM-1500-X</v>
      </c>
      <c r="B709" s="87"/>
      <c r="C709" s="8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22"/>
      <c r="Q709" s="22"/>
      <c r="R709" s="17"/>
    </row>
    <row r="710" spans="1:18" ht="14.25" customHeight="1" x14ac:dyDescent="0.15">
      <c r="A710" s="19" t="s">
        <v>57</v>
      </c>
      <c r="B710" s="19" t="s">
        <v>59</v>
      </c>
      <c r="C710" s="19" t="s">
        <v>62</v>
      </c>
      <c r="D710" s="19" t="s">
        <v>64</v>
      </c>
      <c r="E710" s="19">
        <v>1200</v>
      </c>
      <c r="F710" s="19">
        <v>900</v>
      </c>
      <c r="G710" s="19">
        <v>600</v>
      </c>
      <c r="H710" s="19" t="s">
        <v>67</v>
      </c>
      <c r="I710" s="19" t="s">
        <v>68</v>
      </c>
      <c r="J710" s="19" t="s">
        <v>69</v>
      </c>
      <c r="K710" s="19" t="s">
        <v>71</v>
      </c>
      <c r="L710" s="19" t="s">
        <v>72</v>
      </c>
      <c r="M710" s="19" t="s">
        <v>73</v>
      </c>
      <c r="N710" s="19" t="s">
        <v>75</v>
      </c>
      <c r="O710" s="19" t="s">
        <v>76</v>
      </c>
      <c r="P710" s="24" t="s">
        <v>78</v>
      </c>
      <c r="Q710" s="24" t="s">
        <v>79</v>
      </c>
      <c r="R710" s="19" t="s">
        <v>81</v>
      </c>
    </row>
    <row r="711" spans="1:18" ht="14.25" customHeight="1" x14ac:dyDescent="0.15">
      <c r="A711" s="21">
        <f t="shared" ref="A711:B711" si="539">A704</f>
        <v>0</v>
      </c>
      <c r="B711" s="21">
        <f t="shared" si="539"/>
        <v>0</v>
      </c>
      <c r="C711" s="44" t="s">
        <v>188</v>
      </c>
      <c r="D711" s="21">
        <f t="shared" ref="D711:H711" si="540">D704</f>
        <v>0</v>
      </c>
      <c r="E711" s="23" t="str">
        <f t="shared" si="540"/>
        <v>2100</v>
      </c>
      <c r="F711" s="23" t="str">
        <f t="shared" si="540"/>
        <v>1900</v>
      </c>
      <c r="G711" s="23" t="str">
        <f t="shared" si="540"/>
        <v>1800</v>
      </c>
      <c r="H711" s="23">
        <f t="shared" si="540"/>
        <v>380</v>
      </c>
      <c r="I711" s="23" t="str">
        <f>I690</f>
        <v>0</v>
      </c>
      <c r="J711" s="23" t="str">
        <f t="shared" ref="J711:Q711" si="541">J704</f>
        <v>1000</v>
      </c>
      <c r="K711" s="23">
        <f t="shared" si="541"/>
        <v>375</v>
      </c>
      <c r="L711" s="23">
        <f t="shared" si="541"/>
        <v>585</v>
      </c>
      <c r="M711" s="23" t="str">
        <f t="shared" si="541"/>
        <v>1000</v>
      </c>
      <c r="N711" s="23">
        <f t="shared" si="541"/>
        <v>3300</v>
      </c>
      <c r="O711" s="23">
        <f t="shared" si="541"/>
        <v>0</v>
      </c>
      <c r="P711" s="27">
        <f t="shared" si="541"/>
        <v>0</v>
      </c>
      <c r="Q711" s="27">
        <f t="shared" si="541"/>
        <v>2</v>
      </c>
      <c r="R711" s="21"/>
    </row>
    <row r="712" spans="1:18" ht="14.25" customHeight="1" x14ac:dyDescent="0.15">
      <c r="A712" s="19">
        <v>3</v>
      </c>
      <c r="B712" s="19">
        <f>1.5*3</f>
        <v>4.5</v>
      </c>
      <c r="C712" s="19">
        <f>0.6+0.3</f>
        <v>0.89999999999999991</v>
      </c>
      <c r="D712" s="19">
        <f>B712*C712</f>
        <v>4.05</v>
      </c>
      <c r="E712" s="19"/>
      <c r="F712" s="19"/>
      <c r="G712" s="19"/>
      <c r="H712" s="19"/>
      <c r="I712" s="19">
        <f>B712*0.4</f>
        <v>1.8</v>
      </c>
      <c r="J712" s="19">
        <v>2</v>
      </c>
      <c r="K712" s="19">
        <f t="shared" ref="K712:L712" si="542">A712</f>
        <v>3</v>
      </c>
      <c r="L712" s="19">
        <f t="shared" si="542"/>
        <v>4.5</v>
      </c>
      <c r="M712" s="19">
        <f>A712</f>
        <v>3</v>
      </c>
      <c r="N712" s="19">
        <f>(1.2*0.4)*2</f>
        <v>0.96</v>
      </c>
      <c r="O712" s="19"/>
      <c r="P712" s="24"/>
      <c r="Q712" s="24"/>
      <c r="R712" s="19"/>
    </row>
    <row r="713" spans="1:18" ht="14.25" customHeight="1" x14ac:dyDescent="0.2">
      <c r="A713" s="19"/>
      <c r="B713" s="19"/>
      <c r="C713" s="19"/>
      <c r="D713" s="26" t="str">
        <f>D706</f>
        <v>9500</v>
      </c>
      <c r="E713" s="45">
        <v>0</v>
      </c>
      <c r="F713" s="45">
        <v>0</v>
      </c>
      <c r="G713" s="45">
        <v>2</v>
      </c>
      <c r="H713" s="19">
        <f>B712*2</f>
        <v>9</v>
      </c>
      <c r="I713" s="19"/>
      <c r="J713" s="19"/>
      <c r="K713" s="19"/>
      <c r="L713" s="19"/>
      <c r="M713" s="19"/>
      <c r="N713" s="28"/>
      <c r="O713" s="19"/>
      <c r="P713" s="24"/>
      <c r="Q713" s="24"/>
      <c r="R713" s="19"/>
    </row>
    <row r="714" spans="1:18" ht="14.25" customHeight="1" x14ac:dyDescent="0.2">
      <c r="A714" s="19"/>
      <c r="B714" s="19"/>
      <c r="C714" s="19"/>
      <c r="D714" s="19">
        <f>D712*D713</f>
        <v>38475</v>
      </c>
      <c r="E714" s="45">
        <f>E713*E711</f>
        <v>0</v>
      </c>
      <c r="F714" s="45">
        <f t="shared" ref="F714:H714" si="543">F711*F713</f>
        <v>0</v>
      </c>
      <c r="G714" s="45">
        <f t="shared" si="543"/>
        <v>3600</v>
      </c>
      <c r="H714" s="19">
        <f t="shared" si="543"/>
        <v>3420</v>
      </c>
      <c r="I714" s="19">
        <f t="shared" ref="I714:N714" si="544">I711*I712</f>
        <v>0</v>
      </c>
      <c r="J714" s="19">
        <f t="shared" si="544"/>
        <v>2000</v>
      </c>
      <c r="K714" s="19">
        <f t="shared" si="544"/>
        <v>1125</v>
      </c>
      <c r="L714" s="19">
        <f t="shared" si="544"/>
        <v>2632.5</v>
      </c>
      <c r="M714" s="19">
        <f t="shared" si="544"/>
        <v>3000</v>
      </c>
      <c r="N714" s="19">
        <f t="shared" si="544"/>
        <v>3168</v>
      </c>
      <c r="O714" s="19">
        <f>SUM(D714:N714)</f>
        <v>57420.5</v>
      </c>
      <c r="P714" s="24">
        <f>O714/A712</f>
        <v>19140.166666666668</v>
      </c>
      <c r="Q714" s="24">
        <f>P714*Q711</f>
        <v>38280.333333333336</v>
      </c>
      <c r="R714" s="19">
        <f>MROUND(Q714,100)</f>
        <v>38300</v>
      </c>
    </row>
    <row r="715" spans="1:18" ht="14.25" customHeight="1" x14ac:dyDescent="0.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9"/>
      <c r="Q715" s="39"/>
    </row>
    <row r="716" spans="1:18" ht="14.25" customHeight="1" x14ac:dyDescent="0.3">
      <c r="A716" s="109" t="str">
        <f>PRICELIST!I106</f>
        <v>WFLX-LNR-NSH-LVP-1500-F</v>
      </c>
      <c r="B716" s="87"/>
      <c r="C716" s="8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22"/>
      <c r="Q716" s="22"/>
      <c r="R716" s="17"/>
    </row>
    <row r="717" spans="1:18" ht="14.25" customHeight="1" x14ac:dyDescent="0.15">
      <c r="A717" s="19" t="s">
        <v>57</v>
      </c>
      <c r="B717" s="19" t="s">
        <v>59</v>
      </c>
      <c r="C717" s="19" t="s">
        <v>62</v>
      </c>
      <c r="D717" s="19" t="s">
        <v>64</v>
      </c>
      <c r="E717" s="19">
        <v>1200</v>
      </c>
      <c r="F717" s="19">
        <v>900</v>
      </c>
      <c r="G717" s="19">
        <v>600</v>
      </c>
      <c r="H717" s="19" t="s">
        <v>67</v>
      </c>
      <c r="I717" s="19" t="s">
        <v>68</v>
      </c>
      <c r="J717" s="19" t="s">
        <v>69</v>
      </c>
      <c r="K717" s="19" t="s">
        <v>71</v>
      </c>
      <c r="L717" s="19" t="s">
        <v>72</v>
      </c>
      <c r="M717" s="19" t="s">
        <v>73</v>
      </c>
      <c r="N717" s="19" t="s">
        <v>75</v>
      </c>
      <c r="O717" s="19" t="s">
        <v>76</v>
      </c>
      <c r="P717" s="24" t="s">
        <v>78</v>
      </c>
      <c r="Q717" s="24" t="s">
        <v>79</v>
      </c>
      <c r="R717" s="19" t="s">
        <v>81</v>
      </c>
    </row>
    <row r="718" spans="1:18" ht="14.25" customHeight="1" x14ac:dyDescent="0.15">
      <c r="A718" s="21">
        <f t="shared" ref="A718:B718" si="545">A711</f>
        <v>0</v>
      </c>
      <c r="B718" s="21">
        <f t="shared" si="545"/>
        <v>0</v>
      </c>
      <c r="C718" s="44" t="s">
        <v>188</v>
      </c>
      <c r="D718" s="21">
        <f t="shared" ref="D718:H718" si="546">D711</f>
        <v>0</v>
      </c>
      <c r="E718" s="23" t="str">
        <f t="shared" si="546"/>
        <v>2100</v>
      </c>
      <c r="F718" s="23" t="str">
        <f t="shared" si="546"/>
        <v>1900</v>
      </c>
      <c r="G718" s="23" t="str">
        <f t="shared" si="546"/>
        <v>1800</v>
      </c>
      <c r="H718" s="23">
        <f t="shared" si="546"/>
        <v>380</v>
      </c>
      <c r="I718" s="23" t="str">
        <f>I697</f>
        <v>4800</v>
      </c>
      <c r="J718" s="23" t="str">
        <f t="shared" ref="J718:Q718" si="547">J711</f>
        <v>1000</v>
      </c>
      <c r="K718" s="23">
        <f t="shared" si="547"/>
        <v>375</v>
      </c>
      <c r="L718" s="23">
        <f t="shared" si="547"/>
        <v>585</v>
      </c>
      <c r="M718" s="23" t="str">
        <f t="shared" si="547"/>
        <v>1000</v>
      </c>
      <c r="N718" s="23">
        <f t="shared" si="547"/>
        <v>3300</v>
      </c>
      <c r="O718" s="23">
        <f t="shared" si="547"/>
        <v>0</v>
      </c>
      <c r="P718" s="27">
        <f t="shared" si="547"/>
        <v>0</v>
      </c>
      <c r="Q718" s="27">
        <f t="shared" si="547"/>
        <v>2</v>
      </c>
      <c r="R718" s="21"/>
    </row>
    <row r="719" spans="1:18" ht="14.25" customHeight="1" x14ac:dyDescent="0.15">
      <c r="A719" s="19">
        <v>3</v>
      </c>
      <c r="B719" s="19">
        <f>1.5*3</f>
        <v>4.5</v>
      </c>
      <c r="C719" s="19">
        <f>0.6+0.3</f>
        <v>0.89999999999999991</v>
      </c>
      <c r="D719" s="19">
        <f>B719*C719</f>
        <v>4.05</v>
      </c>
      <c r="E719" s="19"/>
      <c r="F719" s="19"/>
      <c r="G719" s="19"/>
      <c r="H719" s="19"/>
      <c r="I719" s="19">
        <f>B719*0.4</f>
        <v>1.8</v>
      </c>
      <c r="J719" s="19">
        <v>2</v>
      </c>
      <c r="K719" s="19">
        <f t="shared" ref="K719:L719" si="548">A719</f>
        <v>3</v>
      </c>
      <c r="L719" s="19">
        <f t="shared" si="548"/>
        <v>4.5</v>
      </c>
      <c r="M719" s="19">
        <f>A719</f>
        <v>3</v>
      </c>
      <c r="N719" s="19">
        <f>(1.2*0.4)*2</f>
        <v>0.96</v>
      </c>
      <c r="O719" s="19"/>
      <c r="P719" s="24"/>
      <c r="Q719" s="24"/>
      <c r="R719" s="19"/>
    </row>
    <row r="720" spans="1:18" ht="14.25" customHeight="1" x14ac:dyDescent="0.2">
      <c r="A720" s="19"/>
      <c r="B720" s="19"/>
      <c r="C720" s="19"/>
      <c r="D720" s="26" t="str">
        <f>D601</f>
        <v>10500</v>
      </c>
      <c r="E720" s="45">
        <v>0</v>
      </c>
      <c r="F720" s="45">
        <v>0</v>
      </c>
      <c r="G720" s="45">
        <v>2</v>
      </c>
      <c r="H720" s="19">
        <f>B719*2</f>
        <v>9</v>
      </c>
      <c r="I720" s="19"/>
      <c r="J720" s="19"/>
      <c r="K720" s="19"/>
      <c r="L720" s="19"/>
      <c r="M720" s="19"/>
      <c r="N720" s="28"/>
      <c r="O720" s="19"/>
      <c r="P720" s="24"/>
      <c r="Q720" s="24"/>
      <c r="R720" s="19"/>
    </row>
    <row r="721" spans="1:18" ht="14.25" customHeight="1" x14ac:dyDescent="0.2">
      <c r="A721" s="19"/>
      <c r="B721" s="19"/>
      <c r="C721" s="19"/>
      <c r="D721" s="19">
        <f>D719*D720</f>
        <v>42525</v>
      </c>
      <c r="E721" s="45">
        <f>E720*E718</f>
        <v>0</v>
      </c>
      <c r="F721" s="45">
        <f t="shared" ref="F721:H721" si="549">F718*F720</f>
        <v>0</v>
      </c>
      <c r="G721" s="45">
        <f t="shared" si="549"/>
        <v>3600</v>
      </c>
      <c r="H721" s="19">
        <f t="shared" si="549"/>
        <v>3420</v>
      </c>
      <c r="I721" s="19">
        <f t="shared" ref="I721:N721" si="550">I718*I719</f>
        <v>8640</v>
      </c>
      <c r="J721" s="19">
        <f t="shared" si="550"/>
        <v>2000</v>
      </c>
      <c r="K721" s="19">
        <f t="shared" si="550"/>
        <v>1125</v>
      </c>
      <c r="L721" s="19">
        <f t="shared" si="550"/>
        <v>2632.5</v>
      </c>
      <c r="M721" s="19">
        <f t="shared" si="550"/>
        <v>3000</v>
      </c>
      <c r="N721" s="19">
        <f t="shared" si="550"/>
        <v>3168</v>
      </c>
      <c r="O721" s="19">
        <f>SUM(D721:N721)</f>
        <v>70110.5</v>
      </c>
      <c r="P721" s="24">
        <f>O721/A719</f>
        <v>23370.166666666668</v>
      </c>
      <c r="Q721" s="24">
        <f>P721*Q718</f>
        <v>46740.333333333336</v>
      </c>
      <c r="R721" s="19">
        <f>MROUND(Q721,100)</f>
        <v>46700</v>
      </c>
    </row>
    <row r="722" spans="1:18" ht="14.25" customHeight="1" x14ac:dyDescent="0.1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9"/>
      <c r="Q722" s="39"/>
    </row>
    <row r="723" spans="1:18" ht="14.25" customHeight="1" x14ac:dyDescent="0.3">
      <c r="A723" s="109" t="str">
        <f>PRICELIST!I107</f>
        <v>WFLX-LNR-NSH-LVP-1500-G</v>
      </c>
      <c r="B723" s="87"/>
      <c r="C723" s="8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22"/>
      <c r="Q723" s="22"/>
      <c r="R723" s="17"/>
    </row>
    <row r="724" spans="1:18" ht="14.25" customHeight="1" x14ac:dyDescent="0.15">
      <c r="A724" s="19" t="s">
        <v>57</v>
      </c>
      <c r="B724" s="19" t="s">
        <v>59</v>
      </c>
      <c r="C724" s="19" t="s">
        <v>62</v>
      </c>
      <c r="D724" s="19" t="s">
        <v>64</v>
      </c>
      <c r="E724" s="19">
        <v>1200</v>
      </c>
      <c r="F724" s="19">
        <v>900</v>
      </c>
      <c r="G724" s="19">
        <v>600</v>
      </c>
      <c r="H724" s="19" t="s">
        <v>67</v>
      </c>
      <c r="I724" s="19" t="s">
        <v>68</v>
      </c>
      <c r="J724" s="19" t="s">
        <v>69</v>
      </c>
      <c r="K724" s="19" t="s">
        <v>71</v>
      </c>
      <c r="L724" s="19" t="s">
        <v>72</v>
      </c>
      <c r="M724" s="19" t="s">
        <v>73</v>
      </c>
      <c r="N724" s="19" t="s">
        <v>75</v>
      </c>
      <c r="O724" s="19" t="s">
        <v>76</v>
      </c>
      <c r="P724" s="24" t="s">
        <v>78</v>
      </c>
      <c r="Q724" s="24" t="s">
        <v>79</v>
      </c>
      <c r="R724" s="19" t="s">
        <v>81</v>
      </c>
    </row>
    <row r="725" spans="1:18" ht="14.25" customHeight="1" x14ac:dyDescent="0.15">
      <c r="A725" s="21">
        <f t="shared" ref="A725:B725" si="551">A718</f>
        <v>0</v>
      </c>
      <c r="B725" s="21">
        <f t="shared" si="551"/>
        <v>0</v>
      </c>
      <c r="C725" s="44" t="s">
        <v>188</v>
      </c>
      <c r="D725" s="21">
        <f t="shared" ref="D725:H725" si="552">D718</f>
        <v>0</v>
      </c>
      <c r="E725" s="23" t="str">
        <f t="shared" si="552"/>
        <v>2100</v>
      </c>
      <c r="F725" s="23" t="str">
        <f t="shared" si="552"/>
        <v>1900</v>
      </c>
      <c r="G725" s="23" t="str">
        <f t="shared" si="552"/>
        <v>1800</v>
      </c>
      <c r="H725" s="23">
        <f t="shared" si="552"/>
        <v>380</v>
      </c>
      <c r="I725" s="23" t="str">
        <f>I704</f>
        <v>5500</v>
      </c>
      <c r="J725" s="23" t="str">
        <f t="shared" ref="J725:Q725" si="553">J718</f>
        <v>1000</v>
      </c>
      <c r="K725" s="23">
        <f t="shared" si="553"/>
        <v>375</v>
      </c>
      <c r="L725" s="23">
        <f t="shared" si="553"/>
        <v>585</v>
      </c>
      <c r="M725" s="23" t="str">
        <f t="shared" si="553"/>
        <v>1000</v>
      </c>
      <c r="N725" s="23">
        <f t="shared" si="553"/>
        <v>3300</v>
      </c>
      <c r="O725" s="23">
        <f t="shared" si="553"/>
        <v>0</v>
      </c>
      <c r="P725" s="27">
        <f t="shared" si="553"/>
        <v>0</v>
      </c>
      <c r="Q725" s="27">
        <f t="shared" si="553"/>
        <v>2</v>
      </c>
      <c r="R725" s="21"/>
    </row>
    <row r="726" spans="1:18" ht="14.25" customHeight="1" x14ac:dyDescent="0.15">
      <c r="A726" s="19">
        <v>3</v>
      </c>
      <c r="B726" s="19">
        <f>1.5*3</f>
        <v>4.5</v>
      </c>
      <c r="C726" s="19">
        <f>0.6+0.3</f>
        <v>0.89999999999999991</v>
      </c>
      <c r="D726" s="19">
        <f>B726*C726</f>
        <v>4.05</v>
      </c>
      <c r="E726" s="19"/>
      <c r="F726" s="19"/>
      <c r="G726" s="19"/>
      <c r="H726" s="19"/>
      <c r="I726" s="19">
        <f>B726*0.4</f>
        <v>1.8</v>
      </c>
      <c r="J726" s="19">
        <v>2</v>
      </c>
      <c r="K726" s="19">
        <f t="shared" ref="K726:L726" si="554">A726</f>
        <v>3</v>
      </c>
      <c r="L726" s="19">
        <f t="shared" si="554"/>
        <v>4.5</v>
      </c>
      <c r="M726" s="19">
        <f>A726</f>
        <v>3</v>
      </c>
      <c r="N726" s="19">
        <f>(1.2*0.4)*2</f>
        <v>0.96</v>
      </c>
      <c r="O726" s="19"/>
      <c r="P726" s="24"/>
      <c r="Q726" s="24"/>
      <c r="R726" s="19"/>
    </row>
    <row r="727" spans="1:18" ht="14.25" customHeight="1" x14ac:dyDescent="0.2">
      <c r="A727" s="19"/>
      <c r="B727" s="19"/>
      <c r="C727" s="19"/>
      <c r="D727" s="26" t="str">
        <f>D720</f>
        <v>10500</v>
      </c>
      <c r="E727" s="45">
        <v>0</v>
      </c>
      <c r="F727" s="45">
        <v>0</v>
      </c>
      <c r="G727" s="45">
        <v>2</v>
      </c>
      <c r="H727" s="19">
        <f>B726*2</f>
        <v>9</v>
      </c>
      <c r="I727" s="19"/>
      <c r="J727" s="19"/>
      <c r="K727" s="19"/>
      <c r="L727" s="19"/>
      <c r="M727" s="19"/>
      <c r="N727" s="28"/>
      <c r="O727" s="19"/>
      <c r="P727" s="24"/>
      <c r="Q727" s="24"/>
      <c r="R727" s="19"/>
    </row>
    <row r="728" spans="1:18" ht="14.25" customHeight="1" x14ac:dyDescent="0.2">
      <c r="A728" s="19"/>
      <c r="B728" s="19"/>
      <c r="C728" s="19"/>
      <c r="D728" s="19">
        <f>D726*D727</f>
        <v>42525</v>
      </c>
      <c r="E728" s="45">
        <f>E727*E725</f>
        <v>0</v>
      </c>
      <c r="F728" s="45">
        <f t="shared" ref="F728:H728" si="555">F725*F727</f>
        <v>0</v>
      </c>
      <c r="G728" s="45">
        <f t="shared" si="555"/>
        <v>3600</v>
      </c>
      <c r="H728" s="19">
        <f t="shared" si="555"/>
        <v>3420</v>
      </c>
      <c r="I728" s="19">
        <f t="shared" ref="I728:N728" si="556">I725*I726</f>
        <v>9900</v>
      </c>
      <c r="J728" s="19">
        <f t="shared" si="556"/>
        <v>2000</v>
      </c>
      <c r="K728" s="19">
        <f t="shared" si="556"/>
        <v>1125</v>
      </c>
      <c r="L728" s="19">
        <f t="shared" si="556"/>
        <v>2632.5</v>
      </c>
      <c r="M728" s="19">
        <f t="shared" si="556"/>
        <v>3000</v>
      </c>
      <c r="N728" s="19">
        <f t="shared" si="556"/>
        <v>3168</v>
      </c>
      <c r="O728" s="19">
        <f>SUM(D728:N728)</f>
        <v>71370.5</v>
      </c>
      <c r="P728" s="24">
        <f>O728/A726</f>
        <v>23790.166666666668</v>
      </c>
      <c r="Q728" s="24">
        <f>P728*Q725</f>
        <v>47580.333333333336</v>
      </c>
      <c r="R728" s="19">
        <f>MROUND(Q728,100)</f>
        <v>47600</v>
      </c>
    </row>
    <row r="729" spans="1:18" ht="14.25" customHeight="1" x14ac:dyDescent="0.1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9"/>
      <c r="Q729" s="39"/>
    </row>
    <row r="730" spans="1:18" ht="14.25" customHeight="1" x14ac:dyDescent="0.3">
      <c r="A730" s="109" t="str">
        <f>PRICELIST!I108</f>
        <v>WFLX-LNR-NSH-LVP-1500-X</v>
      </c>
      <c r="B730" s="87"/>
      <c r="C730" s="8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22"/>
      <c r="Q730" s="22"/>
      <c r="R730" s="17"/>
    </row>
    <row r="731" spans="1:18" ht="14.25" customHeight="1" x14ac:dyDescent="0.15">
      <c r="A731" s="19" t="s">
        <v>57</v>
      </c>
      <c r="B731" s="19" t="s">
        <v>59</v>
      </c>
      <c r="C731" s="19" t="s">
        <v>62</v>
      </c>
      <c r="D731" s="19" t="s">
        <v>64</v>
      </c>
      <c r="E731" s="19">
        <v>1200</v>
      </c>
      <c r="F731" s="19">
        <v>900</v>
      </c>
      <c r="G731" s="19">
        <v>600</v>
      </c>
      <c r="H731" s="19" t="s">
        <v>67</v>
      </c>
      <c r="I731" s="19" t="s">
        <v>68</v>
      </c>
      <c r="J731" s="19" t="s">
        <v>69</v>
      </c>
      <c r="K731" s="19" t="s">
        <v>71</v>
      </c>
      <c r="L731" s="19" t="s">
        <v>72</v>
      </c>
      <c r="M731" s="19" t="s">
        <v>73</v>
      </c>
      <c r="N731" s="19" t="s">
        <v>75</v>
      </c>
      <c r="O731" s="19" t="s">
        <v>76</v>
      </c>
      <c r="P731" s="24" t="s">
        <v>78</v>
      </c>
      <c r="Q731" s="24" t="s">
        <v>79</v>
      </c>
      <c r="R731" s="19" t="s">
        <v>81</v>
      </c>
    </row>
    <row r="732" spans="1:18" ht="14.25" customHeight="1" x14ac:dyDescent="0.15">
      <c r="A732" s="21">
        <f t="shared" ref="A732:B732" si="557">A725</f>
        <v>0</v>
      </c>
      <c r="B732" s="21">
        <f t="shared" si="557"/>
        <v>0</v>
      </c>
      <c r="C732" s="44" t="s">
        <v>188</v>
      </c>
      <c r="D732" s="21">
        <f t="shared" ref="D732:H732" si="558">D725</f>
        <v>0</v>
      </c>
      <c r="E732" s="23" t="str">
        <f t="shared" si="558"/>
        <v>2100</v>
      </c>
      <c r="F732" s="23" t="str">
        <f t="shared" si="558"/>
        <v>1900</v>
      </c>
      <c r="G732" s="23" t="str">
        <f t="shared" si="558"/>
        <v>1800</v>
      </c>
      <c r="H732" s="23">
        <f t="shared" si="558"/>
        <v>380</v>
      </c>
      <c r="I732" s="23" t="str">
        <f>I711</f>
        <v>0</v>
      </c>
      <c r="J732" s="23" t="str">
        <f t="shared" ref="J732:Q732" si="559">J725</f>
        <v>1000</v>
      </c>
      <c r="K732" s="23">
        <f t="shared" si="559"/>
        <v>375</v>
      </c>
      <c r="L732" s="23">
        <f t="shared" si="559"/>
        <v>585</v>
      </c>
      <c r="M732" s="23" t="str">
        <f t="shared" si="559"/>
        <v>1000</v>
      </c>
      <c r="N732" s="23">
        <f t="shared" si="559"/>
        <v>3300</v>
      </c>
      <c r="O732" s="23">
        <f t="shared" si="559"/>
        <v>0</v>
      </c>
      <c r="P732" s="27">
        <f t="shared" si="559"/>
        <v>0</v>
      </c>
      <c r="Q732" s="27">
        <f t="shared" si="559"/>
        <v>2</v>
      </c>
      <c r="R732" s="21"/>
    </row>
    <row r="733" spans="1:18" ht="14.25" customHeight="1" x14ac:dyDescent="0.15">
      <c r="A733" s="19">
        <v>3</v>
      </c>
      <c r="B733" s="19">
        <f>1.5*3</f>
        <v>4.5</v>
      </c>
      <c r="C733" s="19">
        <f>0.6+0.3</f>
        <v>0.89999999999999991</v>
      </c>
      <c r="D733" s="19">
        <f>B733*C733</f>
        <v>4.05</v>
      </c>
      <c r="E733" s="19"/>
      <c r="F733" s="19"/>
      <c r="G733" s="19"/>
      <c r="H733" s="19"/>
      <c r="I733" s="19">
        <f>B733*0.4</f>
        <v>1.8</v>
      </c>
      <c r="J733" s="19">
        <v>2</v>
      </c>
      <c r="K733" s="19">
        <f t="shared" ref="K733:L733" si="560">A733</f>
        <v>3</v>
      </c>
      <c r="L733" s="19">
        <f t="shared" si="560"/>
        <v>4.5</v>
      </c>
      <c r="M733" s="19">
        <f>A733</f>
        <v>3</v>
      </c>
      <c r="N733" s="19">
        <f>(1.2*0.4)*2</f>
        <v>0.96</v>
      </c>
      <c r="O733" s="19"/>
      <c r="P733" s="24"/>
      <c r="Q733" s="24"/>
      <c r="R733" s="19"/>
    </row>
    <row r="734" spans="1:18" ht="14.25" customHeight="1" x14ac:dyDescent="0.2">
      <c r="A734" s="19"/>
      <c r="B734" s="19"/>
      <c r="C734" s="19"/>
      <c r="D734" s="26" t="str">
        <f>D727</f>
        <v>10500</v>
      </c>
      <c r="E734" s="45">
        <v>0</v>
      </c>
      <c r="F734" s="45">
        <v>0</v>
      </c>
      <c r="G734" s="45">
        <v>2</v>
      </c>
      <c r="H734" s="19">
        <f>B733*2</f>
        <v>9</v>
      </c>
      <c r="I734" s="19"/>
      <c r="J734" s="19"/>
      <c r="K734" s="19"/>
      <c r="L734" s="19"/>
      <c r="M734" s="19"/>
      <c r="N734" s="28"/>
      <c r="O734" s="19"/>
      <c r="P734" s="24"/>
      <c r="Q734" s="24"/>
      <c r="R734" s="19"/>
    </row>
    <row r="735" spans="1:18" ht="14.25" customHeight="1" x14ac:dyDescent="0.2">
      <c r="A735" s="19"/>
      <c r="B735" s="19"/>
      <c r="C735" s="19"/>
      <c r="D735" s="19">
        <f>D733*D734</f>
        <v>42525</v>
      </c>
      <c r="E735" s="45">
        <f>E734*E732</f>
        <v>0</v>
      </c>
      <c r="F735" s="45">
        <f t="shared" ref="F735:H735" si="561">F732*F734</f>
        <v>0</v>
      </c>
      <c r="G735" s="45">
        <f t="shared" si="561"/>
        <v>3600</v>
      </c>
      <c r="H735" s="19">
        <f t="shared" si="561"/>
        <v>3420</v>
      </c>
      <c r="I735" s="19">
        <f t="shared" ref="I735:N735" si="562">I732*I733</f>
        <v>0</v>
      </c>
      <c r="J735" s="19">
        <f t="shared" si="562"/>
        <v>2000</v>
      </c>
      <c r="K735" s="19">
        <f t="shared" si="562"/>
        <v>1125</v>
      </c>
      <c r="L735" s="19">
        <f t="shared" si="562"/>
        <v>2632.5</v>
      </c>
      <c r="M735" s="19">
        <f t="shared" si="562"/>
        <v>3000</v>
      </c>
      <c r="N735" s="19">
        <f t="shared" si="562"/>
        <v>3168</v>
      </c>
      <c r="O735" s="19">
        <f>SUM(D735:N735)</f>
        <v>61470.5</v>
      </c>
      <c r="P735" s="24">
        <f>O735/A733</f>
        <v>20490.166666666668</v>
      </c>
      <c r="Q735" s="24">
        <f>P735*Q732</f>
        <v>40980.333333333336</v>
      </c>
      <c r="R735" s="19">
        <f>MROUND(Q735,100)</f>
        <v>41000</v>
      </c>
    </row>
    <row r="736" spans="1:18" ht="14.25" customHeight="1" x14ac:dyDescent="0.1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9"/>
      <c r="Q736" s="39"/>
    </row>
    <row r="737" spans="1:18" ht="14.25" customHeight="1" x14ac:dyDescent="0.3">
      <c r="A737" s="109" t="str">
        <f>PRICELIST!I109</f>
        <v>WFLX-LNR-NSH-MB-1500-F</v>
      </c>
      <c r="B737" s="87"/>
      <c r="C737" s="8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22"/>
      <c r="Q737" s="22"/>
      <c r="R737" s="17"/>
    </row>
    <row r="738" spans="1:18" ht="14.25" customHeight="1" x14ac:dyDescent="0.15">
      <c r="A738" s="19" t="s">
        <v>57</v>
      </c>
      <c r="B738" s="19" t="s">
        <v>59</v>
      </c>
      <c r="C738" s="19" t="s">
        <v>62</v>
      </c>
      <c r="D738" s="19" t="s">
        <v>64</v>
      </c>
      <c r="E738" s="19">
        <v>1200</v>
      </c>
      <c r="F738" s="19">
        <v>900</v>
      </c>
      <c r="G738" s="19">
        <v>600</v>
      </c>
      <c r="H738" s="19" t="s">
        <v>67</v>
      </c>
      <c r="I738" s="19" t="s">
        <v>68</v>
      </c>
      <c r="J738" s="19" t="s">
        <v>69</v>
      </c>
      <c r="K738" s="19" t="s">
        <v>71</v>
      </c>
      <c r="L738" s="19" t="s">
        <v>72</v>
      </c>
      <c r="M738" s="19" t="s">
        <v>73</v>
      </c>
      <c r="N738" s="19" t="s">
        <v>75</v>
      </c>
      <c r="O738" s="19" t="s">
        <v>76</v>
      </c>
      <c r="P738" s="24" t="s">
        <v>78</v>
      </c>
      <c r="Q738" s="24" t="s">
        <v>79</v>
      </c>
      <c r="R738" s="19" t="s">
        <v>81</v>
      </c>
    </row>
    <row r="739" spans="1:18" ht="14.25" customHeight="1" x14ac:dyDescent="0.15">
      <c r="A739" s="21">
        <f t="shared" ref="A739:B739" si="563">A732</f>
        <v>0</v>
      </c>
      <c r="B739" s="21">
        <f t="shared" si="563"/>
        <v>0</v>
      </c>
      <c r="C739" s="44" t="s">
        <v>188</v>
      </c>
      <c r="D739" s="21">
        <f t="shared" ref="D739:H739" si="564">D732</f>
        <v>0</v>
      </c>
      <c r="E739" s="23" t="str">
        <f t="shared" si="564"/>
        <v>2100</v>
      </c>
      <c r="F739" s="23" t="str">
        <f t="shared" si="564"/>
        <v>1900</v>
      </c>
      <c r="G739" s="23" t="str">
        <f t="shared" si="564"/>
        <v>1800</v>
      </c>
      <c r="H739" s="23">
        <f t="shared" si="564"/>
        <v>380</v>
      </c>
      <c r="I739" s="23" t="str">
        <f>I718</f>
        <v>4800</v>
      </c>
      <c r="J739" s="23" t="str">
        <f t="shared" ref="J739:Q739" si="565">J732</f>
        <v>1000</v>
      </c>
      <c r="K739" s="23">
        <f t="shared" si="565"/>
        <v>375</v>
      </c>
      <c r="L739" s="23">
        <f t="shared" si="565"/>
        <v>585</v>
      </c>
      <c r="M739" s="23" t="str">
        <f t="shared" si="565"/>
        <v>1000</v>
      </c>
      <c r="N739" s="23">
        <f t="shared" si="565"/>
        <v>3300</v>
      </c>
      <c r="O739" s="23">
        <f t="shared" si="565"/>
        <v>0</v>
      </c>
      <c r="P739" s="27">
        <f t="shared" si="565"/>
        <v>0</v>
      </c>
      <c r="Q739" s="27">
        <f t="shared" si="565"/>
        <v>2</v>
      </c>
      <c r="R739" s="21"/>
    </row>
    <row r="740" spans="1:18" ht="14.25" customHeight="1" x14ac:dyDescent="0.15">
      <c r="A740" s="19">
        <v>3</v>
      </c>
      <c r="B740" s="19">
        <f>1.5*3</f>
        <v>4.5</v>
      </c>
      <c r="C740" s="19">
        <f>0.6+0.3</f>
        <v>0.89999999999999991</v>
      </c>
      <c r="D740" s="19">
        <f>B740*C740</f>
        <v>4.05</v>
      </c>
      <c r="E740" s="19"/>
      <c r="F740" s="19"/>
      <c r="G740" s="19"/>
      <c r="H740" s="19"/>
      <c r="I740" s="19">
        <f>B740*0.4</f>
        <v>1.8</v>
      </c>
      <c r="J740" s="19">
        <v>2</v>
      </c>
      <c r="K740" s="19">
        <f t="shared" ref="K740:L740" si="566">A740</f>
        <v>3</v>
      </c>
      <c r="L740" s="19">
        <f t="shared" si="566"/>
        <v>4.5</v>
      </c>
      <c r="M740" s="19">
        <f>A740</f>
        <v>3</v>
      </c>
      <c r="N740" s="19">
        <f>(1.2*0.4)*2</f>
        <v>0.96</v>
      </c>
      <c r="O740" s="19"/>
      <c r="P740" s="24"/>
      <c r="Q740" s="24"/>
      <c r="R740" s="19"/>
    </row>
    <row r="741" spans="1:18" ht="14.25" customHeight="1" x14ac:dyDescent="0.2">
      <c r="A741" s="19"/>
      <c r="B741" s="19"/>
      <c r="C741" s="19"/>
      <c r="D741" s="26" t="str">
        <f>D615</f>
        <v>16250</v>
      </c>
      <c r="E741" s="45">
        <v>0</v>
      </c>
      <c r="F741" s="45">
        <v>0</v>
      </c>
      <c r="G741" s="45">
        <v>2</v>
      </c>
      <c r="H741" s="19">
        <f>B740*2</f>
        <v>9</v>
      </c>
      <c r="I741" s="19"/>
      <c r="J741" s="19"/>
      <c r="K741" s="19"/>
      <c r="L741" s="19"/>
      <c r="M741" s="19"/>
      <c r="N741" s="28"/>
      <c r="O741" s="19"/>
      <c r="P741" s="24"/>
      <c r="Q741" s="24"/>
      <c r="R741" s="19"/>
    </row>
    <row r="742" spans="1:18" ht="14.25" customHeight="1" x14ac:dyDescent="0.2">
      <c r="A742" s="19"/>
      <c r="B742" s="19"/>
      <c r="C742" s="19"/>
      <c r="D742" s="19">
        <f>D740*D741</f>
        <v>65812.5</v>
      </c>
      <c r="E742" s="45">
        <f>E741*E739</f>
        <v>0</v>
      </c>
      <c r="F742" s="45">
        <f t="shared" ref="F742:H742" si="567">F739*F741</f>
        <v>0</v>
      </c>
      <c r="G742" s="45">
        <f t="shared" si="567"/>
        <v>3600</v>
      </c>
      <c r="H742" s="19">
        <f t="shared" si="567"/>
        <v>3420</v>
      </c>
      <c r="I742" s="19">
        <f t="shared" ref="I742:N742" si="568">I739*I740</f>
        <v>8640</v>
      </c>
      <c r="J742" s="19">
        <f t="shared" si="568"/>
        <v>2000</v>
      </c>
      <c r="K742" s="19">
        <f t="shared" si="568"/>
        <v>1125</v>
      </c>
      <c r="L742" s="19">
        <f t="shared" si="568"/>
        <v>2632.5</v>
      </c>
      <c r="M742" s="19">
        <f t="shared" si="568"/>
        <v>3000</v>
      </c>
      <c r="N742" s="19">
        <f t="shared" si="568"/>
        <v>3168</v>
      </c>
      <c r="O742" s="19">
        <f>SUM(D742:N742)</f>
        <v>93398</v>
      </c>
      <c r="P742" s="24">
        <f>O742/A740</f>
        <v>31132.666666666668</v>
      </c>
      <c r="Q742" s="24">
        <f>P742*Q739</f>
        <v>62265.333333333336</v>
      </c>
      <c r="R742" s="19">
        <f>MROUND(Q742,100)</f>
        <v>62300</v>
      </c>
    </row>
    <row r="743" spans="1:18" ht="14.25" customHeight="1" x14ac:dyDescent="0.1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9"/>
      <c r="Q743" s="39"/>
    </row>
    <row r="744" spans="1:18" ht="14.25" customHeight="1" x14ac:dyDescent="0.3">
      <c r="A744" s="109" t="str">
        <f>PRICELIST!I110</f>
        <v>WFLX-LNR-NSH-MB-1500-G</v>
      </c>
      <c r="B744" s="87"/>
      <c r="C744" s="8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22"/>
      <c r="Q744" s="22"/>
      <c r="R744" s="17"/>
    </row>
    <row r="745" spans="1:18" ht="14.25" customHeight="1" x14ac:dyDescent="0.15">
      <c r="A745" s="19" t="s">
        <v>57</v>
      </c>
      <c r="B745" s="19" t="s">
        <v>59</v>
      </c>
      <c r="C745" s="19" t="s">
        <v>62</v>
      </c>
      <c r="D745" s="19" t="s">
        <v>64</v>
      </c>
      <c r="E745" s="19">
        <v>1200</v>
      </c>
      <c r="F745" s="19">
        <v>900</v>
      </c>
      <c r="G745" s="19">
        <v>600</v>
      </c>
      <c r="H745" s="19" t="s">
        <v>67</v>
      </c>
      <c r="I745" s="19" t="s">
        <v>68</v>
      </c>
      <c r="J745" s="19" t="s">
        <v>69</v>
      </c>
      <c r="K745" s="19" t="s">
        <v>71</v>
      </c>
      <c r="L745" s="19" t="s">
        <v>72</v>
      </c>
      <c r="M745" s="19" t="s">
        <v>73</v>
      </c>
      <c r="N745" s="19" t="s">
        <v>75</v>
      </c>
      <c r="O745" s="19" t="s">
        <v>76</v>
      </c>
      <c r="P745" s="24" t="s">
        <v>78</v>
      </c>
      <c r="Q745" s="24" t="s">
        <v>79</v>
      </c>
      <c r="R745" s="19" t="s">
        <v>81</v>
      </c>
    </row>
    <row r="746" spans="1:18" ht="14.25" customHeight="1" x14ac:dyDescent="0.15">
      <c r="A746" s="21">
        <f t="shared" ref="A746:B746" si="569">A739</f>
        <v>0</v>
      </c>
      <c r="B746" s="21">
        <f t="shared" si="569"/>
        <v>0</v>
      </c>
      <c r="C746" s="44" t="s">
        <v>188</v>
      </c>
      <c r="D746" s="21">
        <f t="shared" ref="D746:H746" si="570">D739</f>
        <v>0</v>
      </c>
      <c r="E746" s="23" t="str">
        <f t="shared" si="570"/>
        <v>2100</v>
      </c>
      <c r="F746" s="23" t="str">
        <f t="shared" si="570"/>
        <v>1900</v>
      </c>
      <c r="G746" s="23" t="str">
        <f t="shared" si="570"/>
        <v>1800</v>
      </c>
      <c r="H746" s="23">
        <f t="shared" si="570"/>
        <v>380</v>
      </c>
      <c r="I746" s="23" t="str">
        <f>I725</f>
        <v>5500</v>
      </c>
      <c r="J746" s="23" t="str">
        <f t="shared" ref="J746:Q746" si="571">J739</f>
        <v>1000</v>
      </c>
      <c r="K746" s="23">
        <f t="shared" si="571"/>
        <v>375</v>
      </c>
      <c r="L746" s="23">
        <f t="shared" si="571"/>
        <v>585</v>
      </c>
      <c r="M746" s="23" t="str">
        <f t="shared" si="571"/>
        <v>1000</v>
      </c>
      <c r="N746" s="23">
        <f t="shared" si="571"/>
        <v>3300</v>
      </c>
      <c r="O746" s="23">
        <f t="shared" si="571"/>
        <v>0</v>
      </c>
      <c r="P746" s="27">
        <f t="shared" si="571"/>
        <v>0</v>
      </c>
      <c r="Q746" s="27">
        <f t="shared" si="571"/>
        <v>2</v>
      </c>
      <c r="R746" s="21"/>
    </row>
    <row r="747" spans="1:18" ht="14.25" customHeight="1" x14ac:dyDescent="0.15">
      <c r="A747" s="19">
        <v>3</v>
      </c>
      <c r="B747" s="19">
        <f>1.5*3</f>
        <v>4.5</v>
      </c>
      <c r="C747" s="19">
        <f>0.6+0.3</f>
        <v>0.89999999999999991</v>
      </c>
      <c r="D747" s="19">
        <f>B747*C747</f>
        <v>4.05</v>
      </c>
      <c r="E747" s="19"/>
      <c r="F747" s="19"/>
      <c r="G747" s="19"/>
      <c r="H747" s="19"/>
      <c r="I747" s="19">
        <f>B747*0.4</f>
        <v>1.8</v>
      </c>
      <c r="J747" s="19">
        <v>2</v>
      </c>
      <c r="K747" s="19">
        <f t="shared" ref="K747:L747" si="572">A747</f>
        <v>3</v>
      </c>
      <c r="L747" s="19">
        <f t="shared" si="572"/>
        <v>4.5</v>
      </c>
      <c r="M747" s="19">
        <f>A747</f>
        <v>3</v>
      </c>
      <c r="N747" s="19">
        <f>(1.2*0.4)*2</f>
        <v>0.96</v>
      </c>
      <c r="O747" s="19"/>
      <c r="P747" s="24"/>
      <c r="Q747" s="24"/>
      <c r="R747" s="19"/>
    </row>
    <row r="748" spans="1:18" ht="14.25" customHeight="1" x14ac:dyDescent="0.2">
      <c r="A748" s="19"/>
      <c r="B748" s="19"/>
      <c r="C748" s="19"/>
      <c r="D748" s="26" t="str">
        <f>D741</f>
        <v>16250</v>
      </c>
      <c r="E748" s="45">
        <v>0</v>
      </c>
      <c r="F748" s="45">
        <v>0</v>
      </c>
      <c r="G748" s="45">
        <v>2</v>
      </c>
      <c r="H748" s="19">
        <f>B747*2</f>
        <v>9</v>
      </c>
      <c r="I748" s="19"/>
      <c r="J748" s="19"/>
      <c r="K748" s="19"/>
      <c r="L748" s="19"/>
      <c r="M748" s="19"/>
      <c r="N748" s="28"/>
      <c r="O748" s="19"/>
      <c r="P748" s="24"/>
      <c r="Q748" s="24"/>
      <c r="R748" s="19"/>
    </row>
    <row r="749" spans="1:18" ht="14.25" customHeight="1" x14ac:dyDescent="0.2">
      <c r="A749" s="19"/>
      <c r="B749" s="19"/>
      <c r="C749" s="19"/>
      <c r="D749" s="19">
        <f>D747*D748</f>
        <v>65812.5</v>
      </c>
      <c r="E749" s="45">
        <f>E748*E746</f>
        <v>0</v>
      </c>
      <c r="F749" s="45">
        <f t="shared" ref="F749:H749" si="573">F746*F748</f>
        <v>0</v>
      </c>
      <c r="G749" s="45">
        <f t="shared" si="573"/>
        <v>3600</v>
      </c>
      <c r="H749" s="19">
        <f t="shared" si="573"/>
        <v>3420</v>
      </c>
      <c r="I749" s="19">
        <f t="shared" ref="I749:N749" si="574">I746*I747</f>
        <v>9900</v>
      </c>
      <c r="J749" s="19">
        <f t="shared" si="574"/>
        <v>2000</v>
      </c>
      <c r="K749" s="19">
        <f t="shared" si="574"/>
        <v>1125</v>
      </c>
      <c r="L749" s="19">
        <f t="shared" si="574"/>
        <v>2632.5</v>
      </c>
      <c r="M749" s="19">
        <f t="shared" si="574"/>
        <v>3000</v>
      </c>
      <c r="N749" s="19">
        <f t="shared" si="574"/>
        <v>3168</v>
      </c>
      <c r="O749" s="19">
        <f>SUM(D749:N749)</f>
        <v>94658</v>
      </c>
      <c r="P749" s="24">
        <f>O749/A747</f>
        <v>31552.666666666668</v>
      </c>
      <c r="Q749" s="24">
        <f>P749*Q746</f>
        <v>63105.333333333336</v>
      </c>
      <c r="R749" s="19">
        <f>MROUND(Q749,100)</f>
        <v>63100</v>
      </c>
    </row>
    <row r="750" spans="1:18" ht="14.25" customHeight="1" x14ac:dyDescent="0.1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9"/>
      <c r="Q750" s="39"/>
    </row>
    <row r="751" spans="1:18" ht="14.25" customHeight="1" x14ac:dyDescent="0.3">
      <c r="A751" s="109" t="str">
        <f>PRICELIST!I111</f>
        <v>WFLX-LNR-NSH-MB-1500-X</v>
      </c>
      <c r="B751" s="87"/>
      <c r="C751" s="8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22"/>
      <c r="Q751" s="22"/>
      <c r="R751" s="17"/>
    </row>
    <row r="752" spans="1:18" ht="14.25" customHeight="1" x14ac:dyDescent="0.15">
      <c r="A752" s="19" t="s">
        <v>57</v>
      </c>
      <c r="B752" s="19" t="s">
        <v>59</v>
      </c>
      <c r="C752" s="19" t="s">
        <v>62</v>
      </c>
      <c r="D752" s="19" t="s">
        <v>64</v>
      </c>
      <c r="E752" s="19">
        <v>1200</v>
      </c>
      <c r="F752" s="19">
        <v>900</v>
      </c>
      <c r="G752" s="19">
        <v>600</v>
      </c>
      <c r="H752" s="19" t="s">
        <v>67</v>
      </c>
      <c r="I752" s="19" t="s">
        <v>68</v>
      </c>
      <c r="J752" s="19" t="s">
        <v>69</v>
      </c>
      <c r="K752" s="19" t="s">
        <v>71</v>
      </c>
      <c r="L752" s="19" t="s">
        <v>72</v>
      </c>
      <c r="M752" s="19" t="s">
        <v>73</v>
      </c>
      <c r="N752" s="19" t="s">
        <v>75</v>
      </c>
      <c r="O752" s="19" t="s">
        <v>76</v>
      </c>
      <c r="P752" s="24" t="s">
        <v>78</v>
      </c>
      <c r="Q752" s="24" t="s">
        <v>79</v>
      </c>
      <c r="R752" s="19" t="s">
        <v>81</v>
      </c>
    </row>
    <row r="753" spans="1:18" ht="14.25" customHeight="1" x14ac:dyDescent="0.15">
      <c r="A753" s="21">
        <f t="shared" ref="A753:B753" si="575">A746</f>
        <v>0</v>
      </c>
      <c r="B753" s="21">
        <f t="shared" si="575"/>
        <v>0</v>
      </c>
      <c r="C753" s="44" t="s">
        <v>188</v>
      </c>
      <c r="D753" s="21">
        <f t="shared" ref="D753:H753" si="576">D746</f>
        <v>0</v>
      </c>
      <c r="E753" s="23" t="str">
        <f t="shared" si="576"/>
        <v>2100</v>
      </c>
      <c r="F753" s="23" t="str">
        <f t="shared" si="576"/>
        <v>1900</v>
      </c>
      <c r="G753" s="23" t="str">
        <f t="shared" si="576"/>
        <v>1800</v>
      </c>
      <c r="H753" s="23">
        <f t="shared" si="576"/>
        <v>380</v>
      </c>
      <c r="I753" s="23" t="str">
        <f>I732</f>
        <v>0</v>
      </c>
      <c r="J753" s="23" t="str">
        <f t="shared" ref="J753:Q753" si="577">J746</f>
        <v>1000</v>
      </c>
      <c r="K753" s="23">
        <f t="shared" si="577"/>
        <v>375</v>
      </c>
      <c r="L753" s="23">
        <f t="shared" si="577"/>
        <v>585</v>
      </c>
      <c r="M753" s="23" t="str">
        <f t="shared" si="577"/>
        <v>1000</v>
      </c>
      <c r="N753" s="23">
        <f t="shared" si="577"/>
        <v>3300</v>
      </c>
      <c r="O753" s="23">
        <f t="shared" si="577"/>
        <v>0</v>
      </c>
      <c r="P753" s="27">
        <f t="shared" si="577"/>
        <v>0</v>
      </c>
      <c r="Q753" s="27">
        <f t="shared" si="577"/>
        <v>2</v>
      </c>
      <c r="R753" s="21"/>
    </row>
    <row r="754" spans="1:18" ht="14.25" customHeight="1" x14ac:dyDescent="0.15">
      <c r="A754" s="19">
        <v>3</v>
      </c>
      <c r="B754" s="19">
        <f>1.5*3</f>
        <v>4.5</v>
      </c>
      <c r="C754" s="19">
        <f>0.6+0.3</f>
        <v>0.89999999999999991</v>
      </c>
      <c r="D754" s="19">
        <f>B754*C754</f>
        <v>4.05</v>
      </c>
      <c r="E754" s="19"/>
      <c r="F754" s="19"/>
      <c r="G754" s="19"/>
      <c r="H754" s="19"/>
      <c r="I754" s="19">
        <f>B754*0.4</f>
        <v>1.8</v>
      </c>
      <c r="J754" s="19">
        <v>2</v>
      </c>
      <c r="K754" s="19">
        <f t="shared" ref="K754:L754" si="578">A754</f>
        <v>3</v>
      </c>
      <c r="L754" s="19">
        <f t="shared" si="578"/>
        <v>4.5</v>
      </c>
      <c r="M754" s="19">
        <f>A754</f>
        <v>3</v>
      </c>
      <c r="N754" s="19">
        <f>(1.2*0.4)*2</f>
        <v>0.96</v>
      </c>
      <c r="O754" s="19"/>
      <c r="P754" s="24"/>
      <c r="Q754" s="24"/>
      <c r="R754" s="19"/>
    </row>
    <row r="755" spans="1:18" ht="14.25" customHeight="1" x14ac:dyDescent="0.2">
      <c r="A755" s="19"/>
      <c r="B755" s="19"/>
      <c r="C755" s="19"/>
      <c r="D755" s="26" t="str">
        <f>D748</f>
        <v>16250</v>
      </c>
      <c r="E755" s="45">
        <v>0</v>
      </c>
      <c r="F755" s="45">
        <v>0</v>
      </c>
      <c r="G755" s="45">
        <v>2</v>
      </c>
      <c r="H755" s="19">
        <f>B754*2</f>
        <v>9</v>
      </c>
      <c r="I755" s="19"/>
      <c r="J755" s="19"/>
      <c r="K755" s="19"/>
      <c r="L755" s="19"/>
      <c r="M755" s="19"/>
      <c r="N755" s="28"/>
      <c r="O755" s="19"/>
      <c r="P755" s="24"/>
      <c r="Q755" s="24"/>
      <c r="R755" s="19"/>
    </row>
    <row r="756" spans="1:18" ht="14.25" customHeight="1" x14ac:dyDescent="0.2">
      <c r="A756" s="19"/>
      <c r="B756" s="19"/>
      <c r="C756" s="19"/>
      <c r="D756" s="19">
        <f>D754*D755</f>
        <v>65812.5</v>
      </c>
      <c r="E756" s="45">
        <f>E755*E753</f>
        <v>0</v>
      </c>
      <c r="F756" s="45">
        <f t="shared" ref="F756:H756" si="579">F753*F755</f>
        <v>0</v>
      </c>
      <c r="G756" s="45">
        <f t="shared" si="579"/>
        <v>3600</v>
      </c>
      <c r="H756" s="19">
        <f t="shared" si="579"/>
        <v>3420</v>
      </c>
      <c r="I756" s="19">
        <f t="shared" ref="I756:N756" si="580">I753*I754</f>
        <v>0</v>
      </c>
      <c r="J756" s="19">
        <f t="shared" si="580"/>
        <v>2000</v>
      </c>
      <c r="K756" s="19">
        <f t="shared" si="580"/>
        <v>1125</v>
      </c>
      <c r="L756" s="19">
        <f t="shared" si="580"/>
        <v>2632.5</v>
      </c>
      <c r="M756" s="19">
        <f t="shared" si="580"/>
        <v>3000</v>
      </c>
      <c r="N756" s="19">
        <f t="shared" si="580"/>
        <v>3168</v>
      </c>
      <c r="O756" s="19">
        <f>SUM(D756:N756)</f>
        <v>84758</v>
      </c>
      <c r="P756" s="24">
        <f>O756/A754</f>
        <v>28252.666666666668</v>
      </c>
      <c r="Q756" s="24">
        <f>P756*Q753</f>
        <v>56505.333333333336</v>
      </c>
      <c r="R756" s="19">
        <f>MROUND(Q756,100)</f>
        <v>56500</v>
      </c>
    </row>
    <row r="757" spans="1:18" ht="14.25" customHeight="1" x14ac:dyDescent="0.2">
      <c r="A757" s="21"/>
      <c r="B757" s="21"/>
      <c r="C757" s="21"/>
      <c r="D757" s="21"/>
      <c r="E757" s="65"/>
      <c r="F757" s="65"/>
      <c r="G757" s="65"/>
      <c r="H757" s="21"/>
      <c r="I757" s="21"/>
      <c r="J757" s="21"/>
      <c r="K757" s="21"/>
      <c r="L757" s="21"/>
      <c r="M757" s="21"/>
      <c r="N757" s="21"/>
      <c r="O757" s="21"/>
      <c r="P757" s="27"/>
      <c r="Q757" s="27"/>
      <c r="R757" s="21"/>
    </row>
    <row r="758" spans="1:18" ht="14.25" customHeight="1" x14ac:dyDescent="0.3">
      <c r="A758" s="109" t="str">
        <f>PRICELIST!I112</f>
        <v>WFLX-LNR-S-PB-900-F</v>
      </c>
      <c r="B758" s="87"/>
      <c r="C758" s="8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22"/>
      <c r="Q758" s="22"/>
      <c r="R758" s="17"/>
    </row>
    <row r="759" spans="1:18" ht="14.25" customHeight="1" x14ac:dyDescent="0.15">
      <c r="A759" s="19" t="s">
        <v>57</v>
      </c>
      <c r="B759" s="19" t="s">
        <v>59</v>
      </c>
      <c r="C759" s="19" t="s">
        <v>62</v>
      </c>
      <c r="D759" s="19" t="s">
        <v>64</v>
      </c>
      <c r="E759" s="19">
        <v>1200</v>
      </c>
      <c r="F759" s="19">
        <v>900</v>
      </c>
      <c r="G759" s="19">
        <v>600</v>
      </c>
      <c r="H759" s="19" t="s">
        <v>67</v>
      </c>
      <c r="I759" s="19" t="s">
        <v>68</v>
      </c>
      <c r="J759" s="19" t="s">
        <v>69</v>
      </c>
      <c r="K759" s="19" t="s">
        <v>71</v>
      </c>
      <c r="L759" s="19" t="s">
        <v>72</v>
      </c>
      <c r="M759" s="19" t="s">
        <v>73</v>
      </c>
      <c r="N759" s="19" t="s">
        <v>75</v>
      </c>
      <c r="O759" s="19" t="s">
        <v>76</v>
      </c>
      <c r="P759" s="24" t="s">
        <v>78</v>
      </c>
      <c r="Q759" s="24" t="s">
        <v>79</v>
      </c>
      <c r="R759" s="19" t="s">
        <v>81</v>
      </c>
    </row>
    <row r="760" spans="1:18" ht="14.25" customHeight="1" x14ac:dyDescent="0.15">
      <c r="A760" s="21"/>
      <c r="B760" s="21"/>
      <c r="C760" s="44" t="s">
        <v>188</v>
      </c>
      <c r="D760" s="21">
        <f t="shared" ref="D760:G760" si="581">D753</f>
        <v>0</v>
      </c>
      <c r="E760" s="23" t="str">
        <f t="shared" si="581"/>
        <v>2100</v>
      </c>
      <c r="F760" s="23" t="str">
        <f t="shared" si="581"/>
        <v>1900</v>
      </c>
      <c r="G760" s="23" t="str">
        <f t="shared" si="581"/>
        <v>1800</v>
      </c>
      <c r="H760" s="21">
        <v>380</v>
      </c>
      <c r="I760" s="23" t="str">
        <f>I739</f>
        <v>4800</v>
      </c>
      <c r="J760" s="23" t="str">
        <f>J753</f>
        <v>1000</v>
      </c>
      <c r="K760" s="21">
        <v>375</v>
      </c>
      <c r="L760" s="21">
        <v>585</v>
      </c>
      <c r="M760" s="23" t="str">
        <f>M753</f>
        <v>1000</v>
      </c>
      <c r="N760" s="21">
        <v>3300</v>
      </c>
      <c r="O760" s="21"/>
      <c r="P760" s="27"/>
      <c r="Q760" s="27">
        <f>Q753</f>
        <v>2</v>
      </c>
      <c r="R760" s="21"/>
    </row>
    <row r="761" spans="1:18" ht="14.25" customHeight="1" x14ac:dyDescent="0.15">
      <c r="A761" s="19">
        <v>1</v>
      </c>
      <c r="B761" s="19">
        <v>0.9</v>
      </c>
      <c r="C761" s="19">
        <f>0.6+0.3</f>
        <v>0.89999999999999991</v>
      </c>
      <c r="D761" s="19">
        <f>B761*C761</f>
        <v>0.80999999999999994</v>
      </c>
      <c r="E761" s="19"/>
      <c r="F761" s="19"/>
      <c r="G761" s="19"/>
      <c r="H761" s="19"/>
      <c r="I761" s="19">
        <f>B761*0.4</f>
        <v>0.36000000000000004</v>
      </c>
      <c r="J761" s="19">
        <v>1</v>
      </c>
      <c r="K761" s="19">
        <f t="shared" ref="K761:L761" si="582">A761</f>
        <v>1</v>
      </c>
      <c r="L761" s="19">
        <f t="shared" si="582"/>
        <v>0.9</v>
      </c>
      <c r="M761" s="19">
        <f>A761</f>
        <v>1</v>
      </c>
      <c r="N761" s="19">
        <f>(1.2*0.4)*2</f>
        <v>0.96</v>
      </c>
      <c r="O761" s="19"/>
      <c r="P761" s="24"/>
      <c r="Q761" s="24"/>
      <c r="R761" s="19"/>
    </row>
    <row r="762" spans="1:18" ht="14.25" customHeight="1" x14ac:dyDescent="0.15">
      <c r="A762" s="19"/>
      <c r="B762" s="19"/>
      <c r="C762" s="19"/>
      <c r="D762" s="26" t="str">
        <f>D636</f>
        <v>2200</v>
      </c>
      <c r="E762" s="19">
        <v>0</v>
      </c>
      <c r="F762" s="19">
        <v>0</v>
      </c>
      <c r="G762" s="19">
        <v>2</v>
      </c>
      <c r="H762" s="19">
        <f>B761*2</f>
        <v>1.8</v>
      </c>
      <c r="I762" s="19"/>
      <c r="J762" s="19"/>
      <c r="K762" s="19"/>
      <c r="L762" s="19"/>
      <c r="M762" s="19"/>
      <c r="N762" s="28"/>
      <c r="O762" s="19"/>
      <c r="P762" s="24"/>
      <c r="Q762" s="24"/>
      <c r="R762" s="19"/>
    </row>
    <row r="763" spans="1:18" ht="14.25" customHeight="1" x14ac:dyDescent="0.15">
      <c r="A763" s="19"/>
      <c r="B763" s="19"/>
      <c r="C763" s="19"/>
      <c r="D763" s="19">
        <f>D761*D762</f>
        <v>1781.9999999999998</v>
      </c>
      <c r="E763" s="19">
        <f>E762*E760</f>
        <v>0</v>
      </c>
      <c r="F763" s="19">
        <f t="shared" ref="F763:H763" si="583">F760*F762</f>
        <v>0</v>
      </c>
      <c r="G763" s="19">
        <f t="shared" si="583"/>
        <v>3600</v>
      </c>
      <c r="H763" s="19">
        <f t="shared" si="583"/>
        <v>684</v>
      </c>
      <c r="I763" s="19">
        <f t="shared" ref="I763:N763" si="584">I760*I761</f>
        <v>1728.0000000000002</v>
      </c>
      <c r="J763" s="19">
        <f t="shared" si="584"/>
        <v>1000</v>
      </c>
      <c r="K763" s="19">
        <f t="shared" si="584"/>
        <v>375</v>
      </c>
      <c r="L763" s="19">
        <f t="shared" si="584"/>
        <v>526.5</v>
      </c>
      <c r="M763" s="19">
        <f t="shared" si="584"/>
        <v>1000</v>
      </c>
      <c r="N763" s="19">
        <f t="shared" si="584"/>
        <v>3168</v>
      </c>
      <c r="O763" s="19">
        <f>SUM(D763:N763)</f>
        <v>13863.5</v>
      </c>
      <c r="P763" s="24">
        <f>O763/A761</f>
        <v>13863.5</v>
      </c>
      <c r="Q763" s="24">
        <f>P763*Q760</f>
        <v>27727</v>
      </c>
      <c r="R763" s="19">
        <f>MROUND(Q763,100)</f>
        <v>27700</v>
      </c>
    </row>
    <row r="764" spans="1:18" ht="14.25" customHeight="1" x14ac:dyDescent="0.1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9"/>
      <c r="Q764" s="39"/>
    </row>
    <row r="765" spans="1:18" ht="14.25" customHeight="1" x14ac:dyDescent="0.3">
      <c r="A765" s="109" t="str">
        <f>PRICELIST!I113</f>
        <v>WFLX-LNR-S-PB-900-G</v>
      </c>
      <c r="B765" s="87"/>
      <c r="C765" s="8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22"/>
      <c r="Q765" s="22"/>
      <c r="R765" s="17"/>
    </row>
    <row r="766" spans="1:18" ht="14.25" customHeight="1" x14ac:dyDescent="0.15">
      <c r="A766" s="19" t="s">
        <v>57</v>
      </c>
      <c r="B766" s="19" t="s">
        <v>59</v>
      </c>
      <c r="C766" s="19" t="s">
        <v>62</v>
      </c>
      <c r="D766" s="19" t="s">
        <v>64</v>
      </c>
      <c r="E766" s="19">
        <v>1200</v>
      </c>
      <c r="F766" s="19">
        <v>900</v>
      </c>
      <c r="G766" s="19">
        <v>600</v>
      </c>
      <c r="H766" s="19" t="s">
        <v>67</v>
      </c>
      <c r="I766" s="19" t="s">
        <v>68</v>
      </c>
      <c r="J766" s="19" t="s">
        <v>69</v>
      </c>
      <c r="K766" s="19" t="s">
        <v>71</v>
      </c>
      <c r="L766" s="19" t="s">
        <v>72</v>
      </c>
      <c r="M766" s="19" t="s">
        <v>73</v>
      </c>
      <c r="N766" s="19" t="s">
        <v>75</v>
      </c>
      <c r="O766" s="19" t="s">
        <v>76</v>
      </c>
      <c r="P766" s="24" t="s">
        <v>78</v>
      </c>
      <c r="Q766" s="24" t="s">
        <v>79</v>
      </c>
      <c r="R766" s="19" t="s">
        <v>81</v>
      </c>
    </row>
    <row r="767" spans="1:18" ht="14.25" customHeight="1" x14ac:dyDescent="0.15">
      <c r="A767" s="21"/>
      <c r="B767" s="21"/>
      <c r="C767" s="44" t="s">
        <v>188</v>
      </c>
      <c r="D767" s="21"/>
      <c r="E767" s="23" t="str">
        <f t="shared" ref="E767:H767" si="585">E760</f>
        <v>2100</v>
      </c>
      <c r="F767" s="23" t="str">
        <f t="shared" si="585"/>
        <v>1900</v>
      </c>
      <c r="G767" s="23" t="str">
        <f t="shared" si="585"/>
        <v>1800</v>
      </c>
      <c r="H767" s="23">
        <f t="shared" si="585"/>
        <v>380</v>
      </c>
      <c r="I767" s="23" t="str">
        <f>I746</f>
        <v>5500</v>
      </c>
      <c r="J767" s="23" t="str">
        <f t="shared" ref="J767:R767" si="586">J760</f>
        <v>1000</v>
      </c>
      <c r="K767" s="23">
        <f t="shared" si="586"/>
        <v>375</v>
      </c>
      <c r="L767" s="23">
        <f t="shared" si="586"/>
        <v>585</v>
      </c>
      <c r="M767" s="23" t="str">
        <f t="shared" si="586"/>
        <v>1000</v>
      </c>
      <c r="N767" s="23">
        <f t="shared" si="586"/>
        <v>3300</v>
      </c>
      <c r="O767" s="23">
        <f t="shared" si="586"/>
        <v>0</v>
      </c>
      <c r="P767" s="27">
        <f t="shared" si="586"/>
        <v>0</v>
      </c>
      <c r="Q767" s="27">
        <f t="shared" si="586"/>
        <v>2</v>
      </c>
      <c r="R767" s="23">
        <f t="shared" si="586"/>
        <v>0</v>
      </c>
    </row>
    <row r="768" spans="1:18" ht="14.25" customHeight="1" x14ac:dyDescent="0.15">
      <c r="A768" s="19">
        <v>1</v>
      </c>
      <c r="B768" s="19">
        <v>0.9</v>
      </c>
      <c r="C768" s="19">
        <f>0.6+0.3</f>
        <v>0.89999999999999991</v>
      </c>
      <c r="D768" s="19">
        <f>B768*C768</f>
        <v>0.80999999999999994</v>
      </c>
      <c r="E768" s="19"/>
      <c r="F768" s="19"/>
      <c r="G768" s="19"/>
      <c r="H768" s="19"/>
      <c r="I768" s="19">
        <f>B768*0.4</f>
        <v>0.36000000000000004</v>
      </c>
      <c r="J768" s="19">
        <v>1</v>
      </c>
      <c r="K768" s="19">
        <f t="shared" ref="K768:L768" si="587">A768</f>
        <v>1</v>
      </c>
      <c r="L768" s="19">
        <f t="shared" si="587"/>
        <v>0.9</v>
      </c>
      <c r="M768" s="19">
        <f>A768</f>
        <v>1</v>
      </c>
      <c r="N768" s="19">
        <f>(1.2*0.4)*2</f>
        <v>0.96</v>
      </c>
      <c r="O768" s="19"/>
      <c r="P768" s="24"/>
      <c r="Q768" s="24"/>
      <c r="R768" s="19"/>
    </row>
    <row r="769" spans="1:18" ht="14.25" customHeight="1" x14ac:dyDescent="0.15">
      <c r="A769" s="19"/>
      <c r="B769" s="19"/>
      <c r="C769" s="19"/>
      <c r="D769" s="26" t="str">
        <f>D762</f>
        <v>2200</v>
      </c>
      <c r="E769" s="19">
        <v>0</v>
      </c>
      <c r="F769" s="19">
        <v>0</v>
      </c>
      <c r="G769" s="19">
        <v>2</v>
      </c>
      <c r="H769" s="19">
        <f>B768*2</f>
        <v>1.8</v>
      </c>
      <c r="I769" s="19"/>
      <c r="J769" s="19"/>
      <c r="K769" s="19"/>
      <c r="L769" s="19"/>
      <c r="M769" s="19"/>
      <c r="N769" s="28"/>
      <c r="O769" s="19"/>
      <c r="P769" s="24"/>
      <c r="Q769" s="24"/>
      <c r="R769" s="19"/>
    </row>
    <row r="770" spans="1:18" ht="14.25" customHeight="1" x14ac:dyDescent="0.15">
      <c r="A770" s="19"/>
      <c r="B770" s="19"/>
      <c r="C770" s="19"/>
      <c r="D770" s="19">
        <f>D768*D769</f>
        <v>1781.9999999999998</v>
      </c>
      <c r="E770" s="19">
        <f>E769*E767</f>
        <v>0</v>
      </c>
      <c r="F770" s="19">
        <f t="shared" ref="F770:H770" si="588">F767*F769</f>
        <v>0</v>
      </c>
      <c r="G770" s="19">
        <f t="shared" si="588"/>
        <v>3600</v>
      </c>
      <c r="H770" s="19">
        <f t="shared" si="588"/>
        <v>684</v>
      </c>
      <c r="I770" s="19">
        <f t="shared" ref="I770:N770" si="589">I767*I768</f>
        <v>1980.0000000000002</v>
      </c>
      <c r="J770" s="19">
        <f t="shared" si="589"/>
        <v>1000</v>
      </c>
      <c r="K770" s="19">
        <f t="shared" si="589"/>
        <v>375</v>
      </c>
      <c r="L770" s="19">
        <f t="shared" si="589"/>
        <v>526.5</v>
      </c>
      <c r="M770" s="19">
        <f t="shared" si="589"/>
        <v>1000</v>
      </c>
      <c r="N770" s="19">
        <f t="shared" si="589"/>
        <v>3168</v>
      </c>
      <c r="O770" s="19">
        <f>SUM(D770:N770)</f>
        <v>14115.5</v>
      </c>
      <c r="P770" s="24">
        <f>O770/A768</f>
        <v>14115.5</v>
      </c>
      <c r="Q770" s="24">
        <f>P770*Q767</f>
        <v>28231</v>
      </c>
      <c r="R770" s="19">
        <f>MROUND(Q770,100)</f>
        <v>28200</v>
      </c>
    </row>
    <row r="771" spans="1:18" ht="14.25" customHeight="1" x14ac:dyDescent="0.1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9"/>
      <c r="Q771" s="27">
        <f>Q764</f>
        <v>0</v>
      </c>
    </row>
    <row r="772" spans="1:18" ht="14.25" customHeight="1" x14ac:dyDescent="0.3">
      <c r="A772" s="109" t="str">
        <f>PRICELIST!I114</f>
        <v>WFLX-LNR-S-PB-900-X</v>
      </c>
      <c r="B772" s="87"/>
      <c r="C772" s="8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22"/>
      <c r="Q772" s="22"/>
      <c r="R772" s="17"/>
    </row>
    <row r="773" spans="1:18" ht="14.25" customHeight="1" x14ac:dyDescent="0.15">
      <c r="A773" s="19" t="s">
        <v>57</v>
      </c>
      <c r="B773" s="19" t="s">
        <v>59</v>
      </c>
      <c r="C773" s="19" t="s">
        <v>62</v>
      </c>
      <c r="D773" s="19" t="s">
        <v>64</v>
      </c>
      <c r="E773" s="19">
        <v>1200</v>
      </c>
      <c r="F773" s="19">
        <v>900</v>
      </c>
      <c r="G773" s="19">
        <v>600</v>
      </c>
      <c r="H773" s="19" t="s">
        <v>67</v>
      </c>
      <c r="I773" s="19" t="s">
        <v>68</v>
      </c>
      <c r="J773" s="19" t="s">
        <v>69</v>
      </c>
      <c r="K773" s="19" t="s">
        <v>71</v>
      </c>
      <c r="L773" s="19" t="s">
        <v>72</v>
      </c>
      <c r="M773" s="19" t="s">
        <v>73</v>
      </c>
      <c r="N773" s="19" t="s">
        <v>75</v>
      </c>
      <c r="O773" s="19" t="s">
        <v>76</v>
      </c>
      <c r="P773" s="24" t="s">
        <v>78</v>
      </c>
      <c r="Q773" s="24" t="s">
        <v>79</v>
      </c>
      <c r="R773" s="19" t="s">
        <v>81</v>
      </c>
    </row>
    <row r="774" spans="1:18" ht="14.25" customHeight="1" x14ac:dyDescent="0.15">
      <c r="A774" s="21">
        <f t="shared" ref="A774:B774" si="590">A767</f>
        <v>0</v>
      </c>
      <c r="B774" s="21">
        <f t="shared" si="590"/>
        <v>0</v>
      </c>
      <c r="C774" s="44" t="s">
        <v>188</v>
      </c>
      <c r="D774" s="21">
        <f t="shared" ref="D774:H774" si="591">D767</f>
        <v>0</v>
      </c>
      <c r="E774" s="23" t="str">
        <f t="shared" si="591"/>
        <v>2100</v>
      </c>
      <c r="F774" s="23" t="str">
        <f t="shared" si="591"/>
        <v>1900</v>
      </c>
      <c r="G774" s="23" t="str">
        <f t="shared" si="591"/>
        <v>1800</v>
      </c>
      <c r="H774" s="23">
        <f t="shared" si="591"/>
        <v>380</v>
      </c>
      <c r="I774" s="23" t="str">
        <f>I753</f>
        <v>0</v>
      </c>
      <c r="J774" s="23" t="str">
        <f t="shared" ref="J774:Q774" si="592">J767</f>
        <v>1000</v>
      </c>
      <c r="K774" s="23">
        <f t="shared" si="592"/>
        <v>375</v>
      </c>
      <c r="L774" s="23">
        <f t="shared" si="592"/>
        <v>585</v>
      </c>
      <c r="M774" s="23" t="str">
        <f t="shared" si="592"/>
        <v>1000</v>
      </c>
      <c r="N774" s="23">
        <f t="shared" si="592"/>
        <v>3300</v>
      </c>
      <c r="O774" s="23">
        <f t="shared" si="592"/>
        <v>0</v>
      </c>
      <c r="P774" s="27">
        <f t="shared" si="592"/>
        <v>0</v>
      </c>
      <c r="Q774" s="27">
        <f t="shared" si="592"/>
        <v>2</v>
      </c>
      <c r="R774" s="21"/>
    </row>
    <row r="775" spans="1:18" ht="14.25" customHeight="1" x14ac:dyDescent="0.15">
      <c r="A775" s="19">
        <v>1</v>
      </c>
      <c r="B775" s="19">
        <v>0.9</v>
      </c>
      <c r="C775" s="19">
        <f>0.6+0.3</f>
        <v>0.89999999999999991</v>
      </c>
      <c r="D775" s="19">
        <f>B775*C775</f>
        <v>0.80999999999999994</v>
      </c>
      <c r="E775" s="19"/>
      <c r="F775" s="19"/>
      <c r="G775" s="19"/>
      <c r="H775" s="19"/>
      <c r="I775" s="19">
        <f>B775*0.4</f>
        <v>0.36000000000000004</v>
      </c>
      <c r="J775" s="19">
        <v>1</v>
      </c>
      <c r="K775" s="19">
        <f t="shared" ref="K775:L775" si="593">A775</f>
        <v>1</v>
      </c>
      <c r="L775" s="19">
        <f t="shared" si="593"/>
        <v>0.9</v>
      </c>
      <c r="M775" s="19">
        <f>A775</f>
        <v>1</v>
      </c>
      <c r="N775" s="19">
        <f>(1.2*0.4)*2</f>
        <v>0.96</v>
      </c>
      <c r="O775" s="19"/>
      <c r="P775" s="24"/>
      <c r="Q775" s="24"/>
      <c r="R775" s="19"/>
    </row>
    <row r="776" spans="1:18" ht="14.25" customHeight="1" x14ac:dyDescent="0.2">
      <c r="A776" s="19"/>
      <c r="B776" s="19"/>
      <c r="C776" s="19"/>
      <c r="D776" s="26" t="str">
        <f>D769</f>
        <v>2200</v>
      </c>
      <c r="E776" s="45">
        <v>0</v>
      </c>
      <c r="F776" s="45">
        <v>0</v>
      </c>
      <c r="G776" s="45">
        <v>2</v>
      </c>
      <c r="H776" s="19">
        <f>B775*2</f>
        <v>1.8</v>
      </c>
      <c r="I776" s="19"/>
      <c r="J776" s="19"/>
      <c r="K776" s="19"/>
      <c r="L776" s="19"/>
      <c r="M776" s="19"/>
      <c r="N776" s="28"/>
      <c r="O776" s="19"/>
      <c r="P776" s="24"/>
      <c r="Q776" s="24"/>
      <c r="R776" s="19"/>
    </row>
    <row r="777" spans="1:18" ht="14.25" customHeight="1" x14ac:dyDescent="0.2">
      <c r="A777" s="19"/>
      <c r="B777" s="19"/>
      <c r="C777" s="19"/>
      <c r="D777" s="19">
        <f>D775*D776</f>
        <v>1781.9999999999998</v>
      </c>
      <c r="E777" s="45">
        <f>E776*E774</f>
        <v>0</v>
      </c>
      <c r="F777" s="45">
        <f t="shared" ref="F777:H777" si="594">F774*F776</f>
        <v>0</v>
      </c>
      <c r="G777" s="45">
        <f t="shared" si="594"/>
        <v>3600</v>
      </c>
      <c r="H777" s="19">
        <f t="shared" si="594"/>
        <v>684</v>
      </c>
      <c r="I777" s="19">
        <f t="shared" ref="I777:N777" si="595">I774*I775</f>
        <v>0</v>
      </c>
      <c r="J777" s="19">
        <f t="shared" si="595"/>
        <v>1000</v>
      </c>
      <c r="K777" s="19">
        <f t="shared" si="595"/>
        <v>375</v>
      </c>
      <c r="L777" s="19">
        <f t="shared" si="595"/>
        <v>526.5</v>
      </c>
      <c r="M777" s="19">
        <f t="shared" si="595"/>
        <v>1000</v>
      </c>
      <c r="N777" s="19">
        <f t="shared" si="595"/>
        <v>3168</v>
      </c>
      <c r="O777" s="19">
        <f>SUM(D777:N777)</f>
        <v>12135.5</v>
      </c>
      <c r="P777" s="24">
        <f>O777/A775</f>
        <v>12135.5</v>
      </c>
      <c r="Q777" s="24">
        <f>P777*Q774</f>
        <v>24271</v>
      </c>
      <c r="R777" s="19">
        <f>MROUND(Q777,100)</f>
        <v>24300</v>
      </c>
    </row>
    <row r="778" spans="1:18" ht="14.25" customHeight="1" x14ac:dyDescent="0.1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9"/>
      <c r="Q778" s="39"/>
    </row>
    <row r="779" spans="1:18" ht="14.25" customHeight="1" x14ac:dyDescent="0.3">
      <c r="A779" s="109" t="str">
        <f>PRICELIST!I115</f>
        <v>WFLX-LNR-S-PLM-900-F</v>
      </c>
      <c r="B779" s="87"/>
      <c r="C779" s="8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22"/>
      <c r="Q779" s="22"/>
      <c r="R779" s="17"/>
    </row>
    <row r="780" spans="1:18" ht="14.25" customHeight="1" x14ac:dyDescent="0.15">
      <c r="A780" s="19" t="s">
        <v>57</v>
      </c>
      <c r="B780" s="19" t="s">
        <v>59</v>
      </c>
      <c r="C780" s="19" t="s">
        <v>62</v>
      </c>
      <c r="D780" s="19" t="s">
        <v>64</v>
      </c>
      <c r="E780" s="19">
        <v>1200</v>
      </c>
      <c r="F780" s="19">
        <v>900</v>
      </c>
      <c r="G780" s="19">
        <v>600</v>
      </c>
      <c r="H780" s="19" t="s">
        <v>67</v>
      </c>
      <c r="I780" s="19" t="s">
        <v>68</v>
      </c>
      <c r="J780" s="19" t="s">
        <v>69</v>
      </c>
      <c r="K780" s="19" t="s">
        <v>71</v>
      </c>
      <c r="L780" s="19" t="s">
        <v>72</v>
      </c>
      <c r="M780" s="19" t="s">
        <v>73</v>
      </c>
      <c r="N780" s="19" t="s">
        <v>75</v>
      </c>
      <c r="O780" s="19" t="s">
        <v>76</v>
      </c>
      <c r="P780" s="24" t="s">
        <v>78</v>
      </c>
      <c r="Q780" s="24" t="s">
        <v>79</v>
      </c>
      <c r="R780" s="19" t="s">
        <v>81</v>
      </c>
    </row>
    <row r="781" spans="1:18" ht="14.25" customHeight="1" x14ac:dyDescent="0.15">
      <c r="A781" s="21">
        <f t="shared" ref="A781:B781" si="596">A774</f>
        <v>0</v>
      </c>
      <c r="B781" s="21">
        <f t="shared" si="596"/>
        <v>0</v>
      </c>
      <c r="C781" s="44" t="s">
        <v>188</v>
      </c>
      <c r="D781" s="21">
        <f t="shared" ref="D781:H781" si="597">D774</f>
        <v>0</v>
      </c>
      <c r="E781" s="23" t="str">
        <f t="shared" si="597"/>
        <v>2100</v>
      </c>
      <c r="F781" s="23" t="str">
        <f t="shared" si="597"/>
        <v>1900</v>
      </c>
      <c r="G781" s="23" t="str">
        <f t="shared" si="597"/>
        <v>1800</v>
      </c>
      <c r="H781" s="23">
        <f t="shared" si="597"/>
        <v>380</v>
      </c>
      <c r="I781" s="23" t="str">
        <f>I760</f>
        <v>4800</v>
      </c>
      <c r="J781" s="23" t="str">
        <f t="shared" ref="J781:Q781" si="598">J774</f>
        <v>1000</v>
      </c>
      <c r="K781" s="23">
        <f t="shared" si="598"/>
        <v>375</v>
      </c>
      <c r="L781" s="23">
        <f t="shared" si="598"/>
        <v>585</v>
      </c>
      <c r="M781" s="23" t="str">
        <f t="shared" si="598"/>
        <v>1000</v>
      </c>
      <c r="N781" s="23">
        <f t="shared" si="598"/>
        <v>3300</v>
      </c>
      <c r="O781" s="23">
        <f t="shared" si="598"/>
        <v>0</v>
      </c>
      <c r="P781" s="27">
        <f t="shared" si="598"/>
        <v>0</v>
      </c>
      <c r="Q781" s="27">
        <f t="shared" si="598"/>
        <v>2</v>
      </c>
      <c r="R781" s="21"/>
    </row>
    <row r="782" spans="1:18" ht="14.25" customHeight="1" x14ac:dyDescent="0.15">
      <c r="A782" s="19">
        <v>1</v>
      </c>
      <c r="B782" s="19">
        <v>0.9</v>
      </c>
      <c r="C782" s="19">
        <f>0.6+0.3</f>
        <v>0.89999999999999991</v>
      </c>
      <c r="D782" s="19">
        <f>B782*C782</f>
        <v>0.80999999999999994</v>
      </c>
      <c r="E782" s="19"/>
      <c r="F782" s="19"/>
      <c r="G782" s="19"/>
      <c r="H782" s="19"/>
      <c r="I782" s="19">
        <f>B782*0.4</f>
        <v>0.36000000000000004</v>
      </c>
      <c r="J782" s="19">
        <v>1</v>
      </c>
      <c r="K782" s="19">
        <f t="shared" ref="K782:L782" si="599">A782</f>
        <v>1</v>
      </c>
      <c r="L782" s="19">
        <f t="shared" si="599"/>
        <v>0.9</v>
      </c>
      <c r="M782" s="19">
        <f>A782</f>
        <v>1</v>
      </c>
      <c r="N782" s="19">
        <f>(1.2*0.4)*2</f>
        <v>0.96</v>
      </c>
      <c r="O782" s="19"/>
      <c r="P782" s="24"/>
      <c r="Q782" s="24"/>
      <c r="R782" s="19"/>
    </row>
    <row r="783" spans="1:18" ht="14.25" customHeight="1" x14ac:dyDescent="0.2">
      <c r="A783" s="19"/>
      <c r="B783" s="19"/>
      <c r="C783" s="19"/>
      <c r="D783" s="26">
        <f>'MASTER DATA'!C434</f>
        <v>0</v>
      </c>
      <c r="E783" s="45">
        <v>0</v>
      </c>
      <c r="F783" s="45">
        <v>0</v>
      </c>
      <c r="G783" s="45">
        <v>2</v>
      </c>
      <c r="H783" s="19">
        <f>B782*2</f>
        <v>1.8</v>
      </c>
      <c r="I783" s="19"/>
      <c r="J783" s="19"/>
      <c r="K783" s="19"/>
      <c r="L783" s="19"/>
      <c r="M783" s="19"/>
      <c r="N783" s="28"/>
      <c r="O783" s="19"/>
      <c r="P783" s="24"/>
      <c r="Q783" s="24"/>
      <c r="R783" s="19"/>
    </row>
    <row r="784" spans="1:18" ht="14.25" customHeight="1" x14ac:dyDescent="0.2">
      <c r="A784" s="19"/>
      <c r="B784" s="19"/>
      <c r="C784" s="19"/>
      <c r="D784" s="19">
        <f>D782*D783</f>
        <v>0</v>
      </c>
      <c r="E784" s="45">
        <f>E783*E781</f>
        <v>0</v>
      </c>
      <c r="F784" s="45">
        <f t="shared" ref="F784:H784" si="600">F781*F783</f>
        <v>0</v>
      </c>
      <c r="G784" s="45">
        <f t="shared" si="600"/>
        <v>3600</v>
      </c>
      <c r="H784" s="19">
        <f t="shared" si="600"/>
        <v>684</v>
      </c>
      <c r="I784" s="19">
        <f t="shared" ref="I784:N784" si="601">I781*I782</f>
        <v>1728.0000000000002</v>
      </c>
      <c r="J784" s="19">
        <f t="shared" si="601"/>
        <v>1000</v>
      </c>
      <c r="K784" s="19">
        <f t="shared" si="601"/>
        <v>375</v>
      </c>
      <c r="L784" s="19">
        <f t="shared" si="601"/>
        <v>526.5</v>
      </c>
      <c r="M784" s="19">
        <f t="shared" si="601"/>
        <v>1000</v>
      </c>
      <c r="N784" s="19">
        <f t="shared" si="601"/>
        <v>3168</v>
      </c>
      <c r="O784" s="19">
        <f>SUM(D784:N784)</f>
        <v>12081.5</v>
      </c>
      <c r="P784" s="24">
        <f>O784/A782</f>
        <v>12081.5</v>
      </c>
      <c r="Q784" s="24">
        <f>P784*Q781</f>
        <v>24163</v>
      </c>
      <c r="R784" s="19">
        <f>MROUND(Q784,100)</f>
        <v>24200</v>
      </c>
    </row>
    <row r="785" spans="1:18" ht="14.25" customHeight="1" x14ac:dyDescent="0.1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9"/>
      <c r="Q785" s="39"/>
    </row>
    <row r="786" spans="1:18" ht="14.25" customHeight="1" x14ac:dyDescent="0.3">
      <c r="A786" s="109" t="str">
        <f>PRICELIST!I116</f>
        <v>WFLX-LNR-S-PLM-900-G</v>
      </c>
      <c r="B786" s="87"/>
      <c r="C786" s="8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22"/>
      <c r="Q786" s="22"/>
      <c r="R786" s="17"/>
    </row>
    <row r="787" spans="1:18" ht="14.25" customHeight="1" x14ac:dyDescent="0.15">
      <c r="A787" s="19" t="s">
        <v>57</v>
      </c>
      <c r="B787" s="19" t="s">
        <v>59</v>
      </c>
      <c r="C787" s="19" t="s">
        <v>62</v>
      </c>
      <c r="D787" s="19" t="s">
        <v>64</v>
      </c>
      <c r="E787" s="19">
        <v>1200</v>
      </c>
      <c r="F787" s="19">
        <v>900</v>
      </c>
      <c r="G787" s="19">
        <v>600</v>
      </c>
      <c r="H787" s="19" t="s">
        <v>67</v>
      </c>
      <c r="I787" s="19" t="s">
        <v>68</v>
      </c>
      <c r="J787" s="19" t="s">
        <v>69</v>
      </c>
      <c r="K787" s="19" t="s">
        <v>71</v>
      </c>
      <c r="L787" s="19" t="s">
        <v>72</v>
      </c>
      <c r="M787" s="19" t="s">
        <v>73</v>
      </c>
      <c r="N787" s="19" t="s">
        <v>75</v>
      </c>
      <c r="O787" s="19" t="s">
        <v>76</v>
      </c>
      <c r="P787" s="24" t="s">
        <v>78</v>
      </c>
      <c r="Q787" s="24" t="s">
        <v>79</v>
      </c>
      <c r="R787" s="19" t="s">
        <v>81</v>
      </c>
    </row>
    <row r="788" spans="1:18" ht="14.25" customHeight="1" x14ac:dyDescent="0.15">
      <c r="A788" s="21">
        <f t="shared" ref="A788:B788" si="602">A781</f>
        <v>0</v>
      </c>
      <c r="B788" s="21">
        <f t="shared" si="602"/>
        <v>0</v>
      </c>
      <c r="C788" s="44" t="s">
        <v>188</v>
      </c>
      <c r="D788" s="21">
        <f t="shared" ref="D788:H788" si="603">D781</f>
        <v>0</v>
      </c>
      <c r="E788" s="23" t="str">
        <f t="shared" si="603"/>
        <v>2100</v>
      </c>
      <c r="F788" s="23" t="str">
        <f t="shared" si="603"/>
        <v>1900</v>
      </c>
      <c r="G788" s="23" t="str">
        <f t="shared" si="603"/>
        <v>1800</v>
      </c>
      <c r="H788" s="23">
        <f t="shared" si="603"/>
        <v>380</v>
      </c>
      <c r="I788" s="23" t="str">
        <f>I767</f>
        <v>5500</v>
      </c>
      <c r="J788" s="23" t="str">
        <f t="shared" ref="J788:Q788" si="604">J781</f>
        <v>1000</v>
      </c>
      <c r="K788" s="23">
        <f t="shared" si="604"/>
        <v>375</v>
      </c>
      <c r="L788" s="23">
        <f t="shared" si="604"/>
        <v>585</v>
      </c>
      <c r="M788" s="23" t="str">
        <f t="shared" si="604"/>
        <v>1000</v>
      </c>
      <c r="N788" s="23">
        <f t="shared" si="604"/>
        <v>3300</v>
      </c>
      <c r="O788" s="23">
        <f t="shared" si="604"/>
        <v>0</v>
      </c>
      <c r="P788" s="27">
        <f t="shared" si="604"/>
        <v>0</v>
      </c>
      <c r="Q788" s="27">
        <f t="shared" si="604"/>
        <v>2</v>
      </c>
      <c r="R788" s="21"/>
    </row>
    <row r="789" spans="1:18" ht="14.25" customHeight="1" x14ac:dyDescent="0.15">
      <c r="A789" s="19">
        <v>1</v>
      </c>
      <c r="B789" s="19">
        <v>0.9</v>
      </c>
      <c r="C789" s="19">
        <f>0.6+0.3</f>
        <v>0.89999999999999991</v>
      </c>
      <c r="D789" s="19">
        <f>B789*C789</f>
        <v>0.80999999999999994</v>
      </c>
      <c r="E789" s="19"/>
      <c r="F789" s="19"/>
      <c r="G789" s="19"/>
      <c r="H789" s="19"/>
      <c r="I789" s="19">
        <f>B789*0.4</f>
        <v>0.36000000000000004</v>
      </c>
      <c r="J789" s="19">
        <v>1</v>
      </c>
      <c r="K789" s="19">
        <f t="shared" ref="K789:L789" si="605">A789</f>
        <v>1</v>
      </c>
      <c r="L789" s="19">
        <f t="shared" si="605"/>
        <v>0.9</v>
      </c>
      <c r="M789" s="19">
        <f>A789</f>
        <v>1</v>
      </c>
      <c r="N789" s="19">
        <f>(1.2*0.4)*2</f>
        <v>0.96</v>
      </c>
      <c r="O789" s="19"/>
      <c r="P789" s="24"/>
      <c r="Q789" s="24"/>
      <c r="R789" s="19"/>
    </row>
    <row r="790" spans="1:18" ht="14.25" customHeight="1" x14ac:dyDescent="0.2">
      <c r="A790" s="19"/>
      <c r="B790" s="19"/>
      <c r="C790" s="19"/>
      <c r="D790" s="26" t="str">
        <f>D671</f>
        <v>3000</v>
      </c>
      <c r="E790" s="45">
        <v>0</v>
      </c>
      <c r="F790" s="45">
        <v>0</v>
      </c>
      <c r="G790" s="45">
        <v>2</v>
      </c>
      <c r="H790" s="19">
        <f>B789*2</f>
        <v>1.8</v>
      </c>
      <c r="I790" s="19"/>
      <c r="J790" s="19"/>
      <c r="K790" s="19"/>
      <c r="L790" s="19"/>
      <c r="M790" s="19"/>
      <c r="N790" s="28"/>
      <c r="O790" s="19"/>
      <c r="P790" s="24"/>
      <c r="Q790" s="24"/>
      <c r="R790" s="19"/>
    </row>
    <row r="791" spans="1:18" ht="14.25" customHeight="1" x14ac:dyDescent="0.2">
      <c r="A791" s="19"/>
      <c r="B791" s="19"/>
      <c r="C791" s="19"/>
      <c r="D791" s="19">
        <f>D789*D790</f>
        <v>2430</v>
      </c>
      <c r="E791" s="45">
        <f>E790*E788</f>
        <v>0</v>
      </c>
      <c r="F791" s="45">
        <f t="shared" ref="F791:H791" si="606">F788*F790</f>
        <v>0</v>
      </c>
      <c r="G791" s="45">
        <f t="shared" si="606"/>
        <v>3600</v>
      </c>
      <c r="H791" s="19">
        <f t="shared" si="606"/>
        <v>684</v>
      </c>
      <c r="I791" s="19">
        <f t="shared" ref="I791:N791" si="607">I788*I789</f>
        <v>1980.0000000000002</v>
      </c>
      <c r="J791" s="19">
        <f t="shared" si="607"/>
        <v>1000</v>
      </c>
      <c r="K791" s="19">
        <f t="shared" si="607"/>
        <v>375</v>
      </c>
      <c r="L791" s="19">
        <f t="shared" si="607"/>
        <v>526.5</v>
      </c>
      <c r="M791" s="19">
        <f t="shared" si="607"/>
        <v>1000</v>
      </c>
      <c r="N791" s="19">
        <f t="shared" si="607"/>
        <v>3168</v>
      </c>
      <c r="O791" s="19">
        <f>SUM(D791:N791)</f>
        <v>14763.5</v>
      </c>
      <c r="P791" s="24">
        <f>O791/A789</f>
        <v>14763.5</v>
      </c>
      <c r="Q791" s="24">
        <f>P791*Q788</f>
        <v>29527</v>
      </c>
      <c r="R791" s="19">
        <f>MROUND(Q791,100)</f>
        <v>29500</v>
      </c>
    </row>
    <row r="792" spans="1:18" ht="14.25" customHeight="1" x14ac:dyDescent="0.1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9"/>
      <c r="Q792" s="39"/>
    </row>
    <row r="793" spans="1:18" ht="14.25" customHeight="1" x14ac:dyDescent="0.3">
      <c r="A793" s="109" t="str">
        <f>PRICELIST!I117</f>
        <v>WFLX-LNR-S-PLM-900-X</v>
      </c>
      <c r="B793" s="87"/>
      <c r="C793" s="8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22"/>
      <c r="Q793" s="22"/>
      <c r="R793" s="17"/>
    </row>
    <row r="794" spans="1:18" ht="14.25" customHeight="1" x14ac:dyDescent="0.15">
      <c r="A794" s="19" t="s">
        <v>57</v>
      </c>
      <c r="B794" s="19" t="s">
        <v>59</v>
      </c>
      <c r="C794" s="19" t="s">
        <v>62</v>
      </c>
      <c r="D794" s="19" t="s">
        <v>64</v>
      </c>
      <c r="E794" s="19">
        <v>1200</v>
      </c>
      <c r="F794" s="19">
        <v>900</v>
      </c>
      <c r="G794" s="19">
        <v>600</v>
      </c>
      <c r="H794" s="19" t="s">
        <v>67</v>
      </c>
      <c r="I794" s="19" t="s">
        <v>68</v>
      </c>
      <c r="J794" s="19" t="s">
        <v>69</v>
      </c>
      <c r="K794" s="19" t="s">
        <v>71</v>
      </c>
      <c r="L794" s="19" t="s">
        <v>72</v>
      </c>
      <c r="M794" s="19" t="s">
        <v>73</v>
      </c>
      <c r="N794" s="19" t="s">
        <v>75</v>
      </c>
      <c r="O794" s="19" t="s">
        <v>76</v>
      </c>
      <c r="P794" s="24" t="s">
        <v>78</v>
      </c>
      <c r="Q794" s="24" t="s">
        <v>79</v>
      </c>
      <c r="R794" s="19" t="s">
        <v>81</v>
      </c>
    </row>
    <row r="795" spans="1:18" ht="14.25" customHeight="1" x14ac:dyDescent="0.15">
      <c r="A795" s="21">
        <f t="shared" ref="A795:B795" si="608">A788</f>
        <v>0</v>
      </c>
      <c r="B795" s="21">
        <f t="shared" si="608"/>
        <v>0</v>
      </c>
      <c r="C795" s="44" t="s">
        <v>188</v>
      </c>
      <c r="D795" s="21">
        <f t="shared" ref="D795:H795" si="609">D788</f>
        <v>0</v>
      </c>
      <c r="E795" s="23" t="str">
        <f t="shared" si="609"/>
        <v>2100</v>
      </c>
      <c r="F795" s="23" t="str">
        <f t="shared" si="609"/>
        <v>1900</v>
      </c>
      <c r="G795" s="23" t="str">
        <f t="shared" si="609"/>
        <v>1800</v>
      </c>
      <c r="H795" s="23">
        <f t="shared" si="609"/>
        <v>380</v>
      </c>
      <c r="I795" s="23" t="str">
        <f>I774</f>
        <v>0</v>
      </c>
      <c r="J795" s="23" t="str">
        <f t="shared" ref="J795:Q795" si="610">J788</f>
        <v>1000</v>
      </c>
      <c r="K795" s="23">
        <f t="shared" si="610"/>
        <v>375</v>
      </c>
      <c r="L795" s="23">
        <f t="shared" si="610"/>
        <v>585</v>
      </c>
      <c r="M795" s="23" t="str">
        <f t="shared" si="610"/>
        <v>1000</v>
      </c>
      <c r="N795" s="23">
        <f t="shared" si="610"/>
        <v>3300</v>
      </c>
      <c r="O795" s="23">
        <f t="shared" si="610"/>
        <v>0</v>
      </c>
      <c r="P795" s="27">
        <f t="shared" si="610"/>
        <v>0</v>
      </c>
      <c r="Q795" s="27">
        <f t="shared" si="610"/>
        <v>2</v>
      </c>
      <c r="R795" s="21"/>
    </row>
    <row r="796" spans="1:18" ht="14.25" customHeight="1" x14ac:dyDescent="0.15">
      <c r="A796" s="19">
        <v>1</v>
      </c>
      <c r="B796" s="19">
        <v>0.9</v>
      </c>
      <c r="C796" s="19">
        <f>0.6+0.3</f>
        <v>0.89999999999999991</v>
      </c>
      <c r="D796" s="19">
        <f>B796*C796</f>
        <v>0.80999999999999994</v>
      </c>
      <c r="E796" s="19"/>
      <c r="F796" s="19"/>
      <c r="G796" s="19"/>
      <c r="H796" s="19"/>
      <c r="I796" s="19">
        <f>B796*0.4</f>
        <v>0.36000000000000004</v>
      </c>
      <c r="J796" s="19">
        <v>1</v>
      </c>
      <c r="K796" s="19">
        <f t="shared" ref="K796:L796" si="611">A796</f>
        <v>1</v>
      </c>
      <c r="L796" s="19">
        <f t="shared" si="611"/>
        <v>0.9</v>
      </c>
      <c r="M796" s="19">
        <f>A796</f>
        <v>1</v>
      </c>
      <c r="N796" s="19">
        <f>(1.2*0.4)*2</f>
        <v>0.96</v>
      </c>
      <c r="O796" s="19"/>
      <c r="P796" s="24"/>
      <c r="Q796" s="24"/>
      <c r="R796" s="19"/>
    </row>
    <row r="797" spans="1:18" ht="14.25" customHeight="1" x14ac:dyDescent="0.2">
      <c r="A797" s="19"/>
      <c r="B797" s="19"/>
      <c r="C797" s="19"/>
      <c r="D797" s="26" t="str">
        <f>D657</f>
        <v>3000</v>
      </c>
      <c r="E797" s="45">
        <v>0</v>
      </c>
      <c r="F797" s="45">
        <v>0</v>
      </c>
      <c r="G797" s="45">
        <v>2</v>
      </c>
      <c r="H797" s="19">
        <f>B796*2</f>
        <v>1.8</v>
      </c>
      <c r="I797" s="19"/>
      <c r="J797" s="19"/>
      <c r="K797" s="19"/>
      <c r="L797" s="19"/>
      <c r="M797" s="19"/>
      <c r="N797" s="28"/>
      <c r="O797" s="19"/>
      <c r="P797" s="24"/>
      <c r="Q797" s="24"/>
      <c r="R797" s="19"/>
    </row>
    <row r="798" spans="1:18" ht="14.25" customHeight="1" x14ac:dyDescent="0.2">
      <c r="A798" s="19"/>
      <c r="B798" s="19"/>
      <c r="C798" s="19"/>
      <c r="D798" s="19">
        <f>D796*D797</f>
        <v>2430</v>
      </c>
      <c r="E798" s="45">
        <f>E797*E795</f>
        <v>0</v>
      </c>
      <c r="F798" s="45">
        <f t="shared" ref="F798:H798" si="612">F795*F797</f>
        <v>0</v>
      </c>
      <c r="G798" s="45">
        <f t="shared" si="612"/>
        <v>3600</v>
      </c>
      <c r="H798" s="19">
        <f t="shared" si="612"/>
        <v>684</v>
      </c>
      <c r="I798" s="19">
        <f t="shared" ref="I798:N798" si="613">I795*I796</f>
        <v>0</v>
      </c>
      <c r="J798" s="19">
        <f t="shared" si="613"/>
        <v>1000</v>
      </c>
      <c r="K798" s="19">
        <f t="shared" si="613"/>
        <v>375</v>
      </c>
      <c r="L798" s="19">
        <f t="shared" si="613"/>
        <v>526.5</v>
      </c>
      <c r="M798" s="19">
        <f t="shared" si="613"/>
        <v>1000</v>
      </c>
      <c r="N798" s="19">
        <f t="shared" si="613"/>
        <v>3168</v>
      </c>
      <c r="O798" s="19">
        <f>SUM(D798:N798)</f>
        <v>12783.5</v>
      </c>
      <c r="P798" s="24">
        <f>O798/A796</f>
        <v>12783.5</v>
      </c>
      <c r="Q798" s="24">
        <f>P798*Q795</f>
        <v>25567</v>
      </c>
      <c r="R798" s="19">
        <f>MROUND(Q798,100)</f>
        <v>25600</v>
      </c>
    </row>
    <row r="799" spans="1:18" ht="14.25" customHeight="1" x14ac:dyDescent="0.1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9"/>
      <c r="Q799" s="39"/>
    </row>
    <row r="800" spans="1:18" ht="14.25" customHeight="1" x14ac:dyDescent="0.3">
      <c r="A800" s="109" t="str">
        <f>PRICELIST!I118</f>
        <v>WFLX-LNR-S-PoLM-900-F</v>
      </c>
      <c r="B800" s="87"/>
      <c r="C800" s="8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22"/>
      <c r="Q800" s="22"/>
      <c r="R800" s="17"/>
    </row>
    <row r="801" spans="1:18" ht="14.25" customHeight="1" x14ac:dyDescent="0.15">
      <c r="A801" s="19" t="s">
        <v>57</v>
      </c>
      <c r="B801" s="19" t="s">
        <v>59</v>
      </c>
      <c r="C801" s="19" t="s">
        <v>62</v>
      </c>
      <c r="D801" s="19" t="s">
        <v>64</v>
      </c>
      <c r="E801" s="19">
        <v>1200</v>
      </c>
      <c r="F801" s="19">
        <v>900</v>
      </c>
      <c r="G801" s="19">
        <v>600</v>
      </c>
      <c r="H801" s="19" t="s">
        <v>67</v>
      </c>
      <c r="I801" s="19" t="s">
        <v>68</v>
      </c>
      <c r="J801" s="19" t="s">
        <v>69</v>
      </c>
      <c r="K801" s="19" t="s">
        <v>71</v>
      </c>
      <c r="L801" s="19" t="s">
        <v>72</v>
      </c>
      <c r="M801" s="19" t="s">
        <v>73</v>
      </c>
      <c r="N801" s="19" t="s">
        <v>75</v>
      </c>
      <c r="O801" s="19" t="s">
        <v>76</v>
      </c>
      <c r="P801" s="24" t="s">
        <v>78</v>
      </c>
      <c r="Q801" s="24" t="s">
        <v>79</v>
      </c>
      <c r="R801" s="19" t="s">
        <v>81</v>
      </c>
    </row>
    <row r="802" spans="1:18" ht="14.25" customHeight="1" x14ac:dyDescent="0.15">
      <c r="A802" s="21">
        <f t="shared" ref="A802:B802" si="614">A795</f>
        <v>0</v>
      </c>
      <c r="B802" s="21">
        <f t="shared" si="614"/>
        <v>0</v>
      </c>
      <c r="C802" s="44" t="s">
        <v>188</v>
      </c>
      <c r="D802" s="21">
        <f t="shared" ref="D802:H802" si="615">D795</f>
        <v>0</v>
      </c>
      <c r="E802" s="23" t="str">
        <f t="shared" si="615"/>
        <v>2100</v>
      </c>
      <c r="F802" s="23" t="str">
        <f t="shared" si="615"/>
        <v>1900</v>
      </c>
      <c r="G802" s="23" t="str">
        <f t="shared" si="615"/>
        <v>1800</v>
      </c>
      <c r="H802" s="23">
        <f t="shared" si="615"/>
        <v>380</v>
      </c>
      <c r="I802" s="23" t="str">
        <f>I781</f>
        <v>4800</v>
      </c>
      <c r="J802" s="23" t="str">
        <f t="shared" ref="J802:Q802" si="616">J795</f>
        <v>1000</v>
      </c>
      <c r="K802" s="23">
        <f t="shared" si="616"/>
        <v>375</v>
      </c>
      <c r="L802" s="23">
        <f t="shared" si="616"/>
        <v>585</v>
      </c>
      <c r="M802" s="23" t="str">
        <f t="shared" si="616"/>
        <v>1000</v>
      </c>
      <c r="N802" s="23">
        <f t="shared" si="616"/>
        <v>3300</v>
      </c>
      <c r="O802" s="23">
        <f t="shared" si="616"/>
        <v>0</v>
      </c>
      <c r="P802" s="27">
        <f t="shared" si="616"/>
        <v>0</v>
      </c>
      <c r="Q802" s="27">
        <f t="shared" si="616"/>
        <v>2</v>
      </c>
      <c r="R802" s="21"/>
    </row>
    <row r="803" spans="1:18" ht="14.25" customHeight="1" x14ac:dyDescent="0.15">
      <c r="A803" s="19">
        <v>1</v>
      </c>
      <c r="B803" s="19">
        <v>0.9</v>
      </c>
      <c r="C803" s="19">
        <f>0.6+0.3</f>
        <v>0.89999999999999991</v>
      </c>
      <c r="D803" s="19">
        <f>B803*C803</f>
        <v>0.80999999999999994</v>
      </c>
      <c r="E803" s="19"/>
      <c r="F803" s="19"/>
      <c r="G803" s="19"/>
      <c r="H803" s="19"/>
      <c r="I803" s="19">
        <f>B803*0.4</f>
        <v>0.36000000000000004</v>
      </c>
      <c r="J803" s="19">
        <v>1</v>
      </c>
      <c r="K803" s="19">
        <f t="shared" ref="K803:L803" si="617">A803</f>
        <v>1</v>
      </c>
      <c r="L803" s="19">
        <f t="shared" si="617"/>
        <v>0.9</v>
      </c>
      <c r="M803" s="19">
        <f>A803</f>
        <v>1</v>
      </c>
      <c r="N803" s="19">
        <f>(1.2*0.4)*2</f>
        <v>0.96</v>
      </c>
      <c r="O803" s="19"/>
      <c r="P803" s="24"/>
      <c r="Q803" s="24"/>
      <c r="R803" s="19"/>
    </row>
    <row r="804" spans="1:18" ht="14.25" customHeight="1" x14ac:dyDescent="0.2">
      <c r="A804" s="19"/>
      <c r="B804" s="19"/>
      <c r="C804" s="19"/>
      <c r="D804" s="26">
        <f>'MASTER DATA'!C435</f>
        <v>0</v>
      </c>
      <c r="E804" s="45">
        <v>0</v>
      </c>
      <c r="F804" s="45">
        <v>0</v>
      </c>
      <c r="G804" s="45">
        <v>2</v>
      </c>
      <c r="H804" s="19">
        <f>B803*2</f>
        <v>1.8</v>
      </c>
      <c r="I804" s="19"/>
      <c r="J804" s="19"/>
      <c r="K804" s="19"/>
      <c r="L804" s="19"/>
      <c r="M804" s="19"/>
      <c r="N804" s="28"/>
      <c r="O804" s="19"/>
      <c r="P804" s="24"/>
      <c r="Q804" s="24"/>
      <c r="R804" s="19"/>
    </row>
    <row r="805" spans="1:18" ht="14.25" customHeight="1" x14ac:dyDescent="0.2">
      <c r="A805" s="19"/>
      <c r="B805" s="19"/>
      <c r="C805" s="19"/>
      <c r="D805" s="19">
        <f>D803*D804</f>
        <v>0</v>
      </c>
      <c r="E805" s="45">
        <f>E804*E802</f>
        <v>0</v>
      </c>
      <c r="F805" s="45">
        <f t="shared" ref="F805:H805" si="618">F802*F804</f>
        <v>0</v>
      </c>
      <c r="G805" s="45">
        <f t="shared" si="618"/>
        <v>3600</v>
      </c>
      <c r="H805" s="19">
        <f t="shared" si="618"/>
        <v>684</v>
      </c>
      <c r="I805" s="19">
        <f t="shared" ref="I805:N805" si="619">I802*I803</f>
        <v>1728.0000000000002</v>
      </c>
      <c r="J805" s="19">
        <f t="shared" si="619"/>
        <v>1000</v>
      </c>
      <c r="K805" s="19">
        <f t="shared" si="619"/>
        <v>375</v>
      </c>
      <c r="L805" s="19">
        <f t="shared" si="619"/>
        <v>526.5</v>
      </c>
      <c r="M805" s="19">
        <f t="shared" si="619"/>
        <v>1000</v>
      </c>
      <c r="N805" s="19">
        <f t="shared" si="619"/>
        <v>3168</v>
      </c>
      <c r="O805" s="19">
        <f>SUM(D805:N805)</f>
        <v>12081.5</v>
      </c>
      <c r="P805" s="24">
        <f>O805/A803</f>
        <v>12081.5</v>
      </c>
      <c r="Q805" s="24">
        <f>P805*Q802</f>
        <v>24163</v>
      </c>
      <c r="R805" s="19">
        <f>MROUND(Q805,100)</f>
        <v>24200</v>
      </c>
    </row>
    <row r="806" spans="1:18" ht="14.25" customHeight="1" x14ac:dyDescent="0.1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9"/>
      <c r="Q806" s="39"/>
    </row>
    <row r="807" spans="1:18" ht="14.25" customHeight="1" x14ac:dyDescent="0.3">
      <c r="A807" s="109" t="str">
        <f>PRICELIST!I119</f>
        <v>WFLX-LNR-S-PoLM-900-G</v>
      </c>
      <c r="B807" s="87"/>
      <c r="C807" s="8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22"/>
      <c r="Q807" s="22"/>
      <c r="R807" s="17"/>
    </row>
    <row r="808" spans="1:18" ht="14.25" customHeight="1" x14ac:dyDescent="0.15">
      <c r="A808" s="19" t="s">
        <v>57</v>
      </c>
      <c r="B808" s="19" t="s">
        <v>59</v>
      </c>
      <c r="C808" s="19" t="s">
        <v>62</v>
      </c>
      <c r="D808" s="19" t="s">
        <v>64</v>
      </c>
      <c r="E808" s="19">
        <v>1200</v>
      </c>
      <c r="F808" s="19">
        <v>900</v>
      </c>
      <c r="G808" s="19">
        <v>600</v>
      </c>
      <c r="H808" s="19" t="s">
        <v>67</v>
      </c>
      <c r="I808" s="19" t="s">
        <v>68</v>
      </c>
      <c r="J808" s="19" t="s">
        <v>69</v>
      </c>
      <c r="K808" s="19" t="s">
        <v>71</v>
      </c>
      <c r="L808" s="19" t="s">
        <v>72</v>
      </c>
      <c r="M808" s="19" t="s">
        <v>73</v>
      </c>
      <c r="N808" s="19" t="s">
        <v>75</v>
      </c>
      <c r="O808" s="19" t="s">
        <v>76</v>
      </c>
      <c r="P808" s="24" t="s">
        <v>78</v>
      </c>
      <c r="Q808" s="24" t="s">
        <v>79</v>
      </c>
      <c r="R808" s="19" t="s">
        <v>81</v>
      </c>
    </row>
    <row r="809" spans="1:18" ht="14.25" customHeight="1" x14ac:dyDescent="0.15">
      <c r="A809" s="21">
        <f t="shared" ref="A809:B809" si="620">A802</f>
        <v>0</v>
      </c>
      <c r="B809" s="21">
        <f t="shared" si="620"/>
        <v>0</v>
      </c>
      <c r="C809" s="44" t="s">
        <v>188</v>
      </c>
      <c r="D809" s="21">
        <f t="shared" ref="D809:H809" si="621">D802</f>
        <v>0</v>
      </c>
      <c r="E809" s="23" t="str">
        <f t="shared" si="621"/>
        <v>2100</v>
      </c>
      <c r="F809" s="23" t="str">
        <f t="shared" si="621"/>
        <v>1900</v>
      </c>
      <c r="G809" s="23" t="str">
        <f t="shared" si="621"/>
        <v>1800</v>
      </c>
      <c r="H809" s="23">
        <f t="shared" si="621"/>
        <v>380</v>
      </c>
      <c r="I809" s="23" t="str">
        <f>I788</f>
        <v>5500</v>
      </c>
      <c r="J809" s="23" t="str">
        <f t="shared" ref="J809:Q809" si="622">J802</f>
        <v>1000</v>
      </c>
      <c r="K809" s="23">
        <f t="shared" si="622"/>
        <v>375</v>
      </c>
      <c r="L809" s="23">
        <f t="shared" si="622"/>
        <v>585</v>
      </c>
      <c r="M809" s="23" t="str">
        <f t="shared" si="622"/>
        <v>1000</v>
      </c>
      <c r="N809" s="23">
        <f t="shared" si="622"/>
        <v>3300</v>
      </c>
      <c r="O809" s="23">
        <f t="shared" si="622"/>
        <v>0</v>
      </c>
      <c r="P809" s="27">
        <f t="shared" si="622"/>
        <v>0</v>
      </c>
      <c r="Q809" s="27">
        <f t="shared" si="622"/>
        <v>2</v>
      </c>
      <c r="R809" s="21"/>
    </row>
    <row r="810" spans="1:18" ht="14.25" customHeight="1" x14ac:dyDescent="0.15">
      <c r="A810" s="19">
        <v>1</v>
      </c>
      <c r="B810" s="19">
        <v>0.9</v>
      </c>
      <c r="C810" s="19">
        <f>0.6+0.3</f>
        <v>0.89999999999999991</v>
      </c>
      <c r="D810" s="19">
        <f>B810*C810</f>
        <v>0.80999999999999994</v>
      </c>
      <c r="E810" s="19"/>
      <c r="F810" s="19"/>
      <c r="G810" s="19"/>
      <c r="H810" s="19"/>
      <c r="I810" s="19">
        <f>B810*0.4</f>
        <v>0.36000000000000004</v>
      </c>
      <c r="J810" s="19">
        <v>1</v>
      </c>
      <c r="K810" s="19">
        <f t="shared" ref="K810:L810" si="623">A810</f>
        <v>1</v>
      </c>
      <c r="L810" s="19">
        <f t="shared" si="623"/>
        <v>0.9</v>
      </c>
      <c r="M810" s="19">
        <f>A810</f>
        <v>1</v>
      </c>
      <c r="N810" s="19">
        <f>(1.2*0.4)*2</f>
        <v>0.96</v>
      </c>
      <c r="O810" s="19"/>
      <c r="P810" s="24"/>
      <c r="Q810" s="24"/>
      <c r="R810" s="19"/>
    </row>
    <row r="811" spans="1:18" ht="14.25" customHeight="1" x14ac:dyDescent="0.2">
      <c r="A811" s="19"/>
      <c r="B811" s="19"/>
      <c r="C811" s="19"/>
      <c r="D811" s="26">
        <f>D804</f>
        <v>0</v>
      </c>
      <c r="E811" s="45">
        <v>0</v>
      </c>
      <c r="F811" s="45">
        <v>0</v>
      </c>
      <c r="G811" s="45">
        <v>2</v>
      </c>
      <c r="H811" s="19">
        <f>B810*2</f>
        <v>1.8</v>
      </c>
      <c r="I811" s="19"/>
      <c r="J811" s="19"/>
      <c r="K811" s="19"/>
      <c r="L811" s="19"/>
      <c r="M811" s="19"/>
      <c r="N811" s="28"/>
      <c r="O811" s="19"/>
      <c r="P811" s="24"/>
      <c r="Q811" s="24"/>
      <c r="R811" s="19"/>
    </row>
    <row r="812" spans="1:18" ht="14.25" customHeight="1" x14ac:dyDescent="0.2">
      <c r="A812" s="19"/>
      <c r="B812" s="19"/>
      <c r="C812" s="19"/>
      <c r="D812" s="19">
        <f>D810*D811</f>
        <v>0</v>
      </c>
      <c r="E812" s="45">
        <f>E811*E809</f>
        <v>0</v>
      </c>
      <c r="F812" s="45">
        <f t="shared" ref="F812:H812" si="624">F809*F811</f>
        <v>0</v>
      </c>
      <c r="G812" s="45">
        <f t="shared" si="624"/>
        <v>3600</v>
      </c>
      <c r="H812" s="19">
        <f t="shared" si="624"/>
        <v>684</v>
      </c>
      <c r="I812" s="19">
        <f t="shared" ref="I812:N812" si="625">I809*I810</f>
        <v>1980.0000000000002</v>
      </c>
      <c r="J812" s="19">
        <f t="shared" si="625"/>
        <v>1000</v>
      </c>
      <c r="K812" s="19">
        <f t="shared" si="625"/>
        <v>375</v>
      </c>
      <c r="L812" s="19">
        <f t="shared" si="625"/>
        <v>526.5</v>
      </c>
      <c r="M812" s="19">
        <f t="shared" si="625"/>
        <v>1000</v>
      </c>
      <c r="N812" s="19">
        <f t="shared" si="625"/>
        <v>3168</v>
      </c>
      <c r="O812" s="19">
        <f>SUM(D812:N812)</f>
        <v>12333.5</v>
      </c>
      <c r="P812" s="24">
        <f>O812/A810</f>
        <v>12333.5</v>
      </c>
      <c r="Q812" s="24">
        <f>P812*Q809</f>
        <v>24667</v>
      </c>
      <c r="R812" s="19">
        <f>MROUND(Q812,100)</f>
        <v>24700</v>
      </c>
    </row>
    <row r="813" spans="1:18" ht="14.25" customHeight="1" x14ac:dyDescent="0.1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9"/>
      <c r="Q813" s="39"/>
    </row>
    <row r="814" spans="1:18" ht="14.25" customHeight="1" x14ac:dyDescent="0.3">
      <c r="A814" s="109" t="str">
        <f>PRICELIST!I120</f>
        <v>WFLX-LNR-S-PoLM-900-X</v>
      </c>
      <c r="B814" s="87"/>
      <c r="C814" s="8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22"/>
      <c r="Q814" s="22"/>
      <c r="R814" s="17"/>
    </row>
    <row r="815" spans="1:18" ht="14.25" customHeight="1" x14ac:dyDescent="0.15">
      <c r="A815" s="19" t="s">
        <v>57</v>
      </c>
      <c r="B815" s="19" t="s">
        <v>59</v>
      </c>
      <c r="C815" s="19" t="s">
        <v>62</v>
      </c>
      <c r="D815" s="19" t="s">
        <v>64</v>
      </c>
      <c r="E815" s="19">
        <v>1200</v>
      </c>
      <c r="F815" s="19">
        <v>900</v>
      </c>
      <c r="G815" s="19">
        <v>600</v>
      </c>
      <c r="H815" s="19" t="s">
        <v>67</v>
      </c>
      <c r="I815" s="19" t="s">
        <v>68</v>
      </c>
      <c r="J815" s="19" t="s">
        <v>69</v>
      </c>
      <c r="K815" s="19" t="s">
        <v>71</v>
      </c>
      <c r="L815" s="19" t="s">
        <v>72</v>
      </c>
      <c r="M815" s="19" t="s">
        <v>73</v>
      </c>
      <c r="N815" s="19" t="s">
        <v>75</v>
      </c>
      <c r="O815" s="19" t="s">
        <v>76</v>
      </c>
      <c r="P815" s="24" t="s">
        <v>78</v>
      </c>
      <c r="Q815" s="24" t="s">
        <v>79</v>
      </c>
      <c r="R815" s="19" t="s">
        <v>81</v>
      </c>
    </row>
    <row r="816" spans="1:18" ht="14.25" customHeight="1" x14ac:dyDescent="0.15">
      <c r="A816" s="21">
        <f t="shared" ref="A816:B816" si="626">A809</f>
        <v>0</v>
      </c>
      <c r="B816" s="21">
        <f t="shared" si="626"/>
        <v>0</v>
      </c>
      <c r="C816" s="44" t="s">
        <v>188</v>
      </c>
      <c r="D816" s="21">
        <f t="shared" ref="D816:H816" si="627">D809</f>
        <v>0</v>
      </c>
      <c r="E816" s="23" t="str">
        <f t="shared" si="627"/>
        <v>2100</v>
      </c>
      <c r="F816" s="23" t="str">
        <f t="shared" si="627"/>
        <v>1900</v>
      </c>
      <c r="G816" s="23" t="str">
        <f t="shared" si="627"/>
        <v>1800</v>
      </c>
      <c r="H816" s="23">
        <f t="shared" si="627"/>
        <v>380</v>
      </c>
      <c r="I816" s="23" t="str">
        <f>I795</f>
        <v>0</v>
      </c>
      <c r="J816" s="23" t="str">
        <f t="shared" ref="J816:Q816" si="628">J809</f>
        <v>1000</v>
      </c>
      <c r="K816" s="23">
        <f t="shared" si="628"/>
        <v>375</v>
      </c>
      <c r="L816" s="23">
        <f t="shared" si="628"/>
        <v>585</v>
      </c>
      <c r="M816" s="23" t="str">
        <f t="shared" si="628"/>
        <v>1000</v>
      </c>
      <c r="N816" s="23">
        <f t="shared" si="628"/>
        <v>3300</v>
      </c>
      <c r="O816" s="23">
        <f t="shared" si="628"/>
        <v>0</v>
      </c>
      <c r="P816" s="27">
        <f t="shared" si="628"/>
        <v>0</v>
      </c>
      <c r="Q816" s="27">
        <f t="shared" si="628"/>
        <v>2</v>
      </c>
      <c r="R816" s="21"/>
    </row>
    <row r="817" spans="1:18" ht="14.25" customHeight="1" x14ac:dyDescent="0.15">
      <c r="A817" s="19">
        <v>1</v>
      </c>
      <c r="B817" s="19">
        <v>0.9</v>
      </c>
      <c r="C817" s="19">
        <f>0.6+0.3</f>
        <v>0.89999999999999991</v>
      </c>
      <c r="D817" s="19">
        <f>B817*C817</f>
        <v>0.80999999999999994</v>
      </c>
      <c r="E817" s="19"/>
      <c r="F817" s="19"/>
      <c r="G817" s="19"/>
      <c r="H817" s="19"/>
      <c r="I817" s="19">
        <f>B817*0.4</f>
        <v>0.36000000000000004</v>
      </c>
      <c r="J817" s="19">
        <v>1</v>
      </c>
      <c r="K817" s="19">
        <f t="shared" ref="K817:L817" si="629">A817</f>
        <v>1</v>
      </c>
      <c r="L817" s="19">
        <f t="shared" si="629"/>
        <v>0.9</v>
      </c>
      <c r="M817" s="19">
        <f>A817</f>
        <v>1</v>
      </c>
      <c r="N817" s="19">
        <f>(1.2*0.4)*2</f>
        <v>0.96</v>
      </c>
      <c r="O817" s="19"/>
      <c r="P817" s="24"/>
      <c r="Q817" s="24"/>
      <c r="R817" s="19"/>
    </row>
    <row r="818" spans="1:18" ht="14.25" customHeight="1" x14ac:dyDescent="0.2">
      <c r="A818" s="19"/>
      <c r="B818" s="19"/>
      <c r="C818" s="19"/>
      <c r="D818" s="26" t="str">
        <f>D692</f>
        <v>7500</v>
      </c>
      <c r="E818" s="45">
        <v>0</v>
      </c>
      <c r="F818" s="45">
        <v>0</v>
      </c>
      <c r="G818" s="45">
        <v>2</v>
      </c>
      <c r="H818" s="19">
        <f>B817*2</f>
        <v>1.8</v>
      </c>
      <c r="I818" s="19"/>
      <c r="J818" s="19"/>
      <c r="K818" s="19"/>
      <c r="L818" s="19"/>
      <c r="M818" s="19"/>
      <c r="N818" s="28"/>
      <c r="O818" s="19"/>
      <c r="P818" s="24"/>
      <c r="Q818" s="24"/>
      <c r="R818" s="19"/>
    </row>
    <row r="819" spans="1:18" ht="14.25" customHeight="1" x14ac:dyDescent="0.2">
      <c r="A819" s="19"/>
      <c r="B819" s="19"/>
      <c r="C819" s="19"/>
      <c r="D819" s="19">
        <f>D817*D818</f>
        <v>6075</v>
      </c>
      <c r="E819" s="45">
        <f>E818*E816</f>
        <v>0</v>
      </c>
      <c r="F819" s="45">
        <f t="shared" ref="F819:H819" si="630">F816*F818</f>
        <v>0</v>
      </c>
      <c r="G819" s="45">
        <f t="shared" si="630"/>
        <v>3600</v>
      </c>
      <c r="H819" s="19">
        <f t="shared" si="630"/>
        <v>684</v>
      </c>
      <c r="I819" s="19">
        <f t="shared" ref="I819:N819" si="631">I816*I817</f>
        <v>0</v>
      </c>
      <c r="J819" s="19">
        <f t="shared" si="631"/>
        <v>1000</v>
      </c>
      <c r="K819" s="19">
        <f t="shared" si="631"/>
        <v>375</v>
      </c>
      <c r="L819" s="19">
        <f t="shared" si="631"/>
        <v>526.5</v>
      </c>
      <c r="M819" s="19">
        <f t="shared" si="631"/>
        <v>1000</v>
      </c>
      <c r="N819" s="19">
        <f t="shared" si="631"/>
        <v>3168</v>
      </c>
      <c r="O819" s="19">
        <f>SUM(D819:N819)</f>
        <v>16428.5</v>
      </c>
      <c r="P819" s="24">
        <f>O819/A817</f>
        <v>16428.5</v>
      </c>
      <c r="Q819" s="24">
        <f>P819*Q816</f>
        <v>32857</v>
      </c>
      <c r="R819" s="19">
        <f>MROUND(Q819,100)</f>
        <v>32900</v>
      </c>
    </row>
    <row r="820" spans="1:18" ht="14.25" customHeight="1" x14ac:dyDescent="0.1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9"/>
      <c r="Q820" s="39"/>
    </row>
    <row r="821" spans="1:18" ht="14.25" customHeight="1" x14ac:dyDescent="0.3">
      <c r="A821" s="109" t="str">
        <f>PRICELIST!I121</f>
        <v>WFLX-LNR-S-LVM-900-F</v>
      </c>
      <c r="B821" s="87"/>
      <c r="C821" s="8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22"/>
      <c r="Q821" s="22"/>
      <c r="R821" s="17"/>
    </row>
    <row r="822" spans="1:18" ht="14.25" customHeight="1" x14ac:dyDescent="0.15">
      <c r="A822" s="19" t="s">
        <v>57</v>
      </c>
      <c r="B822" s="19" t="s">
        <v>59</v>
      </c>
      <c r="C822" s="19" t="s">
        <v>62</v>
      </c>
      <c r="D822" s="19" t="s">
        <v>64</v>
      </c>
      <c r="E822" s="19">
        <v>1200</v>
      </c>
      <c r="F822" s="19">
        <v>900</v>
      </c>
      <c r="G822" s="19">
        <v>600</v>
      </c>
      <c r="H822" s="19" t="s">
        <v>67</v>
      </c>
      <c r="I822" s="19" t="s">
        <v>68</v>
      </c>
      <c r="J822" s="19" t="s">
        <v>69</v>
      </c>
      <c r="K822" s="19" t="s">
        <v>71</v>
      </c>
      <c r="L822" s="19" t="s">
        <v>72</v>
      </c>
      <c r="M822" s="19" t="s">
        <v>73</v>
      </c>
      <c r="N822" s="19" t="s">
        <v>75</v>
      </c>
      <c r="O822" s="19" t="s">
        <v>76</v>
      </c>
      <c r="P822" s="24" t="s">
        <v>78</v>
      </c>
      <c r="Q822" s="24" t="s">
        <v>79</v>
      </c>
      <c r="R822" s="19" t="s">
        <v>81</v>
      </c>
    </row>
    <row r="823" spans="1:18" ht="14.25" customHeight="1" x14ac:dyDescent="0.15">
      <c r="A823" s="21">
        <f t="shared" ref="A823:B823" si="632">A816</f>
        <v>0</v>
      </c>
      <c r="B823" s="21">
        <f t="shared" si="632"/>
        <v>0</v>
      </c>
      <c r="C823" s="44" t="s">
        <v>188</v>
      </c>
      <c r="D823" s="21">
        <f t="shared" ref="D823:H823" si="633">D816</f>
        <v>0</v>
      </c>
      <c r="E823" s="23" t="str">
        <f t="shared" si="633"/>
        <v>2100</v>
      </c>
      <c r="F823" s="23" t="str">
        <f t="shared" si="633"/>
        <v>1900</v>
      </c>
      <c r="G823" s="23" t="str">
        <f t="shared" si="633"/>
        <v>1800</v>
      </c>
      <c r="H823" s="23">
        <f t="shared" si="633"/>
        <v>380</v>
      </c>
      <c r="I823" s="23" t="str">
        <f>I802</f>
        <v>4800</v>
      </c>
      <c r="J823" s="23" t="str">
        <f t="shared" ref="J823:Q823" si="634">J816</f>
        <v>1000</v>
      </c>
      <c r="K823" s="23">
        <f t="shared" si="634"/>
        <v>375</v>
      </c>
      <c r="L823" s="23">
        <f t="shared" si="634"/>
        <v>585</v>
      </c>
      <c r="M823" s="23" t="str">
        <f t="shared" si="634"/>
        <v>1000</v>
      </c>
      <c r="N823" s="23">
        <f t="shared" si="634"/>
        <v>3300</v>
      </c>
      <c r="O823" s="23">
        <f t="shared" si="634"/>
        <v>0</v>
      </c>
      <c r="P823" s="27">
        <f t="shared" si="634"/>
        <v>0</v>
      </c>
      <c r="Q823" s="27">
        <f t="shared" si="634"/>
        <v>2</v>
      </c>
      <c r="R823" s="21"/>
    </row>
    <row r="824" spans="1:18" ht="14.25" customHeight="1" x14ac:dyDescent="0.15">
      <c r="A824" s="19">
        <v>1</v>
      </c>
      <c r="B824" s="19">
        <v>0.9</v>
      </c>
      <c r="C824" s="19">
        <f>0.6+0.3</f>
        <v>0.89999999999999991</v>
      </c>
      <c r="D824" s="19">
        <f>B824*C824</f>
        <v>0.80999999999999994</v>
      </c>
      <c r="E824" s="19"/>
      <c r="F824" s="19"/>
      <c r="G824" s="19"/>
      <c r="H824" s="19"/>
      <c r="I824" s="19">
        <f>B824*0.4</f>
        <v>0.36000000000000004</v>
      </c>
      <c r="J824" s="19">
        <v>1</v>
      </c>
      <c r="K824" s="19">
        <f t="shared" ref="K824:L824" si="635">A824</f>
        <v>1</v>
      </c>
      <c r="L824" s="19">
        <f t="shared" si="635"/>
        <v>0.9</v>
      </c>
      <c r="M824" s="19">
        <f>A824</f>
        <v>1</v>
      </c>
      <c r="N824" s="19">
        <f>(1.2*0.4)*2</f>
        <v>0.96</v>
      </c>
      <c r="O824" s="19"/>
      <c r="P824" s="24"/>
      <c r="Q824" s="24"/>
      <c r="R824" s="19"/>
    </row>
    <row r="825" spans="1:18" ht="14.25" customHeight="1" x14ac:dyDescent="0.2">
      <c r="A825" s="19"/>
      <c r="B825" s="19"/>
      <c r="C825" s="19"/>
      <c r="D825" s="26" t="str">
        <f>D706</f>
        <v>9500</v>
      </c>
      <c r="E825" s="45">
        <v>0</v>
      </c>
      <c r="F825" s="45">
        <v>0</v>
      </c>
      <c r="G825" s="45">
        <v>2</v>
      </c>
      <c r="H825" s="19">
        <f>B824*2</f>
        <v>1.8</v>
      </c>
      <c r="I825" s="19"/>
      <c r="J825" s="19"/>
      <c r="K825" s="19"/>
      <c r="L825" s="19"/>
      <c r="M825" s="19"/>
      <c r="N825" s="28"/>
      <c r="O825" s="19"/>
      <c r="P825" s="24"/>
      <c r="Q825" s="24"/>
      <c r="R825" s="19"/>
    </row>
    <row r="826" spans="1:18" ht="14.25" customHeight="1" x14ac:dyDescent="0.2">
      <c r="A826" s="19"/>
      <c r="B826" s="19"/>
      <c r="C826" s="19"/>
      <c r="D826" s="19">
        <f>D824*D825</f>
        <v>7694.9999999999991</v>
      </c>
      <c r="E826" s="45">
        <f>E825*E823</f>
        <v>0</v>
      </c>
      <c r="F826" s="45">
        <f t="shared" ref="F826:H826" si="636">F823*F825</f>
        <v>0</v>
      </c>
      <c r="G826" s="45">
        <f t="shared" si="636"/>
        <v>3600</v>
      </c>
      <c r="H826" s="19">
        <f t="shared" si="636"/>
        <v>684</v>
      </c>
      <c r="I826" s="19">
        <f t="shared" ref="I826:N826" si="637">I823*I824</f>
        <v>1728.0000000000002</v>
      </c>
      <c r="J826" s="19">
        <f t="shared" si="637"/>
        <v>1000</v>
      </c>
      <c r="K826" s="19">
        <f t="shared" si="637"/>
        <v>375</v>
      </c>
      <c r="L826" s="19">
        <f t="shared" si="637"/>
        <v>526.5</v>
      </c>
      <c r="M826" s="19">
        <f t="shared" si="637"/>
        <v>1000</v>
      </c>
      <c r="N826" s="19">
        <f t="shared" si="637"/>
        <v>3168</v>
      </c>
      <c r="O826" s="19">
        <f>SUM(D826:N826)</f>
        <v>19776.5</v>
      </c>
      <c r="P826" s="24">
        <f>O826/A824</f>
        <v>19776.5</v>
      </c>
      <c r="Q826" s="24">
        <f>P826*Q823</f>
        <v>39553</v>
      </c>
      <c r="R826" s="19">
        <f>MROUND(Q826,100)</f>
        <v>39600</v>
      </c>
    </row>
    <row r="827" spans="1:18" ht="14.25" customHeight="1" x14ac:dyDescent="0.1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9"/>
      <c r="Q827" s="39"/>
    </row>
    <row r="828" spans="1:18" ht="14.25" customHeight="1" x14ac:dyDescent="0.3">
      <c r="A828" s="109" t="str">
        <f>PRICELIST!I122</f>
        <v>WFLX-LNR-S-LVM-900-G</v>
      </c>
      <c r="B828" s="87"/>
      <c r="C828" s="8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22"/>
      <c r="Q828" s="22"/>
      <c r="R828" s="17"/>
    </row>
    <row r="829" spans="1:18" ht="14.25" customHeight="1" x14ac:dyDescent="0.15">
      <c r="A829" s="19" t="s">
        <v>57</v>
      </c>
      <c r="B829" s="19" t="s">
        <v>59</v>
      </c>
      <c r="C829" s="19" t="s">
        <v>62</v>
      </c>
      <c r="D829" s="19" t="s">
        <v>64</v>
      </c>
      <c r="E829" s="19">
        <v>1200</v>
      </c>
      <c r="F829" s="19">
        <v>900</v>
      </c>
      <c r="G829" s="19">
        <v>600</v>
      </c>
      <c r="H829" s="19" t="s">
        <v>67</v>
      </c>
      <c r="I829" s="19" t="s">
        <v>68</v>
      </c>
      <c r="J829" s="19" t="s">
        <v>69</v>
      </c>
      <c r="K829" s="19" t="s">
        <v>71</v>
      </c>
      <c r="L829" s="19" t="s">
        <v>72</v>
      </c>
      <c r="M829" s="19" t="s">
        <v>73</v>
      </c>
      <c r="N829" s="19" t="s">
        <v>75</v>
      </c>
      <c r="O829" s="19" t="s">
        <v>76</v>
      </c>
      <c r="P829" s="24" t="s">
        <v>78</v>
      </c>
      <c r="Q829" s="24" t="s">
        <v>79</v>
      </c>
      <c r="R829" s="19" t="s">
        <v>81</v>
      </c>
    </row>
    <row r="830" spans="1:18" ht="14.25" customHeight="1" x14ac:dyDescent="0.15">
      <c r="A830" s="21">
        <f t="shared" ref="A830:B830" si="638">A823</f>
        <v>0</v>
      </c>
      <c r="B830" s="21">
        <f t="shared" si="638"/>
        <v>0</v>
      </c>
      <c r="C830" s="44" t="s">
        <v>188</v>
      </c>
      <c r="D830" s="21">
        <f t="shared" ref="D830:H830" si="639">D823</f>
        <v>0</v>
      </c>
      <c r="E830" s="23" t="str">
        <f t="shared" si="639"/>
        <v>2100</v>
      </c>
      <c r="F830" s="23" t="str">
        <f t="shared" si="639"/>
        <v>1900</v>
      </c>
      <c r="G830" s="23" t="str">
        <f t="shared" si="639"/>
        <v>1800</v>
      </c>
      <c r="H830" s="23">
        <f t="shared" si="639"/>
        <v>380</v>
      </c>
      <c r="I830" s="23" t="str">
        <f>I809</f>
        <v>5500</v>
      </c>
      <c r="J830" s="23" t="str">
        <f t="shared" ref="J830:Q830" si="640">J823</f>
        <v>1000</v>
      </c>
      <c r="K830" s="23">
        <f t="shared" si="640"/>
        <v>375</v>
      </c>
      <c r="L830" s="23">
        <f t="shared" si="640"/>
        <v>585</v>
      </c>
      <c r="M830" s="23" t="str">
        <f t="shared" si="640"/>
        <v>1000</v>
      </c>
      <c r="N830" s="23">
        <f t="shared" si="640"/>
        <v>3300</v>
      </c>
      <c r="O830" s="23">
        <f t="shared" si="640"/>
        <v>0</v>
      </c>
      <c r="P830" s="27">
        <f t="shared" si="640"/>
        <v>0</v>
      </c>
      <c r="Q830" s="27">
        <f t="shared" si="640"/>
        <v>2</v>
      </c>
      <c r="R830" s="21"/>
    </row>
    <row r="831" spans="1:18" ht="14.25" customHeight="1" x14ac:dyDescent="0.15">
      <c r="A831" s="19">
        <v>1</v>
      </c>
      <c r="B831" s="19">
        <v>0.9</v>
      </c>
      <c r="C831" s="19">
        <f>0.6+0.3</f>
        <v>0.89999999999999991</v>
      </c>
      <c r="D831" s="19">
        <f>B831*C831</f>
        <v>0.80999999999999994</v>
      </c>
      <c r="E831" s="19"/>
      <c r="F831" s="19"/>
      <c r="G831" s="19"/>
      <c r="H831" s="19"/>
      <c r="I831" s="19">
        <f>B831*0.4</f>
        <v>0.36000000000000004</v>
      </c>
      <c r="J831" s="19">
        <v>1</v>
      </c>
      <c r="K831" s="19">
        <f t="shared" ref="K831:L831" si="641">A831</f>
        <v>1</v>
      </c>
      <c r="L831" s="19">
        <f t="shared" si="641"/>
        <v>0.9</v>
      </c>
      <c r="M831" s="19">
        <f>A831</f>
        <v>1</v>
      </c>
      <c r="N831" s="19">
        <f>(1.2*0.4)*2</f>
        <v>0.96</v>
      </c>
      <c r="O831" s="19"/>
      <c r="P831" s="24"/>
      <c r="Q831" s="24"/>
      <c r="R831" s="19"/>
    </row>
    <row r="832" spans="1:18" ht="14.25" customHeight="1" x14ac:dyDescent="0.2">
      <c r="A832" s="19"/>
      <c r="B832" s="19"/>
      <c r="C832" s="19"/>
      <c r="D832" s="26" t="str">
        <f>D825</f>
        <v>9500</v>
      </c>
      <c r="E832" s="45">
        <v>0</v>
      </c>
      <c r="F832" s="45">
        <v>0</v>
      </c>
      <c r="G832" s="45">
        <v>2</v>
      </c>
      <c r="H832" s="19">
        <f>B831*2</f>
        <v>1.8</v>
      </c>
      <c r="I832" s="19"/>
      <c r="J832" s="19"/>
      <c r="K832" s="19"/>
      <c r="L832" s="19"/>
      <c r="M832" s="19"/>
      <c r="N832" s="28"/>
      <c r="O832" s="19"/>
      <c r="P832" s="24"/>
      <c r="Q832" s="24"/>
      <c r="R832" s="19"/>
    </row>
    <row r="833" spans="1:18" ht="14.25" customHeight="1" x14ac:dyDescent="0.2">
      <c r="A833" s="19"/>
      <c r="B833" s="19"/>
      <c r="C833" s="19"/>
      <c r="D833" s="19">
        <f>D831*D832</f>
        <v>7694.9999999999991</v>
      </c>
      <c r="E833" s="45">
        <f>E832*E830</f>
        <v>0</v>
      </c>
      <c r="F833" s="45">
        <f t="shared" ref="F833:H833" si="642">F830*F832</f>
        <v>0</v>
      </c>
      <c r="G833" s="45">
        <f t="shared" si="642"/>
        <v>3600</v>
      </c>
      <c r="H833" s="19">
        <f t="shared" si="642"/>
        <v>684</v>
      </c>
      <c r="I833" s="19">
        <f t="shared" ref="I833:N833" si="643">I830*I831</f>
        <v>1980.0000000000002</v>
      </c>
      <c r="J833" s="19">
        <f t="shared" si="643"/>
        <v>1000</v>
      </c>
      <c r="K833" s="19">
        <f t="shared" si="643"/>
        <v>375</v>
      </c>
      <c r="L833" s="19">
        <f t="shared" si="643"/>
        <v>526.5</v>
      </c>
      <c r="M833" s="19">
        <f t="shared" si="643"/>
        <v>1000</v>
      </c>
      <c r="N833" s="19">
        <f t="shared" si="643"/>
        <v>3168</v>
      </c>
      <c r="O833" s="19">
        <f>SUM(D833:N833)</f>
        <v>20028.5</v>
      </c>
      <c r="P833" s="24">
        <f>O833/A831</f>
        <v>20028.5</v>
      </c>
      <c r="Q833" s="24">
        <f>P833*Q830</f>
        <v>40057</v>
      </c>
      <c r="R833" s="19">
        <f>MROUND(Q833,100)</f>
        <v>40100</v>
      </c>
    </row>
    <row r="834" spans="1:18" ht="14.25" customHeight="1" x14ac:dyDescent="0.1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9"/>
      <c r="Q834" s="39"/>
    </row>
    <row r="835" spans="1:18" ht="14.25" customHeight="1" x14ac:dyDescent="0.3">
      <c r="A835" s="109" t="str">
        <f>PRICELIST!I123</f>
        <v>WFLX-LNR-S-LVM-900-X</v>
      </c>
      <c r="B835" s="87"/>
      <c r="C835" s="8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22"/>
      <c r="Q835" s="22"/>
      <c r="R835" s="17"/>
    </row>
    <row r="836" spans="1:18" ht="14.25" customHeight="1" x14ac:dyDescent="0.15">
      <c r="A836" s="19" t="s">
        <v>57</v>
      </c>
      <c r="B836" s="19" t="s">
        <v>59</v>
      </c>
      <c r="C836" s="19" t="s">
        <v>62</v>
      </c>
      <c r="D836" s="19" t="s">
        <v>64</v>
      </c>
      <c r="E836" s="19">
        <v>1200</v>
      </c>
      <c r="F836" s="19">
        <v>900</v>
      </c>
      <c r="G836" s="19">
        <v>600</v>
      </c>
      <c r="H836" s="19" t="s">
        <v>67</v>
      </c>
      <c r="I836" s="19" t="s">
        <v>68</v>
      </c>
      <c r="J836" s="19" t="s">
        <v>69</v>
      </c>
      <c r="K836" s="19" t="s">
        <v>71</v>
      </c>
      <c r="L836" s="19" t="s">
        <v>72</v>
      </c>
      <c r="M836" s="19" t="s">
        <v>73</v>
      </c>
      <c r="N836" s="19" t="s">
        <v>75</v>
      </c>
      <c r="O836" s="19" t="s">
        <v>76</v>
      </c>
      <c r="P836" s="24" t="s">
        <v>78</v>
      </c>
      <c r="Q836" s="24" t="s">
        <v>79</v>
      </c>
      <c r="R836" s="19" t="s">
        <v>81</v>
      </c>
    </row>
    <row r="837" spans="1:18" ht="14.25" customHeight="1" x14ac:dyDescent="0.15">
      <c r="A837" s="21">
        <f t="shared" ref="A837:B837" si="644">A830</f>
        <v>0</v>
      </c>
      <c r="B837" s="21">
        <f t="shared" si="644"/>
        <v>0</v>
      </c>
      <c r="C837" s="44" t="s">
        <v>188</v>
      </c>
      <c r="D837" s="21">
        <f t="shared" ref="D837:H837" si="645">D830</f>
        <v>0</v>
      </c>
      <c r="E837" s="23" t="str">
        <f t="shared" si="645"/>
        <v>2100</v>
      </c>
      <c r="F837" s="23" t="str">
        <f t="shared" si="645"/>
        <v>1900</v>
      </c>
      <c r="G837" s="23" t="str">
        <f t="shared" si="645"/>
        <v>1800</v>
      </c>
      <c r="H837" s="23">
        <f t="shared" si="645"/>
        <v>380</v>
      </c>
      <c r="I837" s="23" t="str">
        <f>I816</f>
        <v>0</v>
      </c>
      <c r="J837" s="23" t="str">
        <f t="shared" ref="J837:Q837" si="646">J830</f>
        <v>1000</v>
      </c>
      <c r="K837" s="23">
        <f t="shared" si="646"/>
        <v>375</v>
      </c>
      <c r="L837" s="23">
        <f t="shared" si="646"/>
        <v>585</v>
      </c>
      <c r="M837" s="23" t="str">
        <f t="shared" si="646"/>
        <v>1000</v>
      </c>
      <c r="N837" s="23">
        <f t="shared" si="646"/>
        <v>3300</v>
      </c>
      <c r="O837" s="23">
        <f t="shared" si="646"/>
        <v>0</v>
      </c>
      <c r="P837" s="27">
        <f t="shared" si="646"/>
        <v>0</v>
      </c>
      <c r="Q837" s="27">
        <f t="shared" si="646"/>
        <v>2</v>
      </c>
      <c r="R837" s="21"/>
    </row>
    <row r="838" spans="1:18" ht="14.25" customHeight="1" x14ac:dyDescent="0.15">
      <c r="A838" s="19">
        <v>1</v>
      </c>
      <c r="B838" s="19">
        <v>0.9</v>
      </c>
      <c r="C838" s="19">
        <f>0.6+0.3</f>
        <v>0.89999999999999991</v>
      </c>
      <c r="D838" s="19">
        <f>B838*C838</f>
        <v>0.80999999999999994</v>
      </c>
      <c r="E838" s="19"/>
      <c r="F838" s="19"/>
      <c r="G838" s="19"/>
      <c r="H838" s="19"/>
      <c r="I838" s="19">
        <f>B838*0.4</f>
        <v>0.36000000000000004</v>
      </c>
      <c r="J838" s="19">
        <v>1</v>
      </c>
      <c r="K838" s="19">
        <f t="shared" ref="K838:L838" si="647">A838</f>
        <v>1</v>
      </c>
      <c r="L838" s="19">
        <f t="shared" si="647"/>
        <v>0.9</v>
      </c>
      <c r="M838" s="19">
        <f>A838</f>
        <v>1</v>
      </c>
      <c r="N838" s="19">
        <f>(1.2*0.4)*2</f>
        <v>0.96</v>
      </c>
      <c r="O838" s="19"/>
      <c r="P838" s="24"/>
      <c r="Q838" s="24"/>
      <c r="R838" s="19"/>
    </row>
    <row r="839" spans="1:18" ht="14.25" customHeight="1" x14ac:dyDescent="0.2">
      <c r="A839" s="19"/>
      <c r="B839" s="19"/>
      <c r="C839" s="19"/>
      <c r="D839" s="26" t="str">
        <f>D832</f>
        <v>9500</v>
      </c>
      <c r="E839" s="45">
        <v>0</v>
      </c>
      <c r="F839" s="45">
        <v>0</v>
      </c>
      <c r="G839" s="45">
        <v>2</v>
      </c>
      <c r="H839" s="19">
        <f>B838*2</f>
        <v>1.8</v>
      </c>
      <c r="I839" s="19"/>
      <c r="J839" s="19"/>
      <c r="K839" s="19"/>
      <c r="L839" s="19"/>
      <c r="M839" s="19"/>
      <c r="N839" s="28"/>
      <c r="O839" s="19"/>
      <c r="P839" s="24"/>
      <c r="Q839" s="24"/>
      <c r="R839" s="19"/>
    </row>
    <row r="840" spans="1:18" ht="14.25" customHeight="1" x14ac:dyDescent="0.2">
      <c r="A840" s="19"/>
      <c r="B840" s="19"/>
      <c r="C840" s="19"/>
      <c r="D840" s="19">
        <f>D838*D839</f>
        <v>7694.9999999999991</v>
      </c>
      <c r="E840" s="45">
        <f>E839*E837</f>
        <v>0</v>
      </c>
      <c r="F840" s="45">
        <f t="shared" ref="F840:H840" si="648">F837*F839</f>
        <v>0</v>
      </c>
      <c r="G840" s="45">
        <f t="shared" si="648"/>
        <v>3600</v>
      </c>
      <c r="H840" s="19">
        <f t="shared" si="648"/>
        <v>684</v>
      </c>
      <c r="I840" s="19">
        <f t="shared" ref="I840:N840" si="649">I837*I838</f>
        <v>0</v>
      </c>
      <c r="J840" s="19">
        <f t="shared" si="649"/>
        <v>1000</v>
      </c>
      <c r="K840" s="19">
        <f t="shared" si="649"/>
        <v>375</v>
      </c>
      <c r="L840" s="19">
        <f t="shared" si="649"/>
        <v>526.5</v>
      </c>
      <c r="M840" s="19">
        <f t="shared" si="649"/>
        <v>1000</v>
      </c>
      <c r="N840" s="19">
        <f t="shared" si="649"/>
        <v>3168</v>
      </c>
      <c r="O840" s="19">
        <f>SUM(D840:N840)</f>
        <v>18048.5</v>
      </c>
      <c r="P840" s="24">
        <f>O840/A838</f>
        <v>18048.5</v>
      </c>
      <c r="Q840" s="24">
        <f>P840*Q837</f>
        <v>36097</v>
      </c>
      <c r="R840" s="19">
        <f>MROUND(Q840,100)</f>
        <v>36100</v>
      </c>
    </row>
    <row r="841" spans="1:18" ht="14.25" customHeight="1" x14ac:dyDescent="0.1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9"/>
      <c r="Q841" s="39"/>
    </row>
    <row r="842" spans="1:18" ht="14.25" customHeight="1" x14ac:dyDescent="0.3">
      <c r="A842" s="109" t="str">
        <f>PRICELIST!I124</f>
        <v>WFLX-LNR-S-LVP-900-F</v>
      </c>
      <c r="B842" s="87"/>
      <c r="C842" s="8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22"/>
      <c r="Q842" s="22"/>
      <c r="R842" s="17"/>
    </row>
    <row r="843" spans="1:18" ht="14.25" customHeight="1" x14ac:dyDescent="0.15">
      <c r="A843" s="19" t="s">
        <v>57</v>
      </c>
      <c r="B843" s="19" t="s">
        <v>59</v>
      </c>
      <c r="C843" s="19" t="s">
        <v>62</v>
      </c>
      <c r="D843" s="19" t="s">
        <v>64</v>
      </c>
      <c r="E843" s="19">
        <v>1200</v>
      </c>
      <c r="F843" s="19">
        <v>900</v>
      </c>
      <c r="G843" s="19">
        <v>600</v>
      </c>
      <c r="H843" s="19" t="s">
        <v>67</v>
      </c>
      <c r="I843" s="19" t="s">
        <v>68</v>
      </c>
      <c r="J843" s="19" t="s">
        <v>69</v>
      </c>
      <c r="K843" s="19" t="s">
        <v>71</v>
      </c>
      <c r="L843" s="19" t="s">
        <v>72</v>
      </c>
      <c r="M843" s="19" t="s">
        <v>73</v>
      </c>
      <c r="N843" s="19" t="s">
        <v>75</v>
      </c>
      <c r="O843" s="19" t="s">
        <v>76</v>
      </c>
      <c r="P843" s="24" t="s">
        <v>78</v>
      </c>
      <c r="Q843" s="24" t="s">
        <v>79</v>
      </c>
      <c r="R843" s="19" t="s">
        <v>81</v>
      </c>
    </row>
    <row r="844" spans="1:18" ht="14.25" customHeight="1" x14ac:dyDescent="0.15">
      <c r="A844" s="21">
        <f t="shared" ref="A844:B844" si="650">A837</f>
        <v>0</v>
      </c>
      <c r="B844" s="21">
        <f t="shared" si="650"/>
        <v>0</v>
      </c>
      <c r="C844" s="44" t="s">
        <v>188</v>
      </c>
      <c r="D844" s="21">
        <f t="shared" ref="D844:H844" si="651">D837</f>
        <v>0</v>
      </c>
      <c r="E844" s="23" t="str">
        <f t="shared" si="651"/>
        <v>2100</v>
      </c>
      <c r="F844" s="23" t="str">
        <f t="shared" si="651"/>
        <v>1900</v>
      </c>
      <c r="G844" s="23" t="str">
        <f t="shared" si="651"/>
        <v>1800</v>
      </c>
      <c r="H844" s="23">
        <f t="shared" si="651"/>
        <v>380</v>
      </c>
      <c r="I844" s="23" t="str">
        <f>I823</f>
        <v>4800</v>
      </c>
      <c r="J844" s="23" t="str">
        <f t="shared" ref="J844:Q844" si="652">J837</f>
        <v>1000</v>
      </c>
      <c r="K844" s="23">
        <f t="shared" si="652"/>
        <v>375</v>
      </c>
      <c r="L844" s="23">
        <f t="shared" si="652"/>
        <v>585</v>
      </c>
      <c r="M844" s="23" t="str">
        <f t="shared" si="652"/>
        <v>1000</v>
      </c>
      <c r="N844" s="23">
        <f t="shared" si="652"/>
        <v>3300</v>
      </c>
      <c r="O844" s="23">
        <f t="shared" si="652"/>
        <v>0</v>
      </c>
      <c r="P844" s="27">
        <f t="shared" si="652"/>
        <v>0</v>
      </c>
      <c r="Q844" s="27">
        <f t="shared" si="652"/>
        <v>2</v>
      </c>
      <c r="R844" s="21"/>
    </row>
    <row r="845" spans="1:18" ht="14.25" customHeight="1" x14ac:dyDescent="0.15">
      <c r="A845" s="19">
        <v>1</v>
      </c>
      <c r="B845" s="19">
        <v>0.9</v>
      </c>
      <c r="C845" s="19">
        <f>0.6+0.3</f>
        <v>0.89999999999999991</v>
      </c>
      <c r="D845" s="19">
        <f>B845*C845</f>
        <v>0.80999999999999994</v>
      </c>
      <c r="E845" s="19"/>
      <c r="F845" s="19"/>
      <c r="G845" s="19"/>
      <c r="H845" s="19"/>
      <c r="I845" s="19">
        <f>B845*0.4</f>
        <v>0.36000000000000004</v>
      </c>
      <c r="J845" s="19">
        <v>1</v>
      </c>
      <c r="K845" s="19">
        <f t="shared" ref="K845:L845" si="653">A845</f>
        <v>1</v>
      </c>
      <c r="L845" s="19">
        <f t="shared" si="653"/>
        <v>0.9</v>
      </c>
      <c r="M845" s="19">
        <f>A845</f>
        <v>1</v>
      </c>
      <c r="N845" s="19">
        <f>(1.2*0.4)*2</f>
        <v>0.96</v>
      </c>
      <c r="O845" s="19"/>
      <c r="P845" s="24"/>
      <c r="Q845" s="24"/>
      <c r="R845" s="19"/>
    </row>
    <row r="846" spans="1:18" ht="14.25" customHeight="1" x14ac:dyDescent="0.2">
      <c r="A846" s="19"/>
      <c r="B846" s="19"/>
      <c r="C846" s="19"/>
      <c r="D846" s="26" t="str">
        <f>D720</f>
        <v>10500</v>
      </c>
      <c r="E846" s="45">
        <v>0</v>
      </c>
      <c r="F846" s="45">
        <v>0</v>
      </c>
      <c r="G846" s="45">
        <v>2</v>
      </c>
      <c r="H846" s="19">
        <f>B845*2</f>
        <v>1.8</v>
      </c>
      <c r="I846" s="19"/>
      <c r="J846" s="19"/>
      <c r="K846" s="19"/>
      <c r="L846" s="19"/>
      <c r="M846" s="19"/>
      <c r="N846" s="28"/>
      <c r="O846" s="19"/>
      <c r="P846" s="24"/>
      <c r="Q846" s="24"/>
      <c r="R846" s="19"/>
    </row>
    <row r="847" spans="1:18" ht="14.25" customHeight="1" x14ac:dyDescent="0.2">
      <c r="A847" s="19"/>
      <c r="B847" s="19"/>
      <c r="C847" s="19"/>
      <c r="D847" s="19">
        <f>D845*D846</f>
        <v>8505</v>
      </c>
      <c r="E847" s="45">
        <f>E846*E844</f>
        <v>0</v>
      </c>
      <c r="F847" s="45">
        <f t="shared" ref="F847:H847" si="654">F844*F846</f>
        <v>0</v>
      </c>
      <c r="G847" s="45">
        <f t="shared" si="654"/>
        <v>3600</v>
      </c>
      <c r="H847" s="19">
        <f t="shared" si="654"/>
        <v>684</v>
      </c>
      <c r="I847" s="19">
        <f t="shared" ref="I847:N847" si="655">I844*I845</f>
        <v>1728.0000000000002</v>
      </c>
      <c r="J847" s="19">
        <f t="shared" si="655"/>
        <v>1000</v>
      </c>
      <c r="K847" s="19">
        <f t="shared" si="655"/>
        <v>375</v>
      </c>
      <c r="L847" s="19">
        <f t="shared" si="655"/>
        <v>526.5</v>
      </c>
      <c r="M847" s="19">
        <f t="shared" si="655"/>
        <v>1000</v>
      </c>
      <c r="N847" s="19">
        <f t="shared" si="655"/>
        <v>3168</v>
      </c>
      <c r="O847" s="19">
        <f>SUM(D847:N847)</f>
        <v>20586.5</v>
      </c>
      <c r="P847" s="24">
        <f>O847/A845</f>
        <v>20586.5</v>
      </c>
      <c r="Q847" s="24">
        <f>P847*Q844</f>
        <v>41173</v>
      </c>
      <c r="R847" s="19">
        <f>MROUND(Q847,100)</f>
        <v>41200</v>
      </c>
    </row>
    <row r="848" spans="1:18" ht="14.25" customHeight="1" x14ac:dyDescent="0.1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9"/>
      <c r="Q848" s="39"/>
    </row>
    <row r="849" spans="1:18" ht="14.25" customHeight="1" x14ac:dyDescent="0.3">
      <c r="A849" s="109" t="str">
        <f>PRICELIST!I125</f>
        <v>WFLX-LNR-S-LVP-900-G</v>
      </c>
      <c r="B849" s="87"/>
      <c r="C849" s="8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22"/>
      <c r="Q849" s="22"/>
      <c r="R849" s="17"/>
    </row>
    <row r="850" spans="1:18" ht="14.25" customHeight="1" x14ac:dyDescent="0.15">
      <c r="A850" s="19" t="s">
        <v>57</v>
      </c>
      <c r="B850" s="19" t="s">
        <v>59</v>
      </c>
      <c r="C850" s="19" t="s">
        <v>62</v>
      </c>
      <c r="D850" s="19" t="s">
        <v>64</v>
      </c>
      <c r="E850" s="19">
        <v>1200</v>
      </c>
      <c r="F850" s="19">
        <v>900</v>
      </c>
      <c r="G850" s="19">
        <v>600</v>
      </c>
      <c r="H850" s="19" t="s">
        <v>67</v>
      </c>
      <c r="I850" s="19" t="s">
        <v>68</v>
      </c>
      <c r="J850" s="19" t="s">
        <v>69</v>
      </c>
      <c r="K850" s="19" t="s">
        <v>71</v>
      </c>
      <c r="L850" s="19" t="s">
        <v>72</v>
      </c>
      <c r="M850" s="19" t="s">
        <v>73</v>
      </c>
      <c r="N850" s="19" t="s">
        <v>75</v>
      </c>
      <c r="O850" s="19" t="s">
        <v>76</v>
      </c>
      <c r="P850" s="24" t="s">
        <v>78</v>
      </c>
      <c r="Q850" s="24" t="s">
        <v>79</v>
      </c>
      <c r="R850" s="19" t="s">
        <v>81</v>
      </c>
    </row>
    <row r="851" spans="1:18" ht="14.25" customHeight="1" x14ac:dyDescent="0.15">
      <c r="A851" s="21">
        <f t="shared" ref="A851:B851" si="656">A844</f>
        <v>0</v>
      </c>
      <c r="B851" s="21">
        <f t="shared" si="656"/>
        <v>0</v>
      </c>
      <c r="C851" s="44" t="s">
        <v>188</v>
      </c>
      <c r="D851" s="21">
        <f t="shared" ref="D851:H851" si="657">D844</f>
        <v>0</v>
      </c>
      <c r="E851" s="23" t="str">
        <f t="shared" si="657"/>
        <v>2100</v>
      </c>
      <c r="F851" s="23" t="str">
        <f t="shared" si="657"/>
        <v>1900</v>
      </c>
      <c r="G851" s="23" t="str">
        <f t="shared" si="657"/>
        <v>1800</v>
      </c>
      <c r="H851" s="23">
        <f t="shared" si="657"/>
        <v>380</v>
      </c>
      <c r="I851" s="23" t="str">
        <f>I830</f>
        <v>5500</v>
      </c>
      <c r="J851" s="23" t="str">
        <f t="shared" ref="J851:Q851" si="658">J844</f>
        <v>1000</v>
      </c>
      <c r="K851" s="23">
        <f t="shared" si="658"/>
        <v>375</v>
      </c>
      <c r="L851" s="23">
        <f t="shared" si="658"/>
        <v>585</v>
      </c>
      <c r="M851" s="23" t="str">
        <f t="shared" si="658"/>
        <v>1000</v>
      </c>
      <c r="N851" s="23">
        <f t="shared" si="658"/>
        <v>3300</v>
      </c>
      <c r="O851" s="23">
        <f t="shared" si="658"/>
        <v>0</v>
      </c>
      <c r="P851" s="27">
        <f t="shared" si="658"/>
        <v>0</v>
      </c>
      <c r="Q851" s="27">
        <f t="shared" si="658"/>
        <v>2</v>
      </c>
      <c r="R851" s="21"/>
    </row>
    <row r="852" spans="1:18" ht="14.25" customHeight="1" x14ac:dyDescent="0.15">
      <c r="A852" s="19">
        <v>1</v>
      </c>
      <c r="B852" s="19">
        <v>0.9</v>
      </c>
      <c r="C852" s="19">
        <f>0.6+0.3</f>
        <v>0.89999999999999991</v>
      </c>
      <c r="D852" s="19">
        <f>B852*C852</f>
        <v>0.80999999999999994</v>
      </c>
      <c r="E852" s="19"/>
      <c r="F852" s="19"/>
      <c r="G852" s="19"/>
      <c r="H852" s="19"/>
      <c r="I852" s="19">
        <f>B852*0.4</f>
        <v>0.36000000000000004</v>
      </c>
      <c r="J852" s="19">
        <v>1</v>
      </c>
      <c r="K852" s="19">
        <f t="shared" ref="K852:L852" si="659">A852</f>
        <v>1</v>
      </c>
      <c r="L852" s="19">
        <f t="shared" si="659"/>
        <v>0.9</v>
      </c>
      <c r="M852" s="19">
        <f>A852</f>
        <v>1</v>
      </c>
      <c r="N852" s="19">
        <f>(1.2*0.4)*2</f>
        <v>0.96</v>
      </c>
      <c r="O852" s="19"/>
      <c r="P852" s="24"/>
      <c r="Q852" s="24"/>
      <c r="R852" s="19"/>
    </row>
    <row r="853" spans="1:18" ht="14.25" customHeight="1" x14ac:dyDescent="0.2">
      <c r="A853" s="19"/>
      <c r="B853" s="19"/>
      <c r="C853" s="19"/>
      <c r="D853" s="26" t="str">
        <f>D846</f>
        <v>10500</v>
      </c>
      <c r="E853" s="45">
        <v>0</v>
      </c>
      <c r="F853" s="45">
        <v>0</v>
      </c>
      <c r="G853" s="45">
        <v>2</v>
      </c>
      <c r="H853" s="19">
        <f>B852*2</f>
        <v>1.8</v>
      </c>
      <c r="I853" s="19"/>
      <c r="J853" s="19"/>
      <c r="K853" s="19"/>
      <c r="L853" s="19"/>
      <c r="M853" s="19"/>
      <c r="N853" s="28"/>
      <c r="O853" s="19"/>
      <c r="P853" s="24"/>
      <c r="Q853" s="24"/>
      <c r="R853" s="19"/>
    </row>
    <row r="854" spans="1:18" ht="14.25" customHeight="1" x14ac:dyDescent="0.2">
      <c r="A854" s="19"/>
      <c r="B854" s="19"/>
      <c r="C854" s="19"/>
      <c r="D854" s="19">
        <f>D852*D853</f>
        <v>8505</v>
      </c>
      <c r="E854" s="45">
        <f>E853*E851</f>
        <v>0</v>
      </c>
      <c r="F854" s="45">
        <f t="shared" ref="F854:H854" si="660">F851*F853</f>
        <v>0</v>
      </c>
      <c r="G854" s="45">
        <f t="shared" si="660"/>
        <v>3600</v>
      </c>
      <c r="H854" s="19">
        <f t="shared" si="660"/>
        <v>684</v>
      </c>
      <c r="I854" s="19">
        <f t="shared" ref="I854:N854" si="661">I851*I852</f>
        <v>1980.0000000000002</v>
      </c>
      <c r="J854" s="19">
        <f t="shared" si="661"/>
        <v>1000</v>
      </c>
      <c r="K854" s="19">
        <f t="shared" si="661"/>
        <v>375</v>
      </c>
      <c r="L854" s="19">
        <f t="shared" si="661"/>
        <v>526.5</v>
      </c>
      <c r="M854" s="19">
        <f t="shared" si="661"/>
        <v>1000</v>
      </c>
      <c r="N854" s="19">
        <f t="shared" si="661"/>
        <v>3168</v>
      </c>
      <c r="O854" s="19">
        <f>SUM(D854:N854)</f>
        <v>20838.5</v>
      </c>
      <c r="P854" s="24">
        <f>O854/A852</f>
        <v>20838.5</v>
      </c>
      <c r="Q854" s="24">
        <f>P854*Q851</f>
        <v>41677</v>
      </c>
      <c r="R854" s="19">
        <f>MROUND(Q854,100)</f>
        <v>41700</v>
      </c>
    </row>
    <row r="855" spans="1:18" ht="14.25" customHeight="1" x14ac:dyDescent="0.1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9"/>
      <c r="Q855" s="39"/>
    </row>
    <row r="856" spans="1:18" ht="14.25" customHeight="1" x14ac:dyDescent="0.3">
      <c r="A856" s="109" t="str">
        <f>PRICELIST!I126</f>
        <v>WFLX-LNR-S-LVP-900-X</v>
      </c>
      <c r="B856" s="87"/>
      <c r="C856" s="8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22"/>
      <c r="Q856" s="22"/>
      <c r="R856" s="17"/>
    </row>
    <row r="857" spans="1:18" ht="14.25" customHeight="1" x14ac:dyDescent="0.15">
      <c r="A857" s="19" t="s">
        <v>57</v>
      </c>
      <c r="B857" s="19" t="s">
        <v>59</v>
      </c>
      <c r="C857" s="19" t="s">
        <v>62</v>
      </c>
      <c r="D857" s="19" t="s">
        <v>64</v>
      </c>
      <c r="E857" s="19">
        <v>1200</v>
      </c>
      <c r="F857" s="19">
        <v>900</v>
      </c>
      <c r="G857" s="19">
        <v>600</v>
      </c>
      <c r="H857" s="19" t="s">
        <v>67</v>
      </c>
      <c r="I857" s="19" t="s">
        <v>68</v>
      </c>
      <c r="J857" s="19" t="s">
        <v>69</v>
      </c>
      <c r="K857" s="19" t="s">
        <v>71</v>
      </c>
      <c r="L857" s="19" t="s">
        <v>72</v>
      </c>
      <c r="M857" s="19" t="s">
        <v>73</v>
      </c>
      <c r="N857" s="19" t="s">
        <v>75</v>
      </c>
      <c r="O857" s="19" t="s">
        <v>76</v>
      </c>
      <c r="P857" s="24" t="s">
        <v>78</v>
      </c>
      <c r="Q857" s="24" t="s">
        <v>79</v>
      </c>
      <c r="R857" s="19" t="s">
        <v>81</v>
      </c>
    </row>
    <row r="858" spans="1:18" ht="14.25" customHeight="1" x14ac:dyDescent="0.15">
      <c r="A858" s="21">
        <f t="shared" ref="A858:B858" si="662">A851</f>
        <v>0</v>
      </c>
      <c r="B858" s="21">
        <f t="shared" si="662"/>
        <v>0</v>
      </c>
      <c r="C858" s="44" t="s">
        <v>188</v>
      </c>
      <c r="D858" s="21">
        <f t="shared" ref="D858:H858" si="663">D851</f>
        <v>0</v>
      </c>
      <c r="E858" s="23" t="str">
        <f t="shared" si="663"/>
        <v>2100</v>
      </c>
      <c r="F858" s="23" t="str">
        <f t="shared" si="663"/>
        <v>1900</v>
      </c>
      <c r="G858" s="23" t="str">
        <f t="shared" si="663"/>
        <v>1800</v>
      </c>
      <c r="H858" s="23">
        <f t="shared" si="663"/>
        <v>380</v>
      </c>
      <c r="I858" s="23" t="str">
        <f>I837</f>
        <v>0</v>
      </c>
      <c r="J858" s="23" t="str">
        <f t="shared" ref="J858:Q858" si="664">J851</f>
        <v>1000</v>
      </c>
      <c r="K858" s="23">
        <f t="shared" si="664"/>
        <v>375</v>
      </c>
      <c r="L858" s="23">
        <f t="shared" si="664"/>
        <v>585</v>
      </c>
      <c r="M858" s="23" t="str">
        <f t="shared" si="664"/>
        <v>1000</v>
      </c>
      <c r="N858" s="23">
        <f t="shared" si="664"/>
        <v>3300</v>
      </c>
      <c r="O858" s="23">
        <f t="shared" si="664"/>
        <v>0</v>
      </c>
      <c r="P858" s="27">
        <f t="shared" si="664"/>
        <v>0</v>
      </c>
      <c r="Q858" s="27">
        <f t="shared" si="664"/>
        <v>2</v>
      </c>
      <c r="R858" s="21"/>
    </row>
    <row r="859" spans="1:18" ht="14.25" customHeight="1" x14ac:dyDescent="0.15">
      <c r="A859" s="19">
        <v>1</v>
      </c>
      <c r="B859" s="19">
        <v>0.9</v>
      </c>
      <c r="C859" s="19">
        <f>0.6+0.3</f>
        <v>0.89999999999999991</v>
      </c>
      <c r="D859" s="19">
        <f>B859*C859</f>
        <v>0.80999999999999994</v>
      </c>
      <c r="E859" s="19"/>
      <c r="F859" s="19"/>
      <c r="G859" s="19"/>
      <c r="H859" s="19"/>
      <c r="I859" s="19">
        <f>B859*0.4</f>
        <v>0.36000000000000004</v>
      </c>
      <c r="J859" s="19">
        <v>1</v>
      </c>
      <c r="K859" s="19">
        <f t="shared" ref="K859:L859" si="665">A859</f>
        <v>1</v>
      </c>
      <c r="L859" s="19">
        <f t="shared" si="665"/>
        <v>0.9</v>
      </c>
      <c r="M859" s="19">
        <f>A859</f>
        <v>1</v>
      </c>
      <c r="N859" s="19">
        <f>(1.2*0.4)*2</f>
        <v>0.96</v>
      </c>
      <c r="O859" s="19"/>
      <c r="P859" s="24"/>
      <c r="Q859" s="24"/>
      <c r="R859" s="19"/>
    </row>
    <row r="860" spans="1:18" ht="14.25" customHeight="1" x14ac:dyDescent="0.2">
      <c r="A860" s="19"/>
      <c r="B860" s="19"/>
      <c r="C860" s="19"/>
      <c r="D860" s="26" t="str">
        <f>D853</f>
        <v>10500</v>
      </c>
      <c r="E860" s="45">
        <v>0</v>
      </c>
      <c r="F860" s="45">
        <v>0</v>
      </c>
      <c r="G860" s="45">
        <v>2</v>
      </c>
      <c r="H860" s="19">
        <f>B859*2</f>
        <v>1.8</v>
      </c>
      <c r="I860" s="19"/>
      <c r="J860" s="19"/>
      <c r="K860" s="19"/>
      <c r="L860" s="19"/>
      <c r="M860" s="19"/>
      <c r="N860" s="28"/>
      <c r="O860" s="19"/>
      <c r="P860" s="24"/>
      <c r="Q860" s="24"/>
      <c r="R860" s="19"/>
    </row>
    <row r="861" spans="1:18" ht="14.25" customHeight="1" x14ac:dyDescent="0.2">
      <c r="A861" s="19"/>
      <c r="B861" s="19"/>
      <c r="C861" s="19"/>
      <c r="D861" s="19">
        <f>D859*D860</f>
        <v>8505</v>
      </c>
      <c r="E861" s="45">
        <f>E860*E858</f>
        <v>0</v>
      </c>
      <c r="F861" s="45">
        <f t="shared" ref="F861:H861" si="666">F858*F860</f>
        <v>0</v>
      </c>
      <c r="G861" s="45">
        <f t="shared" si="666"/>
        <v>3600</v>
      </c>
      <c r="H861" s="19">
        <f t="shared" si="666"/>
        <v>684</v>
      </c>
      <c r="I861" s="19">
        <f t="shared" ref="I861:N861" si="667">I858*I859</f>
        <v>0</v>
      </c>
      <c r="J861" s="19">
        <f t="shared" si="667"/>
        <v>1000</v>
      </c>
      <c r="K861" s="19">
        <f t="shared" si="667"/>
        <v>375</v>
      </c>
      <c r="L861" s="19">
        <f t="shared" si="667"/>
        <v>526.5</v>
      </c>
      <c r="M861" s="19">
        <f t="shared" si="667"/>
        <v>1000</v>
      </c>
      <c r="N861" s="19">
        <f t="shared" si="667"/>
        <v>3168</v>
      </c>
      <c r="O861" s="19">
        <f>SUM(D861:N861)</f>
        <v>18858.5</v>
      </c>
      <c r="P861" s="24">
        <f>O861/A859</f>
        <v>18858.5</v>
      </c>
      <c r="Q861" s="24">
        <f>P861*Q858</f>
        <v>37717</v>
      </c>
      <c r="R861" s="19">
        <f>MROUND(Q861,100)</f>
        <v>37700</v>
      </c>
    </row>
    <row r="862" spans="1:18" ht="14.25" customHeight="1" x14ac:dyDescent="0.1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9"/>
      <c r="Q862" s="39"/>
    </row>
    <row r="863" spans="1:18" ht="14.25" customHeight="1" x14ac:dyDescent="0.3">
      <c r="A863" s="109" t="str">
        <f>PRICELIST!I127</f>
        <v>WFLX-LNR-S-MB-900-F</v>
      </c>
      <c r="B863" s="87"/>
      <c r="C863" s="8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22"/>
      <c r="Q863" s="22"/>
      <c r="R863" s="17"/>
    </row>
    <row r="864" spans="1:18" ht="14.25" customHeight="1" x14ac:dyDescent="0.15">
      <c r="A864" s="19" t="s">
        <v>57</v>
      </c>
      <c r="B864" s="19" t="s">
        <v>59</v>
      </c>
      <c r="C864" s="19" t="s">
        <v>62</v>
      </c>
      <c r="D864" s="19" t="s">
        <v>64</v>
      </c>
      <c r="E864" s="19">
        <v>1200</v>
      </c>
      <c r="F864" s="19">
        <v>900</v>
      </c>
      <c r="G864" s="19">
        <v>600</v>
      </c>
      <c r="H864" s="19" t="s">
        <v>67</v>
      </c>
      <c r="I864" s="19" t="s">
        <v>68</v>
      </c>
      <c r="J864" s="19" t="s">
        <v>69</v>
      </c>
      <c r="K864" s="19" t="s">
        <v>71</v>
      </c>
      <c r="L864" s="19" t="s">
        <v>72</v>
      </c>
      <c r="M864" s="19" t="s">
        <v>73</v>
      </c>
      <c r="N864" s="19" t="s">
        <v>75</v>
      </c>
      <c r="O864" s="19" t="s">
        <v>76</v>
      </c>
      <c r="P864" s="24" t="s">
        <v>78</v>
      </c>
      <c r="Q864" s="24" t="s">
        <v>79</v>
      </c>
      <c r="R864" s="19" t="s">
        <v>81</v>
      </c>
    </row>
    <row r="865" spans="1:18" ht="14.25" customHeight="1" x14ac:dyDescent="0.15">
      <c r="A865" s="21">
        <f t="shared" ref="A865:B865" si="668">A858</f>
        <v>0</v>
      </c>
      <c r="B865" s="21">
        <f t="shared" si="668"/>
        <v>0</v>
      </c>
      <c r="C865" s="44" t="s">
        <v>188</v>
      </c>
      <c r="D865" s="21">
        <f t="shared" ref="D865:H865" si="669">D858</f>
        <v>0</v>
      </c>
      <c r="E865" s="23" t="str">
        <f t="shared" si="669"/>
        <v>2100</v>
      </c>
      <c r="F865" s="23" t="str">
        <f t="shared" si="669"/>
        <v>1900</v>
      </c>
      <c r="G865" s="23" t="str">
        <f t="shared" si="669"/>
        <v>1800</v>
      </c>
      <c r="H865" s="23">
        <f t="shared" si="669"/>
        <v>380</v>
      </c>
      <c r="I865" s="23" t="str">
        <f>I844</f>
        <v>4800</v>
      </c>
      <c r="J865" s="23" t="str">
        <f t="shared" ref="J865:Q865" si="670">J858</f>
        <v>1000</v>
      </c>
      <c r="K865" s="23">
        <f t="shared" si="670"/>
        <v>375</v>
      </c>
      <c r="L865" s="23">
        <f t="shared" si="670"/>
        <v>585</v>
      </c>
      <c r="M865" s="23" t="str">
        <f t="shared" si="670"/>
        <v>1000</v>
      </c>
      <c r="N865" s="23">
        <f t="shared" si="670"/>
        <v>3300</v>
      </c>
      <c r="O865" s="23">
        <f t="shared" si="670"/>
        <v>0</v>
      </c>
      <c r="P865" s="27">
        <f t="shared" si="670"/>
        <v>0</v>
      </c>
      <c r="Q865" s="27">
        <f t="shared" si="670"/>
        <v>2</v>
      </c>
      <c r="R865" s="21"/>
    </row>
    <row r="866" spans="1:18" ht="14.25" customHeight="1" x14ac:dyDescent="0.15">
      <c r="A866" s="19">
        <v>1</v>
      </c>
      <c r="B866" s="19">
        <v>0.9</v>
      </c>
      <c r="C866" s="19">
        <f>0.6+0.3</f>
        <v>0.89999999999999991</v>
      </c>
      <c r="D866" s="19">
        <f>B866*C866</f>
        <v>0.80999999999999994</v>
      </c>
      <c r="E866" s="19"/>
      <c r="F866" s="19"/>
      <c r="G866" s="19"/>
      <c r="H866" s="19"/>
      <c r="I866" s="19">
        <f>B866*0.4</f>
        <v>0.36000000000000004</v>
      </c>
      <c r="J866" s="19">
        <v>1</v>
      </c>
      <c r="K866" s="19">
        <f t="shared" ref="K866:L866" si="671">A866</f>
        <v>1</v>
      </c>
      <c r="L866" s="19">
        <f t="shared" si="671"/>
        <v>0.9</v>
      </c>
      <c r="M866" s="19">
        <f>A866</f>
        <v>1</v>
      </c>
      <c r="N866" s="19">
        <f>(1.2*0.4)*2</f>
        <v>0.96</v>
      </c>
      <c r="O866" s="19"/>
      <c r="P866" s="24"/>
      <c r="Q866" s="24"/>
      <c r="R866" s="19"/>
    </row>
    <row r="867" spans="1:18" ht="14.25" customHeight="1" x14ac:dyDescent="0.2">
      <c r="A867" s="19"/>
      <c r="B867" s="19"/>
      <c r="C867" s="19"/>
      <c r="D867" s="26" t="str">
        <f>D741</f>
        <v>16250</v>
      </c>
      <c r="E867" s="45">
        <v>0</v>
      </c>
      <c r="F867" s="45">
        <v>0</v>
      </c>
      <c r="G867" s="45">
        <v>2</v>
      </c>
      <c r="H867" s="19">
        <f>B866*2</f>
        <v>1.8</v>
      </c>
      <c r="I867" s="19"/>
      <c r="J867" s="19"/>
      <c r="K867" s="19"/>
      <c r="L867" s="19"/>
      <c r="M867" s="19"/>
      <c r="N867" s="28"/>
      <c r="O867" s="19"/>
      <c r="P867" s="24"/>
      <c r="Q867" s="24"/>
      <c r="R867" s="19"/>
    </row>
    <row r="868" spans="1:18" ht="14.25" customHeight="1" x14ac:dyDescent="0.2">
      <c r="A868" s="19"/>
      <c r="B868" s="19"/>
      <c r="C868" s="19"/>
      <c r="D868" s="19">
        <f>D866*D867</f>
        <v>13162.499999999998</v>
      </c>
      <c r="E868" s="45">
        <f>E867*E865</f>
        <v>0</v>
      </c>
      <c r="F868" s="45">
        <f t="shared" ref="F868:H868" si="672">F865*F867</f>
        <v>0</v>
      </c>
      <c r="G868" s="45">
        <f t="shared" si="672"/>
        <v>3600</v>
      </c>
      <c r="H868" s="19">
        <f t="shared" si="672"/>
        <v>684</v>
      </c>
      <c r="I868" s="19">
        <f t="shared" ref="I868:N868" si="673">I865*I866</f>
        <v>1728.0000000000002</v>
      </c>
      <c r="J868" s="19">
        <f t="shared" si="673"/>
        <v>1000</v>
      </c>
      <c r="K868" s="19">
        <f t="shared" si="673"/>
        <v>375</v>
      </c>
      <c r="L868" s="19">
        <f t="shared" si="673"/>
        <v>526.5</v>
      </c>
      <c r="M868" s="19">
        <f t="shared" si="673"/>
        <v>1000</v>
      </c>
      <c r="N868" s="19">
        <f t="shared" si="673"/>
        <v>3168</v>
      </c>
      <c r="O868" s="19">
        <f>SUM(D868:N868)</f>
        <v>25244</v>
      </c>
      <c r="P868" s="24">
        <f>O868/A866</f>
        <v>25244</v>
      </c>
      <c r="Q868" s="24">
        <f>P868*Q865</f>
        <v>50488</v>
      </c>
      <c r="R868" s="19">
        <f>MROUND(Q868,100)</f>
        <v>50500</v>
      </c>
    </row>
    <row r="869" spans="1:18" ht="14.25" customHeight="1" x14ac:dyDescent="0.1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9"/>
      <c r="Q869" s="39"/>
    </row>
    <row r="870" spans="1:18" ht="14.25" customHeight="1" x14ac:dyDescent="0.3">
      <c r="A870" s="109" t="str">
        <f>PRICELIST!I128</f>
        <v>WFLX-LNR-S-MB-900-G</v>
      </c>
      <c r="B870" s="87"/>
      <c r="C870" s="8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22"/>
      <c r="Q870" s="22"/>
      <c r="R870" s="17"/>
    </row>
    <row r="871" spans="1:18" ht="14.25" customHeight="1" x14ac:dyDescent="0.15">
      <c r="A871" s="19" t="s">
        <v>57</v>
      </c>
      <c r="B871" s="19" t="s">
        <v>59</v>
      </c>
      <c r="C871" s="19" t="s">
        <v>62</v>
      </c>
      <c r="D871" s="19" t="s">
        <v>64</v>
      </c>
      <c r="E871" s="19">
        <v>1200</v>
      </c>
      <c r="F871" s="19">
        <v>900</v>
      </c>
      <c r="G871" s="19">
        <v>600</v>
      </c>
      <c r="H871" s="19" t="s">
        <v>67</v>
      </c>
      <c r="I871" s="19" t="s">
        <v>68</v>
      </c>
      <c r="J871" s="19" t="s">
        <v>69</v>
      </c>
      <c r="K871" s="19" t="s">
        <v>71</v>
      </c>
      <c r="L871" s="19" t="s">
        <v>72</v>
      </c>
      <c r="M871" s="19" t="s">
        <v>73</v>
      </c>
      <c r="N871" s="19" t="s">
        <v>75</v>
      </c>
      <c r="O871" s="19" t="s">
        <v>76</v>
      </c>
      <c r="P871" s="24" t="s">
        <v>78</v>
      </c>
      <c r="Q871" s="24" t="s">
        <v>79</v>
      </c>
      <c r="R871" s="19" t="s">
        <v>81</v>
      </c>
    </row>
    <row r="872" spans="1:18" ht="14.25" customHeight="1" x14ac:dyDescent="0.15">
      <c r="A872" s="21">
        <f t="shared" ref="A872:B872" si="674">A865</f>
        <v>0</v>
      </c>
      <c r="B872" s="21">
        <f t="shared" si="674"/>
        <v>0</v>
      </c>
      <c r="C872" s="44" t="s">
        <v>188</v>
      </c>
      <c r="D872" s="21">
        <f t="shared" ref="D872:H872" si="675">D865</f>
        <v>0</v>
      </c>
      <c r="E872" s="23" t="str">
        <f t="shared" si="675"/>
        <v>2100</v>
      </c>
      <c r="F872" s="23" t="str">
        <f t="shared" si="675"/>
        <v>1900</v>
      </c>
      <c r="G872" s="23" t="str">
        <f t="shared" si="675"/>
        <v>1800</v>
      </c>
      <c r="H872" s="23">
        <f t="shared" si="675"/>
        <v>380</v>
      </c>
      <c r="I872" s="23" t="str">
        <f>I851</f>
        <v>5500</v>
      </c>
      <c r="J872" s="23" t="str">
        <f t="shared" ref="J872:Q872" si="676">J865</f>
        <v>1000</v>
      </c>
      <c r="K872" s="23">
        <f t="shared" si="676"/>
        <v>375</v>
      </c>
      <c r="L872" s="23">
        <f t="shared" si="676"/>
        <v>585</v>
      </c>
      <c r="M872" s="23" t="str">
        <f t="shared" si="676"/>
        <v>1000</v>
      </c>
      <c r="N872" s="23">
        <f t="shared" si="676"/>
        <v>3300</v>
      </c>
      <c r="O872" s="23">
        <f t="shared" si="676"/>
        <v>0</v>
      </c>
      <c r="P872" s="27">
        <f t="shared" si="676"/>
        <v>0</v>
      </c>
      <c r="Q872" s="27">
        <f t="shared" si="676"/>
        <v>2</v>
      </c>
      <c r="R872" s="21"/>
    </row>
    <row r="873" spans="1:18" ht="14.25" customHeight="1" x14ac:dyDescent="0.15">
      <c r="A873" s="19">
        <v>1</v>
      </c>
      <c r="B873" s="19">
        <v>0.9</v>
      </c>
      <c r="C873" s="19">
        <f>0.6+0.3</f>
        <v>0.89999999999999991</v>
      </c>
      <c r="D873" s="19">
        <f>B873*C873</f>
        <v>0.80999999999999994</v>
      </c>
      <c r="E873" s="19"/>
      <c r="F873" s="19"/>
      <c r="G873" s="19"/>
      <c r="H873" s="19"/>
      <c r="I873" s="19">
        <f>B873*0.4</f>
        <v>0.36000000000000004</v>
      </c>
      <c r="J873" s="19">
        <v>1</v>
      </c>
      <c r="K873" s="19">
        <f t="shared" ref="K873:L873" si="677">A873</f>
        <v>1</v>
      </c>
      <c r="L873" s="19">
        <f t="shared" si="677"/>
        <v>0.9</v>
      </c>
      <c r="M873" s="19">
        <f>A873</f>
        <v>1</v>
      </c>
      <c r="N873" s="19">
        <f>(1.2*0.4)*2</f>
        <v>0.96</v>
      </c>
      <c r="O873" s="19"/>
      <c r="P873" s="24"/>
      <c r="Q873" s="24"/>
      <c r="R873" s="19"/>
    </row>
    <row r="874" spans="1:18" ht="14.25" customHeight="1" x14ac:dyDescent="0.2">
      <c r="A874" s="19"/>
      <c r="B874" s="19"/>
      <c r="C874" s="19"/>
      <c r="D874" s="26" t="str">
        <f>D867</f>
        <v>16250</v>
      </c>
      <c r="E874" s="45">
        <v>0</v>
      </c>
      <c r="F874" s="45">
        <v>0</v>
      </c>
      <c r="G874" s="45">
        <v>2</v>
      </c>
      <c r="H874" s="19">
        <f>B873*2</f>
        <v>1.8</v>
      </c>
      <c r="I874" s="19"/>
      <c r="J874" s="19"/>
      <c r="K874" s="19"/>
      <c r="L874" s="19"/>
      <c r="M874" s="19"/>
      <c r="N874" s="28"/>
      <c r="O874" s="19"/>
      <c r="P874" s="24"/>
      <c r="Q874" s="24"/>
      <c r="R874" s="19"/>
    </row>
    <row r="875" spans="1:18" ht="14.25" customHeight="1" x14ac:dyDescent="0.2">
      <c r="A875" s="19"/>
      <c r="B875" s="19"/>
      <c r="C875" s="19"/>
      <c r="D875" s="19">
        <f>D873*D874</f>
        <v>13162.499999999998</v>
      </c>
      <c r="E875" s="45">
        <f>E874*E872</f>
        <v>0</v>
      </c>
      <c r="F875" s="45">
        <f t="shared" ref="F875:H875" si="678">F872*F874</f>
        <v>0</v>
      </c>
      <c r="G875" s="45">
        <f t="shared" si="678"/>
        <v>3600</v>
      </c>
      <c r="H875" s="19">
        <f t="shared" si="678"/>
        <v>684</v>
      </c>
      <c r="I875" s="19">
        <f t="shared" ref="I875:N875" si="679">I872*I873</f>
        <v>1980.0000000000002</v>
      </c>
      <c r="J875" s="19">
        <f t="shared" si="679"/>
        <v>1000</v>
      </c>
      <c r="K875" s="19">
        <f t="shared" si="679"/>
        <v>375</v>
      </c>
      <c r="L875" s="19">
        <f t="shared" si="679"/>
        <v>526.5</v>
      </c>
      <c r="M875" s="19">
        <f t="shared" si="679"/>
        <v>1000</v>
      </c>
      <c r="N875" s="19">
        <f t="shared" si="679"/>
        <v>3168</v>
      </c>
      <c r="O875" s="19">
        <f>SUM(D875:N875)</f>
        <v>25496</v>
      </c>
      <c r="P875" s="24">
        <f>O875/A873</f>
        <v>25496</v>
      </c>
      <c r="Q875" s="24">
        <f>P875*Q872</f>
        <v>50992</v>
      </c>
      <c r="R875" s="19">
        <f>MROUND(Q875,100)</f>
        <v>51000</v>
      </c>
    </row>
    <row r="876" spans="1:18" ht="14.25" customHeight="1" x14ac:dyDescent="0.1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9"/>
      <c r="Q876" s="39"/>
    </row>
    <row r="877" spans="1:18" ht="14.25" customHeight="1" x14ac:dyDescent="0.3">
      <c r="A877" s="109" t="str">
        <f>PRICELIST!I129</f>
        <v>WFLX-LNR-S-MB-900-X</v>
      </c>
      <c r="B877" s="87"/>
      <c r="C877" s="8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22"/>
      <c r="Q877" s="22"/>
      <c r="R877" s="17"/>
    </row>
    <row r="878" spans="1:18" ht="14.25" customHeight="1" x14ac:dyDescent="0.15">
      <c r="A878" s="19" t="s">
        <v>57</v>
      </c>
      <c r="B878" s="19" t="s">
        <v>59</v>
      </c>
      <c r="C878" s="19" t="s">
        <v>62</v>
      </c>
      <c r="D878" s="19" t="s">
        <v>64</v>
      </c>
      <c r="E878" s="19">
        <v>1200</v>
      </c>
      <c r="F878" s="19">
        <v>900</v>
      </c>
      <c r="G878" s="19">
        <v>600</v>
      </c>
      <c r="H878" s="19" t="s">
        <v>67</v>
      </c>
      <c r="I878" s="19" t="s">
        <v>68</v>
      </c>
      <c r="J878" s="19" t="s">
        <v>69</v>
      </c>
      <c r="K878" s="19" t="s">
        <v>71</v>
      </c>
      <c r="L878" s="19" t="s">
        <v>72</v>
      </c>
      <c r="M878" s="19" t="s">
        <v>73</v>
      </c>
      <c r="N878" s="19" t="s">
        <v>75</v>
      </c>
      <c r="O878" s="19" t="s">
        <v>76</v>
      </c>
      <c r="P878" s="24" t="s">
        <v>78</v>
      </c>
      <c r="Q878" s="24" t="s">
        <v>79</v>
      </c>
      <c r="R878" s="19" t="s">
        <v>81</v>
      </c>
    </row>
    <row r="879" spans="1:18" ht="14.25" customHeight="1" x14ac:dyDescent="0.15">
      <c r="A879" s="21">
        <f t="shared" ref="A879:B879" si="680">A872</f>
        <v>0</v>
      </c>
      <c r="B879" s="21">
        <f t="shared" si="680"/>
        <v>0</v>
      </c>
      <c r="C879" s="44" t="s">
        <v>188</v>
      </c>
      <c r="D879" s="21">
        <f t="shared" ref="D879:H879" si="681">D872</f>
        <v>0</v>
      </c>
      <c r="E879" s="23" t="str">
        <f t="shared" si="681"/>
        <v>2100</v>
      </c>
      <c r="F879" s="23" t="str">
        <f t="shared" si="681"/>
        <v>1900</v>
      </c>
      <c r="G879" s="23" t="str">
        <f t="shared" si="681"/>
        <v>1800</v>
      </c>
      <c r="H879" s="23">
        <f t="shared" si="681"/>
        <v>380</v>
      </c>
      <c r="I879" s="23" t="str">
        <f>I858</f>
        <v>0</v>
      </c>
      <c r="J879" s="23" t="str">
        <f t="shared" ref="J879:Q879" si="682">J872</f>
        <v>1000</v>
      </c>
      <c r="K879" s="23">
        <f t="shared" si="682"/>
        <v>375</v>
      </c>
      <c r="L879" s="23">
        <f t="shared" si="682"/>
        <v>585</v>
      </c>
      <c r="M879" s="23" t="str">
        <f t="shared" si="682"/>
        <v>1000</v>
      </c>
      <c r="N879" s="23">
        <f t="shared" si="682"/>
        <v>3300</v>
      </c>
      <c r="O879" s="23">
        <f t="shared" si="682"/>
        <v>0</v>
      </c>
      <c r="P879" s="27">
        <f t="shared" si="682"/>
        <v>0</v>
      </c>
      <c r="Q879" s="27">
        <f t="shared" si="682"/>
        <v>2</v>
      </c>
      <c r="R879" s="21"/>
    </row>
    <row r="880" spans="1:18" ht="14.25" customHeight="1" x14ac:dyDescent="0.15">
      <c r="A880" s="19">
        <v>1</v>
      </c>
      <c r="B880" s="19">
        <v>0.9</v>
      </c>
      <c r="C880" s="19">
        <f>0.6+0.3</f>
        <v>0.89999999999999991</v>
      </c>
      <c r="D880" s="19">
        <f>B880*C880</f>
        <v>0.80999999999999994</v>
      </c>
      <c r="E880" s="19"/>
      <c r="F880" s="19"/>
      <c r="G880" s="19"/>
      <c r="H880" s="19"/>
      <c r="I880" s="19">
        <f>B880*0.4</f>
        <v>0.36000000000000004</v>
      </c>
      <c r="J880" s="19">
        <v>1</v>
      </c>
      <c r="K880" s="19">
        <f t="shared" ref="K880:L880" si="683">A880</f>
        <v>1</v>
      </c>
      <c r="L880" s="19">
        <f t="shared" si="683"/>
        <v>0.9</v>
      </c>
      <c r="M880" s="19">
        <f>A880</f>
        <v>1</v>
      </c>
      <c r="N880" s="19">
        <f>(1.2*0.4)*2</f>
        <v>0.96</v>
      </c>
      <c r="O880" s="19"/>
      <c r="P880" s="24"/>
      <c r="Q880" s="24"/>
      <c r="R880" s="19"/>
    </row>
    <row r="881" spans="1:18" ht="14.25" customHeight="1" x14ac:dyDescent="0.2">
      <c r="A881" s="19"/>
      <c r="B881" s="19"/>
      <c r="C881" s="19"/>
      <c r="D881" s="26" t="str">
        <f>D874</f>
        <v>16250</v>
      </c>
      <c r="E881" s="45">
        <v>0</v>
      </c>
      <c r="F881" s="45">
        <v>0</v>
      </c>
      <c r="G881" s="45">
        <v>2</v>
      </c>
      <c r="H881" s="19">
        <f>B880*2</f>
        <v>1.8</v>
      </c>
      <c r="I881" s="19"/>
      <c r="J881" s="19"/>
      <c r="K881" s="19"/>
      <c r="L881" s="19"/>
      <c r="M881" s="19"/>
      <c r="N881" s="28"/>
      <c r="O881" s="19"/>
      <c r="P881" s="24"/>
      <c r="Q881" s="24"/>
      <c r="R881" s="19"/>
    </row>
    <row r="882" spans="1:18" ht="14.25" customHeight="1" x14ac:dyDescent="0.2">
      <c r="A882" s="19"/>
      <c r="B882" s="19"/>
      <c r="C882" s="19"/>
      <c r="D882" s="19">
        <f>D880*D881</f>
        <v>13162.499999999998</v>
      </c>
      <c r="E882" s="45">
        <f>E881*E879</f>
        <v>0</v>
      </c>
      <c r="F882" s="45">
        <f t="shared" ref="F882:H882" si="684">F879*F881</f>
        <v>0</v>
      </c>
      <c r="G882" s="45">
        <f t="shared" si="684"/>
        <v>3600</v>
      </c>
      <c r="H882" s="19">
        <f t="shared" si="684"/>
        <v>684</v>
      </c>
      <c r="I882" s="19">
        <f t="shared" ref="I882:N882" si="685">I879*I880</f>
        <v>0</v>
      </c>
      <c r="J882" s="19">
        <f t="shared" si="685"/>
        <v>1000</v>
      </c>
      <c r="K882" s="19">
        <f t="shared" si="685"/>
        <v>375</v>
      </c>
      <c r="L882" s="19">
        <f t="shared" si="685"/>
        <v>526.5</v>
      </c>
      <c r="M882" s="19">
        <f t="shared" si="685"/>
        <v>1000</v>
      </c>
      <c r="N882" s="19">
        <f t="shared" si="685"/>
        <v>3168</v>
      </c>
      <c r="O882" s="19">
        <f>SUM(D882:N882)</f>
        <v>23516</v>
      </c>
      <c r="P882" s="24">
        <f>O882/A880</f>
        <v>23516</v>
      </c>
      <c r="Q882" s="24">
        <f>P882*Q879</f>
        <v>47032</v>
      </c>
      <c r="R882" s="19">
        <f>MROUND(Q882,100)</f>
        <v>47000</v>
      </c>
    </row>
    <row r="883" spans="1:18" ht="14.25" customHeight="1" x14ac:dyDescent="0.1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9"/>
      <c r="Q883" s="39"/>
    </row>
    <row r="884" spans="1:18" ht="14.25" customHeight="1" x14ac:dyDescent="0.3">
      <c r="A884" s="109" t="str">
        <f>PRICELIST!I130</f>
        <v>WFLX-LNR-S-PB-1200-F</v>
      </c>
      <c r="B884" s="87"/>
      <c r="C884" s="8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22"/>
      <c r="Q884" s="22"/>
      <c r="R884" s="17"/>
    </row>
    <row r="885" spans="1:18" ht="14.25" customHeight="1" x14ac:dyDescent="0.15">
      <c r="A885" s="19" t="s">
        <v>57</v>
      </c>
      <c r="B885" s="19" t="s">
        <v>59</v>
      </c>
      <c r="C885" s="19" t="s">
        <v>62</v>
      </c>
      <c r="D885" s="19" t="s">
        <v>64</v>
      </c>
      <c r="E885" s="19">
        <v>1200</v>
      </c>
      <c r="F885" s="19">
        <v>900</v>
      </c>
      <c r="G885" s="19">
        <v>600</v>
      </c>
      <c r="H885" s="19" t="s">
        <v>67</v>
      </c>
      <c r="I885" s="19" t="s">
        <v>68</v>
      </c>
      <c r="J885" s="19" t="s">
        <v>69</v>
      </c>
      <c r="K885" s="19" t="s">
        <v>71</v>
      </c>
      <c r="L885" s="19" t="s">
        <v>72</v>
      </c>
      <c r="M885" s="19" t="s">
        <v>73</v>
      </c>
      <c r="N885" s="19" t="s">
        <v>75</v>
      </c>
      <c r="O885" s="19" t="s">
        <v>76</v>
      </c>
      <c r="P885" s="24" t="s">
        <v>78</v>
      </c>
      <c r="Q885" s="24" t="s">
        <v>79</v>
      </c>
      <c r="R885" s="19" t="s">
        <v>81</v>
      </c>
    </row>
    <row r="886" spans="1:18" ht="14.25" customHeight="1" x14ac:dyDescent="0.15">
      <c r="A886" s="21"/>
      <c r="B886" s="21"/>
      <c r="C886" s="44" t="s">
        <v>188</v>
      </c>
      <c r="D886" s="21"/>
      <c r="E886" s="23" t="str">
        <f t="shared" ref="E886:G886" si="686">E879</f>
        <v>2100</v>
      </c>
      <c r="F886" s="23" t="str">
        <f t="shared" si="686"/>
        <v>1900</v>
      </c>
      <c r="G886" s="23" t="str">
        <f t="shared" si="686"/>
        <v>1800</v>
      </c>
      <c r="H886" s="21">
        <v>380</v>
      </c>
      <c r="I886" s="23" t="str">
        <f>I865</f>
        <v>4800</v>
      </c>
      <c r="J886" s="23" t="str">
        <f>J879</f>
        <v>1000</v>
      </c>
      <c r="K886" s="21">
        <v>375</v>
      </c>
      <c r="L886" s="21">
        <v>585</v>
      </c>
      <c r="M886" s="23" t="str">
        <f>M879</f>
        <v>1000</v>
      </c>
      <c r="N886" s="21">
        <v>3300</v>
      </c>
      <c r="O886" s="21"/>
      <c r="P886" s="27"/>
      <c r="Q886" s="27">
        <f>Q879</f>
        <v>2</v>
      </c>
      <c r="R886" s="21"/>
    </row>
    <row r="887" spans="1:18" ht="14.25" customHeight="1" x14ac:dyDescent="0.15">
      <c r="A887" s="19">
        <v>1</v>
      </c>
      <c r="B887" s="19">
        <v>1.2</v>
      </c>
      <c r="C887" s="19">
        <f>0.6+0.3</f>
        <v>0.89999999999999991</v>
      </c>
      <c r="D887" s="19">
        <f>B887*C887</f>
        <v>1.0799999999999998</v>
      </c>
      <c r="E887" s="19"/>
      <c r="F887" s="19"/>
      <c r="G887" s="19"/>
      <c r="H887" s="19"/>
      <c r="I887" s="19">
        <f>B887*0.4</f>
        <v>0.48</v>
      </c>
      <c r="J887" s="19">
        <v>1</v>
      </c>
      <c r="K887" s="19">
        <f t="shared" ref="K887:L887" si="687">A887</f>
        <v>1</v>
      </c>
      <c r="L887" s="19">
        <f t="shared" si="687"/>
        <v>1.2</v>
      </c>
      <c r="M887" s="19">
        <f>A887</f>
        <v>1</v>
      </c>
      <c r="N887" s="19">
        <f>(1.2*0.4)*2</f>
        <v>0.96</v>
      </c>
      <c r="O887" s="19"/>
      <c r="P887" s="24"/>
      <c r="Q887" s="24"/>
      <c r="R887" s="19"/>
    </row>
    <row r="888" spans="1:18" ht="14.25" customHeight="1" x14ac:dyDescent="0.2">
      <c r="A888" s="19"/>
      <c r="B888" s="19"/>
      <c r="C888" s="19"/>
      <c r="D888" s="26" t="str">
        <f>D762</f>
        <v>2200</v>
      </c>
      <c r="E888" s="45">
        <v>0</v>
      </c>
      <c r="F888" s="45">
        <v>0</v>
      </c>
      <c r="G888" s="45">
        <v>2</v>
      </c>
      <c r="H888" s="19">
        <f>B887*2</f>
        <v>2.4</v>
      </c>
      <c r="I888" s="19"/>
      <c r="J888" s="19"/>
      <c r="K888" s="19"/>
      <c r="L888" s="19"/>
      <c r="M888" s="19"/>
      <c r="N888" s="28"/>
      <c r="O888" s="19"/>
      <c r="P888" s="24"/>
      <c r="Q888" s="24"/>
      <c r="R888" s="19"/>
    </row>
    <row r="889" spans="1:18" ht="14.25" customHeight="1" x14ac:dyDescent="0.2">
      <c r="A889" s="19"/>
      <c r="B889" s="19"/>
      <c r="C889" s="19"/>
      <c r="D889" s="19">
        <f>D887*D888</f>
        <v>2375.9999999999995</v>
      </c>
      <c r="E889" s="45">
        <f>E888*E886</f>
        <v>0</v>
      </c>
      <c r="F889" s="45">
        <f t="shared" ref="F889:H889" si="688">F886*F888</f>
        <v>0</v>
      </c>
      <c r="G889" s="45">
        <f t="shared" si="688"/>
        <v>3600</v>
      </c>
      <c r="H889" s="19">
        <f t="shared" si="688"/>
        <v>912</v>
      </c>
      <c r="I889" s="19">
        <f t="shared" ref="I889:N889" si="689">I886*I887</f>
        <v>2304</v>
      </c>
      <c r="J889" s="19">
        <f t="shared" si="689"/>
        <v>1000</v>
      </c>
      <c r="K889" s="19">
        <f t="shared" si="689"/>
        <v>375</v>
      </c>
      <c r="L889" s="19">
        <f t="shared" si="689"/>
        <v>702</v>
      </c>
      <c r="M889" s="19">
        <f t="shared" si="689"/>
        <v>1000</v>
      </c>
      <c r="N889" s="19">
        <f t="shared" si="689"/>
        <v>3168</v>
      </c>
      <c r="O889" s="19">
        <f>SUM(D889:N889)</f>
        <v>15437</v>
      </c>
      <c r="P889" s="24">
        <f>O889/A887</f>
        <v>15437</v>
      </c>
      <c r="Q889" s="24">
        <f>P889*Q886</f>
        <v>30874</v>
      </c>
      <c r="R889" s="19">
        <f>MROUND(Q889,100)</f>
        <v>30900</v>
      </c>
    </row>
    <row r="890" spans="1:18" ht="14.25" customHeight="1" x14ac:dyDescent="0.1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9"/>
      <c r="Q890" s="39"/>
    </row>
    <row r="891" spans="1:18" ht="14.25" customHeight="1" x14ac:dyDescent="0.3">
      <c r="A891" s="109" t="str">
        <f>PRICELIST!I131</f>
        <v>WFLX-LNR-S-PB-1200-G</v>
      </c>
      <c r="B891" s="87"/>
      <c r="C891" s="8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22"/>
      <c r="Q891" s="22"/>
      <c r="R891" s="17"/>
    </row>
    <row r="892" spans="1:18" ht="14.25" customHeight="1" x14ac:dyDescent="0.15">
      <c r="A892" s="19" t="s">
        <v>57</v>
      </c>
      <c r="B892" s="19" t="s">
        <v>59</v>
      </c>
      <c r="C892" s="19" t="s">
        <v>62</v>
      </c>
      <c r="D892" s="19" t="s">
        <v>64</v>
      </c>
      <c r="E892" s="19">
        <v>1200</v>
      </c>
      <c r="F892" s="19">
        <v>900</v>
      </c>
      <c r="G892" s="19">
        <v>600</v>
      </c>
      <c r="H892" s="19" t="s">
        <v>67</v>
      </c>
      <c r="I892" s="19" t="s">
        <v>68</v>
      </c>
      <c r="J892" s="19" t="s">
        <v>69</v>
      </c>
      <c r="K892" s="19" t="s">
        <v>71</v>
      </c>
      <c r="L892" s="19" t="s">
        <v>72</v>
      </c>
      <c r="M892" s="19" t="s">
        <v>73</v>
      </c>
      <c r="N892" s="19" t="s">
        <v>75</v>
      </c>
      <c r="O892" s="19" t="s">
        <v>76</v>
      </c>
      <c r="P892" s="24" t="s">
        <v>78</v>
      </c>
      <c r="Q892" s="24" t="s">
        <v>79</v>
      </c>
      <c r="R892" s="19" t="s">
        <v>81</v>
      </c>
    </row>
    <row r="893" spans="1:18" ht="14.25" customHeight="1" x14ac:dyDescent="0.15">
      <c r="A893" s="21"/>
      <c r="B893" s="21"/>
      <c r="C893" s="44" t="s">
        <v>188</v>
      </c>
      <c r="D893" s="21"/>
      <c r="E893" s="23" t="str">
        <f t="shared" ref="E893:H893" si="690">E886</f>
        <v>2100</v>
      </c>
      <c r="F893" s="23" t="str">
        <f t="shared" si="690"/>
        <v>1900</v>
      </c>
      <c r="G893" s="23" t="str">
        <f t="shared" si="690"/>
        <v>1800</v>
      </c>
      <c r="H893" s="23">
        <f t="shared" si="690"/>
        <v>380</v>
      </c>
      <c r="I893" s="23" t="str">
        <f>I872</f>
        <v>5500</v>
      </c>
      <c r="J893" s="23" t="str">
        <f t="shared" ref="J893:R893" si="691">J886</f>
        <v>1000</v>
      </c>
      <c r="K893" s="23">
        <f t="shared" si="691"/>
        <v>375</v>
      </c>
      <c r="L893" s="23">
        <f t="shared" si="691"/>
        <v>585</v>
      </c>
      <c r="M893" s="23" t="str">
        <f t="shared" si="691"/>
        <v>1000</v>
      </c>
      <c r="N893" s="23">
        <f t="shared" si="691"/>
        <v>3300</v>
      </c>
      <c r="O893" s="23">
        <f t="shared" si="691"/>
        <v>0</v>
      </c>
      <c r="P893" s="27">
        <f t="shared" si="691"/>
        <v>0</v>
      </c>
      <c r="Q893" s="27">
        <f t="shared" si="691"/>
        <v>2</v>
      </c>
      <c r="R893" s="23">
        <f t="shared" si="691"/>
        <v>0</v>
      </c>
    </row>
    <row r="894" spans="1:18" ht="14.25" customHeight="1" x14ac:dyDescent="0.15">
      <c r="A894" s="19">
        <v>1</v>
      </c>
      <c r="B894" s="19">
        <v>1.2</v>
      </c>
      <c r="C894" s="19">
        <f>0.6+0.3</f>
        <v>0.89999999999999991</v>
      </c>
      <c r="D894" s="19">
        <f>B894*C894</f>
        <v>1.0799999999999998</v>
      </c>
      <c r="E894" s="19"/>
      <c r="F894" s="19"/>
      <c r="G894" s="19"/>
      <c r="H894" s="19"/>
      <c r="I894" s="19">
        <f>B894*0.4</f>
        <v>0.48</v>
      </c>
      <c r="J894" s="19">
        <v>1</v>
      </c>
      <c r="K894" s="19">
        <f t="shared" ref="K894:L894" si="692">A894</f>
        <v>1</v>
      </c>
      <c r="L894" s="19">
        <f t="shared" si="692"/>
        <v>1.2</v>
      </c>
      <c r="M894" s="19">
        <f>A894</f>
        <v>1</v>
      </c>
      <c r="N894" s="19">
        <f>(1.2*0.4)*2</f>
        <v>0.96</v>
      </c>
      <c r="O894" s="19"/>
      <c r="P894" s="24"/>
      <c r="Q894" s="24"/>
      <c r="R894" s="19"/>
    </row>
    <row r="895" spans="1:18" ht="14.25" customHeight="1" x14ac:dyDescent="0.2">
      <c r="A895" s="19"/>
      <c r="B895" s="19"/>
      <c r="C895" s="19"/>
      <c r="D895" s="26" t="str">
        <f>D888</f>
        <v>2200</v>
      </c>
      <c r="E895" s="45">
        <v>0</v>
      </c>
      <c r="F895" s="45">
        <v>0</v>
      </c>
      <c r="G895" s="45">
        <v>2</v>
      </c>
      <c r="H895" s="19">
        <f>B894*2</f>
        <v>2.4</v>
      </c>
      <c r="I895" s="19"/>
      <c r="J895" s="19"/>
      <c r="K895" s="19"/>
      <c r="L895" s="19"/>
      <c r="M895" s="19"/>
      <c r="N895" s="28"/>
      <c r="O895" s="19"/>
      <c r="P895" s="24"/>
      <c r="Q895" s="24"/>
      <c r="R895" s="19"/>
    </row>
    <row r="896" spans="1:18" ht="14.25" customHeight="1" x14ac:dyDescent="0.2">
      <c r="A896" s="19"/>
      <c r="B896" s="19"/>
      <c r="C896" s="19"/>
      <c r="D896" s="19">
        <f>D894*D895</f>
        <v>2375.9999999999995</v>
      </c>
      <c r="E896" s="45">
        <f>E895*E893</f>
        <v>0</v>
      </c>
      <c r="F896" s="45">
        <f t="shared" ref="F896:H896" si="693">F893*F895</f>
        <v>0</v>
      </c>
      <c r="G896" s="45">
        <f t="shared" si="693"/>
        <v>3600</v>
      </c>
      <c r="H896" s="19">
        <f t="shared" si="693"/>
        <v>912</v>
      </c>
      <c r="I896" s="19">
        <f t="shared" ref="I896:N896" si="694">I893*I894</f>
        <v>2640</v>
      </c>
      <c r="J896" s="19">
        <f t="shared" si="694"/>
        <v>1000</v>
      </c>
      <c r="K896" s="19">
        <f t="shared" si="694"/>
        <v>375</v>
      </c>
      <c r="L896" s="19">
        <f t="shared" si="694"/>
        <v>702</v>
      </c>
      <c r="M896" s="19">
        <f t="shared" si="694"/>
        <v>1000</v>
      </c>
      <c r="N896" s="19">
        <f t="shared" si="694"/>
        <v>3168</v>
      </c>
      <c r="O896" s="19">
        <f>SUM(D896:N896)</f>
        <v>15773</v>
      </c>
      <c r="P896" s="24">
        <f>O896/A894</f>
        <v>15773</v>
      </c>
      <c r="Q896" s="24">
        <f>P896*Q893</f>
        <v>31546</v>
      </c>
      <c r="R896" s="19">
        <f>MROUND(Q896,100)</f>
        <v>31500</v>
      </c>
    </row>
    <row r="897" spans="1:18" ht="14.25" customHeight="1" x14ac:dyDescent="0.1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9"/>
      <c r="Q897" s="39"/>
    </row>
    <row r="898" spans="1:18" ht="14.25" customHeight="1" x14ac:dyDescent="0.3">
      <c r="A898" s="109" t="str">
        <f>PRICELIST!I132</f>
        <v>WFLX-LNR-S-PB-1200-X</v>
      </c>
      <c r="B898" s="87"/>
      <c r="C898" s="8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22"/>
      <c r="Q898" s="22"/>
      <c r="R898" s="17"/>
    </row>
    <row r="899" spans="1:18" ht="14.25" customHeight="1" x14ac:dyDescent="0.15">
      <c r="A899" s="19" t="s">
        <v>57</v>
      </c>
      <c r="B899" s="19" t="s">
        <v>59</v>
      </c>
      <c r="C899" s="19" t="s">
        <v>62</v>
      </c>
      <c r="D899" s="19" t="s">
        <v>64</v>
      </c>
      <c r="E899" s="19">
        <v>1200</v>
      </c>
      <c r="F899" s="19">
        <v>900</v>
      </c>
      <c r="G899" s="19">
        <v>600</v>
      </c>
      <c r="H899" s="19" t="s">
        <v>67</v>
      </c>
      <c r="I899" s="19" t="s">
        <v>68</v>
      </c>
      <c r="J899" s="19" t="s">
        <v>69</v>
      </c>
      <c r="K899" s="19" t="s">
        <v>71</v>
      </c>
      <c r="L899" s="19" t="s">
        <v>72</v>
      </c>
      <c r="M899" s="19" t="s">
        <v>73</v>
      </c>
      <c r="N899" s="19" t="s">
        <v>75</v>
      </c>
      <c r="O899" s="19" t="s">
        <v>76</v>
      </c>
      <c r="P899" s="24" t="s">
        <v>78</v>
      </c>
      <c r="Q899" s="24" t="s">
        <v>79</v>
      </c>
      <c r="R899" s="19" t="s">
        <v>81</v>
      </c>
    </row>
    <row r="900" spans="1:18" ht="14.25" customHeight="1" x14ac:dyDescent="0.15">
      <c r="A900" s="21">
        <f t="shared" ref="A900:B900" si="695">A893</f>
        <v>0</v>
      </c>
      <c r="B900" s="21">
        <f t="shared" si="695"/>
        <v>0</v>
      </c>
      <c r="C900" s="44" t="s">
        <v>188</v>
      </c>
      <c r="D900" s="21">
        <f t="shared" ref="D900:H900" si="696">D893</f>
        <v>0</v>
      </c>
      <c r="E900" s="23" t="str">
        <f t="shared" si="696"/>
        <v>2100</v>
      </c>
      <c r="F900" s="23" t="str">
        <f t="shared" si="696"/>
        <v>1900</v>
      </c>
      <c r="G900" s="23" t="str">
        <f t="shared" si="696"/>
        <v>1800</v>
      </c>
      <c r="H900" s="23">
        <f t="shared" si="696"/>
        <v>380</v>
      </c>
      <c r="I900" s="23" t="str">
        <f>I879</f>
        <v>0</v>
      </c>
      <c r="J900" s="23" t="str">
        <f t="shared" ref="J900:Q900" si="697">J893</f>
        <v>1000</v>
      </c>
      <c r="K900" s="23">
        <f t="shared" si="697"/>
        <v>375</v>
      </c>
      <c r="L900" s="23">
        <f t="shared" si="697"/>
        <v>585</v>
      </c>
      <c r="M900" s="23" t="str">
        <f t="shared" si="697"/>
        <v>1000</v>
      </c>
      <c r="N900" s="23">
        <f t="shared" si="697"/>
        <v>3300</v>
      </c>
      <c r="O900" s="23">
        <f t="shared" si="697"/>
        <v>0</v>
      </c>
      <c r="P900" s="27">
        <f t="shared" si="697"/>
        <v>0</v>
      </c>
      <c r="Q900" s="27">
        <f t="shared" si="697"/>
        <v>2</v>
      </c>
      <c r="R900" s="21"/>
    </row>
    <row r="901" spans="1:18" ht="14.25" customHeight="1" x14ac:dyDescent="0.15">
      <c r="A901" s="19">
        <v>1</v>
      </c>
      <c r="B901" s="19">
        <v>1.2</v>
      </c>
      <c r="C901" s="19">
        <f>0.6+0.3</f>
        <v>0.89999999999999991</v>
      </c>
      <c r="D901" s="19">
        <f>B901*C901</f>
        <v>1.0799999999999998</v>
      </c>
      <c r="E901" s="19"/>
      <c r="F901" s="19"/>
      <c r="G901" s="19"/>
      <c r="H901" s="19"/>
      <c r="I901" s="19">
        <f>B901*0.4</f>
        <v>0.48</v>
      </c>
      <c r="J901" s="19">
        <v>1</v>
      </c>
      <c r="K901" s="19">
        <f t="shared" ref="K901:L901" si="698">A901</f>
        <v>1</v>
      </c>
      <c r="L901" s="19">
        <f t="shared" si="698"/>
        <v>1.2</v>
      </c>
      <c r="M901" s="19">
        <f>A901</f>
        <v>1</v>
      </c>
      <c r="N901" s="19">
        <f>(1.2*0.4)*2</f>
        <v>0.96</v>
      </c>
      <c r="O901" s="19"/>
      <c r="P901" s="24"/>
      <c r="Q901" s="24"/>
      <c r="R901" s="19"/>
    </row>
    <row r="902" spans="1:18" ht="14.25" customHeight="1" x14ac:dyDescent="0.2">
      <c r="A902" s="19"/>
      <c r="B902" s="19"/>
      <c r="C902" s="19"/>
      <c r="D902" s="26" t="str">
        <f>D895</f>
        <v>2200</v>
      </c>
      <c r="E902" s="45">
        <v>0</v>
      </c>
      <c r="F902" s="45">
        <v>0</v>
      </c>
      <c r="G902" s="45">
        <v>2</v>
      </c>
      <c r="H902" s="19">
        <f>B901*2</f>
        <v>2.4</v>
      </c>
      <c r="I902" s="19"/>
      <c r="J902" s="19"/>
      <c r="K902" s="19"/>
      <c r="L902" s="19"/>
      <c r="M902" s="19"/>
      <c r="N902" s="28"/>
      <c r="O902" s="19"/>
      <c r="P902" s="24"/>
      <c r="Q902" s="24"/>
      <c r="R902" s="19"/>
    </row>
    <row r="903" spans="1:18" ht="14.25" customHeight="1" x14ac:dyDescent="0.2">
      <c r="A903" s="19"/>
      <c r="B903" s="19"/>
      <c r="C903" s="19"/>
      <c r="D903" s="19">
        <f>D901*D902</f>
        <v>2375.9999999999995</v>
      </c>
      <c r="E903" s="45">
        <f>E902*E900</f>
        <v>0</v>
      </c>
      <c r="F903" s="45">
        <f t="shared" ref="F903:H903" si="699">F900*F902</f>
        <v>0</v>
      </c>
      <c r="G903" s="45">
        <f t="shared" si="699"/>
        <v>3600</v>
      </c>
      <c r="H903" s="19">
        <f t="shared" si="699"/>
        <v>912</v>
      </c>
      <c r="I903" s="19">
        <f t="shared" ref="I903:N903" si="700">I900*I901</f>
        <v>0</v>
      </c>
      <c r="J903" s="19">
        <f t="shared" si="700"/>
        <v>1000</v>
      </c>
      <c r="K903" s="19">
        <f t="shared" si="700"/>
        <v>375</v>
      </c>
      <c r="L903" s="19">
        <f t="shared" si="700"/>
        <v>702</v>
      </c>
      <c r="M903" s="19">
        <f t="shared" si="700"/>
        <v>1000</v>
      </c>
      <c r="N903" s="19">
        <f t="shared" si="700"/>
        <v>3168</v>
      </c>
      <c r="O903" s="19">
        <f>SUM(D903:N903)</f>
        <v>13133</v>
      </c>
      <c r="P903" s="24">
        <f>O903/A901</f>
        <v>13133</v>
      </c>
      <c r="Q903" s="24">
        <f>P903*Q900</f>
        <v>26266</v>
      </c>
      <c r="R903" s="19">
        <f>MROUND(Q903,100)</f>
        <v>26300</v>
      </c>
    </row>
    <row r="904" spans="1:18" ht="14.25" customHeight="1" x14ac:dyDescent="0.1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9"/>
      <c r="Q904" s="39"/>
    </row>
    <row r="905" spans="1:18" ht="14.25" customHeight="1" x14ac:dyDescent="0.3">
      <c r="A905" s="109" t="str">
        <f>PRICELIST!I133</f>
        <v>WFLX-LNR-S-PLM-1200-F</v>
      </c>
      <c r="B905" s="87"/>
      <c r="C905" s="8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22"/>
      <c r="Q905" s="22"/>
      <c r="R905" s="17"/>
    </row>
    <row r="906" spans="1:18" ht="14.25" customHeight="1" x14ac:dyDescent="0.15">
      <c r="A906" s="19" t="s">
        <v>57</v>
      </c>
      <c r="B906" s="19" t="s">
        <v>59</v>
      </c>
      <c r="C906" s="19" t="s">
        <v>62</v>
      </c>
      <c r="D906" s="19" t="s">
        <v>64</v>
      </c>
      <c r="E906" s="19">
        <v>1200</v>
      </c>
      <c r="F906" s="19">
        <v>900</v>
      </c>
      <c r="G906" s="19">
        <v>600</v>
      </c>
      <c r="H906" s="19" t="s">
        <v>67</v>
      </c>
      <c r="I906" s="19" t="s">
        <v>68</v>
      </c>
      <c r="J906" s="19" t="s">
        <v>69</v>
      </c>
      <c r="K906" s="19" t="s">
        <v>71</v>
      </c>
      <c r="L906" s="19" t="s">
        <v>72</v>
      </c>
      <c r="M906" s="19" t="s">
        <v>73</v>
      </c>
      <c r="N906" s="19" t="s">
        <v>75</v>
      </c>
      <c r="O906" s="19" t="s">
        <v>76</v>
      </c>
      <c r="P906" s="24" t="s">
        <v>78</v>
      </c>
      <c r="Q906" s="24" t="s">
        <v>79</v>
      </c>
      <c r="R906" s="19" t="s">
        <v>81</v>
      </c>
    </row>
    <row r="907" spans="1:18" ht="14.25" customHeight="1" x14ac:dyDescent="0.15">
      <c r="A907" s="21">
        <f t="shared" ref="A907:B907" si="701">A900</f>
        <v>0</v>
      </c>
      <c r="B907" s="21">
        <f t="shared" si="701"/>
        <v>0</v>
      </c>
      <c r="C907" s="44" t="s">
        <v>188</v>
      </c>
      <c r="D907" s="21">
        <f t="shared" ref="D907:H907" si="702">D900</f>
        <v>0</v>
      </c>
      <c r="E907" s="23" t="str">
        <f t="shared" si="702"/>
        <v>2100</v>
      </c>
      <c r="F907" s="23" t="str">
        <f t="shared" si="702"/>
        <v>1900</v>
      </c>
      <c r="G907" s="23" t="str">
        <f t="shared" si="702"/>
        <v>1800</v>
      </c>
      <c r="H907" s="23">
        <f t="shared" si="702"/>
        <v>380</v>
      </c>
      <c r="I907" s="23" t="str">
        <f>I886</f>
        <v>4800</v>
      </c>
      <c r="J907" s="23" t="str">
        <f t="shared" ref="J907:Q907" si="703">J900</f>
        <v>1000</v>
      </c>
      <c r="K907" s="23">
        <f t="shared" si="703"/>
        <v>375</v>
      </c>
      <c r="L907" s="23">
        <f t="shared" si="703"/>
        <v>585</v>
      </c>
      <c r="M907" s="23" t="str">
        <f t="shared" si="703"/>
        <v>1000</v>
      </c>
      <c r="N907" s="23">
        <f t="shared" si="703"/>
        <v>3300</v>
      </c>
      <c r="O907" s="23">
        <f t="shared" si="703"/>
        <v>0</v>
      </c>
      <c r="P907" s="27">
        <f t="shared" si="703"/>
        <v>0</v>
      </c>
      <c r="Q907" s="27">
        <f t="shared" si="703"/>
        <v>2</v>
      </c>
      <c r="R907" s="21"/>
    </row>
    <row r="908" spans="1:18" ht="14.25" customHeight="1" x14ac:dyDescent="0.15">
      <c r="A908" s="19">
        <v>1</v>
      </c>
      <c r="B908" s="19">
        <v>1.2</v>
      </c>
      <c r="C908" s="19">
        <f>0.6+0.3</f>
        <v>0.89999999999999991</v>
      </c>
      <c r="D908" s="19">
        <f>B908*C908</f>
        <v>1.0799999999999998</v>
      </c>
      <c r="E908" s="19"/>
      <c r="F908" s="19"/>
      <c r="G908" s="19"/>
      <c r="H908" s="19"/>
      <c r="I908" s="19">
        <f>B908*0.4</f>
        <v>0.48</v>
      </c>
      <c r="J908" s="19">
        <v>1</v>
      </c>
      <c r="K908" s="19">
        <f t="shared" ref="K908:L908" si="704">A908</f>
        <v>1</v>
      </c>
      <c r="L908" s="19">
        <f t="shared" si="704"/>
        <v>1.2</v>
      </c>
      <c r="M908" s="19">
        <f>A908</f>
        <v>1</v>
      </c>
      <c r="N908" s="19">
        <f>(1.2*0.4)*2</f>
        <v>0.96</v>
      </c>
      <c r="O908" s="19"/>
      <c r="P908" s="24"/>
      <c r="Q908" s="24"/>
      <c r="R908" s="19"/>
    </row>
    <row r="909" spans="1:18" ht="14.25" customHeight="1" x14ac:dyDescent="0.2">
      <c r="A909" s="19"/>
      <c r="B909" s="19"/>
      <c r="C909" s="19"/>
      <c r="D909" s="26" t="str">
        <f>D797</f>
        <v>3000</v>
      </c>
      <c r="E909" s="45">
        <v>0</v>
      </c>
      <c r="F909" s="45">
        <v>0</v>
      </c>
      <c r="G909" s="45">
        <v>2</v>
      </c>
      <c r="H909" s="19">
        <f>B908*2</f>
        <v>2.4</v>
      </c>
      <c r="I909" s="19"/>
      <c r="J909" s="19"/>
      <c r="K909" s="19"/>
      <c r="L909" s="19"/>
      <c r="M909" s="19"/>
      <c r="N909" s="28"/>
      <c r="O909" s="19"/>
      <c r="P909" s="24"/>
      <c r="Q909" s="24"/>
      <c r="R909" s="19"/>
    </row>
    <row r="910" spans="1:18" ht="14.25" customHeight="1" x14ac:dyDescent="0.2">
      <c r="A910" s="19"/>
      <c r="B910" s="19"/>
      <c r="C910" s="19"/>
      <c r="D910" s="19">
        <f>D908*D909</f>
        <v>3239.9999999999995</v>
      </c>
      <c r="E910" s="45">
        <f>E909*E907</f>
        <v>0</v>
      </c>
      <c r="F910" s="45">
        <f t="shared" ref="F910:H910" si="705">F907*F909</f>
        <v>0</v>
      </c>
      <c r="G910" s="45">
        <f t="shared" si="705"/>
        <v>3600</v>
      </c>
      <c r="H910" s="19">
        <f t="shared" si="705"/>
        <v>912</v>
      </c>
      <c r="I910" s="19">
        <f t="shared" ref="I910:N910" si="706">I907*I908</f>
        <v>2304</v>
      </c>
      <c r="J910" s="19">
        <f t="shared" si="706"/>
        <v>1000</v>
      </c>
      <c r="K910" s="19">
        <f t="shared" si="706"/>
        <v>375</v>
      </c>
      <c r="L910" s="19">
        <f t="shared" si="706"/>
        <v>702</v>
      </c>
      <c r="M910" s="19">
        <f t="shared" si="706"/>
        <v>1000</v>
      </c>
      <c r="N910" s="19">
        <f t="shared" si="706"/>
        <v>3168</v>
      </c>
      <c r="O910" s="19">
        <f>SUM(D910:N910)</f>
        <v>16301</v>
      </c>
      <c r="P910" s="24">
        <f>O910/A908</f>
        <v>16301</v>
      </c>
      <c r="Q910" s="24">
        <f>P910*Q907</f>
        <v>32602</v>
      </c>
      <c r="R910" s="19">
        <f>MROUND(Q910,100)</f>
        <v>32600</v>
      </c>
    </row>
    <row r="911" spans="1:18" ht="14.25" customHeight="1" x14ac:dyDescent="0.1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9"/>
      <c r="Q911" s="39"/>
    </row>
    <row r="912" spans="1:18" ht="14.25" customHeight="1" x14ac:dyDescent="0.3">
      <c r="A912" s="109" t="str">
        <f>PRICELIST!I134</f>
        <v>WFLX-LNR-S-PLM-1200-G</v>
      </c>
      <c r="B912" s="87"/>
      <c r="C912" s="8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22"/>
      <c r="Q912" s="22"/>
      <c r="R912" s="17"/>
    </row>
    <row r="913" spans="1:18" ht="14.25" customHeight="1" x14ac:dyDescent="0.15">
      <c r="A913" s="19" t="s">
        <v>57</v>
      </c>
      <c r="B913" s="19" t="s">
        <v>59</v>
      </c>
      <c r="C913" s="19" t="s">
        <v>62</v>
      </c>
      <c r="D913" s="19" t="s">
        <v>64</v>
      </c>
      <c r="E913" s="19">
        <v>1200</v>
      </c>
      <c r="F913" s="19">
        <v>900</v>
      </c>
      <c r="G913" s="19">
        <v>600</v>
      </c>
      <c r="H913" s="19" t="s">
        <v>67</v>
      </c>
      <c r="I913" s="19" t="s">
        <v>68</v>
      </c>
      <c r="J913" s="19" t="s">
        <v>69</v>
      </c>
      <c r="K913" s="19" t="s">
        <v>71</v>
      </c>
      <c r="L913" s="19" t="s">
        <v>72</v>
      </c>
      <c r="M913" s="19" t="s">
        <v>73</v>
      </c>
      <c r="N913" s="19" t="s">
        <v>75</v>
      </c>
      <c r="O913" s="19" t="s">
        <v>76</v>
      </c>
      <c r="P913" s="24" t="s">
        <v>78</v>
      </c>
      <c r="Q913" s="24" t="s">
        <v>79</v>
      </c>
      <c r="R913" s="19" t="s">
        <v>81</v>
      </c>
    </row>
    <row r="914" spans="1:18" ht="14.25" customHeight="1" x14ac:dyDescent="0.15">
      <c r="A914" s="21">
        <f t="shared" ref="A914:B914" si="707">A907</f>
        <v>0</v>
      </c>
      <c r="B914" s="21">
        <f t="shared" si="707"/>
        <v>0</v>
      </c>
      <c r="C914" s="44" t="s">
        <v>188</v>
      </c>
      <c r="D914" s="21">
        <f t="shared" ref="D914:H914" si="708">D907</f>
        <v>0</v>
      </c>
      <c r="E914" s="23" t="str">
        <f t="shared" si="708"/>
        <v>2100</v>
      </c>
      <c r="F914" s="23" t="str">
        <f t="shared" si="708"/>
        <v>1900</v>
      </c>
      <c r="G914" s="23" t="str">
        <f t="shared" si="708"/>
        <v>1800</v>
      </c>
      <c r="H914" s="23">
        <f t="shared" si="708"/>
        <v>380</v>
      </c>
      <c r="I914" s="23" t="str">
        <f>I893</f>
        <v>5500</v>
      </c>
      <c r="J914" s="23" t="str">
        <f t="shared" ref="J914:Q914" si="709">J907</f>
        <v>1000</v>
      </c>
      <c r="K914" s="23">
        <f t="shared" si="709"/>
        <v>375</v>
      </c>
      <c r="L914" s="23">
        <f t="shared" si="709"/>
        <v>585</v>
      </c>
      <c r="M914" s="23" t="str">
        <f t="shared" si="709"/>
        <v>1000</v>
      </c>
      <c r="N914" s="23">
        <f t="shared" si="709"/>
        <v>3300</v>
      </c>
      <c r="O914" s="23">
        <f t="shared" si="709"/>
        <v>0</v>
      </c>
      <c r="P914" s="27">
        <f t="shared" si="709"/>
        <v>0</v>
      </c>
      <c r="Q914" s="27">
        <f t="shared" si="709"/>
        <v>2</v>
      </c>
      <c r="R914" s="21"/>
    </row>
    <row r="915" spans="1:18" ht="14.25" customHeight="1" x14ac:dyDescent="0.15">
      <c r="A915" s="19">
        <v>1</v>
      </c>
      <c r="B915" s="19">
        <v>1.2</v>
      </c>
      <c r="C915" s="19">
        <f>0.6+0.3</f>
        <v>0.89999999999999991</v>
      </c>
      <c r="D915" s="19">
        <f>B915*C915</f>
        <v>1.0799999999999998</v>
      </c>
      <c r="E915" s="19"/>
      <c r="F915" s="19"/>
      <c r="G915" s="19"/>
      <c r="H915" s="19"/>
      <c r="I915" s="19">
        <f>B915*0.4</f>
        <v>0.48</v>
      </c>
      <c r="J915" s="19">
        <v>1</v>
      </c>
      <c r="K915" s="19">
        <f t="shared" ref="K915:L915" si="710">A915</f>
        <v>1</v>
      </c>
      <c r="L915" s="19">
        <f t="shared" si="710"/>
        <v>1.2</v>
      </c>
      <c r="M915" s="19">
        <f>A915</f>
        <v>1</v>
      </c>
      <c r="N915" s="19">
        <f>(1.2*0.4)*2</f>
        <v>0.96</v>
      </c>
      <c r="O915" s="19"/>
      <c r="P915" s="24"/>
      <c r="Q915" s="24"/>
      <c r="R915" s="19"/>
    </row>
    <row r="916" spans="1:18" ht="14.25" customHeight="1" x14ac:dyDescent="0.2">
      <c r="A916" s="19"/>
      <c r="B916" s="19"/>
      <c r="C916" s="19"/>
      <c r="D916" s="26" t="str">
        <f>D909</f>
        <v>3000</v>
      </c>
      <c r="E916" s="45">
        <v>0</v>
      </c>
      <c r="F916" s="45">
        <v>0</v>
      </c>
      <c r="G916" s="45">
        <v>2</v>
      </c>
      <c r="H916" s="19">
        <f>B915*2</f>
        <v>2.4</v>
      </c>
      <c r="I916" s="19"/>
      <c r="J916" s="19"/>
      <c r="K916" s="19"/>
      <c r="L916" s="19"/>
      <c r="M916" s="19"/>
      <c r="N916" s="28"/>
      <c r="O916" s="19"/>
      <c r="P916" s="24"/>
      <c r="Q916" s="24"/>
      <c r="R916" s="19"/>
    </row>
    <row r="917" spans="1:18" ht="14.25" customHeight="1" x14ac:dyDescent="0.2">
      <c r="A917" s="19"/>
      <c r="B917" s="19"/>
      <c r="C917" s="19"/>
      <c r="D917" s="19">
        <f>D915*D916</f>
        <v>3239.9999999999995</v>
      </c>
      <c r="E917" s="45">
        <f>E916*E914</f>
        <v>0</v>
      </c>
      <c r="F917" s="45">
        <f t="shared" ref="F917:H917" si="711">F914*F916</f>
        <v>0</v>
      </c>
      <c r="G917" s="45">
        <f t="shared" si="711"/>
        <v>3600</v>
      </c>
      <c r="H917" s="19">
        <f t="shared" si="711"/>
        <v>912</v>
      </c>
      <c r="I917" s="19">
        <f t="shared" ref="I917:N917" si="712">I914*I915</f>
        <v>2640</v>
      </c>
      <c r="J917" s="19">
        <f t="shared" si="712"/>
        <v>1000</v>
      </c>
      <c r="K917" s="19">
        <f t="shared" si="712"/>
        <v>375</v>
      </c>
      <c r="L917" s="19">
        <f t="shared" si="712"/>
        <v>702</v>
      </c>
      <c r="M917" s="19">
        <f t="shared" si="712"/>
        <v>1000</v>
      </c>
      <c r="N917" s="19">
        <f t="shared" si="712"/>
        <v>3168</v>
      </c>
      <c r="O917" s="19">
        <f>SUM(D917:N917)</f>
        <v>16637</v>
      </c>
      <c r="P917" s="24">
        <f>O917/A915</f>
        <v>16637</v>
      </c>
      <c r="Q917" s="24">
        <f>P917*Q914</f>
        <v>33274</v>
      </c>
      <c r="R917" s="19">
        <f>MROUND(Q917,100)</f>
        <v>33300</v>
      </c>
    </row>
    <row r="918" spans="1:18" ht="14.25" customHeight="1" x14ac:dyDescent="0.1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9"/>
      <c r="Q918" s="39"/>
    </row>
    <row r="919" spans="1:18" ht="14.25" customHeight="1" x14ac:dyDescent="0.3">
      <c r="A919" s="109" t="str">
        <f>PRICELIST!I135</f>
        <v>WFLX-LNR-S-PLM-1200-X</v>
      </c>
      <c r="B919" s="87"/>
      <c r="C919" s="8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22"/>
      <c r="Q919" s="22"/>
      <c r="R919" s="17"/>
    </row>
    <row r="920" spans="1:18" ht="14.25" customHeight="1" x14ac:dyDescent="0.15">
      <c r="A920" s="19" t="s">
        <v>57</v>
      </c>
      <c r="B920" s="19" t="s">
        <v>59</v>
      </c>
      <c r="C920" s="19" t="s">
        <v>62</v>
      </c>
      <c r="D920" s="19" t="s">
        <v>64</v>
      </c>
      <c r="E920" s="19">
        <v>1200</v>
      </c>
      <c r="F920" s="19">
        <v>900</v>
      </c>
      <c r="G920" s="19">
        <v>600</v>
      </c>
      <c r="H920" s="19" t="s">
        <v>67</v>
      </c>
      <c r="I920" s="19" t="s">
        <v>68</v>
      </c>
      <c r="J920" s="19" t="s">
        <v>69</v>
      </c>
      <c r="K920" s="19" t="s">
        <v>71</v>
      </c>
      <c r="L920" s="19" t="s">
        <v>72</v>
      </c>
      <c r="M920" s="19" t="s">
        <v>73</v>
      </c>
      <c r="N920" s="19" t="s">
        <v>75</v>
      </c>
      <c r="O920" s="19" t="s">
        <v>76</v>
      </c>
      <c r="P920" s="24" t="s">
        <v>78</v>
      </c>
      <c r="Q920" s="24" t="s">
        <v>79</v>
      </c>
      <c r="R920" s="19" t="s">
        <v>81</v>
      </c>
    </row>
    <row r="921" spans="1:18" ht="14.25" customHeight="1" x14ac:dyDescent="0.15">
      <c r="A921" s="21">
        <f t="shared" ref="A921:B921" si="713">A914</f>
        <v>0</v>
      </c>
      <c r="B921" s="21">
        <f t="shared" si="713"/>
        <v>0</v>
      </c>
      <c r="C921" s="44" t="s">
        <v>188</v>
      </c>
      <c r="D921" s="21">
        <f t="shared" ref="D921:H921" si="714">D914</f>
        <v>0</v>
      </c>
      <c r="E921" s="23" t="str">
        <f t="shared" si="714"/>
        <v>2100</v>
      </c>
      <c r="F921" s="23" t="str">
        <f t="shared" si="714"/>
        <v>1900</v>
      </c>
      <c r="G921" s="23" t="str">
        <f t="shared" si="714"/>
        <v>1800</v>
      </c>
      <c r="H921" s="23">
        <f t="shared" si="714"/>
        <v>380</v>
      </c>
      <c r="I921" s="23" t="str">
        <f>I900</f>
        <v>0</v>
      </c>
      <c r="J921" s="23" t="str">
        <f t="shared" ref="J921:Q921" si="715">J914</f>
        <v>1000</v>
      </c>
      <c r="K921" s="23">
        <f t="shared" si="715"/>
        <v>375</v>
      </c>
      <c r="L921" s="23">
        <f t="shared" si="715"/>
        <v>585</v>
      </c>
      <c r="M921" s="23" t="str">
        <f t="shared" si="715"/>
        <v>1000</v>
      </c>
      <c r="N921" s="23">
        <f t="shared" si="715"/>
        <v>3300</v>
      </c>
      <c r="O921" s="23">
        <f t="shared" si="715"/>
        <v>0</v>
      </c>
      <c r="P921" s="27">
        <f t="shared" si="715"/>
        <v>0</v>
      </c>
      <c r="Q921" s="27">
        <f t="shared" si="715"/>
        <v>2</v>
      </c>
      <c r="R921" s="21"/>
    </row>
    <row r="922" spans="1:18" ht="14.25" customHeight="1" x14ac:dyDescent="0.15">
      <c r="A922" s="19">
        <v>1</v>
      </c>
      <c r="B922" s="19">
        <v>1.2</v>
      </c>
      <c r="C922" s="19">
        <f>0.6+0.3</f>
        <v>0.89999999999999991</v>
      </c>
      <c r="D922" s="19">
        <f>B922*C922</f>
        <v>1.0799999999999998</v>
      </c>
      <c r="E922" s="19"/>
      <c r="F922" s="19"/>
      <c r="G922" s="19"/>
      <c r="H922" s="19"/>
      <c r="I922" s="19">
        <f>B922*0.4</f>
        <v>0.48</v>
      </c>
      <c r="J922" s="19">
        <v>1</v>
      </c>
      <c r="K922" s="19">
        <f t="shared" ref="K922:L922" si="716">A922</f>
        <v>1</v>
      </c>
      <c r="L922" s="19">
        <f t="shared" si="716"/>
        <v>1.2</v>
      </c>
      <c r="M922" s="19">
        <f>A922</f>
        <v>1</v>
      </c>
      <c r="N922" s="19">
        <f>(1.2*0.4)*2</f>
        <v>0.96</v>
      </c>
      <c r="O922" s="19"/>
      <c r="P922" s="24"/>
      <c r="Q922" s="24"/>
      <c r="R922" s="19"/>
    </row>
    <row r="923" spans="1:18" ht="14.25" customHeight="1" x14ac:dyDescent="0.2">
      <c r="A923" s="19"/>
      <c r="B923" s="19"/>
      <c r="C923" s="19"/>
      <c r="D923" s="26" t="str">
        <f>D916</f>
        <v>3000</v>
      </c>
      <c r="E923" s="45">
        <v>0</v>
      </c>
      <c r="F923" s="45">
        <v>0</v>
      </c>
      <c r="G923" s="45">
        <v>2</v>
      </c>
      <c r="H923" s="19">
        <f>B922*2</f>
        <v>2.4</v>
      </c>
      <c r="I923" s="19"/>
      <c r="J923" s="19"/>
      <c r="K923" s="19"/>
      <c r="L923" s="19"/>
      <c r="M923" s="19"/>
      <c r="N923" s="28"/>
      <c r="O923" s="19"/>
      <c r="P923" s="24"/>
      <c r="Q923" s="24"/>
      <c r="R923" s="19"/>
    </row>
    <row r="924" spans="1:18" ht="14.25" customHeight="1" x14ac:dyDescent="0.2">
      <c r="A924" s="19"/>
      <c r="B924" s="19"/>
      <c r="C924" s="19"/>
      <c r="D924" s="19">
        <f>D922*D923</f>
        <v>3239.9999999999995</v>
      </c>
      <c r="E924" s="45">
        <f>E923*E921</f>
        <v>0</v>
      </c>
      <c r="F924" s="45">
        <f t="shared" ref="F924:H924" si="717">F921*F923</f>
        <v>0</v>
      </c>
      <c r="G924" s="45">
        <f t="shared" si="717"/>
        <v>3600</v>
      </c>
      <c r="H924" s="19">
        <f t="shared" si="717"/>
        <v>912</v>
      </c>
      <c r="I924" s="19">
        <f t="shared" ref="I924:N924" si="718">I921*I922</f>
        <v>0</v>
      </c>
      <c r="J924" s="19">
        <f t="shared" si="718"/>
        <v>1000</v>
      </c>
      <c r="K924" s="19">
        <f t="shared" si="718"/>
        <v>375</v>
      </c>
      <c r="L924" s="19">
        <f t="shared" si="718"/>
        <v>702</v>
      </c>
      <c r="M924" s="19">
        <f t="shared" si="718"/>
        <v>1000</v>
      </c>
      <c r="N924" s="19">
        <f t="shared" si="718"/>
        <v>3168</v>
      </c>
      <c r="O924" s="19">
        <f>SUM(D924:N924)</f>
        <v>13997</v>
      </c>
      <c r="P924" s="24">
        <f>O924/A922</f>
        <v>13997</v>
      </c>
      <c r="Q924" s="24">
        <f>P924*Q921</f>
        <v>27994</v>
      </c>
      <c r="R924" s="19">
        <f>MROUND(Q924,100)</f>
        <v>28000</v>
      </c>
    </row>
    <row r="925" spans="1:18" ht="14.25" customHeight="1" x14ac:dyDescent="0.1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9"/>
      <c r="Q925" s="39"/>
    </row>
    <row r="926" spans="1:18" ht="14.25" customHeight="1" x14ac:dyDescent="0.3">
      <c r="A926" s="109" t="str">
        <f>PRICELIST!I136</f>
        <v>WFLX-LNR-S-PoLM-1200-F</v>
      </c>
      <c r="B926" s="87"/>
      <c r="C926" s="8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22"/>
      <c r="Q926" s="22"/>
      <c r="R926" s="17"/>
    </row>
    <row r="927" spans="1:18" ht="14.25" customHeight="1" x14ac:dyDescent="0.15">
      <c r="A927" s="19" t="s">
        <v>57</v>
      </c>
      <c r="B927" s="19" t="s">
        <v>59</v>
      </c>
      <c r="C927" s="19" t="s">
        <v>62</v>
      </c>
      <c r="D927" s="19" t="s">
        <v>64</v>
      </c>
      <c r="E927" s="19">
        <v>1200</v>
      </c>
      <c r="F927" s="19">
        <v>900</v>
      </c>
      <c r="G927" s="19">
        <v>600</v>
      </c>
      <c r="H927" s="19" t="s">
        <v>67</v>
      </c>
      <c r="I927" s="19" t="s">
        <v>68</v>
      </c>
      <c r="J927" s="19" t="s">
        <v>69</v>
      </c>
      <c r="K927" s="19" t="s">
        <v>71</v>
      </c>
      <c r="L927" s="19" t="s">
        <v>72</v>
      </c>
      <c r="M927" s="19" t="s">
        <v>73</v>
      </c>
      <c r="N927" s="19" t="s">
        <v>75</v>
      </c>
      <c r="O927" s="19" t="s">
        <v>76</v>
      </c>
      <c r="P927" s="24" t="s">
        <v>78</v>
      </c>
      <c r="Q927" s="24" t="s">
        <v>79</v>
      </c>
      <c r="R927" s="19" t="s">
        <v>81</v>
      </c>
    </row>
    <row r="928" spans="1:18" ht="14.25" customHeight="1" x14ac:dyDescent="0.15">
      <c r="A928" s="21">
        <f t="shared" ref="A928:B928" si="719">A921</f>
        <v>0</v>
      </c>
      <c r="B928" s="21">
        <f t="shared" si="719"/>
        <v>0</v>
      </c>
      <c r="C928" s="44" t="s">
        <v>188</v>
      </c>
      <c r="D928" s="21">
        <f t="shared" ref="D928:H928" si="720">D921</f>
        <v>0</v>
      </c>
      <c r="E928" s="23" t="str">
        <f t="shared" si="720"/>
        <v>2100</v>
      </c>
      <c r="F928" s="23" t="str">
        <f t="shared" si="720"/>
        <v>1900</v>
      </c>
      <c r="G928" s="23" t="str">
        <f t="shared" si="720"/>
        <v>1800</v>
      </c>
      <c r="H928" s="23">
        <f t="shared" si="720"/>
        <v>380</v>
      </c>
      <c r="I928" s="23" t="str">
        <f>I907</f>
        <v>4800</v>
      </c>
      <c r="J928" s="23" t="str">
        <f t="shared" ref="J928:Q928" si="721">J921</f>
        <v>1000</v>
      </c>
      <c r="K928" s="23">
        <f t="shared" si="721"/>
        <v>375</v>
      </c>
      <c r="L928" s="23">
        <f t="shared" si="721"/>
        <v>585</v>
      </c>
      <c r="M928" s="23" t="str">
        <f t="shared" si="721"/>
        <v>1000</v>
      </c>
      <c r="N928" s="23">
        <f t="shared" si="721"/>
        <v>3300</v>
      </c>
      <c r="O928" s="23">
        <f t="shared" si="721"/>
        <v>0</v>
      </c>
      <c r="P928" s="27">
        <f t="shared" si="721"/>
        <v>0</v>
      </c>
      <c r="Q928" s="27">
        <f t="shared" si="721"/>
        <v>2</v>
      </c>
      <c r="R928" s="21"/>
    </row>
    <row r="929" spans="1:18" ht="14.25" customHeight="1" x14ac:dyDescent="0.15">
      <c r="A929" s="19">
        <v>1</v>
      </c>
      <c r="B929" s="19">
        <v>1.2</v>
      </c>
      <c r="C929" s="19">
        <f>0.6+0.3</f>
        <v>0.89999999999999991</v>
      </c>
      <c r="D929" s="19">
        <f>B929*C929</f>
        <v>1.0799999999999998</v>
      </c>
      <c r="E929" s="19"/>
      <c r="F929" s="19"/>
      <c r="G929" s="19"/>
      <c r="H929" s="19"/>
      <c r="I929" s="19">
        <f>B929*0.4</f>
        <v>0.48</v>
      </c>
      <c r="J929" s="19">
        <v>1</v>
      </c>
      <c r="K929" s="19">
        <f t="shared" ref="K929:L929" si="722">A929</f>
        <v>1</v>
      </c>
      <c r="L929" s="19">
        <f t="shared" si="722"/>
        <v>1.2</v>
      </c>
      <c r="M929" s="19">
        <f>A929</f>
        <v>1</v>
      </c>
      <c r="N929" s="19">
        <f>(1.2*0.4)*2</f>
        <v>0.96</v>
      </c>
      <c r="O929" s="19"/>
      <c r="P929" s="24"/>
      <c r="Q929" s="24"/>
      <c r="R929" s="19"/>
    </row>
    <row r="930" spans="1:18" ht="14.25" customHeight="1" x14ac:dyDescent="0.2">
      <c r="A930" s="19"/>
      <c r="B930" s="19"/>
      <c r="C930" s="19"/>
      <c r="D930" s="26" t="str">
        <f>D818</f>
        <v>7500</v>
      </c>
      <c r="E930" s="45">
        <v>0</v>
      </c>
      <c r="F930" s="45">
        <v>0</v>
      </c>
      <c r="G930" s="45">
        <v>2</v>
      </c>
      <c r="H930" s="19">
        <f>B929*2</f>
        <v>2.4</v>
      </c>
      <c r="I930" s="19"/>
      <c r="J930" s="19"/>
      <c r="K930" s="19"/>
      <c r="L930" s="19"/>
      <c r="M930" s="19"/>
      <c r="N930" s="28"/>
      <c r="O930" s="19"/>
      <c r="P930" s="24"/>
      <c r="Q930" s="24"/>
      <c r="R930" s="19"/>
    </row>
    <row r="931" spans="1:18" ht="14.25" customHeight="1" x14ac:dyDescent="0.2">
      <c r="A931" s="19"/>
      <c r="B931" s="19"/>
      <c r="C931" s="19"/>
      <c r="D931" s="19">
        <f>D929*D930</f>
        <v>8099.9999999999991</v>
      </c>
      <c r="E931" s="45">
        <f>E930*E928</f>
        <v>0</v>
      </c>
      <c r="F931" s="45">
        <f t="shared" ref="F931:H931" si="723">F928*F930</f>
        <v>0</v>
      </c>
      <c r="G931" s="45">
        <f t="shared" si="723"/>
        <v>3600</v>
      </c>
      <c r="H931" s="19">
        <f t="shared" si="723"/>
        <v>912</v>
      </c>
      <c r="I931" s="19">
        <f t="shared" ref="I931:N931" si="724">I928*I929</f>
        <v>2304</v>
      </c>
      <c r="J931" s="19">
        <f t="shared" si="724"/>
        <v>1000</v>
      </c>
      <c r="K931" s="19">
        <f t="shared" si="724"/>
        <v>375</v>
      </c>
      <c r="L931" s="19">
        <f t="shared" si="724"/>
        <v>702</v>
      </c>
      <c r="M931" s="19">
        <f t="shared" si="724"/>
        <v>1000</v>
      </c>
      <c r="N931" s="19">
        <f t="shared" si="724"/>
        <v>3168</v>
      </c>
      <c r="O931" s="19">
        <f>SUM(D931:N931)</f>
        <v>21161</v>
      </c>
      <c r="P931" s="24">
        <f>O931/A929</f>
        <v>21161</v>
      </c>
      <c r="Q931" s="24">
        <f>P931*Q928</f>
        <v>42322</v>
      </c>
      <c r="R931" s="19">
        <f>MROUND(Q931,100)</f>
        <v>42300</v>
      </c>
    </row>
    <row r="932" spans="1:18" ht="14.25" customHeight="1" x14ac:dyDescent="0.1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9"/>
      <c r="Q932" s="39"/>
    </row>
    <row r="933" spans="1:18" ht="14.25" customHeight="1" x14ac:dyDescent="0.3">
      <c r="A933" s="109" t="str">
        <f>PRICELIST!I137</f>
        <v>WFLX-LNR-S-PoLM-1200-G</v>
      </c>
      <c r="B933" s="87"/>
      <c r="C933" s="8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22"/>
      <c r="Q933" s="22"/>
      <c r="R933" s="17"/>
    </row>
    <row r="934" spans="1:18" ht="14.25" customHeight="1" x14ac:dyDescent="0.15">
      <c r="A934" s="19" t="s">
        <v>57</v>
      </c>
      <c r="B934" s="19" t="s">
        <v>59</v>
      </c>
      <c r="C934" s="19" t="s">
        <v>62</v>
      </c>
      <c r="D934" s="19" t="s">
        <v>64</v>
      </c>
      <c r="E934" s="19">
        <v>1200</v>
      </c>
      <c r="F934" s="19">
        <v>900</v>
      </c>
      <c r="G934" s="19">
        <v>600</v>
      </c>
      <c r="H934" s="19" t="s">
        <v>67</v>
      </c>
      <c r="I934" s="19" t="s">
        <v>68</v>
      </c>
      <c r="J934" s="19" t="s">
        <v>69</v>
      </c>
      <c r="K934" s="19" t="s">
        <v>71</v>
      </c>
      <c r="L934" s="19" t="s">
        <v>72</v>
      </c>
      <c r="M934" s="19" t="s">
        <v>73</v>
      </c>
      <c r="N934" s="19" t="s">
        <v>75</v>
      </c>
      <c r="O934" s="19" t="s">
        <v>76</v>
      </c>
      <c r="P934" s="24" t="s">
        <v>78</v>
      </c>
      <c r="Q934" s="24" t="s">
        <v>79</v>
      </c>
      <c r="R934" s="19" t="s">
        <v>81</v>
      </c>
    </row>
    <row r="935" spans="1:18" ht="14.25" customHeight="1" x14ac:dyDescent="0.15">
      <c r="A935" s="21">
        <f t="shared" ref="A935:B935" si="725">A928</f>
        <v>0</v>
      </c>
      <c r="B935" s="21">
        <f t="shared" si="725"/>
        <v>0</v>
      </c>
      <c r="C935" s="44" t="s">
        <v>188</v>
      </c>
      <c r="D935" s="21">
        <f t="shared" ref="D935:H935" si="726">D928</f>
        <v>0</v>
      </c>
      <c r="E935" s="23" t="str">
        <f t="shared" si="726"/>
        <v>2100</v>
      </c>
      <c r="F935" s="23" t="str">
        <f t="shared" si="726"/>
        <v>1900</v>
      </c>
      <c r="G935" s="23" t="str">
        <f t="shared" si="726"/>
        <v>1800</v>
      </c>
      <c r="H935" s="23">
        <f t="shared" si="726"/>
        <v>380</v>
      </c>
      <c r="I935" s="23" t="str">
        <f>I914</f>
        <v>5500</v>
      </c>
      <c r="J935" s="23" t="str">
        <f t="shared" ref="J935:Q935" si="727">J928</f>
        <v>1000</v>
      </c>
      <c r="K935" s="23">
        <f t="shared" si="727"/>
        <v>375</v>
      </c>
      <c r="L935" s="23">
        <f t="shared" si="727"/>
        <v>585</v>
      </c>
      <c r="M935" s="23" t="str">
        <f t="shared" si="727"/>
        <v>1000</v>
      </c>
      <c r="N935" s="23">
        <f t="shared" si="727"/>
        <v>3300</v>
      </c>
      <c r="O935" s="23">
        <f t="shared" si="727"/>
        <v>0</v>
      </c>
      <c r="P935" s="27">
        <f t="shared" si="727"/>
        <v>0</v>
      </c>
      <c r="Q935" s="27">
        <f t="shared" si="727"/>
        <v>2</v>
      </c>
      <c r="R935" s="21"/>
    </row>
    <row r="936" spans="1:18" ht="14.25" customHeight="1" x14ac:dyDescent="0.15">
      <c r="A936" s="19">
        <v>1</v>
      </c>
      <c r="B936" s="19">
        <v>1.2</v>
      </c>
      <c r="C936" s="19">
        <f>0.6+0.3</f>
        <v>0.89999999999999991</v>
      </c>
      <c r="D936" s="19">
        <f>B936*C936</f>
        <v>1.0799999999999998</v>
      </c>
      <c r="E936" s="19"/>
      <c r="F936" s="19"/>
      <c r="G936" s="19"/>
      <c r="H936" s="19"/>
      <c r="I936" s="19">
        <f>B936*0.4</f>
        <v>0.48</v>
      </c>
      <c r="J936" s="19">
        <v>1</v>
      </c>
      <c r="K936" s="19">
        <f t="shared" ref="K936:L936" si="728">A936</f>
        <v>1</v>
      </c>
      <c r="L936" s="19">
        <f t="shared" si="728"/>
        <v>1.2</v>
      </c>
      <c r="M936" s="19">
        <f>A936</f>
        <v>1</v>
      </c>
      <c r="N936" s="19">
        <f>(1.2*0.4)*2</f>
        <v>0.96</v>
      </c>
      <c r="O936" s="19"/>
      <c r="P936" s="24"/>
      <c r="Q936" s="24"/>
      <c r="R936" s="19"/>
    </row>
    <row r="937" spans="1:18" ht="14.25" customHeight="1" x14ac:dyDescent="0.2">
      <c r="A937" s="19"/>
      <c r="B937" s="19"/>
      <c r="C937" s="19"/>
      <c r="D937" s="26" t="str">
        <f>D930</f>
        <v>7500</v>
      </c>
      <c r="E937" s="45">
        <v>0</v>
      </c>
      <c r="F937" s="45">
        <v>0</v>
      </c>
      <c r="G937" s="45">
        <v>2</v>
      </c>
      <c r="H937" s="19">
        <f>B936*2</f>
        <v>2.4</v>
      </c>
      <c r="I937" s="19"/>
      <c r="J937" s="19"/>
      <c r="K937" s="19"/>
      <c r="L937" s="19"/>
      <c r="M937" s="19"/>
      <c r="N937" s="28"/>
      <c r="O937" s="19"/>
      <c r="P937" s="24"/>
      <c r="Q937" s="24"/>
      <c r="R937" s="19"/>
    </row>
    <row r="938" spans="1:18" ht="14.25" customHeight="1" x14ac:dyDescent="0.2">
      <c r="A938" s="19"/>
      <c r="B938" s="19"/>
      <c r="C938" s="19"/>
      <c r="D938" s="19">
        <f>D936*D937</f>
        <v>8099.9999999999991</v>
      </c>
      <c r="E938" s="45">
        <f>E937*E935</f>
        <v>0</v>
      </c>
      <c r="F938" s="45">
        <f t="shared" ref="F938:H938" si="729">F935*F937</f>
        <v>0</v>
      </c>
      <c r="G938" s="45">
        <f t="shared" si="729"/>
        <v>3600</v>
      </c>
      <c r="H938" s="19">
        <f t="shared" si="729"/>
        <v>912</v>
      </c>
      <c r="I938" s="19">
        <f t="shared" ref="I938:N938" si="730">I935*I936</f>
        <v>2640</v>
      </c>
      <c r="J938" s="19">
        <f t="shared" si="730"/>
        <v>1000</v>
      </c>
      <c r="K938" s="19">
        <f t="shared" si="730"/>
        <v>375</v>
      </c>
      <c r="L938" s="19">
        <f t="shared" si="730"/>
        <v>702</v>
      </c>
      <c r="M938" s="19">
        <f t="shared" si="730"/>
        <v>1000</v>
      </c>
      <c r="N938" s="19">
        <f t="shared" si="730"/>
        <v>3168</v>
      </c>
      <c r="O938" s="19">
        <f>SUM(D938:N938)</f>
        <v>21497</v>
      </c>
      <c r="P938" s="24">
        <f>O938/A936</f>
        <v>21497</v>
      </c>
      <c r="Q938" s="24">
        <f>P938*Q935</f>
        <v>42994</v>
      </c>
      <c r="R938" s="19">
        <f>MROUND(Q938,100)</f>
        <v>43000</v>
      </c>
    </row>
    <row r="939" spans="1:18" ht="14.25" customHeight="1" x14ac:dyDescent="0.1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9"/>
      <c r="Q939" s="39"/>
    </row>
    <row r="940" spans="1:18" ht="14.25" customHeight="1" x14ac:dyDescent="0.3">
      <c r="A940" s="109" t="str">
        <f>PRICELIST!I138</f>
        <v>WFLX-LNR-S-PoLM-1200-X</v>
      </c>
      <c r="B940" s="87"/>
      <c r="C940" s="8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22"/>
      <c r="Q940" s="22"/>
      <c r="R940" s="17"/>
    </row>
    <row r="941" spans="1:18" ht="14.25" customHeight="1" x14ac:dyDescent="0.15">
      <c r="A941" s="19" t="s">
        <v>57</v>
      </c>
      <c r="B941" s="19" t="s">
        <v>59</v>
      </c>
      <c r="C941" s="19" t="s">
        <v>62</v>
      </c>
      <c r="D941" s="19" t="s">
        <v>64</v>
      </c>
      <c r="E941" s="19">
        <v>1200</v>
      </c>
      <c r="F941" s="19">
        <v>900</v>
      </c>
      <c r="G941" s="19">
        <v>600</v>
      </c>
      <c r="H941" s="19" t="s">
        <v>67</v>
      </c>
      <c r="I941" s="19" t="s">
        <v>68</v>
      </c>
      <c r="J941" s="19" t="s">
        <v>69</v>
      </c>
      <c r="K941" s="19" t="s">
        <v>71</v>
      </c>
      <c r="L941" s="19" t="s">
        <v>72</v>
      </c>
      <c r="M941" s="19" t="s">
        <v>73</v>
      </c>
      <c r="N941" s="19" t="s">
        <v>75</v>
      </c>
      <c r="O941" s="19" t="s">
        <v>76</v>
      </c>
      <c r="P941" s="24" t="s">
        <v>78</v>
      </c>
      <c r="Q941" s="24" t="s">
        <v>79</v>
      </c>
      <c r="R941" s="19" t="s">
        <v>81</v>
      </c>
    </row>
    <row r="942" spans="1:18" ht="14.25" customHeight="1" x14ac:dyDescent="0.15">
      <c r="A942" s="21">
        <f t="shared" ref="A942:B942" si="731">A935</f>
        <v>0</v>
      </c>
      <c r="B942" s="21">
        <f t="shared" si="731"/>
        <v>0</v>
      </c>
      <c r="C942" s="44" t="s">
        <v>188</v>
      </c>
      <c r="D942" s="21">
        <f t="shared" ref="D942:H942" si="732">D935</f>
        <v>0</v>
      </c>
      <c r="E942" s="23" t="str">
        <f t="shared" si="732"/>
        <v>2100</v>
      </c>
      <c r="F942" s="23" t="str">
        <f t="shared" si="732"/>
        <v>1900</v>
      </c>
      <c r="G942" s="23" t="str">
        <f t="shared" si="732"/>
        <v>1800</v>
      </c>
      <c r="H942" s="23">
        <f t="shared" si="732"/>
        <v>380</v>
      </c>
      <c r="I942" s="23" t="str">
        <f>I921</f>
        <v>0</v>
      </c>
      <c r="J942" s="23" t="str">
        <f t="shared" ref="J942:Q942" si="733">J935</f>
        <v>1000</v>
      </c>
      <c r="K942" s="23">
        <f t="shared" si="733"/>
        <v>375</v>
      </c>
      <c r="L942" s="23">
        <f t="shared" si="733"/>
        <v>585</v>
      </c>
      <c r="M942" s="23" t="str">
        <f t="shared" si="733"/>
        <v>1000</v>
      </c>
      <c r="N942" s="23">
        <f t="shared" si="733"/>
        <v>3300</v>
      </c>
      <c r="O942" s="23">
        <f t="shared" si="733"/>
        <v>0</v>
      </c>
      <c r="P942" s="27">
        <f t="shared" si="733"/>
        <v>0</v>
      </c>
      <c r="Q942" s="27">
        <f t="shared" si="733"/>
        <v>2</v>
      </c>
      <c r="R942" s="21"/>
    </row>
    <row r="943" spans="1:18" ht="14.25" customHeight="1" x14ac:dyDescent="0.15">
      <c r="A943" s="19">
        <v>1</v>
      </c>
      <c r="B943" s="19">
        <v>1.2</v>
      </c>
      <c r="C943" s="19">
        <f>0.6+0.3</f>
        <v>0.89999999999999991</v>
      </c>
      <c r="D943" s="19">
        <f>B943*C943</f>
        <v>1.0799999999999998</v>
      </c>
      <c r="E943" s="19"/>
      <c r="F943" s="19"/>
      <c r="G943" s="19"/>
      <c r="H943" s="19"/>
      <c r="I943" s="19">
        <f>B943*0.4</f>
        <v>0.48</v>
      </c>
      <c r="J943" s="19">
        <v>1</v>
      </c>
      <c r="K943" s="19">
        <f t="shared" ref="K943:L943" si="734">A943</f>
        <v>1</v>
      </c>
      <c r="L943" s="19">
        <f t="shared" si="734"/>
        <v>1.2</v>
      </c>
      <c r="M943" s="19">
        <f>A943</f>
        <v>1</v>
      </c>
      <c r="N943" s="19">
        <f>(1.2*0.4)*2</f>
        <v>0.96</v>
      </c>
      <c r="O943" s="19"/>
      <c r="P943" s="24"/>
      <c r="Q943" s="24"/>
      <c r="R943" s="19"/>
    </row>
    <row r="944" spans="1:18" ht="14.25" customHeight="1" x14ac:dyDescent="0.2">
      <c r="A944" s="19"/>
      <c r="B944" s="19"/>
      <c r="C944" s="19"/>
      <c r="D944" s="26" t="str">
        <f>D937</f>
        <v>7500</v>
      </c>
      <c r="E944" s="45">
        <v>0</v>
      </c>
      <c r="F944" s="45">
        <v>0</v>
      </c>
      <c r="G944" s="45">
        <v>2</v>
      </c>
      <c r="H944" s="19">
        <f>B943*2</f>
        <v>2.4</v>
      </c>
      <c r="I944" s="19"/>
      <c r="J944" s="19"/>
      <c r="K944" s="19"/>
      <c r="L944" s="19"/>
      <c r="M944" s="19"/>
      <c r="N944" s="28"/>
      <c r="O944" s="19"/>
      <c r="P944" s="24"/>
      <c r="Q944" s="24"/>
      <c r="R944" s="19"/>
    </row>
    <row r="945" spans="1:18" ht="14.25" customHeight="1" x14ac:dyDescent="0.2">
      <c r="A945" s="19"/>
      <c r="B945" s="19"/>
      <c r="C945" s="19"/>
      <c r="D945" s="19">
        <f>D943*D944</f>
        <v>8099.9999999999991</v>
      </c>
      <c r="E945" s="45">
        <f>E944*E942</f>
        <v>0</v>
      </c>
      <c r="F945" s="45">
        <f t="shared" ref="F945:H945" si="735">F942*F944</f>
        <v>0</v>
      </c>
      <c r="G945" s="45">
        <f t="shared" si="735"/>
        <v>3600</v>
      </c>
      <c r="H945" s="19">
        <f t="shared" si="735"/>
        <v>912</v>
      </c>
      <c r="I945" s="19">
        <f t="shared" ref="I945:N945" si="736">I942*I943</f>
        <v>0</v>
      </c>
      <c r="J945" s="19">
        <f t="shared" si="736"/>
        <v>1000</v>
      </c>
      <c r="K945" s="19">
        <f t="shared" si="736"/>
        <v>375</v>
      </c>
      <c r="L945" s="19">
        <f t="shared" si="736"/>
        <v>702</v>
      </c>
      <c r="M945" s="19">
        <f t="shared" si="736"/>
        <v>1000</v>
      </c>
      <c r="N945" s="19">
        <f t="shared" si="736"/>
        <v>3168</v>
      </c>
      <c r="O945" s="19">
        <f>SUM(D945:N945)</f>
        <v>18857</v>
      </c>
      <c r="P945" s="24">
        <f>O945/A943</f>
        <v>18857</v>
      </c>
      <c r="Q945" s="24">
        <f>P945*Q942</f>
        <v>37714</v>
      </c>
      <c r="R945" s="19">
        <f>MROUND(Q945,100)</f>
        <v>37700</v>
      </c>
    </row>
    <row r="946" spans="1:18" ht="14.25" customHeight="1" x14ac:dyDescent="0.1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9"/>
      <c r="Q946" s="39"/>
    </row>
    <row r="947" spans="1:18" ht="14.25" customHeight="1" x14ac:dyDescent="0.3">
      <c r="A947" s="109" t="str">
        <f>PRICELIST!I139</f>
        <v>WFLX-LNR-S-LVM-1200-F</v>
      </c>
      <c r="B947" s="87"/>
      <c r="C947" s="8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22"/>
      <c r="Q947" s="22"/>
      <c r="R947" s="17"/>
    </row>
    <row r="948" spans="1:18" ht="14.25" customHeight="1" x14ac:dyDescent="0.15">
      <c r="A948" s="19" t="s">
        <v>57</v>
      </c>
      <c r="B948" s="19" t="s">
        <v>59</v>
      </c>
      <c r="C948" s="19" t="s">
        <v>62</v>
      </c>
      <c r="D948" s="19" t="s">
        <v>64</v>
      </c>
      <c r="E948" s="19">
        <v>1200</v>
      </c>
      <c r="F948" s="19">
        <v>900</v>
      </c>
      <c r="G948" s="19">
        <v>600</v>
      </c>
      <c r="H948" s="19" t="s">
        <v>67</v>
      </c>
      <c r="I948" s="19" t="s">
        <v>68</v>
      </c>
      <c r="J948" s="19" t="s">
        <v>69</v>
      </c>
      <c r="K948" s="19" t="s">
        <v>71</v>
      </c>
      <c r="L948" s="19" t="s">
        <v>72</v>
      </c>
      <c r="M948" s="19" t="s">
        <v>73</v>
      </c>
      <c r="N948" s="19" t="s">
        <v>75</v>
      </c>
      <c r="O948" s="19" t="s">
        <v>76</v>
      </c>
      <c r="P948" s="24" t="s">
        <v>78</v>
      </c>
      <c r="Q948" s="24" t="s">
        <v>79</v>
      </c>
      <c r="R948" s="19" t="s">
        <v>81</v>
      </c>
    </row>
    <row r="949" spans="1:18" ht="14.25" customHeight="1" x14ac:dyDescent="0.15">
      <c r="A949" s="21">
        <f t="shared" ref="A949:B949" si="737">A942</f>
        <v>0</v>
      </c>
      <c r="B949" s="21">
        <f t="shared" si="737"/>
        <v>0</v>
      </c>
      <c r="C949" s="44" t="s">
        <v>188</v>
      </c>
      <c r="D949" s="21">
        <f t="shared" ref="D949:H949" si="738">D942</f>
        <v>0</v>
      </c>
      <c r="E949" s="23" t="str">
        <f t="shared" si="738"/>
        <v>2100</v>
      </c>
      <c r="F949" s="23" t="str">
        <f t="shared" si="738"/>
        <v>1900</v>
      </c>
      <c r="G949" s="23" t="str">
        <f t="shared" si="738"/>
        <v>1800</v>
      </c>
      <c r="H949" s="23">
        <f t="shared" si="738"/>
        <v>380</v>
      </c>
      <c r="I949" s="23" t="str">
        <f>I928</f>
        <v>4800</v>
      </c>
      <c r="J949" s="23" t="str">
        <f t="shared" ref="J949:Q949" si="739">J942</f>
        <v>1000</v>
      </c>
      <c r="K949" s="23">
        <f t="shared" si="739"/>
        <v>375</v>
      </c>
      <c r="L949" s="23">
        <f t="shared" si="739"/>
        <v>585</v>
      </c>
      <c r="M949" s="23" t="str">
        <f t="shared" si="739"/>
        <v>1000</v>
      </c>
      <c r="N949" s="23">
        <f t="shared" si="739"/>
        <v>3300</v>
      </c>
      <c r="O949" s="23">
        <f t="shared" si="739"/>
        <v>0</v>
      </c>
      <c r="P949" s="27">
        <f t="shared" si="739"/>
        <v>0</v>
      </c>
      <c r="Q949" s="27">
        <f t="shared" si="739"/>
        <v>2</v>
      </c>
      <c r="R949" s="21"/>
    </row>
    <row r="950" spans="1:18" ht="14.25" customHeight="1" x14ac:dyDescent="0.15">
      <c r="A950" s="19">
        <v>1</v>
      </c>
      <c r="B950" s="19">
        <v>1.2</v>
      </c>
      <c r="C950" s="19">
        <f>0.6+0.3</f>
        <v>0.89999999999999991</v>
      </c>
      <c r="D950" s="19">
        <f>B950*C950</f>
        <v>1.0799999999999998</v>
      </c>
      <c r="E950" s="19"/>
      <c r="F950" s="19"/>
      <c r="G950" s="19"/>
      <c r="H950" s="19"/>
      <c r="I950" s="19">
        <f>B950*0.4</f>
        <v>0.48</v>
      </c>
      <c r="J950" s="19">
        <v>1</v>
      </c>
      <c r="K950" s="19">
        <f t="shared" ref="K950:L950" si="740">A950</f>
        <v>1</v>
      </c>
      <c r="L950" s="19">
        <f t="shared" si="740"/>
        <v>1.2</v>
      </c>
      <c r="M950" s="19">
        <f>A950</f>
        <v>1</v>
      </c>
      <c r="N950" s="19">
        <f>(1.2*0.4)*2</f>
        <v>0.96</v>
      </c>
      <c r="O950" s="19"/>
      <c r="P950" s="24"/>
      <c r="Q950" s="24"/>
      <c r="R950" s="19"/>
    </row>
    <row r="951" spans="1:18" ht="14.25" customHeight="1" x14ac:dyDescent="0.2">
      <c r="A951" s="19"/>
      <c r="B951" s="19"/>
      <c r="C951" s="19"/>
      <c r="D951" s="26" t="str">
        <f>D839</f>
        <v>9500</v>
      </c>
      <c r="E951" s="45">
        <v>0</v>
      </c>
      <c r="F951" s="45">
        <v>0</v>
      </c>
      <c r="G951" s="45">
        <v>2</v>
      </c>
      <c r="H951" s="19">
        <f>B950*2</f>
        <v>2.4</v>
      </c>
      <c r="I951" s="19"/>
      <c r="J951" s="19"/>
      <c r="K951" s="19"/>
      <c r="L951" s="19"/>
      <c r="M951" s="19"/>
      <c r="N951" s="28"/>
      <c r="O951" s="19"/>
      <c r="P951" s="24"/>
      <c r="Q951" s="24"/>
      <c r="R951" s="19"/>
    </row>
    <row r="952" spans="1:18" ht="14.25" customHeight="1" x14ac:dyDescent="0.2">
      <c r="A952" s="19"/>
      <c r="B952" s="19"/>
      <c r="C952" s="19"/>
      <c r="D952" s="19">
        <f>D950*D951</f>
        <v>10259.999999999998</v>
      </c>
      <c r="E952" s="45">
        <f>E951*E949</f>
        <v>0</v>
      </c>
      <c r="F952" s="45">
        <f t="shared" ref="F952:H952" si="741">F949*F951</f>
        <v>0</v>
      </c>
      <c r="G952" s="45">
        <f t="shared" si="741"/>
        <v>3600</v>
      </c>
      <c r="H952" s="19">
        <f t="shared" si="741"/>
        <v>912</v>
      </c>
      <c r="I952" s="19">
        <f t="shared" ref="I952:N952" si="742">I949*I950</f>
        <v>2304</v>
      </c>
      <c r="J952" s="19">
        <f t="shared" si="742"/>
        <v>1000</v>
      </c>
      <c r="K952" s="19">
        <f t="shared" si="742"/>
        <v>375</v>
      </c>
      <c r="L952" s="19">
        <f t="shared" si="742"/>
        <v>702</v>
      </c>
      <c r="M952" s="19">
        <f t="shared" si="742"/>
        <v>1000</v>
      </c>
      <c r="N952" s="19">
        <f t="shared" si="742"/>
        <v>3168</v>
      </c>
      <c r="O952" s="19">
        <f>SUM(D952:N952)</f>
        <v>23321</v>
      </c>
      <c r="P952" s="24">
        <f>O952/A950</f>
        <v>23321</v>
      </c>
      <c r="Q952" s="24">
        <f>P952*Q949</f>
        <v>46642</v>
      </c>
      <c r="R952" s="19">
        <f>MROUND(Q952,100)</f>
        <v>46600</v>
      </c>
    </row>
    <row r="953" spans="1:18" ht="14.25" customHeight="1" x14ac:dyDescent="0.1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9"/>
      <c r="Q953" s="39"/>
    </row>
    <row r="954" spans="1:18" ht="14.25" customHeight="1" x14ac:dyDescent="0.3">
      <c r="A954" s="109" t="str">
        <f>PRICELIST!I140</f>
        <v>WFLX-LNR-S-LVM-1200-G</v>
      </c>
      <c r="B954" s="87"/>
      <c r="C954" s="8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22"/>
      <c r="Q954" s="22"/>
      <c r="R954" s="17"/>
    </row>
    <row r="955" spans="1:18" ht="14.25" customHeight="1" x14ac:dyDescent="0.15">
      <c r="A955" s="19" t="s">
        <v>57</v>
      </c>
      <c r="B955" s="19" t="s">
        <v>59</v>
      </c>
      <c r="C955" s="19" t="s">
        <v>62</v>
      </c>
      <c r="D955" s="19" t="s">
        <v>64</v>
      </c>
      <c r="E955" s="19">
        <v>1200</v>
      </c>
      <c r="F955" s="19">
        <v>900</v>
      </c>
      <c r="G955" s="19">
        <v>600</v>
      </c>
      <c r="H955" s="19" t="s">
        <v>67</v>
      </c>
      <c r="I955" s="19" t="s">
        <v>68</v>
      </c>
      <c r="J955" s="19" t="s">
        <v>69</v>
      </c>
      <c r="K955" s="19" t="s">
        <v>71</v>
      </c>
      <c r="L955" s="19" t="s">
        <v>72</v>
      </c>
      <c r="M955" s="19" t="s">
        <v>73</v>
      </c>
      <c r="N955" s="19" t="s">
        <v>75</v>
      </c>
      <c r="O955" s="19" t="s">
        <v>76</v>
      </c>
      <c r="P955" s="24" t="s">
        <v>78</v>
      </c>
      <c r="Q955" s="24" t="s">
        <v>79</v>
      </c>
      <c r="R955" s="19" t="s">
        <v>81</v>
      </c>
    </row>
    <row r="956" spans="1:18" ht="14.25" customHeight="1" x14ac:dyDescent="0.15">
      <c r="A956" s="21">
        <f t="shared" ref="A956:B956" si="743">A949</f>
        <v>0</v>
      </c>
      <c r="B956" s="21">
        <f t="shared" si="743"/>
        <v>0</v>
      </c>
      <c r="C956" s="44" t="s">
        <v>188</v>
      </c>
      <c r="D956" s="21">
        <f t="shared" ref="D956:H956" si="744">D949</f>
        <v>0</v>
      </c>
      <c r="E956" s="23" t="str">
        <f t="shared" si="744"/>
        <v>2100</v>
      </c>
      <c r="F956" s="23" t="str">
        <f t="shared" si="744"/>
        <v>1900</v>
      </c>
      <c r="G956" s="23" t="str">
        <f t="shared" si="744"/>
        <v>1800</v>
      </c>
      <c r="H956" s="23">
        <f t="shared" si="744"/>
        <v>380</v>
      </c>
      <c r="I956" s="23" t="str">
        <f>I935</f>
        <v>5500</v>
      </c>
      <c r="J956" s="23" t="str">
        <f t="shared" ref="J956:Q956" si="745">J949</f>
        <v>1000</v>
      </c>
      <c r="K956" s="23">
        <f t="shared" si="745"/>
        <v>375</v>
      </c>
      <c r="L956" s="23">
        <f t="shared" si="745"/>
        <v>585</v>
      </c>
      <c r="M956" s="23" t="str">
        <f t="shared" si="745"/>
        <v>1000</v>
      </c>
      <c r="N956" s="23">
        <f t="shared" si="745"/>
        <v>3300</v>
      </c>
      <c r="O956" s="23">
        <f t="shared" si="745"/>
        <v>0</v>
      </c>
      <c r="P956" s="27">
        <f t="shared" si="745"/>
        <v>0</v>
      </c>
      <c r="Q956" s="27">
        <f t="shared" si="745"/>
        <v>2</v>
      </c>
      <c r="R956" s="21"/>
    </row>
    <row r="957" spans="1:18" ht="14.25" customHeight="1" x14ac:dyDescent="0.15">
      <c r="A957" s="19">
        <v>1</v>
      </c>
      <c r="B957" s="19">
        <v>1.2</v>
      </c>
      <c r="C957" s="19">
        <f>0.6+0.3</f>
        <v>0.89999999999999991</v>
      </c>
      <c r="D957" s="19">
        <f>B957*C957</f>
        <v>1.0799999999999998</v>
      </c>
      <c r="E957" s="19"/>
      <c r="F957" s="19"/>
      <c r="G957" s="19"/>
      <c r="H957" s="19"/>
      <c r="I957" s="19">
        <f>B957*0.4</f>
        <v>0.48</v>
      </c>
      <c r="J957" s="19">
        <v>1</v>
      </c>
      <c r="K957" s="19">
        <f t="shared" ref="K957:L957" si="746">A957</f>
        <v>1</v>
      </c>
      <c r="L957" s="19">
        <f t="shared" si="746"/>
        <v>1.2</v>
      </c>
      <c r="M957" s="19">
        <f>A957</f>
        <v>1</v>
      </c>
      <c r="N957" s="19">
        <f>(1.2*0.4)*2</f>
        <v>0.96</v>
      </c>
      <c r="O957" s="19"/>
      <c r="P957" s="24"/>
      <c r="Q957" s="24"/>
      <c r="R957" s="19"/>
    </row>
    <row r="958" spans="1:18" ht="14.25" customHeight="1" x14ac:dyDescent="0.2">
      <c r="A958" s="19"/>
      <c r="B958" s="19"/>
      <c r="C958" s="19"/>
      <c r="D958" s="26" t="str">
        <f>D951</f>
        <v>9500</v>
      </c>
      <c r="E958" s="45">
        <v>0</v>
      </c>
      <c r="F958" s="45">
        <v>0</v>
      </c>
      <c r="G958" s="45">
        <v>2</v>
      </c>
      <c r="H958" s="19">
        <f>B957*2</f>
        <v>2.4</v>
      </c>
      <c r="I958" s="19"/>
      <c r="J958" s="19"/>
      <c r="K958" s="19"/>
      <c r="L958" s="19"/>
      <c r="M958" s="19"/>
      <c r="N958" s="28"/>
      <c r="O958" s="19"/>
      <c r="P958" s="24"/>
      <c r="Q958" s="24"/>
      <c r="R958" s="19"/>
    </row>
    <row r="959" spans="1:18" ht="14.25" customHeight="1" x14ac:dyDescent="0.2">
      <c r="A959" s="19"/>
      <c r="B959" s="19"/>
      <c r="C959" s="19"/>
      <c r="D959" s="19">
        <f>D957*D958</f>
        <v>10259.999999999998</v>
      </c>
      <c r="E959" s="45">
        <f>E958*E956</f>
        <v>0</v>
      </c>
      <c r="F959" s="45">
        <f t="shared" ref="F959:H959" si="747">F956*F958</f>
        <v>0</v>
      </c>
      <c r="G959" s="45">
        <f t="shared" si="747"/>
        <v>3600</v>
      </c>
      <c r="H959" s="19">
        <f t="shared" si="747"/>
        <v>912</v>
      </c>
      <c r="I959" s="19">
        <f t="shared" ref="I959:N959" si="748">I956*I957</f>
        <v>2640</v>
      </c>
      <c r="J959" s="19">
        <f t="shared" si="748"/>
        <v>1000</v>
      </c>
      <c r="K959" s="19">
        <f t="shared" si="748"/>
        <v>375</v>
      </c>
      <c r="L959" s="19">
        <f t="shared" si="748"/>
        <v>702</v>
      </c>
      <c r="M959" s="19">
        <f t="shared" si="748"/>
        <v>1000</v>
      </c>
      <c r="N959" s="19">
        <f t="shared" si="748"/>
        <v>3168</v>
      </c>
      <c r="O959" s="19">
        <f>SUM(D959:N959)</f>
        <v>23657</v>
      </c>
      <c r="P959" s="24">
        <f>O959/A957</f>
        <v>23657</v>
      </c>
      <c r="Q959" s="24">
        <f>P959*Q956</f>
        <v>47314</v>
      </c>
      <c r="R959" s="19">
        <f>MROUND(Q959,100)</f>
        <v>47300</v>
      </c>
    </row>
    <row r="960" spans="1:18" ht="14.25" customHeight="1" x14ac:dyDescent="0.1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9"/>
      <c r="Q960" s="39"/>
    </row>
    <row r="961" spans="1:18" ht="14.25" customHeight="1" x14ac:dyDescent="0.3">
      <c r="A961" s="109" t="str">
        <f>PRICELIST!I141</f>
        <v>WFLX-LNR-S-LVM-1200-X</v>
      </c>
      <c r="B961" s="87"/>
      <c r="C961" s="8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22"/>
      <c r="Q961" s="22"/>
      <c r="R961" s="17"/>
    </row>
    <row r="962" spans="1:18" ht="14.25" customHeight="1" x14ac:dyDescent="0.15">
      <c r="A962" s="19" t="s">
        <v>57</v>
      </c>
      <c r="B962" s="19" t="s">
        <v>59</v>
      </c>
      <c r="C962" s="19" t="s">
        <v>62</v>
      </c>
      <c r="D962" s="19" t="s">
        <v>64</v>
      </c>
      <c r="E962" s="19">
        <v>1200</v>
      </c>
      <c r="F962" s="19">
        <v>900</v>
      </c>
      <c r="G962" s="19">
        <v>600</v>
      </c>
      <c r="H962" s="19" t="s">
        <v>67</v>
      </c>
      <c r="I962" s="19" t="s">
        <v>68</v>
      </c>
      <c r="J962" s="19" t="s">
        <v>69</v>
      </c>
      <c r="K962" s="19" t="s">
        <v>71</v>
      </c>
      <c r="L962" s="19" t="s">
        <v>72</v>
      </c>
      <c r="M962" s="19" t="s">
        <v>73</v>
      </c>
      <c r="N962" s="19" t="s">
        <v>75</v>
      </c>
      <c r="O962" s="19" t="s">
        <v>76</v>
      </c>
      <c r="P962" s="24" t="s">
        <v>78</v>
      </c>
      <c r="Q962" s="24" t="s">
        <v>79</v>
      </c>
      <c r="R962" s="19" t="s">
        <v>81</v>
      </c>
    </row>
    <row r="963" spans="1:18" ht="14.25" customHeight="1" x14ac:dyDescent="0.15">
      <c r="A963" s="21">
        <f t="shared" ref="A963:B963" si="749">A956</f>
        <v>0</v>
      </c>
      <c r="B963" s="21">
        <f t="shared" si="749"/>
        <v>0</v>
      </c>
      <c r="C963" s="44" t="s">
        <v>188</v>
      </c>
      <c r="D963" s="21">
        <f t="shared" ref="D963:H963" si="750">D956</f>
        <v>0</v>
      </c>
      <c r="E963" s="23" t="str">
        <f t="shared" si="750"/>
        <v>2100</v>
      </c>
      <c r="F963" s="23" t="str">
        <f t="shared" si="750"/>
        <v>1900</v>
      </c>
      <c r="G963" s="23" t="str">
        <f t="shared" si="750"/>
        <v>1800</v>
      </c>
      <c r="H963" s="23">
        <f t="shared" si="750"/>
        <v>380</v>
      </c>
      <c r="I963" s="23" t="str">
        <f>I942</f>
        <v>0</v>
      </c>
      <c r="J963" s="23" t="str">
        <f t="shared" ref="J963:Q963" si="751">J956</f>
        <v>1000</v>
      </c>
      <c r="K963" s="23">
        <f t="shared" si="751"/>
        <v>375</v>
      </c>
      <c r="L963" s="23">
        <f t="shared" si="751"/>
        <v>585</v>
      </c>
      <c r="M963" s="23" t="str">
        <f t="shared" si="751"/>
        <v>1000</v>
      </c>
      <c r="N963" s="23">
        <f t="shared" si="751"/>
        <v>3300</v>
      </c>
      <c r="O963" s="23">
        <f t="shared" si="751"/>
        <v>0</v>
      </c>
      <c r="P963" s="27">
        <f t="shared" si="751"/>
        <v>0</v>
      </c>
      <c r="Q963" s="27">
        <f t="shared" si="751"/>
        <v>2</v>
      </c>
      <c r="R963" s="21"/>
    </row>
    <row r="964" spans="1:18" ht="14.25" customHeight="1" x14ac:dyDescent="0.15">
      <c r="A964" s="19">
        <v>1</v>
      </c>
      <c r="B964" s="19">
        <v>1.2</v>
      </c>
      <c r="C964" s="19">
        <f>0.6+0.3</f>
        <v>0.89999999999999991</v>
      </c>
      <c r="D964" s="19">
        <f>B964*C964</f>
        <v>1.0799999999999998</v>
      </c>
      <c r="E964" s="19"/>
      <c r="F964" s="19"/>
      <c r="G964" s="19"/>
      <c r="H964" s="19"/>
      <c r="I964" s="19">
        <f>B964*0.4</f>
        <v>0.48</v>
      </c>
      <c r="J964" s="19">
        <v>1</v>
      </c>
      <c r="K964" s="19">
        <f t="shared" ref="K964:L964" si="752">A964</f>
        <v>1</v>
      </c>
      <c r="L964" s="19">
        <f t="shared" si="752"/>
        <v>1.2</v>
      </c>
      <c r="M964" s="19">
        <f>A964</f>
        <v>1</v>
      </c>
      <c r="N964" s="19">
        <f>(1.2*0.4)*2</f>
        <v>0.96</v>
      </c>
      <c r="O964" s="19"/>
      <c r="P964" s="24"/>
      <c r="Q964" s="24"/>
      <c r="R964" s="19"/>
    </row>
    <row r="965" spans="1:18" ht="14.25" customHeight="1" x14ac:dyDescent="0.2">
      <c r="A965" s="19"/>
      <c r="B965" s="19"/>
      <c r="C965" s="19"/>
      <c r="D965" s="26" t="str">
        <f>D958</f>
        <v>9500</v>
      </c>
      <c r="E965" s="45">
        <v>0</v>
      </c>
      <c r="F965" s="45">
        <v>0</v>
      </c>
      <c r="G965" s="45">
        <v>2</v>
      </c>
      <c r="H965" s="19">
        <f>B964*2</f>
        <v>2.4</v>
      </c>
      <c r="I965" s="19"/>
      <c r="J965" s="19"/>
      <c r="K965" s="19"/>
      <c r="L965" s="19"/>
      <c r="M965" s="19"/>
      <c r="N965" s="28"/>
      <c r="O965" s="19"/>
      <c r="P965" s="24"/>
      <c r="Q965" s="24"/>
      <c r="R965" s="19"/>
    </row>
    <row r="966" spans="1:18" ht="14.25" customHeight="1" x14ac:dyDescent="0.2">
      <c r="A966" s="19"/>
      <c r="B966" s="19"/>
      <c r="C966" s="19"/>
      <c r="D966" s="19">
        <f>D964*D965</f>
        <v>10259.999999999998</v>
      </c>
      <c r="E966" s="45">
        <f>E965*E963</f>
        <v>0</v>
      </c>
      <c r="F966" s="45">
        <f t="shared" ref="F966:H966" si="753">F963*F965</f>
        <v>0</v>
      </c>
      <c r="G966" s="45">
        <f t="shared" si="753"/>
        <v>3600</v>
      </c>
      <c r="H966" s="19">
        <f t="shared" si="753"/>
        <v>912</v>
      </c>
      <c r="I966" s="19">
        <f t="shared" ref="I966:N966" si="754">I963*I964</f>
        <v>0</v>
      </c>
      <c r="J966" s="19">
        <f t="shared" si="754"/>
        <v>1000</v>
      </c>
      <c r="K966" s="19">
        <f t="shared" si="754"/>
        <v>375</v>
      </c>
      <c r="L966" s="19">
        <f t="shared" si="754"/>
        <v>702</v>
      </c>
      <c r="M966" s="19">
        <f t="shared" si="754"/>
        <v>1000</v>
      </c>
      <c r="N966" s="19">
        <f t="shared" si="754"/>
        <v>3168</v>
      </c>
      <c r="O966" s="19">
        <f>SUM(D966:N966)</f>
        <v>21017</v>
      </c>
      <c r="P966" s="24">
        <f>O966/A964</f>
        <v>21017</v>
      </c>
      <c r="Q966" s="24">
        <f>P966*Q963</f>
        <v>42034</v>
      </c>
      <c r="R966" s="19">
        <f>MROUND(Q966,100)</f>
        <v>42000</v>
      </c>
    </row>
    <row r="967" spans="1:18" ht="14.25" customHeight="1" x14ac:dyDescent="0.1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9"/>
      <c r="Q967" s="39"/>
    </row>
    <row r="968" spans="1:18" ht="14.25" customHeight="1" x14ac:dyDescent="0.3">
      <c r="A968" s="109" t="str">
        <f>PRICELIST!I142</f>
        <v>WFLX-LNR-S-LVP-1200-F</v>
      </c>
      <c r="B968" s="87"/>
      <c r="C968" s="87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22"/>
      <c r="Q968" s="22"/>
      <c r="R968" s="17"/>
    </row>
    <row r="969" spans="1:18" ht="14.25" customHeight="1" x14ac:dyDescent="0.15">
      <c r="A969" s="19" t="s">
        <v>57</v>
      </c>
      <c r="B969" s="19" t="s">
        <v>59</v>
      </c>
      <c r="C969" s="19" t="s">
        <v>62</v>
      </c>
      <c r="D969" s="19" t="s">
        <v>64</v>
      </c>
      <c r="E969" s="19">
        <v>1200</v>
      </c>
      <c r="F969" s="19">
        <v>900</v>
      </c>
      <c r="G969" s="19">
        <v>600</v>
      </c>
      <c r="H969" s="19" t="s">
        <v>67</v>
      </c>
      <c r="I969" s="19" t="s">
        <v>68</v>
      </c>
      <c r="J969" s="19" t="s">
        <v>69</v>
      </c>
      <c r="K969" s="19" t="s">
        <v>71</v>
      </c>
      <c r="L969" s="19" t="s">
        <v>72</v>
      </c>
      <c r="M969" s="19" t="s">
        <v>73</v>
      </c>
      <c r="N969" s="19" t="s">
        <v>75</v>
      </c>
      <c r="O969" s="19" t="s">
        <v>76</v>
      </c>
      <c r="P969" s="24" t="s">
        <v>78</v>
      </c>
      <c r="Q969" s="24" t="s">
        <v>79</v>
      </c>
      <c r="R969" s="19" t="s">
        <v>81</v>
      </c>
    </row>
    <row r="970" spans="1:18" ht="14.25" customHeight="1" x14ac:dyDescent="0.15">
      <c r="A970" s="21">
        <f t="shared" ref="A970:B970" si="755">A963</f>
        <v>0</v>
      </c>
      <c r="B970" s="21">
        <f t="shared" si="755"/>
        <v>0</v>
      </c>
      <c r="C970" s="44" t="s">
        <v>188</v>
      </c>
      <c r="D970" s="21">
        <f t="shared" ref="D970:H970" si="756">D963</f>
        <v>0</v>
      </c>
      <c r="E970" s="23" t="str">
        <f t="shared" si="756"/>
        <v>2100</v>
      </c>
      <c r="F970" s="23" t="str">
        <f t="shared" si="756"/>
        <v>1900</v>
      </c>
      <c r="G970" s="23" t="str">
        <f t="shared" si="756"/>
        <v>1800</v>
      </c>
      <c r="H970" s="23">
        <f t="shared" si="756"/>
        <v>380</v>
      </c>
      <c r="I970" s="23" t="str">
        <f>I949</f>
        <v>4800</v>
      </c>
      <c r="J970" s="23" t="str">
        <f t="shared" ref="J970:Q970" si="757">J963</f>
        <v>1000</v>
      </c>
      <c r="K970" s="23">
        <f t="shared" si="757"/>
        <v>375</v>
      </c>
      <c r="L970" s="23">
        <f t="shared" si="757"/>
        <v>585</v>
      </c>
      <c r="M970" s="23" t="str">
        <f t="shared" si="757"/>
        <v>1000</v>
      </c>
      <c r="N970" s="23">
        <f t="shared" si="757"/>
        <v>3300</v>
      </c>
      <c r="O970" s="23">
        <f t="shared" si="757"/>
        <v>0</v>
      </c>
      <c r="P970" s="27">
        <f t="shared" si="757"/>
        <v>0</v>
      </c>
      <c r="Q970" s="27">
        <f t="shared" si="757"/>
        <v>2</v>
      </c>
      <c r="R970" s="21"/>
    </row>
    <row r="971" spans="1:18" ht="14.25" customHeight="1" x14ac:dyDescent="0.15">
      <c r="A971" s="19">
        <v>1</v>
      </c>
      <c r="B971" s="19">
        <v>1.2</v>
      </c>
      <c r="C971" s="19">
        <f>0.6+0.3</f>
        <v>0.89999999999999991</v>
      </c>
      <c r="D971" s="19">
        <f>B971*C971</f>
        <v>1.0799999999999998</v>
      </c>
      <c r="E971" s="19"/>
      <c r="F971" s="19"/>
      <c r="G971" s="19"/>
      <c r="H971" s="19"/>
      <c r="I971" s="19">
        <f>B971*0.4</f>
        <v>0.48</v>
      </c>
      <c r="J971" s="19">
        <v>1</v>
      </c>
      <c r="K971" s="19">
        <f t="shared" ref="K971:L971" si="758">A971</f>
        <v>1</v>
      </c>
      <c r="L971" s="19">
        <f t="shared" si="758"/>
        <v>1.2</v>
      </c>
      <c r="M971" s="19">
        <f>A971</f>
        <v>1</v>
      </c>
      <c r="N971" s="19">
        <f>(1.2*0.4)*2</f>
        <v>0.96</v>
      </c>
      <c r="O971" s="19"/>
      <c r="P971" s="24"/>
      <c r="Q971" s="24"/>
      <c r="R971" s="19"/>
    </row>
    <row r="972" spans="1:18" ht="14.25" customHeight="1" x14ac:dyDescent="0.2">
      <c r="A972" s="19"/>
      <c r="B972" s="19"/>
      <c r="C972" s="19"/>
      <c r="D972" s="26" t="str">
        <f>D853</f>
        <v>10500</v>
      </c>
      <c r="E972" s="45">
        <v>0</v>
      </c>
      <c r="F972" s="45">
        <v>0</v>
      </c>
      <c r="G972" s="45">
        <v>2</v>
      </c>
      <c r="H972" s="19">
        <f>B971*2</f>
        <v>2.4</v>
      </c>
      <c r="I972" s="19"/>
      <c r="J972" s="19"/>
      <c r="K972" s="19"/>
      <c r="L972" s="19"/>
      <c r="M972" s="19"/>
      <c r="N972" s="28"/>
      <c r="O972" s="19"/>
      <c r="P972" s="24"/>
      <c r="Q972" s="24"/>
      <c r="R972" s="19"/>
    </row>
    <row r="973" spans="1:18" ht="14.25" customHeight="1" x14ac:dyDescent="0.2">
      <c r="A973" s="19"/>
      <c r="B973" s="19"/>
      <c r="C973" s="19"/>
      <c r="D973" s="19">
        <f>D971*D972</f>
        <v>11339.999999999998</v>
      </c>
      <c r="E973" s="45">
        <f>E972*E970</f>
        <v>0</v>
      </c>
      <c r="F973" s="45">
        <f t="shared" ref="F973:H973" si="759">F970*F972</f>
        <v>0</v>
      </c>
      <c r="G973" s="45">
        <f t="shared" si="759"/>
        <v>3600</v>
      </c>
      <c r="H973" s="19">
        <f t="shared" si="759"/>
        <v>912</v>
      </c>
      <c r="I973" s="19">
        <f t="shared" ref="I973:N973" si="760">I970*I971</f>
        <v>2304</v>
      </c>
      <c r="J973" s="19">
        <f t="shared" si="760"/>
        <v>1000</v>
      </c>
      <c r="K973" s="19">
        <f t="shared" si="760"/>
        <v>375</v>
      </c>
      <c r="L973" s="19">
        <f t="shared" si="760"/>
        <v>702</v>
      </c>
      <c r="M973" s="19">
        <f t="shared" si="760"/>
        <v>1000</v>
      </c>
      <c r="N973" s="19">
        <f t="shared" si="760"/>
        <v>3168</v>
      </c>
      <c r="O973" s="19">
        <f>SUM(D973:N973)</f>
        <v>24401</v>
      </c>
      <c r="P973" s="24">
        <f>O973/A971</f>
        <v>24401</v>
      </c>
      <c r="Q973" s="24">
        <f>P973*Q970</f>
        <v>48802</v>
      </c>
      <c r="R973" s="19">
        <f>MROUND(Q973,100)</f>
        <v>48800</v>
      </c>
    </row>
    <row r="974" spans="1:18" ht="14.25" customHeight="1" x14ac:dyDescent="0.1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9"/>
      <c r="Q974" s="39"/>
    </row>
    <row r="975" spans="1:18" ht="14.25" customHeight="1" x14ac:dyDescent="0.3">
      <c r="A975" s="109" t="str">
        <f>PRICELIST!I143</f>
        <v>WFLX-LNR-S-LVP-1200-G</v>
      </c>
      <c r="B975" s="87"/>
      <c r="C975" s="87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22"/>
      <c r="Q975" s="22"/>
      <c r="R975" s="17"/>
    </row>
    <row r="976" spans="1:18" ht="14.25" customHeight="1" x14ac:dyDescent="0.15">
      <c r="A976" s="19" t="s">
        <v>57</v>
      </c>
      <c r="B976" s="19" t="s">
        <v>59</v>
      </c>
      <c r="C976" s="19" t="s">
        <v>62</v>
      </c>
      <c r="D976" s="19" t="s">
        <v>64</v>
      </c>
      <c r="E976" s="19">
        <v>1200</v>
      </c>
      <c r="F976" s="19">
        <v>900</v>
      </c>
      <c r="G976" s="19">
        <v>600</v>
      </c>
      <c r="H976" s="19" t="s">
        <v>67</v>
      </c>
      <c r="I976" s="19" t="s">
        <v>68</v>
      </c>
      <c r="J976" s="19" t="s">
        <v>69</v>
      </c>
      <c r="K976" s="19" t="s">
        <v>71</v>
      </c>
      <c r="L976" s="19" t="s">
        <v>72</v>
      </c>
      <c r="M976" s="19" t="s">
        <v>73</v>
      </c>
      <c r="N976" s="19" t="s">
        <v>75</v>
      </c>
      <c r="O976" s="19" t="s">
        <v>76</v>
      </c>
      <c r="P976" s="24" t="s">
        <v>78</v>
      </c>
      <c r="Q976" s="24" t="s">
        <v>79</v>
      </c>
      <c r="R976" s="19" t="s">
        <v>81</v>
      </c>
    </row>
    <row r="977" spans="1:18" ht="14.25" customHeight="1" x14ac:dyDescent="0.15">
      <c r="A977" s="21">
        <f t="shared" ref="A977:B977" si="761">A970</f>
        <v>0</v>
      </c>
      <c r="B977" s="21">
        <f t="shared" si="761"/>
        <v>0</v>
      </c>
      <c r="C977" s="44" t="s">
        <v>188</v>
      </c>
      <c r="D977" s="21">
        <f t="shared" ref="D977:H977" si="762">D970</f>
        <v>0</v>
      </c>
      <c r="E977" s="23" t="str">
        <f t="shared" si="762"/>
        <v>2100</v>
      </c>
      <c r="F977" s="23" t="str">
        <f t="shared" si="762"/>
        <v>1900</v>
      </c>
      <c r="G977" s="23" t="str">
        <f t="shared" si="762"/>
        <v>1800</v>
      </c>
      <c r="H977" s="23">
        <f t="shared" si="762"/>
        <v>380</v>
      </c>
      <c r="I977" s="23" t="str">
        <f>I956</f>
        <v>5500</v>
      </c>
      <c r="J977" s="23" t="str">
        <f t="shared" ref="J977:Q977" si="763">J970</f>
        <v>1000</v>
      </c>
      <c r="K977" s="23">
        <f t="shared" si="763"/>
        <v>375</v>
      </c>
      <c r="L977" s="23">
        <f t="shared" si="763"/>
        <v>585</v>
      </c>
      <c r="M977" s="23" t="str">
        <f t="shared" si="763"/>
        <v>1000</v>
      </c>
      <c r="N977" s="23">
        <f t="shared" si="763"/>
        <v>3300</v>
      </c>
      <c r="O977" s="23">
        <f t="shared" si="763"/>
        <v>0</v>
      </c>
      <c r="P977" s="27">
        <f t="shared" si="763"/>
        <v>0</v>
      </c>
      <c r="Q977" s="27">
        <f t="shared" si="763"/>
        <v>2</v>
      </c>
      <c r="R977" s="21"/>
    </row>
    <row r="978" spans="1:18" ht="14.25" customHeight="1" x14ac:dyDescent="0.15">
      <c r="A978" s="19">
        <v>1</v>
      </c>
      <c r="B978" s="19">
        <v>1.2</v>
      </c>
      <c r="C978" s="19">
        <f>0.6+0.3</f>
        <v>0.89999999999999991</v>
      </c>
      <c r="D978" s="19">
        <f>B978*C978</f>
        <v>1.0799999999999998</v>
      </c>
      <c r="E978" s="19"/>
      <c r="F978" s="19"/>
      <c r="G978" s="19"/>
      <c r="H978" s="19"/>
      <c r="I978" s="19">
        <f>B978*0.4</f>
        <v>0.48</v>
      </c>
      <c r="J978" s="19">
        <v>1</v>
      </c>
      <c r="K978" s="19">
        <f t="shared" ref="K978:L978" si="764">A978</f>
        <v>1</v>
      </c>
      <c r="L978" s="19">
        <f t="shared" si="764"/>
        <v>1.2</v>
      </c>
      <c r="M978" s="19">
        <f>A978</f>
        <v>1</v>
      </c>
      <c r="N978" s="19">
        <f>(1.2*0.4)*2</f>
        <v>0.96</v>
      </c>
      <c r="O978" s="19"/>
      <c r="P978" s="24"/>
      <c r="Q978" s="24"/>
      <c r="R978" s="19"/>
    </row>
    <row r="979" spans="1:18" ht="14.25" customHeight="1" x14ac:dyDescent="0.2">
      <c r="A979" s="19"/>
      <c r="B979" s="19"/>
      <c r="C979" s="19"/>
      <c r="D979" s="26" t="str">
        <f>D972</f>
        <v>10500</v>
      </c>
      <c r="E979" s="45">
        <v>0</v>
      </c>
      <c r="F979" s="45">
        <v>0</v>
      </c>
      <c r="G979" s="45">
        <v>2</v>
      </c>
      <c r="H979" s="19">
        <f>B978*2</f>
        <v>2.4</v>
      </c>
      <c r="I979" s="19"/>
      <c r="J979" s="19"/>
      <c r="K979" s="19"/>
      <c r="L979" s="19"/>
      <c r="M979" s="19"/>
      <c r="N979" s="28"/>
      <c r="O979" s="19"/>
      <c r="P979" s="24"/>
      <c r="Q979" s="24"/>
      <c r="R979" s="19"/>
    </row>
    <row r="980" spans="1:18" ht="14.25" customHeight="1" x14ac:dyDescent="0.2">
      <c r="A980" s="19"/>
      <c r="B980" s="19"/>
      <c r="C980" s="19"/>
      <c r="D980" s="19">
        <f>D978*D979</f>
        <v>11339.999999999998</v>
      </c>
      <c r="E980" s="45">
        <f>E979*E977</f>
        <v>0</v>
      </c>
      <c r="F980" s="45">
        <f t="shared" ref="F980:H980" si="765">F977*F979</f>
        <v>0</v>
      </c>
      <c r="G980" s="45">
        <f t="shared" si="765"/>
        <v>3600</v>
      </c>
      <c r="H980" s="19">
        <f t="shared" si="765"/>
        <v>912</v>
      </c>
      <c r="I980" s="19">
        <f t="shared" ref="I980:N980" si="766">I977*I978</f>
        <v>2640</v>
      </c>
      <c r="J980" s="19">
        <f t="shared" si="766"/>
        <v>1000</v>
      </c>
      <c r="K980" s="19">
        <f t="shared" si="766"/>
        <v>375</v>
      </c>
      <c r="L980" s="19">
        <f t="shared" si="766"/>
        <v>702</v>
      </c>
      <c r="M980" s="19">
        <f t="shared" si="766"/>
        <v>1000</v>
      </c>
      <c r="N980" s="19">
        <f t="shared" si="766"/>
        <v>3168</v>
      </c>
      <c r="O980" s="19">
        <f>SUM(D980:N980)</f>
        <v>24737</v>
      </c>
      <c r="P980" s="24">
        <f>O980/A978</f>
        <v>24737</v>
      </c>
      <c r="Q980" s="24">
        <f>P980*Q977</f>
        <v>49474</v>
      </c>
      <c r="R980" s="19">
        <f>MROUND(Q980,100)</f>
        <v>49500</v>
      </c>
    </row>
    <row r="981" spans="1:18" ht="14.25" customHeight="1" x14ac:dyDescent="0.1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9"/>
      <c r="Q981" s="39"/>
    </row>
    <row r="982" spans="1:18" ht="14.25" customHeight="1" x14ac:dyDescent="0.3">
      <c r="A982" s="109" t="str">
        <f>PRICELIST!I144</f>
        <v>WFLX-LNR-S-LVP-1200-X</v>
      </c>
      <c r="B982" s="87"/>
      <c r="C982" s="87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22"/>
      <c r="Q982" s="22"/>
      <c r="R982" s="17"/>
    </row>
    <row r="983" spans="1:18" ht="14.25" customHeight="1" x14ac:dyDescent="0.15">
      <c r="A983" s="19" t="s">
        <v>57</v>
      </c>
      <c r="B983" s="19" t="s">
        <v>59</v>
      </c>
      <c r="C983" s="19" t="s">
        <v>62</v>
      </c>
      <c r="D983" s="19" t="s">
        <v>64</v>
      </c>
      <c r="E983" s="19">
        <v>1200</v>
      </c>
      <c r="F983" s="19">
        <v>900</v>
      </c>
      <c r="G983" s="19">
        <v>600</v>
      </c>
      <c r="H983" s="19" t="s">
        <v>67</v>
      </c>
      <c r="I983" s="19" t="s">
        <v>68</v>
      </c>
      <c r="J983" s="19" t="s">
        <v>69</v>
      </c>
      <c r="K983" s="19" t="s">
        <v>71</v>
      </c>
      <c r="L983" s="19" t="s">
        <v>72</v>
      </c>
      <c r="M983" s="19" t="s">
        <v>73</v>
      </c>
      <c r="N983" s="19" t="s">
        <v>75</v>
      </c>
      <c r="O983" s="19" t="s">
        <v>76</v>
      </c>
      <c r="P983" s="24" t="s">
        <v>78</v>
      </c>
      <c r="Q983" s="24" t="s">
        <v>79</v>
      </c>
      <c r="R983" s="19" t="s">
        <v>81</v>
      </c>
    </row>
    <row r="984" spans="1:18" ht="14.25" customHeight="1" x14ac:dyDescent="0.15">
      <c r="A984" s="21">
        <f t="shared" ref="A984:B984" si="767">A977</f>
        <v>0</v>
      </c>
      <c r="B984" s="21">
        <f t="shared" si="767"/>
        <v>0</v>
      </c>
      <c r="C984" s="44" t="s">
        <v>188</v>
      </c>
      <c r="D984" s="21">
        <f t="shared" ref="D984:H984" si="768">D977</f>
        <v>0</v>
      </c>
      <c r="E984" s="23" t="str">
        <f t="shared" si="768"/>
        <v>2100</v>
      </c>
      <c r="F984" s="23" t="str">
        <f t="shared" si="768"/>
        <v>1900</v>
      </c>
      <c r="G984" s="23" t="str">
        <f t="shared" si="768"/>
        <v>1800</v>
      </c>
      <c r="H984" s="23">
        <f t="shared" si="768"/>
        <v>380</v>
      </c>
      <c r="I984" s="23" t="str">
        <f>I963</f>
        <v>0</v>
      </c>
      <c r="J984" s="23" t="str">
        <f t="shared" ref="J984:Q984" si="769">J977</f>
        <v>1000</v>
      </c>
      <c r="K984" s="23">
        <f t="shared" si="769"/>
        <v>375</v>
      </c>
      <c r="L984" s="23">
        <f t="shared" si="769"/>
        <v>585</v>
      </c>
      <c r="M984" s="23" t="str">
        <f t="shared" si="769"/>
        <v>1000</v>
      </c>
      <c r="N984" s="23">
        <f t="shared" si="769"/>
        <v>3300</v>
      </c>
      <c r="O984" s="23">
        <f t="shared" si="769"/>
        <v>0</v>
      </c>
      <c r="P984" s="27">
        <f t="shared" si="769"/>
        <v>0</v>
      </c>
      <c r="Q984" s="27">
        <f t="shared" si="769"/>
        <v>2</v>
      </c>
      <c r="R984" s="21"/>
    </row>
    <row r="985" spans="1:18" ht="14.25" customHeight="1" x14ac:dyDescent="0.15">
      <c r="A985" s="19">
        <v>1</v>
      </c>
      <c r="B985" s="19">
        <v>1.2</v>
      </c>
      <c r="C985" s="19">
        <f>0.6+0.3</f>
        <v>0.89999999999999991</v>
      </c>
      <c r="D985" s="19">
        <f>B985*C985</f>
        <v>1.0799999999999998</v>
      </c>
      <c r="E985" s="19"/>
      <c r="F985" s="19"/>
      <c r="G985" s="19"/>
      <c r="H985" s="19"/>
      <c r="I985" s="19">
        <f>B985*0.4</f>
        <v>0.48</v>
      </c>
      <c r="J985" s="19">
        <v>1</v>
      </c>
      <c r="K985" s="19">
        <f t="shared" ref="K985:L985" si="770">A985</f>
        <v>1</v>
      </c>
      <c r="L985" s="19">
        <f t="shared" si="770"/>
        <v>1.2</v>
      </c>
      <c r="M985" s="19">
        <f>A985</f>
        <v>1</v>
      </c>
      <c r="N985" s="19">
        <f>(1.2*0.4)*2</f>
        <v>0.96</v>
      </c>
      <c r="O985" s="19"/>
      <c r="P985" s="24"/>
      <c r="Q985" s="24"/>
      <c r="R985" s="19"/>
    </row>
    <row r="986" spans="1:18" ht="14.25" customHeight="1" x14ac:dyDescent="0.2">
      <c r="A986" s="19"/>
      <c r="B986" s="19"/>
      <c r="C986" s="19"/>
      <c r="D986" s="26" t="str">
        <f>D979</f>
        <v>10500</v>
      </c>
      <c r="E986" s="45">
        <v>0</v>
      </c>
      <c r="F986" s="45">
        <v>0</v>
      </c>
      <c r="G986" s="45">
        <v>2</v>
      </c>
      <c r="H986" s="19">
        <f>B985*2</f>
        <v>2.4</v>
      </c>
      <c r="I986" s="19"/>
      <c r="J986" s="19"/>
      <c r="K986" s="19"/>
      <c r="L986" s="19"/>
      <c r="M986" s="19"/>
      <c r="N986" s="28"/>
      <c r="O986" s="19"/>
      <c r="P986" s="24"/>
      <c r="Q986" s="24"/>
      <c r="R986" s="19"/>
    </row>
    <row r="987" spans="1:18" ht="14.25" customHeight="1" x14ac:dyDescent="0.2">
      <c r="A987" s="19"/>
      <c r="B987" s="19"/>
      <c r="C987" s="19"/>
      <c r="D987" s="19">
        <f>D985*D986</f>
        <v>11339.999999999998</v>
      </c>
      <c r="E987" s="45">
        <f>E986*E984</f>
        <v>0</v>
      </c>
      <c r="F987" s="45">
        <f t="shared" ref="F987:H987" si="771">F984*F986</f>
        <v>0</v>
      </c>
      <c r="G987" s="45">
        <f t="shared" si="771"/>
        <v>3600</v>
      </c>
      <c r="H987" s="19">
        <f t="shared" si="771"/>
        <v>912</v>
      </c>
      <c r="I987" s="19">
        <f t="shared" ref="I987:N987" si="772">I984*I985</f>
        <v>0</v>
      </c>
      <c r="J987" s="19">
        <f t="shared" si="772"/>
        <v>1000</v>
      </c>
      <c r="K987" s="19">
        <f t="shared" si="772"/>
        <v>375</v>
      </c>
      <c r="L987" s="19">
        <f t="shared" si="772"/>
        <v>702</v>
      </c>
      <c r="M987" s="19">
        <f t="shared" si="772"/>
        <v>1000</v>
      </c>
      <c r="N987" s="19">
        <f t="shared" si="772"/>
        <v>3168</v>
      </c>
      <c r="O987" s="19">
        <f>SUM(D987:N987)</f>
        <v>22097</v>
      </c>
      <c r="P987" s="24">
        <f>O987/A985</f>
        <v>22097</v>
      </c>
      <c r="Q987" s="24">
        <f>P987*Q984</f>
        <v>44194</v>
      </c>
      <c r="R987" s="19">
        <f>MROUND(Q987,100)</f>
        <v>44200</v>
      </c>
    </row>
    <row r="988" spans="1:18" ht="14.25" customHeight="1" x14ac:dyDescent="0.1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9"/>
      <c r="Q988" s="39"/>
    </row>
    <row r="989" spans="1:18" ht="14.25" customHeight="1" x14ac:dyDescent="0.3">
      <c r="A989" s="109" t="str">
        <f>PRICELIST!I145</f>
        <v>WFLX-LNR-S-MB-1200-F</v>
      </c>
      <c r="B989" s="87"/>
      <c r="C989" s="87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22"/>
      <c r="Q989" s="22"/>
      <c r="R989" s="17"/>
    </row>
    <row r="990" spans="1:18" ht="14.25" customHeight="1" x14ac:dyDescent="0.15">
      <c r="A990" s="19" t="s">
        <v>57</v>
      </c>
      <c r="B990" s="19" t="s">
        <v>59</v>
      </c>
      <c r="C990" s="19" t="s">
        <v>62</v>
      </c>
      <c r="D990" s="19" t="s">
        <v>64</v>
      </c>
      <c r="E990" s="19">
        <v>1200</v>
      </c>
      <c r="F990" s="19">
        <v>900</v>
      </c>
      <c r="G990" s="19">
        <v>600</v>
      </c>
      <c r="H990" s="19" t="s">
        <v>67</v>
      </c>
      <c r="I990" s="19" t="s">
        <v>68</v>
      </c>
      <c r="J990" s="19" t="s">
        <v>69</v>
      </c>
      <c r="K990" s="19" t="s">
        <v>71</v>
      </c>
      <c r="L990" s="19" t="s">
        <v>72</v>
      </c>
      <c r="M990" s="19" t="s">
        <v>73</v>
      </c>
      <c r="N990" s="19" t="s">
        <v>75</v>
      </c>
      <c r="O990" s="19" t="s">
        <v>76</v>
      </c>
      <c r="P990" s="24" t="s">
        <v>78</v>
      </c>
      <c r="Q990" s="24" t="s">
        <v>79</v>
      </c>
      <c r="R990" s="19" t="s">
        <v>81</v>
      </c>
    </row>
    <row r="991" spans="1:18" ht="14.25" customHeight="1" x14ac:dyDescent="0.15">
      <c r="A991" s="21">
        <f t="shared" ref="A991:B991" si="773">A984</f>
        <v>0</v>
      </c>
      <c r="B991" s="21">
        <f t="shared" si="773"/>
        <v>0</v>
      </c>
      <c r="C991" s="44" t="s">
        <v>188</v>
      </c>
      <c r="D991" s="21">
        <f t="shared" ref="D991:H991" si="774">D984</f>
        <v>0</v>
      </c>
      <c r="E991" s="23" t="str">
        <f t="shared" si="774"/>
        <v>2100</v>
      </c>
      <c r="F991" s="23" t="str">
        <f t="shared" si="774"/>
        <v>1900</v>
      </c>
      <c r="G991" s="23" t="str">
        <f t="shared" si="774"/>
        <v>1800</v>
      </c>
      <c r="H991" s="23">
        <f t="shared" si="774"/>
        <v>380</v>
      </c>
      <c r="I991" s="23" t="str">
        <f>I970</f>
        <v>4800</v>
      </c>
      <c r="J991" s="23" t="str">
        <f t="shared" ref="J991:Q991" si="775">J984</f>
        <v>1000</v>
      </c>
      <c r="K991" s="23">
        <f t="shared" si="775"/>
        <v>375</v>
      </c>
      <c r="L991" s="23">
        <f t="shared" si="775"/>
        <v>585</v>
      </c>
      <c r="M991" s="23" t="str">
        <f t="shared" si="775"/>
        <v>1000</v>
      </c>
      <c r="N991" s="23">
        <f t="shared" si="775"/>
        <v>3300</v>
      </c>
      <c r="O991" s="23">
        <f t="shared" si="775"/>
        <v>0</v>
      </c>
      <c r="P991" s="27">
        <f t="shared" si="775"/>
        <v>0</v>
      </c>
      <c r="Q991" s="27">
        <f t="shared" si="775"/>
        <v>2</v>
      </c>
      <c r="R991" s="21"/>
    </row>
    <row r="992" spans="1:18" ht="14.25" customHeight="1" x14ac:dyDescent="0.15">
      <c r="A992" s="19">
        <v>1</v>
      </c>
      <c r="B992" s="19">
        <v>1.2</v>
      </c>
      <c r="C992" s="19">
        <f>0.6+0.3</f>
        <v>0.89999999999999991</v>
      </c>
      <c r="D992" s="19">
        <f>B992*C992</f>
        <v>1.0799999999999998</v>
      </c>
      <c r="E992" s="19"/>
      <c r="F992" s="19"/>
      <c r="G992" s="19"/>
      <c r="H992" s="19"/>
      <c r="I992" s="19">
        <f>B992*0.4</f>
        <v>0.48</v>
      </c>
      <c r="J992" s="19">
        <v>1</v>
      </c>
      <c r="K992" s="19">
        <f t="shared" ref="K992:L992" si="776">A992</f>
        <v>1</v>
      </c>
      <c r="L992" s="19">
        <f t="shared" si="776"/>
        <v>1.2</v>
      </c>
      <c r="M992" s="19">
        <f>A992</f>
        <v>1</v>
      </c>
      <c r="N992" s="19">
        <f>(1.2*0.4)*2</f>
        <v>0.96</v>
      </c>
      <c r="O992" s="19"/>
      <c r="P992" s="24"/>
      <c r="Q992" s="24"/>
      <c r="R992" s="19"/>
    </row>
    <row r="993" spans="1:18" ht="14.25" customHeight="1" x14ac:dyDescent="0.2">
      <c r="A993" s="19"/>
      <c r="B993" s="19"/>
      <c r="C993" s="19"/>
      <c r="D993" s="26" t="str">
        <f>D867</f>
        <v>16250</v>
      </c>
      <c r="E993" s="45">
        <v>0</v>
      </c>
      <c r="F993" s="45">
        <v>0</v>
      </c>
      <c r="G993" s="45">
        <v>2</v>
      </c>
      <c r="H993" s="19">
        <f>B992*2</f>
        <v>2.4</v>
      </c>
      <c r="I993" s="19"/>
      <c r="J993" s="19"/>
      <c r="K993" s="19"/>
      <c r="L993" s="19"/>
      <c r="M993" s="19"/>
      <c r="N993" s="28"/>
      <c r="O993" s="19"/>
      <c r="P993" s="24"/>
      <c r="Q993" s="24"/>
      <c r="R993" s="19"/>
    </row>
    <row r="994" spans="1:18" ht="14.25" customHeight="1" x14ac:dyDescent="0.2">
      <c r="A994" s="19"/>
      <c r="B994" s="19"/>
      <c r="C994" s="19"/>
      <c r="D994" s="19">
        <f>D992*D993</f>
        <v>17549.999999999996</v>
      </c>
      <c r="E994" s="45">
        <f>E993*E991</f>
        <v>0</v>
      </c>
      <c r="F994" s="45">
        <f t="shared" ref="F994:H994" si="777">F991*F993</f>
        <v>0</v>
      </c>
      <c r="G994" s="45">
        <f t="shared" si="777"/>
        <v>3600</v>
      </c>
      <c r="H994" s="19">
        <f t="shared" si="777"/>
        <v>912</v>
      </c>
      <c r="I994" s="19">
        <f t="shared" ref="I994:N994" si="778">I991*I992</f>
        <v>2304</v>
      </c>
      <c r="J994" s="19">
        <f t="shared" si="778"/>
        <v>1000</v>
      </c>
      <c r="K994" s="19">
        <f t="shared" si="778"/>
        <v>375</v>
      </c>
      <c r="L994" s="19">
        <f t="shared" si="778"/>
        <v>702</v>
      </c>
      <c r="M994" s="19">
        <f t="shared" si="778"/>
        <v>1000</v>
      </c>
      <c r="N994" s="19">
        <f t="shared" si="778"/>
        <v>3168</v>
      </c>
      <c r="O994" s="19">
        <f>SUM(D994:N994)</f>
        <v>30610.999999999996</v>
      </c>
      <c r="P994" s="24">
        <f>O994/A992</f>
        <v>30610.999999999996</v>
      </c>
      <c r="Q994" s="24">
        <f>P994*Q991</f>
        <v>61221.999999999993</v>
      </c>
      <c r="R994" s="19">
        <f>MROUND(Q994,100)</f>
        <v>61200</v>
      </c>
    </row>
    <row r="995" spans="1:18" ht="14.25" customHeight="1" x14ac:dyDescent="0.1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9"/>
      <c r="Q995" s="39"/>
    </row>
    <row r="996" spans="1:18" ht="14.25" customHeight="1" x14ac:dyDescent="0.3">
      <c r="A996" s="109" t="str">
        <f>PRICELIST!I146</f>
        <v>WFLX-LNR-S-MB-1200-G</v>
      </c>
      <c r="B996" s="87"/>
      <c r="C996" s="87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22"/>
      <c r="Q996" s="22"/>
      <c r="R996" s="17"/>
    </row>
    <row r="997" spans="1:18" ht="14.25" customHeight="1" x14ac:dyDescent="0.15">
      <c r="A997" s="19" t="s">
        <v>57</v>
      </c>
      <c r="B997" s="19" t="s">
        <v>59</v>
      </c>
      <c r="C997" s="19" t="s">
        <v>62</v>
      </c>
      <c r="D997" s="19" t="s">
        <v>64</v>
      </c>
      <c r="E997" s="19">
        <v>1200</v>
      </c>
      <c r="F997" s="19">
        <v>900</v>
      </c>
      <c r="G997" s="19">
        <v>600</v>
      </c>
      <c r="H997" s="19" t="s">
        <v>67</v>
      </c>
      <c r="I997" s="19" t="s">
        <v>68</v>
      </c>
      <c r="J997" s="19" t="s">
        <v>69</v>
      </c>
      <c r="K997" s="19" t="s">
        <v>71</v>
      </c>
      <c r="L997" s="19" t="s">
        <v>72</v>
      </c>
      <c r="M997" s="19" t="s">
        <v>73</v>
      </c>
      <c r="N997" s="19" t="s">
        <v>75</v>
      </c>
      <c r="O997" s="19" t="s">
        <v>76</v>
      </c>
      <c r="P997" s="24" t="s">
        <v>78</v>
      </c>
      <c r="Q997" s="24" t="s">
        <v>79</v>
      </c>
      <c r="R997" s="19" t="s">
        <v>81</v>
      </c>
    </row>
    <row r="998" spans="1:18" ht="14.25" customHeight="1" x14ac:dyDescent="0.15">
      <c r="A998" s="21">
        <f t="shared" ref="A998:B998" si="779">A991</f>
        <v>0</v>
      </c>
      <c r="B998" s="21">
        <f t="shared" si="779"/>
        <v>0</v>
      </c>
      <c r="C998" s="44" t="s">
        <v>188</v>
      </c>
      <c r="D998" s="21">
        <f t="shared" ref="D998:H998" si="780">D991</f>
        <v>0</v>
      </c>
      <c r="E998" s="23" t="str">
        <f t="shared" si="780"/>
        <v>2100</v>
      </c>
      <c r="F998" s="23" t="str">
        <f t="shared" si="780"/>
        <v>1900</v>
      </c>
      <c r="G998" s="23" t="str">
        <f t="shared" si="780"/>
        <v>1800</v>
      </c>
      <c r="H998" s="23">
        <f t="shared" si="780"/>
        <v>380</v>
      </c>
      <c r="I998" s="23" t="str">
        <f>I977</f>
        <v>5500</v>
      </c>
      <c r="J998" s="23" t="str">
        <f t="shared" ref="J998:Q998" si="781">J991</f>
        <v>1000</v>
      </c>
      <c r="K998" s="23">
        <f t="shared" si="781"/>
        <v>375</v>
      </c>
      <c r="L998" s="23">
        <f t="shared" si="781"/>
        <v>585</v>
      </c>
      <c r="M998" s="23" t="str">
        <f t="shared" si="781"/>
        <v>1000</v>
      </c>
      <c r="N998" s="23">
        <f t="shared" si="781"/>
        <v>3300</v>
      </c>
      <c r="O998" s="23">
        <f t="shared" si="781"/>
        <v>0</v>
      </c>
      <c r="P998" s="27">
        <f t="shared" si="781"/>
        <v>0</v>
      </c>
      <c r="Q998" s="27">
        <f t="shared" si="781"/>
        <v>2</v>
      </c>
      <c r="R998" s="21"/>
    </row>
    <row r="999" spans="1:18" ht="14.25" customHeight="1" x14ac:dyDescent="0.15">
      <c r="A999" s="19">
        <v>1</v>
      </c>
      <c r="B999" s="19">
        <v>1.2</v>
      </c>
      <c r="C999" s="19">
        <f>0.6+0.3</f>
        <v>0.89999999999999991</v>
      </c>
      <c r="D999" s="19">
        <f>B999*C999</f>
        <v>1.0799999999999998</v>
      </c>
      <c r="E999" s="19"/>
      <c r="F999" s="19"/>
      <c r="G999" s="19"/>
      <c r="H999" s="19"/>
      <c r="I999" s="19">
        <f>B999*0.4</f>
        <v>0.48</v>
      </c>
      <c r="J999" s="19">
        <v>1</v>
      </c>
      <c r="K999" s="19">
        <f t="shared" ref="K999:L999" si="782">A999</f>
        <v>1</v>
      </c>
      <c r="L999" s="19">
        <f t="shared" si="782"/>
        <v>1.2</v>
      </c>
      <c r="M999" s="19">
        <f>A999</f>
        <v>1</v>
      </c>
      <c r="N999" s="19">
        <f>(1.2*0.4)*2</f>
        <v>0.96</v>
      </c>
      <c r="O999" s="19"/>
      <c r="P999" s="24"/>
      <c r="Q999" s="24"/>
      <c r="R999" s="19"/>
    </row>
    <row r="1000" spans="1:18" ht="14.25" customHeight="1" x14ac:dyDescent="0.2">
      <c r="A1000" s="19"/>
      <c r="B1000" s="19"/>
      <c r="C1000" s="19"/>
      <c r="D1000" s="26" t="str">
        <f>D993</f>
        <v>16250</v>
      </c>
      <c r="E1000" s="45">
        <v>0</v>
      </c>
      <c r="F1000" s="45">
        <v>0</v>
      </c>
      <c r="G1000" s="45">
        <v>2</v>
      </c>
      <c r="H1000" s="19">
        <f>B999*2</f>
        <v>2.4</v>
      </c>
      <c r="I1000" s="19"/>
      <c r="J1000" s="19"/>
      <c r="K1000" s="19"/>
      <c r="L1000" s="19"/>
      <c r="M1000" s="19"/>
      <c r="N1000" s="28"/>
      <c r="O1000" s="19"/>
      <c r="P1000" s="24"/>
      <c r="Q1000" s="24"/>
      <c r="R1000" s="19"/>
    </row>
    <row r="1001" spans="1:18" ht="14.25" customHeight="1" x14ac:dyDescent="0.2">
      <c r="A1001" s="19"/>
      <c r="B1001" s="19"/>
      <c r="C1001" s="19"/>
      <c r="D1001" s="19">
        <f>D999*D1000</f>
        <v>17549.999999999996</v>
      </c>
      <c r="E1001" s="45">
        <f>E1000*E998</f>
        <v>0</v>
      </c>
      <c r="F1001" s="45">
        <f t="shared" ref="F1001:H1001" si="783">F998*F1000</f>
        <v>0</v>
      </c>
      <c r="G1001" s="45">
        <f t="shared" si="783"/>
        <v>3600</v>
      </c>
      <c r="H1001" s="19">
        <f t="shared" si="783"/>
        <v>912</v>
      </c>
      <c r="I1001" s="19">
        <f t="shared" ref="I1001:N1001" si="784">I998*I999</f>
        <v>2640</v>
      </c>
      <c r="J1001" s="19">
        <f t="shared" si="784"/>
        <v>1000</v>
      </c>
      <c r="K1001" s="19">
        <f t="shared" si="784"/>
        <v>375</v>
      </c>
      <c r="L1001" s="19">
        <f t="shared" si="784"/>
        <v>702</v>
      </c>
      <c r="M1001" s="19">
        <f t="shared" si="784"/>
        <v>1000</v>
      </c>
      <c r="N1001" s="19">
        <f t="shared" si="784"/>
        <v>3168</v>
      </c>
      <c r="O1001" s="19">
        <f>SUM(D1001:N1001)</f>
        <v>30946.999999999996</v>
      </c>
      <c r="P1001" s="24">
        <f>O1001/A999</f>
        <v>30946.999999999996</v>
      </c>
      <c r="Q1001" s="24">
        <f>P1001*Q998</f>
        <v>61893.999999999993</v>
      </c>
      <c r="R1001" s="19">
        <f>MROUND(Q1001,100)</f>
        <v>61900</v>
      </c>
    </row>
    <row r="1002" spans="1:18" ht="14.25" customHeight="1" x14ac:dyDescent="0.15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9"/>
      <c r="Q1002" s="39"/>
    </row>
    <row r="1003" spans="1:18" ht="14.25" customHeight="1" x14ac:dyDescent="0.3">
      <c r="A1003" s="109" t="str">
        <f>PRICELIST!I147</f>
        <v>WFLX-LNR-S-MB-1200-X</v>
      </c>
      <c r="B1003" s="87"/>
      <c r="C1003" s="87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22"/>
      <c r="Q1003" s="22"/>
      <c r="R1003" s="17"/>
    </row>
    <row r="1004" spans="1:18" ht="14.25" customHeight="1" x14ac:dyDescent="0.15">
      <c r="A1004" s="19" t="s">
        <v>57</v>
      </c>
      <c r="B1004" s="19" t="s">
        <v>59</v>
      </c>
      <c r="C1004" s="19" t="s">
        <v>62</v>
      </c>
      <c r="D1004" s="19" t="s">
        <v>64</v>
      </c>
      <c r="E1004" s="19">
        <v>1200</v>
      </c>
      <c r="F1004" s="19">
        <v>900</v>
      </c>
      <c r="G1004" s="19">
        <v>600</v>
      </c>
      <c r="H1004" s="19" t="s">
        <v>67</v>
      </c>
      <c r="I1004" s="19" t="s">
        <v>68</v>
      </c>
      <c r="J1004" s="19" t="s">
        <v>69</v>
      </c>
      <c r="K1004" s="19" t="s">
        <v>71</v>
      </c>
      <c r="L1004" s="19" t="s">
        <v>72</v>
      </c>
      <c r="M1004" s="19" t="s">
        <v>73</v>
      </c>
      <c r="N1004" s="19" t="s">
        <v>75</v>
      </c>
      <c r="O1004" s="19" t="s">
        <v>76</v>
      </c>
      <c r="P1004" s="24" t="s">
        <v>78</v>
      </c>
      <c r="Q1004" s="24" t="s">
        <v>79</v>
      </c>
      <c r="R1004" s="19" t="s">
        <v>81</v>
      </c>
    </row>
    <row r="1005" spans="1:18" ht="14.25" customHeight="1" x14ac:dyDescent="0.15">
      <c r="A1005" s="21">
        <f t="shared" ref="A1005:B1005" si="785">A998</f>
        <v>0</v>
      </c>
      <c r="B1005" s="21">
        <f t="shared" si="785"/>
        <v>0</v>
      </c>
      <c r="C1005" s="44" t="s">
        <v>188</v>
      </c>
      <c r="D1005" s="21">
        <f t="shared" ref="D1005:H1005" si="786">D998</f>
        <v>0</v>
      </c>
      <c r="E1005" s="23" t="str">
        <f t="shared" si="786"/>
        <v>2100</v>
      </c>
      <c r="F1005" s="23" t="str">
        <f t="shared" si="786"/>
        <v>1900</v>
      </c>
      <c r="G1005" s="23" t="str">
        <f t="shared" si="786"/>
        <v>1800</v>
      </c>
      <c r="H1005" s="23">
        <f t="shared" si="786"/>
        <v>380</v>
      </c>
      <c r="I1005" s="23" t="str">
        <f>I984</f>
        <v>0</v>
      </c>
      <c r="J1005" s="23" t="str">
        <f t="shared" ref="J1005:Q1005" si="787">J998</f>
        <v>1000</v>
      </c>
      <c r="K1005" s="23">
        <f t="shared" si="787"/>
        <v>375</v>
      </c>
      <c r="L1005" s="23">
        <f t="shared" si="787"/>
        <v>585</v>
      </c>
      <c r="M1005" s="23" t="str">
        <f t="shared" si="787"/>
        <v>1000</v>
      </c>
      <c r="N1005" s="23">
        <f t="shared" si="787"/>
        <v>3300</v>
      </c>
      <c r="O1005" s="23">
        <f t="shared" si="787"/>
        <v>0</v>
      </c>
      <c r="P1005" s="27">
        <f t="shared" si="787"/>
        <v>0</v>
      </c>
      <c r="Q1005" s="27">
        <f t="shared" si="787"/>
        <v>2</v>
      </c>
      <c r="R1005" s="21"/>
    </row>
    <row r="1006" spans="1:18" ht="14.25" customHeight="1" x14ac:dyDescent="0.15">
      <c r="A1006" s="19">
        <v>1</v>
      </c>
      <c r="B1006" s="19">
        <v>1.2</v>
      </c>
      <c r="C1006" s="19">
        <f>0.6+0.3</f>
        <v>0.89999999999999991</v>
      </c>
      <c r="D1006" s="19">
        <f>B1006*C1006</f>
        <v>1.0799999999999998</v>
      </c>
      <c r="E1006" s="19"/>
      <c r="F1006" s="19"/>
      <c r="G1006" s="19"/>
      <c r="H1006" s="19"/>
      <c r="I1006" s="19">
        <f>B1006*0.4</f>
        <v>0.48</v>
      </c>
      <c r="J1006" s="19">
        <v>1</v>
      </c>
      <c r="K1006" s="19">
        <f t="shared" ref="K1006:L1006" si="788">A1006</f>
        <v>1</v>
      </c>
      <c r="L1006" s="19">
        <f t="shared" si="788"/>
        <v>1.2</v>
      </c>
      <c r="M1006" s="19">
        <f>A1006</f>
        <v>1</v>
      </c>
      <c r="N1006" s="19">
        <f>(1.2*0.4)*2</f>
        <v>0.96</v>
      </c>
      <c r="O1006" s="19"/>
      <c r="P1006" s="24"/>
      <c r="Q1006" s="24"/>
      <c r="R1006" s="19"/>
    </row>
    <row r="1007" spans="1:18" ht="14.25" customHeight="1" x14ac:dyDescent="0.2">
      <c r="A1007" s="19"/>
      <c r="B1007" s="19"/>
      <c r="C1007" s="19"/>
      <c r="D1007" s="26" t="str">
        <f>D1000</f>
        <v>16250</v>
      </c>
      <c r="E1007" s="45">
        <v>0</v>
      </c>
      <c r="F1007" s="45">
        <v>0</v>
      </c>
      <c r="G1007" s="45">
        <v>2</v>
      </c>
      <c r="H1007" s="19">
        <f>B1006*2</f>
        <v>2.4</v>
      </c>
      <c r="I1007" s="19"/>
      <c r="J1007" s="19"/>
      <c r="K1007" s="19"/>
      <c r="L1007" s="19"/>
      <c r="M1007" s="19"/>
      <c r="N1007" s="28"/>
      <c r="O1007" s="19"/>
      <c r="P1007" s="24"/>
      <c r="Q1007" s="24"/>
      <c r="R1007" s="19"/>
    </row>
    <row r="1008" spans="1:18" ht="14.25" customHeight="1" x14ac:dyDescent="0.2">
      <c r="A1008" s="19"/>
      <c r="B1008" s="19"/>
      <c r="C1008" s="19"/>
      <c r="D1008" s="19">
        <f>D1006*D1007</f>
        <v>17549.999999999996</v>
      </c>
      <c r="E1008" s="45">
        <f>E1007*E1005</f>
        <v>0</v>
      </c>
      <c r="F1008" s="45">
        <f t="shared" ref="F1008:H1008" si="789">F1005*F1007</f>
        <v>0</v>
      </c>
      <c r="G1008" s="45">
        <f t="shared" si="789"/>
        <v>3600</v>
      </c>
      <c r="H1008" s="19">
        <f t="shared" si="789"/>
        <v>912</v>
      </c>
      <c r="I1008" s="19">
        <f t="shared" ref="I1008:N1008" si="790">I1005*I1006</f>
        <v>0</v>
      </c>
      <c r="J1008" s="19">
        <f t="shared" si="790"/>
        <v>1000</v>
      </c>
      <c r="K1008" s="19">
        <f t="shared" si="790"/>
        <v>375</v>
      </c>
      <c r="L1008" s="19">
        <f t="shared" si="790"/>
        <v>702</v>
      </c>
      <c r="M1008" s="19">
        <f t="shared" si="790"/>
        <v>1000</v>
      </c>
      <c r="N1008" s="19">
        <f t="shared" si="790"/>
        <v>3168</v>
      </c>
      <c r="O1008" s="19">
        <f>SUM(D1008:N1008)</f>
        <v>28306.999999999996</v>
      </c>
      <c r="P1008" s="24">
        <f>O1008/A1006</f>
        <v>28306.999999999996</v>
      </c>
      <c r="Q1008" s="24">
        <f>P1008*Q1005</f>
        <v>56613.999999999993</v>
      </c>
      <c r="R1008" s="19">
        <f>MROUND(Q1008,100)</f>
        <v>56600</v>
      </c>
    </row>
    <row r="1009" spans="1:18" ht="14.25" customHeight="1" x14ac:dyDescent="0.15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9"/>
      <c r="Q1009" s="39"/>
    </row>
    <row r="1010" spans="1:18" ht="14.25" customHeight="1" x14ac:dyDescent="0.3">
      <c r="A1010" s="109" t="str">
        <f>PRICELIST!I148</f>
        <v>WFLX-LNR-S-PB-1500-F</v>
      </c>
      <c r="B1010" s="87"/>
      <c r="C1010" s="87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22"/>
      <c r="Q1010" s="22"/>
      <c r="R1010" s="17"/>
    </row>
    <row r="1011" spans="1:18" ht="14.25" customHeight="1" x14ac:dyDescent="0.15">
      <c r="A1011" s="19" t="s">
        <v>57</v>
      </c>
      <c r="B1011" s="19" t="s">
        <v>59</v>
      </c>
      <c r="C1011" s="19" t="s">
        <v>62</v>
      </c>
      <c r="D1011" s="19" t="s">
        <v>64</v>
      </c>
      <c r="E1011" s="19">
        <v>1200</v>
      </c>
      <c r="F1011" s="19">
        <v>900</v>
      </c>
      <c r="G1011" s="19">
        <v>600</v>
      </c>
      <c r="H1011" s="19" t="s">
        <v>67</v>
      </c>
      <c r="I1011" s="19" t="s">
        <v>68</v>
      </c>
      <c r="J1011" s="19" t="s">
        <v>69</v>
      </c>
      <c r="K1011" s="19" t="s">
        <v>71</v>
      </c>
      <c r="L1011" s="19" t="s">
        <v>72</v>
      </c>
      <c r="M1011" s="19" t="s">
        <v>73</v>
      </c>
      <c r="N1011" s="19" t="s">
        <v>75</v>
      </c>
      <c r="O1011" s="19" t="s">
        <v>76</v>
      </c>
      <c r="P1011" s="24" t="s">
        <v>78</v>
      </c>
      <c r="Q1011" s="24" t="s">
        <v>79</v>
      </c>
      <c r="R1011" s="19" t="s">
        <v>81</v>
      </c>
    </row>
    <row r="1012" spans="1:18" ht="14.25" customHeight="1" x14ac:dyDescent="0.15">
      <c r="A1012" s="21"/>
      <c r="B1012" s="21"/>
      <c r="C1012" s="44" t="s">
        <v>188</v>
      </c>
      <c r="D1012" s="21"/>
      <c r="E1012" s="23" t="str">
        <f t="shared" ref="E1012:G1012" si="791">E1005</f>
        <v>2100</v>
      </c>
      <c r="F1012" s="23" t="str">
        <f t="shared" si="791"/>
        <v>1900</v>
      </c>
      <c r="G1012" s="23" t="str">
        <f t="shared" si="791"/>
        <v>1800</v>
      </c>
      <c r="H1012" s="21">
        <v>380</v>
      </c>
      <c r="I1012" s="23" t="str">
        <f>I991</f>
        <v>4800</v>
      </c>
      <c r="J1012" s="23" t="str">
        <f>J1005</f>
        <v>1000</v>
      </c>
      <c r="K1012" s="21">
        <v>375</v>
      </c>
      <c r="L1012" s="21">
        <v>585</v>
      </c>
      <c r="M1012" s="23" t="str">
        <f>M1005</f>
        <v>1000</v>
      </c>
      <c r="N1012" s="21">
        <v>3300</v>
      </c>
      <c r="O1012" s="21"/>
      <c r="P1012" s="27"/>
      <c r="Q1012" s="27">
        <f>Q1005</f>
        <v>2</v>
      </c>
      <c r="R1012" s="21"/>
    </row>
    <row r="1013" spans="1:18" ht="14.25" customHeight="1" x14ac:dyDescent="0.15">
      <c r="A1013" s="19">
        <v>1</v>
      </c>
      <c r="B1013" s="19">
        <v>1.5</v>
      </c>
      <c r="C1013" s="19">
        <f>0.6+0.3</f>
        <v>0.89999999999999991</v>
      </c>
      <c r="D1013" s="19">
        <f>B1013*C1013</f>
        <v>1.3499999999999999</v>
      </c>
      <c r="E1013" s="19"/>
      <c r="F1013" s="19"/>
      <c r="G1013" s="19"/>
      <c r="H1013" s="19"/>
      <c r="I1013" s="19">
        <f>B1013*0.4</f>
        <v>0.60000000000000009</v>
      </c>
      <c r="J1013" s="19">
        <v>1</v>
      </c>
      <c r="K1013" s="19">
        <f t="shared" ref="K1013:L1013" si="792">A1013</f>
        <v>1</v>
      </c>
      <c r="L1013" s="19">
        <f t="shared" si="792"/>
        <v>1.5</v>
      </c>
      <c r="M1013" s="19">
        <f>A1013</f>
        <v>1</v>
      </c>
      <c r="N1013" s="19">
        <f>(1.2*0.4)*2</f>
        <v>0.96</v>
      </c>
      <c r="O1013" s="19"/>
      <c r="P1013" s="24"/>
      <c r="Q1013" s="24"/>
      <c r="R1013" s="19"/>
    </row>
    <row r="1014" spans="1:18" ht="14.25" customHeight="1" x14ac:dyDescent="0.2">
      <c r="A1014" s="19"/>
      <c r="B1014" s="19"/>
      <c r="C1014" s="19"/>
      <c r="D1014" s="26" t="str">
        <f>D888</f>
        <v>2200</v>
      </c>
      <c r="E1014" s="45">
        <v>0</v>
      </c>
      <c r="F1014" s="45">
        <v>0</v>
      </c>
      <c r="G1014" s="45">
        <v>2</v>
      </c>
      <c r="H1014" s="19">
        <f>B1013*2</f>
        <v>3</v>
      </c>
      <c r="I1014" s="19"/>
      <c r="J1014" s="19"/>
      <c r="K1014" s="19"/>
      <c r="L1014" s="19"/>
      <c r="M1014" s="19"/>
      <c r="N1014" s="28"/>
      <c r="O1014" s="19"/>
      <c r="P1014" s="24"/>
      <c r="Q1014" s="24"/>
      <c r="R1014" s="19"/>
    </row>
    <row r="1015" spans="1:18" ht="14.25" customHeight="1" x14ac:dyDescent="0.2">
      <c r="A1015" s="19"/>
      <c r="B1015" s="19"/>
      <c r="C1015" s="19"/>
      <c r="D1015" s="19">
        <f>D1013*D1014</f>
        <v>2969.9999999999995</v>
      </c>
      <c r="E1015" s="45">
        <f>E1014*E1012</f>
        <v>0</v>
      </c>
      <c r="F1015" s="45">
        <f t="shared" ref="F1015:H1015" si="793">F1012*F1014</f>
        <v>0</v>
      </c>
      <c r="G1015" s="45">
        <f t="shared" si="793"/>
        <v>3600</v>
      </c>
      <c r="H1015" s="19">
        <f t="shared" si="793"/>
        <v>1140</v>
      </c>
      <c r="I1015" s="19">
        <f t="shared" ref="I1015:N1015" si="794">I1012*I1013</f>
        <v>2880.0000000000005</v>
      </c>
      <c r="J1015" s="19">
        <f t="shared" si="794"/>
        <v>1000</v>
      </c>
      <c r="K1015" s="19">
        <f t="shared" si="794"/>
        <v>375</v>
      </c>
      <c r="L1015" s="19">
        <f t="shared" si="794"/>
        <v>877.5</v>
      </c>
      <c r="M1015" s="19">
        <f t="shared" si="794"/>
        <v>1000</v>
      </c>
      <c r="N1015" s="19">
        <f t="shared" si="794"/>
        <v>3168</v>
      </c>
      <c r="O1015" s="19">
        <f>SUM(D1015:N1015)</f>
        <v>17010.5</v>
      </c>
      <c r="P1015" s="24">
        <f>O1015/A1013</f>
        <v>17010.5</v>
      </c>
      <c r="Q1015" s="24">
        <f>P1015*Q1012</f>
        <v>34021</v>
      </c>
      <c r="R1015" s="19">
        <f>MROUND(Q1015,100)</f>
        <v>34000</v>
      </c>
    </row>
    <row r="1016" spans="1:18" ht="14.25" customHeight="1" x14ac:dyDescent="0.15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9"/>
      <c r="Q1016" s="39"/>
    </row>
    <row r="1017" spans="1:18" ht="14.25" customHeight="1" x14ac:dyDescent="0.3">
      <c r="A1017" s="109" t="str">
        <f>PRICELIST!I149</f>
        <v>WFLX-LNR-S-PB-1500-G</v>
      </c>
      <c r="B1017" s="87"/>
      <c r="C1017" s="87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22"/>
      <c r="Q1017" s="22"/>
      <c r="R1017" s="17"/>
    </row>
    <row r="1018" spans="1:18" ht="14.25" customHeight="1" x14ac:dyDescent="0.15">
      <c r="A1018" s="19" t="s">
        <v>57</v>
      </c>
      <c r="B1018" s="19" t="s">
        <v>59</v>
      </c>
      <c r="C1018" s="19" t="s">
        <v>62</v>
      </c>
      <c r="D1018" s="19" t="s">
        <v>64</v>
      </c>
      <c r="E1018" s="19">
        <v>1200</v>
      </c>
      <c r="F1018" s="19">
        <v>900</v>
      </c>
      <c r="G1018" s="19">
        <v>600</v>
      </c>
      <c r="H1018" s="19" t="s">
        <v>67</v>
      </c>
      <c r="I1018" s="19" t="s">
        <v>68</v>
      </c>
      <c r="J1018" s="19" t="s">
        <v>69</v>
      </c>
      <c r="K1018" s="19" t="s">
        <v>71</v>
      </c>
      <c r="L1018" s="19" t="s">
        <v>72</v>
      </c>
      <c r="M1018" s="19" t="s">
        <v>73</v>
      </c>
      <c r="N1018" s="19" t="s">
        <v>75</v>
      </c>
      <c r="O1018" s="19" t="s">
        <v>76</v>
      </c>
      <c r="P1018" s="24" t="s">
        <v>78</v>
      </c>
      <c r="Q1018" s="24" t="s">
        <v>79</v>
      </c>
      <c r="R1018" s="19" t="s">
        <v>81</v>
      </c>
    </row>
    <row r="1019" spans="1:18" ht="14.25" customHeight="1" x14ac:dyDescent="0.15">
      <c r="A1019" s="21"/>
      <c r="B1019" s="21"/>
      <c r="C1019" s="44" t="s">
        <v>188</v>
      </c>
      <c r="D1019" s="21"/>
      <c r="E1019" s="23" t="str">
        <f t="shared" ref="E1019:H1019" si="795">E1012</f>
        <v>2100</v>
      </c>
      <c r="F1019" s="23" t="str">
        <f t="shared" si="795"/>
        <v>1900</v>
      </c>
      <c r="G1019" s="23" t="str">
        <f t="shared" si="795"/>
        <v>1800</v>
      </c>
      <c r="H1019" s="23">
        <f t="shared" si="795"/>
        <v>380</v>
      </c>
      <c r="I1019" s="23" t="str">
        <f>I998</f>
        <v>5500</v>
      </c>
      <c r="J1019" s="23" t="str">
        <f t="shared" ref="J1019:R1019" si="796">J1012</f>
        <v>1000</v>
      </c>
      <c r="K1019" s="23">
        <f t="shared" si="796"/>
        <v>375</v>
      </c>
      <c r="L1019" s="23">
        <f t="shared" si="796"/>
        <v>585</v>
      </c>
      <c r="M1019" s="23" t="str">
        <f t="shared" si="796"/>
        <v>1000</v>
      </c>
      <c r="N1019" s="23">
        <f t="shared" si="796"/>
        <v>3300</v>
      </c>
      <c r="O1019" s="23">
        <f t="shared" si="796"/>
        <v>0</v>
      </c>
      <c r="P1019" s="27">
        <f t="shared" si="796"/>
        <v>0</v>
      </c>
      <c r="Q1019" s="27">
        <f t="shared" si="796"/>
        <v>2</v>
      </c>
      <c r="R1019" s="23">
        <f t="shared" si="796"/>
        <v>0</v>
      </c>
    </row>
    <row r="1020" spans="1:18" ht="14.25" customHeight="1" x14ac:dyDescent="0.15">
      <c r="A1020" s="19">
        <v>1</v>
      </c>
      <c r="B1020" s="19">
        <v>1.5</v>
      </c>
      <c r="C1020" s="19">
        <f>0.6+0.3</f>
        <v>0.89999999999999991</v>
      </c>
      <c r="D1020" s="19">
        <f>B1020*C1020</f>
        <v>1.3499999999999999</v>
      </c>
      <c r="E1020" s="19"/>
      <c r="F1020" s="19"/>
      <c r="G1020" s="19"/>
      <c r="H1020" s="19"/>
      <c r="I1020" s="19">
        <f>B1020*0.4</f>
        <v>0.60000000000000009</v>
      </c>
      <c r="J1020" s="19">
        <v>1</v>
      </c>
      <c r="K1020" s="19">
        <f t="shared" ref="K1020:L1020" si="797">A1020</f>
        <v>1</v>
      </c>
      <c r="L1020" s="19">
        <f t="shared" si="797"/>
        <v>1.5</v>
      </c>
      <c r="M1020" s="19">
        <f>A1020</f>
        <v>1</v>
      </c>
      <c r="N1020" s="19">
        <f>(1.2*0.4)*2</f>
        <v>0.96</v>
      </c>
      <c r="O1020" s="19"/>
      <c r="P1020" s="24"/>
      <c r="Q1020" s="24"/>
      <c r="R1020" s="19"/>
    </row>
    <row r="1021" spans="1:18" ht="14.25" customHeight="1" x14ac:dyDescent="0.2">
      <c r="A1021" s="19"/>
      <c r="B1021" s="19"/>
      <c r="C1021" s="19"/>
      <c r="D1021" s="26" t="str">
        <f>D1014</f>
        <v>2200</v>
      </c>
      <c r="E1021" s="45">
        <v>0</v>
      </c>
      <c r="F1021" s="45">
        <v>0</v>
      </c>
      <c r="G1021" s="45">
        <v>2</v>
      </c>
      <c r="H1021" s="19">
        <f>B1020*2</f>
        <v>3</v>
      </c>
      <c r="I1021" s="19"/>
      <c r="J1021" s="19"/>
      <c r="K1021" s="19"/>
      <c r="L1021" s="19"/>
      <c r="M1021" s="19"/>
      <c r="N1021" s="28"/>
      <c r="O1021" s="19"/>
      <c r="P1021" s="24"/>
      <c r="Q1021" s="24"/>
      <c r="R1021" s="19"/>
    </row>
    <row r="1022" spans="1:18" ht="14.25" customHeight="1" x14ac:dyDescent="0.2">
      <c r="A1022" s="19"/>
      <c r="B1022" s="19"/>
      <c r="C1022" s="19"/>
      <c r="D1022" s="19">
        <f>D1020*D1021</f>
        <v>2969.9999999999995</v>
      </c>
      <c r="E1022" s="45">
        <f>E1021*E1019</f>
        <v>0</v>
      </c>
      <c r="F1022" s="45">
        <f t="shared" ref="F1022:H1022" si="798">F1019*F1021</f>
        <v>0</v>
      </c>
      <c r="G1022" s="45">
        <f t="shared" si="798"/>
        <v>3600</v>
      </c>
      <c r="H1022" s="19">
        <f t="shared" si="798"/>
        <v>1140</v>
      </c>
      <c r="I1022" s="19">
        <f t="shared" ref="I1022:N1022" si="799">I1019*I1020</f>
        <v>3300.0000000000005</v>
      </c>
      <c r="J1022" s="19">
        <f t="shared" si="799"/>
        <v>1000</v>
      </c>
      <c r="K1022" s="19">
        <f t="shared" si="799"/>
        <v>375</v>
      </c>
      <c r="L1022" s="19">
        <f t="shared" si="799"/>
        <v>877.5</v>
      </c>
      <c r="M1022" s="19">
        <f t="shared" si="799"/>
        <v>1000</v>
      </c>
      <c r="N1022" s="19">
        <f t="shared" si="799"/>
        <v>3168</v>
      </c>
      <c r="O1022" s="19">
        <f>SUM(D1022:N1022)</f>
        <v>17430.5</v>
      </c>
      <c r="P1022" s="24">
        <f>O1022/A1020</f>
        <v>17430.5</v>
      </c>
      <c r="Q1022" s="24">
        <f>P1022*Q1019</f>
        <v>34861</v>
      </c>
      <c r="R1022" s="19">
        <f>MROUND(Q1022,100)</f>
        <v>34900</v>
      </c>
    </row>
    <row r="1023" spans="1:18" ht="14.25" customHeight="1" x14ac:dyDescent="0.15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9"/>
      <c r="Q1023" s="39"/>
    </row>
    <row r="1024" spans="1:18" ht="14.25" customHeight="1" x14ac:dyDescent="0.3">
      <c r="A1024" s="109" t="str">
        <f>PRICELIST!I150</f>
        <v>WFLX-LNR-S-PB-1500-X</v>
      </c>
      <c r="B1024" s="87"/>
      <c r="C1024" s="87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22"/>
      <c r="Q1024" s="22"/>
      <c r="R1024" s="17"/>
    </row>
    <row r="1025" spans="1:18" ht="14.25" customHeight="1" x14ac:dyDescent="0.15">
      <c r="A1025" s="19" t="s">
        <v>57</v>
      </c>
      <c r="B1025" s="19" t="s">
        <v>59</v>
      </c>
      <c r="C1025" s="19" t="s">
        <v>62</v>
      </c>
      <c r="D1025" s="19" t="s">
        <v>64</v>
      </c>
      <c r="E1025" s="19">
        <v>1200</v>
      </c>
      <c r="F1025" s="19">
        <v>900</v>
      </c>
      <c r="G1025" s="19">
        <v>600</v>
      </c>
      <c r="H1025" s="19" t="s">
        <v>67</v>
      </c>
      <c r="I1025" s="19" t="s">
        <v>68</v>
      </c>
      <c r="J1025" s="19" t="s">
        <v>69</v>
      </c>
      <c r="K1025" s="19" t="s">
        <v>71</v>
      </c>
      <c r="L1025" s="19" t="s">
        <v>72</v>
      </c>
      <c r="M1025" s="19" t="s">
        <v>73</v>
      </c>
      <c r="N1025" s="19" t="s">
        <v>75</v>
      </c>
      <c r="O1025" s="19" t="s">
        <v>76</v>
      </c>
      <c r="P1025" s="24" t="s">
        <v>78</v>
      </c>
      <c r="Q1025" s="24" t="s">
        <v>79</v>
      </c>
      <c r="R1025" s="19" t="s">
        <v>81</v>
      </c>
    </row>
    <row r="1026" spans="1:18" ht="14.25" customHeight="1" x14ac:dyDescent="0.15">
      <c r="A1026" s="21">
        <f t="shared" ref="A1026:B1026" si="800">A1019</f>
        <v>0</v>
      </c>
      <c r="B1026" s="21">
        <f t="shared" si="800"/>
        <v>0</v>
      </c>
      <c r="C1026" s="44" t="s">
        <v>188</v>
      </c>
      <c r="D1026" s="21">
        <f t="shared" ref="D1026:H1026" si="801">D1019</f>
        <v>0</v>
      </c>
      <c r="E1026" s="23" t="str">
        <f t="shared" si="801"/>
        <v>2100</v>
      </c>
      <c r="F1026" s="23" t="str">
        <f t="shared" si="801"/>
        <v>1900</v>
      </c>
      <c r="G1026" s="23" t="str">
        <f t="shared" si="801"/>
        <v>1800</v>
      </c>
      <c r="H1026" s="23">
        <f t="shared" si="801"/>
        <v>380</v>
      </c>
      <c r="I1026" s="23" t="str">
        <f>I1005</f>
        <v>0</v>
      </c>
      <c r="J1026" s="23" t="str">
        <f t="shared" ref="J1026:Q1026" si="802">J1019</f>
        <v>1000</v>
      </c>
      <c r="K1026" s="23">
        <f t="shared" si="802"/>
        <v>375</v>
      </c>
      <c r="L1026" s="23">
        <f t="shared" si="802"/>
        <v>585</v>
      </c>
      <c r="M1026" s="23" t="str">
        <f t="shared" si="802"/>
        <v>1000</v>
      </c>
      <c r="N1026" s="23">
        <f t="shared" si="802"/>
        <v>3300</v>
      </c>
      <c r="O1026" s="23">
        <f t="shared" si="802"/>
        <v>0</v>
      </c>
      <c r="P1026" s="27">
        <f t="shared" si="802"/>
        <v>0</v>
      </c>
      <c r="Q1026" s="27">
        <f t="shared" si="802"/>
        <v>2</v>
      </c>
      <c r="R1026" s="21"/>
    </row>
    <row r="1027" spans="1:18" ht="14.25" customHeight="1" x14ac:dyDescent="0.15">
      <c r="A1027" s="19">
        <v>1</v>
      </c>
      <c r="B1027" s="19">
        <v>1.5</v>
      </c>
      <c r="C1027" s="19">
        <f>0.6+0.3</f>
        <v>0.89999999999999991</v>
      </c>
      <c r="D1027" s="19">
        <f>B1027*C1027</f>
        <v>1.3499999999999999</v>
      </c>
      <c r="E1027" s="19"/>
      <c r="F1027" s="19"/>
      <c r="G1027" s="19"/>
      <c r="H1027" s="19"/>
      <c r="I1027" s="19">
        <f>B1027*0.4</f>
        <v>0.60000000000000009</v>
      </c>
      <c r="J1027" s="19">
        <v>1</v>
      </c>
      <c r="K1027" s="19">
        <f t="shared" ref="K1027:L1027" si="803">A1027</f>
        <v>1</v>
      </c>
      <c r="L1027" s="19">
        <f t="shared" si="803"/>
        <v>1.5</v>
      </c>
      <c r="M1027" s="19">
        <f>A1027</f>
        <v>1</v>
      </c>
      <c r="N1027" s="19">
        <f>(1.2*0.4)*2</f>
        <v>0.96</v>
      </c>
      <c r="O1027" s="19"/>
      <c r="P1027" s="24"/>
      <c r="Q1027" s="24"/>
      <c r="R1027" s="19"/>
    </row>
    <row r="1028" spans="1:18" ht="14.25" customHeight="1" x14ac:dyDescent="0.2">
      <c r="A1028" s="19"/>
      <c r="B1028" s="19"/>
      <c r="C1028" s="19"/>
      <c r="D1028" s="26" t="str">
        <f>D1021</f>
        <v>2200</v>
      </c>
      <c r="E1028" s="45">
        <v>0</v>
      </c>
      <c r="F1028" s="45">
        <v>0</v>
      </c>
      <c r="G1028" s="45">
        <v>2</v>
      </c>
      <c r="H1028" s="19">
        <f>B1027*2</f>
        <v>3</v>
      </c>
      <c r="I1028" s="19"/>
      <c r="J1028" s="19"/>
      <c r="K1028" s="19"/>
      <c r="L1028" s="19"/>
      <c r="M1028" s="19"/>
      <c r="N1028" s="28"/>
      <c r="O1028" s="19"/>
      <c r="P1028" s="24"/>
      <c r="Q1028" s="24"/>
      <c r="R1028" s="19"/>
    </row>
    <row r="1029" spans="1:18" ht="14.25" customHeight="1" x14ac:dyDescent="0.2">
      <c r="A1029" s="19"/>
      <c r="B1029" s="19"/>
      <c r="C1029" s="19"/>
      <c r="D1029" s="19">
        <f>D1027*D1028</f>
        <v>2969.9999999999995</v>
      </c>
      <c r="E1029" s="45">
        <f>E1028*E1026</f>
        <v>0</v>
      </c>
      <c r="F1029" s="45">
        <f t="shared" ref="F1029:H1029" si="804">F1026*F1028</f>
        <v>0</v>
      </c>
      <c r="G1029" s="45">
        <f t="shared" si="804"/>
        <v>3600</v>
      </c>
      <c r="H1029" s="19">
        <f t="shared" si="804"/>
        <v>1140</v>
      </c>
      <c r="I1029" s="19">
        <f t="shared" ref="I1029:N1029" si="805">I1026*I1027</f>
        <v>0</v>
      </c>
      <c r="J1029" s="19">
        <f t="shared" si="805"/>
        <v>1000</v>
      </c>
      <c r="K1029" s="19">
        <f t="shared" si="805"/>
        <v>375</v>
      </c>
      <c r="L1029" s="19">
        <f t="shared" si="805"/>
        <v>877.5</v>
      </c>
      <c r="M1029" s="19">
        <f t="shared" si="805"/>
        <v>1000</v>
      </c>
      <c r="N1029" s="19">
        <f t="shared" si="805"/>
        <v>3168</v>
      </c>
      <c r="O1029" s="19">
        <f>SUM(D1029:N1029)</f>
        <v>14130.5</v>
      </c>
      <c r="P1029" s="24">
        <f>O1029/A1027</f>
        <v>14130.5</v>
      </c>
      <c r="Q1029" s="24">
        <f>P1029*Q1026</f>
        <v>28261</v>
      </c>
      <c r="R1029" s="19">
        <f>MROUND(Q1029,100)</f>
        <v>28300</v>
      </c>
    </row>
    <row r="1030" spans="1:18" ht="14.25" customHeight="1" x14ac:dyDescent="0.15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9"/>
      <c r="Q1030" s="39"/>
    </row>
    <row r="1031" spans="1:18" ht="14.25" customHeight="1" x14ac:dyDescent="0.3">
      <c r="A1031" s="109" t="str">
        <f>PRICELIST!I151</f>
        <v>WFLX-LNR-S-PLM-1500-F</v>
      </c>
      <c r="B1031" s="87"/>
      <c r="C1031" s="87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22"/>
      <c r="Q1031" s="22"/>
      <c r="R1031" s="17"/>
    </row>
    <row r="1032" spans="1:18" ht="14.25" customHeight="1" x14ac:dyDescent="0.15">
      <c r="A1032" s="19" t="s">
        <v>57</v>
      </c>
      <c r="B1032" s="19" t="s">
        <v>59</v>
      </c>
      <c r="C1032" s="19" t="s">
        <v>62</v>
      </c>
      <c r="D1032" s="19" t="s">
        <v>64</v>
      </c>
      <c r="E1032" s="19">
        <v>1200</v>
      </c>
      <c r="F1032" s="19">
        <v>900</v>
      </c>
      <c r="G1032" s="19">
        <v>600</v>
      </c>
      <c r="H1032" s="19" t="s">
        <v>67</v>
      </c>
      <c r="I1032" s="19" t="s">
        <v>68</v>
      </c>
      <c r="J1032" s="19" t="s">
        <v>69</v>
      </c>
      <c r="K1032" s="19" t="s">
        <v>71</v>
      </c>
      <c r="L1032" s="19" t="s">
        <v>72</v>
      </c>
      <c r="M1032" s="19" t="s">
        <v>73</v>
      </c>
      <c r="N1032" s="19" t="s">
        <v>75</v>
      </c>
      <c r="O1032" s="19" t="s">
        <v>76</v>
      </c>
      <c r="P1032" s="24" t="s">
        <v>78</v>
      </c>
      <c r="Q1032" s="24" t="s">
        <v>79</v>
      </c>
      <c r="R1032" s="19" t="s">
        <v>81</v>
      </c>
    </row>
    <row r="1033" spans="1:18" ht="14.25" customHeight="1" x14ac:dyDescent="0.15">
      <c r="A1033" s="21">
        <f t="shared" ref="A1033:B1033" si="806">A1026</f>
        <v>0</v>
      </c>
      <c r="B1033" s="21">
        <f t="shared" si="806"/>
        <v>0</v>
      </c>
      <c r="C1033" s="44" t="s">
        <v>188</v>
      </c>
      <c r="D1033" s="21">
        <f t="shared" ref="D1033:H1033" si="807">D1026</f>
        <v>0</v>
      </c>
      <c r="E1033" s="23" t="str">
        <f t="shared" si="807"/>
        <v>2100</v>
      </c>
      <c r="F1033" s="23" t="str">
        <f t="shared" si="807"/>
        <v>1900</v>
      </c>
      <c r="G1033" s="23" t="str">
        <f t="shared" si="807"/>
        <v>1800</v>
      </c>
      <c r="H1033" s="23">
        <f t="shared" si="807"/>
        <v>380</v>
      </c>
      <c r="I1033" s="23" t="str">
        <f>I1012</f>
        <v>4800</v>
      </c>
      <c r="J1033" s="23" t="str">
        <f t="shared" ref="J1033:Q1033" si="808">J1026</f>
        <v>1000</v>
      </c>
      <c r="K1033" s="23">
        <f t="shared" si="808"/>
        <v>375</v>
      </c>
      <c r="L1033" s="23">
        <f t="shared" si="808"/>
        <v>585</v>
      </c>
      <c r="M1033" s="23" t="str">
        <f t="shared" si="808"/>
        <v>1000</v>
      </c>
      <c r="N1033" s="23">
        <f t="shared" si="808"/>
        <v>3300</v>
      </c>
      <c r="O1033" s="23">
        <f t="shared" si="808"/>
        <v>0</v>
      </c>
      <c r="P1033" s="27">
        <f t="shared" si="808"/>
        <v>0</v>
      </c>
      <c r="Q1033" s="27">
        <f t="shared" si="808"/>
        <v>2</v>
      </c>
      <c r="R1033" s="21"/>
    </row>
    <row r="1034" spans="1:18" ht="14.25" customHeight="1" x14ac:dyDescent="0.15">
      <c r="A1034" s="19">
        <v>1</v>
      </c>
      <c r="B1034" s="19">
        <v>1.5</v>
      </c>
      <c r="C1034" s="19">
        <f>0.6+0.3</f>
        <v>0.89999999999999991</v>
      </c>
      <c r="D1034" s="19">
        <f>B1034*C1034</f>
        <v>1.3499999999999999</v>
      </c>
      <c r="E1034" s="19"/>
      <c r="F1034" s="19"/>
      <c r="G1034" s="19"/>
      <c r="H1034" s="19"/>
      <c r="I1034" s="19">
        <f>B1034*0.4</f>
        <v>0.60000000000000009</v>
      </c>
      <c r="J1034" s="19">
        <v>1</v>
      </c>
      <c r="K1034" s="19">
        <f t="shared" ref="K1034:L1034" si="809">A1034</f>
        <v>1</v>
      </c>
      <c r="L1034" s="19">
        <f t="shared" si="809"/>
        <v>1.5</v>
      </c>
      <c r="M1034" s="19">
        <f>A1034</f>
        <v>1</v>
      </c>
      <c r="N1034" s="19">
        <f>(1.2*0.4)*2</f>
        <v>0.96</v>
      </c>
      <c r="O1034" s="19"/>
      <c r="P1034" s="24"/>
      <c r="Q1034" s="24"/>
      <c r="R1034" s="19"/>
    </row>
    <row r="1035" spans="1:18" ht="14.25" customHeight="1" x14ac:dyDescent="0.2">
      <c r="A1035" s="19"/>
      <c r="B1035" s="19"/>
      <c r="C1035" s="19"/>
      <c r="D1035" s="26" t="str">
        <f>D923</f>
        <v>3000</v>
      </c>
      <c r="E1035" s="45">
        <v>0</v>
      </c>
      <c r="F1035" s="45">
        <v>0</v>
      </c>
      <c r="G1035" s="45">
        <v>2</v>
      </c>
      <c r="H1035" s="19">
        <f>B1034*2</f>
        <v>3</v>
      </c>
      <c r="I1035" s="19"/>
      <c r="J1035" s="19"/>
      <c r="K1035" s="19"/>
      <c r="L1035" s="19"/>
      <c r="M1035" s="19"/>
      <c r="N1035" s="28"/>
      <c r="O1035" s="19"/>
      <c r="P1035" s="24"/>
      <c r="Q1035" s="24"/>
      <c r="R1035" s="19"/>
    </row>
    <row r="1036" spans="1:18" ht="14.25" customHeight="1" x14ac:dyDescent="0.2">
      <c r="A1036" s="19"/>
      <c r="B1036" s="19"/>
      <c r="C1036" s="19"/>
      <c r="D1036" s="19">
        <f>D1034*D1035</f>
        <v>4049.9999999999995</v>
      </c>
      <c r="E1036" s="45">
        <f>E1035*E1033</f>
        <v>0</v>
      </c>
      <c r="F1036" s="45">
        <f t="shared" ref="F1036:H1036" si="810">F1033*F1035</f>
        <v>0</v>
      </c>
      <c r="G1036" s="45">
        <f t="shared" si="810"/>
        <v>3600</v>
      </c>
      <c r="H1036" s="19">
        <f t="shared" si="810"/>
        <v>1140</v>
      </c>
      <c r="I1036" s="19">
        <f t="shared" ref="I1036:N1036" si="811">I1033*I1034</f>
        <v>2880.0000000000005</v>
      </c>
      <c r="J1036" s="19">
        <f t="shared" si="811"/>
        <v>1000</v>
      </c>
      <c r="K1036" s="19">
        <f t="shared" si="811"/>
        <v>375</v>
      </c>
      <c r="L1036" s="19">
        <f t="shared" si="811"/>
        <v>877.5</v>
      </c>
      <c r="M1036" s="19">
        <f t="shared" si="811"/>
        <v>1000</v>
      </c>
      <c r="N1036" s="19">
        <f t="shared" si="811"/>
        <v>3168</v>
      </c>
      <c r="O1036" s="19">
        <f>SUM(D1036:N1036)</f>
        <v>18090.5</v>
      </c>
      <c r="P1036" s="24">
        <f>O1036/A1034</f>
        <v>18090.5</v>
      </c>
      <c r="Q1036" s="24">
        <f>P1036*Q1033</f>
        <v>36181</v>
      </c>
      <c r="R1036" s="19">
        <f>MROUND(Q1036,100)</f>
        <v>36200</v>
      </c>
    </row>
    <row r="1037" spans="1:18" ht="14.25" customHeight="1" x14ac:dyDescent="0.15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9"/>
      <c r="Q1037" s="39"/>
    </row>
    <row r="1038" spans="1:18" ht="14.25" customHeight="1" x14ac:dyDescent="0.3">
      <c r="A1038" s="109" t="str">
        <f>PRICELIST!I152</f>
        <v>WFLX-LNR-S-PLM-1500-G</v>
      </c>
      <c r="B1038" s="87"/>
      <c r="C1038" s="87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22"/>
      <c r="Q1038" s="22"/>
      <c r="R1038" s="17"/>
    </row>
    <row r="1039" spans="1:18" ht="14.25" customHeight="1" x14ac:dyDescent="0.15">
      <c r="A1039" s="19" t="s">
        <v>57</v>
      </c>
      <c r="B1039" s="19" t="s">
        <v>59</v>
      </c>
      <c r="C1039" s="19" t="s">
        <v>62</v>
      </c>
      <c r="D1039" s="19" t="s">
        <v>64</v>
      </c>
      <c r="E1039" s="19">
        <v>1200</v>
      </c>
      <c r="F1039" s="19">
        <v>900</v>
      </c>
      <c r="G1039" s="19">
        <v>600</v>
      </c>
      <c r="H1039" s="19" t="s">
        <v>67</v>
      </c>
      <c r="I1039" s="19" t="s">
        <v>68</v>
      </c>
      <c r="J1039" s="19" t="s">
        <v>69</v>
      </c>
      <c r="K1039" s="19" t="s">
        <v>71</v>
      </c>
      <c r="L1039" s="19" t="s">
        <v>72</v>
      </c>
      <c r="M1039" s="19" t="s">
        <v>73</v>
      </c>
      <c r="N1039" s="19" t="s">
        <v>75</v>
      </c>
      <c r="O1039" s="19" t="s">
        <v>76</v>
      </c>
      <c r="P1039" s="24" t="s">
        <v>78</v>
      </c>
      <c r="Q1039" s="24" t="s">
        <v>79</v>
      </c>
      <c r="R1039" s="19" t="s">
        <v>81</v>
      </c>
    </row>
    <row r="1040" spans="1:18" ht="14.25" customHeight="1" x14ac:dyDescent="0.15">
      <c r="A1040" s="21">
        <f t="shared" ref="A1040:B1040" si="812">A1033</f>
        <v>0</v>
      </c>
      <c r="B1040" s="21">
        <f t="shared" si="812"/>
        <v>0</v>
      </c>
      <c r="C1040" s="44" t="s">
        <v>188</v>
      </c>
      <c r="D1040" s="21">
        <f t="shared" ref="D1040:H1040" si="813">D1033</f>
        <v>0</v>
      </c>
      <c r="E1040" s="23" t="str">
        <f t="shared" si="813"/>
        <v>2100</v>
      </c>
      <c r="F1040" s="23" t="str">
        <f t="shared" si="813"/>
        <v>1900</v>
      </c>
      <c r="G1040" s="23" t="str">
        <f t="shared" si="813"/>
        <v>1800</v>
      </c>
      <c r="H1040" s="23">
        <f t="shared" si="813"/>
        <v>380</v>
      </c>
      <c r="I1040" s="23" t="str">
        <f>I1019</f>
        <v>5500</v>
      </c>
      <c r="J1040" s="23" t="str">
        <f t="shared" ref="J1040:Q1040" si="814">J1033</f>
        <v>1000</v>
      </c>
      <c r="K1040" s="23">
        <f t="shared" si="814"/>
        <v>375</v>
      </c>
      <c r="L1040" s="23">
        <f t="shared" si="814"/>
        <v>585</v>
      </c>
      <c r="M1040" s="23" t="str">
        <f t="shared" si="814"/>
        <v>1000</v>
      </c>
      <c r="N1040" s="23">
        <f t="shared" si="814"/>
        <v>3300</v>
      </c>
      <c r="O1040" s="23">
        <f t="shared" si="814"/>
        <v>0</v>
      </c>
      <c r="P1040" s="27">
        <f t="shared" si="814"/>
        <v>0</v>
      </c>
      <c r="Q1040" s="27">
        <f t="shared" si="814"/>
        <v>2</v>
      </c>
      <c r="R1040" s="21"/>
    </row>
    <row r="1041" spans="1:18" ht="14.25" customHeight="1" x14ac:dyDescent="0.15">
      <c r="A1041" s="19">
        <v>1</v>
      </c>
      <c r="B1041" s="19">
        <v>1.5</v>
      </c>
      <c r="C1041" s="19">
        <f>0.6+0.3</f>
        <v>0.89999999999999991</v>
      </c>
      <c r="D1041" s="19">
        <f>B1041*C1041</f>
        <v>1.3499999999999999</v>
      </c>
      <c r="E1041" s="19"/>
      <c r="F1041" s="19"/>
      <c r="G1041" s="19"/>
      <c r="H1041" s="19"/>
      <c r="I1041" s="19">
        <f>B1041*0.4</f>
        <v>0.60000000000000009</v>
      </c>
      <c r="J1041" s="19">
        <v>1</v>
      </c>
      <c r="K1041" s="19">
        <f t="shared" ref="K1041:L1041" si="815">A1041</f>
        <v>1</v>
      </c>
      <c r="L1041" s="19">
        <f t="shared" si="815"/>
        <v>1.5</v>
      </c>
      <c r="M1041" s="19">
        <f>A1041</f>
        <v>1</v>
      </c>
      <c r="N1041" s="19">
        <f>(1.2*0.4)*2</f>
        <v>0.96</v>
      </c>
      <c r="O1041" s="19"/>
      <c r="P1041" s="24"/>
      <c r="Q1041" s="24"/>
      <c r="R1041" s="19"/>
    </row>
    <row r="1042" spans="1:18" ht="14.25" customHeight="1" x14ac:dyDescent="0.2">
      <c r="A1042" s="19"/>
      <c r="B1042" s="19"/>
      <c r="C1042" s="19"/>
      <c r="D1042" s="26" t="str">
        <f>D1035</f>
        <v>3000</v>
      </c>
      <c r="E1042" s="45">
        <v>0</v>
      </c>
      <c r="F1042" s="45">
        <v>0</v>
      </c>
      <c r="G1042" s="45">
        <v>2</v>
      </c>
      <c r="H1042" s="19">
        <f>B1041*2</f>
        <v>3</v>
      </c>
      <c r="I1042" s="19"/>
      <c r="J1042" s="19"/>
      <c r="K1042" s="19"/>
      <c r="L1042" s="19"/>
      <c r="M1042" s="19"/>
      <c r="N1042" s="28"/>
      <c r="O1042" s="19"/>
      <c r="P1042" s="24"/>
      <c r="Q1042" s="24"/>
      <c r="R1042" s="19"/>
    </row>
    <row r="1043" spans="1:18" ht="14.25" customHeight="1" x14ac:dyDescent="0.2">
      <c r="A1043" s="19"/>
      <c r="B1043" s="19"/>
      <c r="C1043" s="19"/>
      <c r="D1043" s="19">
        <f>D1041*D1042</f>
        <v>4049.9999999999995</v>
      </c>
      <c r="E1043" s="45">
        <f>E1042*E1040</f>
        <v>0</v>
      </c>
      <c r="F1043" s="45">
        <f t="shared" ref="F1043:H1043" si="816">F1040*F1042</f>
        <v>0</v>
      </c>
      <c r="G1043" s="45">
        <f t="shared" si="816"/>
        <v>3600</v>
      </c>
      <c r="H1043" s="19">
        <f t="shared" si="816"/>
        <v>1140</v>
      </c>
      <c r="I1043" s="19">
        <f t="shared" ref="I1043:N1043" si="817">I1040*I1041</f>
        <v>3300.0000000000005</v>
      </c>
      <c r="J1043" s="19">
        <f t="shared" si="817"/>
        <v>1000</v>
      </c>
      <c r="K1043" s="19">
        <f t="shared" si="817"/>
        <v>375</v>
      </c>
      <c r="L1043" s="19">
        <f t="shared" si="817"/>
        <v>877.5</v>
      </c>
      <c r="M1043" s="19">
        <f t="shared" si="817"/>
        <v>1000</v>
      </c>
      <c r="N1043" s="19">
        <f t="shared" si="817"/>
        <v>3168</v>
      </c>
      <c r="O1043" s="19">
        <f>SUM(D1043:N1043)</f>
        <v>18510.5</v>
      </c>
      <c r="P1043" s="24">
        <f>O1043/A1041</f>
        <v>18510.5</v>
      </c>
      <c r="Q1043" s="24">
        <f>P1043*Q1040</f>
        <v>37021</v>
      </c>
      <c r="R1043" s="19">
        <f>MROUND(Q1043,100)</f>
        <v>37000</v>
      </c>
    </row>
    <row r="1044" spans="1:18" ht="14.25" customHeight="1" x14ac:dyDescent="0.15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9"/>
      <c r="Q1044" s="39"/>
    </row>
    <row r="1045" spans="1:18" ht="14.25" customHeight="1" x14ac:dyDescent="0.3">
      <c r="A1045" s="109" t="str">
        <f>PRICELIST!I153</f>
        <v>WFLX-LNR-S-PLM-1500-X</v>
      </c>
      <c r="B1045" s="87"/>
      <c r="C1045" s="87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22"/>
      <c r="Q1045" s="22"/>
      <c r="R1045" s="17"/>
    </row>
    <row r="1046" spans="1:18" ht="14.25" customHeight="1" x14ac:dyDescent="0.15">
      <c r="A1046" s="19" t="s">
        <v>57</v>
      </c>
      <c r="B1046" s="19" t="s">
        <v>59</v>
      </c>
      <c r="C1046" s="19" t="s">
        <v>62</v>
      </c>
      <c r="D1046" s="19" t="s">
        <v>64</v>
      </c>
      <c r="E1046" s="19">
        <v>1200</v>
      </c>
      <c r="F1046" s="19">
        <v>900</v>
      </c>
      <c r="G1046" s="19">
        <v>600</v>
      </c>
      <c r="H1046" s="19" t="s">
        <v>67</v>
      </c>
      <c r="I1046" s="19" t="s">
        <v>68</v>
      </c>
      <c r="J1046" s="19" t="s">
        <v>69</v>
      </c>
      <c r="K1046" s="19" t="s">
        <v>71</v>
      </c>
      <c r="L1046" s="19" t="s">
        <v>72</v>
      </c>
      <c r="M1046" s="19" t="s">
        <v>73</v>
      </c>
      <c r="N1046" s="19" t="s">
        <v>75</v>
      </c>
      <c r="O1046" s="19" t="s">
        <v>76</v>
      </c>
      <c r="P1046" s="24" t="s">
        <v>78</v>
      </c>
      <c r="Q1046" s="24" t="s">
        <v>79</v>
      </c>
      <c r="R1046" s="19" t="s">
        <v>81</v>
      </c>
    </row>
    <row r="1047" spans="1:18" ht="14.25" customHeight="1" x14ac:dyDescent="0.15">
      <c r="A1047" s="21">
        <f t="shared" ref="A1047:B1047" si="818">A1040</f>
        <v>0</v>
      </c>
      <c r="B1047" s="21">
        <f t="shared" si="818"/>
        <v>0</v>
      </c>
      <c r="C1047" s="44" t="s">
        <v>188</v>
      </c>
      <c r="D1047" s="21">
        <f t="shared" ref="D1047:H1047" si="819">D1040</f>
        <v>0</v>
      </c>
      <c r="E1047" s="23" t="str">
        <f t="shared" si="819"/>
        <v>2100</v>
      </c>
      <c r="F1047" s="23" t="str">
        <f t="shared" si="819"/>
        <v>1900</v>
      </c>
      <c r="G1047" s="23" t="str">
        <f t="shared" si="819"/>
        <v>1800</v>
      </c>
      <c r="H1047" s="23">
        <f t="shared" si="819"/>
        <v>380</v>
      </c>
      <c r="I1047" s="23" t="str">
        <f>I1026</f>
        <v>0</v>
      </c>
      <c r="J1047" s="23" t="str">
        <f t="shared" ref="J1047:Q1047" si="820">J1040</f>
        <v>1000</v>
      </c>
      <c r="K1047" s="23">
        <f t="shared" si="820"/>
        <v>375</v>
      </c>
      <c r="L1047" s="23">
        <f t="shared" si="820"/>
        <v>585</v>
      </c>
      <c r="M1047" s="23" t="str">
        <f t="shared" si="820"/>
        <v>1000</v>
      </c>
      <c r="N1047" s="23">
        <f t="shared" si="820"/>
        <v>3300</v>
      </c>
      <c r="O1047" s="23">
        <f t="shared" si="820"/>
        <v>0</v>
      </c>
      <c r="P1047" s="27">
        <f t="shared" si="820"/>
        <v>0</v>
      </c>
      <c r="Q1047" s="27">
        <f t="shared" si="820"/>
        <v>2</v>
      </c>
      <c r="R1047" s="21"/>
    </row>
    <row r="1048" spans="1:18" ht="14.25" customHeight="1" x14ac:dyDescent="0.15">
      <c r="A1048" s="19">
        <v>1</v>
      </c>
      <c r="B1048" s="19">
        <v>1.5</v>
      </c>
      <c r="C1048" s="19">
        <f>0.6+0.3</f>
        <v>0.89999999999999991</v>
      </c>
      <c r="D1048" s="19">
        <f>B1048*C1048</f>
        <v>1.3499999999999999</v>
      </c>
      <c r="E1048" s="19"/>
      <c r="F1048" s="19"/>
      <c r="G1048" s="19"/>
      <c r="H1048" s="19"/>
      <c r="I1048" s="19">
        <f>B1048*0.4</f>
        <v>0.60000000000000009</v>
      </c>
      <c r="J1048" s="19">
        <v>1</v>
      </c>
      <c r="K1048" s="19">
        <f t="shared" ref="K1048:L1048" si="821">A1048</f>
        <v>1</v>
      </c>
      <c r="L1048" s="19">
        <f t="shared" si="821"/>
        <v>1.5</v>
      </c>
      <c r="M1048" s="19">
        <f>A1048</f>
        <v>1</v>
      </c>
      <c r="N1048" s="19">
        <f>(1.2*0.4)*2</f>
        <v>0.96</v>
      </c>
      <c r="O1048" s="19"/>
      <c r="P1048" s="24"/>
      <c r="Q1048" s="24"/>
      <c r="R1048" s="19"/>
    </row>
    <row r="1049" spans="1:18" ht="14.25" customHeight="1" x14ac:dyDescent="0.2">
      <c r="A1049" s="19"/>
      <c r="B1049" s="19"/>
      <c r="C1049" s="19"/>
      <c r="D1049" s="26" t="str">
        <f>D1042</f>
        <v>3000</v>
      </c>
      <c r="E1049" s="45">
        <v>0</v>
      </c>
      <c r="F1049" s="45">
        <v>0</v>
      </c>
      <c r="G1049" s="45">
        <v>2</v>
      </c>
      <c r="H1049" s="19">
        <f>B1048*2</f>
        <v>3</v>
      </c>
      <c r="I1049" s="19"/>
      <c r="J1049" s="19"/>
      <c r="K1049" s="19"/>
      <c r="L1049" s="19"/>
      <c r="M1049" s="19"/>
      <c r="N1049" s="28"/>
      <c r="O1049" s="19"/>
      <c r="P1049" s="24"/>
      <c r="Q1049" s="24"/>
      <c r="R1049" s="19"/>
    </row>
    <row r="1050" spans="1:18" ht="14.25" customHeight="1" x14ac:dyDescent="0.2">
      <c r="A1050" s="19"/>
      <c r="B1050" s="19"/>
      <c r="C1050" s="19"/>
      <c r="D1050" s="19">
        <f>D1048*D1049</f>
        <v>4049.9999999999995</v>
      </c>
      <c r="E1050" s="45">
        <f>E1049*E1047</f>
        <v>0</v>
      </c>
      <c r="F1050" s="45">
        <f t="shared" ref="F1050:H1050" si="822">F1047*F1049</f>
        <v>0</v>
      </c>
      <c r="G1050" s="45">
        <f t="shared" si="822"/>
        <v>3600</v>
      </c>
      <c r="H1050" s="19">
        <f t="shared" si="822"/>
        <v>1140</v>
      </c>
      <c r="I1050" s="19">
        <f t="shared" ref="I1050:N1050" si="823">I1047*I1048</f>
        <v>0</v>
      </c>
      <c r="J1050" s="19">
        <f t="shared" si="823"/>
        <v>1000</v>
      </c>
      <c r="K1050" s="19">
        <f t="shared" si="823"/>
        <v>375</v>
      </c>
      <c r="L1050" s="19">
        <f t="shared" si="823"/>
        <v>877.5</v>
      </c>
      <c r="M1050" s="19">
        <f t="shared" si="823"/>
        <v>1000</v>
      </c>
      <c r="N1050" s="19">
        <f t="shared" si="823"/>
        <v>3168</v>
      </c>
      <c r="O1050" s="19">
        <f>SUM(D1050:N1050)</f>
        <v>15210.5</v>
      </c>
      <c r="P1050" s="24">
        <f>O1050/A1048</f>
        <v>15210.5</v>
      </c>
      <c r="Q1050" s="24">
        <f>P1050*Q1047</f>
        <v>30421</v>
      </c>
      <c r="R1050" s="19">
        <f>MROUND(Q1050,100)</f>
        <v>30400</v>
      </c>
    </row>
    <row r="1051" spans="1:18" ht="14.25" customHeight="1" x14ac:dyDescent="0.15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9"/>
      <c r="Q1051" s="39"/>
    </row>
    <row r="1052" spans="1:18" ht="14.25" customHeight="1" x14ac:dyDescent="0.3">
      <c r="A1052" s="109" t="str">
        <f>PRICELIST!I154</f>
        <v>WFLX-LNR-S-PoLM-1500-F</v>
      </c>
      <c r="B1052" s="87"/>
      <c r="C1052" s="87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22"/>
      <c r="Q1052" s="22"/>
      <c r="R1052" s="17"/>
    </row>
    <row r="1053" spans="1:18" ht="14.25" customHeight="1" x14ac:dyDescent="0.15">
      <c r="A1053" s="19" t="s">
        <v>57</v>
      </c>
      <c r="B1053" s="19" t="s">
        <v>59</v>
      </c>
      <c r="C1053" s="19" t="s">
        <v>62</v>
      </c>
      <c r="D1053" s="19" t="s">
        <v>64</v>
      </c>
      <c r="E1053" s="19">
        <v>1200</v>
      </c>
      <c r="F1053" s="19">
        <v>900</v>
      </c>
      <c r="G1053" s="19">
        <v>600</v>
      </c>
      <c r="H1053" s="19" t="s">
        <v>67</v>
      </c>
      <c r="I1053" s="19" t="s">
        <v>68</v>
      </c>
      <c r="J1053" s="19" t="s">
        <v>69</v>
      </c>
      <c r="K1053" s="19" t="s">
        <v>71</v>
      </c>
      <c r="L1053" s="19" t="s">
        <v>72</v>
      </c>
      <c r="M1053" s="19" t="s">
        <v>73</v>
      </c>
      <c r="N1053" s="19" t="s">
        <v>75</v>
      </c>
      <c r="O1053" s="19" t="s">
        <v>76</v>
      </c>
      <c r="P1053" s="24" t="s">
        <v>78</v>
      </c>
      <c r="Q1053" s="24" t="s">
        <v>79</v>
      </c>
      <c r="R1053" s="19" t="s">
        <v>81</v>
      </c>
    </row>
    <row r="1054" spans="1:18" ht="14.25" customHeight="1" x14ac:dyDescent="0.15">
      <c r="A1054" s="21">
        <f t="shared" ref="A1054:B1054" si="824">A1047</f>
        <v>0</v>
      </c>
      <c r="B1054" s="21">
        <f t="shared" si="824"/>
        <v>0</v>
      </c>
      <c r="C1054" s="44" t="s">
        <v>188</v>
      </c>
      <c r="D1054" s="21">
        <f t="shared" ref="D1054:H1054" si="825">D1047</f>
        <v>0</v>
      </c>
      <c r="E1054" s="23" t="str">
        <f t="shared" si="825"/>
        <v>2100</v>
      </c>
      <c r="F1054" s="23" t="str">
        <f t="shared" si="825"/>
        <v>1900</v>
      </c>
      <c r="G1054" s="23" t="str">
        <f t="shared" si="825"/>
        <v>1800</v>
      </c>
      <c r="H1054" s="23">
        <f t="shared" si="825"/>
        <v>380</v>
      </c>
      <c r="I1054" s="23" t="str">
        <f>I1033</f>
        <v>4800</v>
      </c>
      <c r="J1054" s="23" t="str">
        <f t="shared" ref="J1054:Q1054" si="826">J1047</f>
        <v>1000</v>
      </c>
      <c r="K1054" s="23">
        <f t="shared" si="826"/>
        <v>375</v>
      </c>
      <c r="L1054" s="23">
        <f t="shared" si="826"/>
        <v>585</v>
      </c>
      <c r="M1054" s="23" t="str">
        <f t="shared" si="826"/>
        <v>1000</v>
      </c>
      <c r="N1054" s="23">
        <f t="shared" si="826"/>
        <v>3300</v>
      </c>
      <c r="O1054" s="23">
        <f t="shared" si="826"/>
        <v>0</v>
      </c>
      <c r="P1054" s="27">
        <f t="shared" si="826"/>
        <v>0</v>
      </c>
      <c r="Q1054" s="27">
        <f t="shared" si="826"/>
        <v>2</v>
      </c>
      <c r="R1054" s="21"/>
    </row>
    <row r="1055" spans="1:18" ht="14.25" customHeight="1" x14ac:dyDescent="0.15">
      <c r="A1055" s="19">
        <v>1</v>
      </c>
      <c r="B1055" s="19">
        <v>1.5</v>
      </c>
      <c r="C1055" s="19">
        <f>0.6+0.3</f>
        <v>0.89999999999999991</v>
      </c>
      <c r="D1055" s="19">
        <f>B1055*C1055</f>
        <v>1.3499999999999999</v>
      </c>
      <c r="E1055" s="19"/>
      <c r="F1055" s="19"/>
      <c r="G1055" s="19"/>
      <c r="H1055" s="19"/>
      <c r="I1055" s="19">
        <f>B1055*0.4</f>
        <v>0.60000000000000009</v>
      </c>
      <c r="J1055" s="19">
        <v>1</v>
      </c>
      <c r="K1055" s="19">
        <f t="shared" ref="K1055:L1055" si="827">A1055</f>
        <v>1</v>
      </c>
      <c r="L1055" s="19">
        <f t="shared" si="827"/>
        <v>1.5</v>
      </c>
      <c r="M1055" s="19">
        <f>A1055</f>
        <v>1</v>
      </c>
      <c r="N1055" s="19">
        <f>(1.2*0.4)*2</f>
        <v>0.96</v>
      </c>
      <c r="O1055" s="19"/>
      <c r="P1055" s="24"/>
      <c r="Q1055" s="24"/>
      <c r="R1055" s="19"/>
    </row>
    <row r="1056" spans="1:18" ht="14.25" customHeight="1" x14ac:dyDescent="0.2">
      <c r="A1056" s="19"/>
      <c r="B1056" s="19"/>
      <c r="C1056" s="19"/>
      <c r="D1056" s="26" t="str">
        <f>D937</f>
        <v>7500</v>
      </c>
      <c r="E1056" s="45">
        <v>0</v>
      </c>
      <c r="F1056" s="45">
        <v>0</v>
      </c>
      <c r="G1056" s="45">
        <v>2</v>
      </c>
      <c r="H1056" s="19">
        <f>B1055*2</f>
        <v>3</v>
      </c>
      <c r="I1056" s="19"/>
      <c r="J1056" s="19"/>
      <c r="K1056" s="19"/>
      <c r="L1056" s="19"/>
      <c r="M1056" s="19"/>
      <c r="N1056" s="28"/>
      <c r="O1056" s="19"/>
      <c r="P1056" s="24"/>
      <c r="Q1056" s="24"/>
      <c r="R1056" s="19"/>
    </row>
    <row r="1057" spans="1:18" ht="14.25" customHeight="1" x14ac:dyDescent="0.2">
      <c r="A1057" s="19"/>
      <c r="B1057" s="19"/>
      <c r="C1057" s="19"/>
      <c r="D1057" s="19">
        <f>D1055*D1056</f>
        <v>10124.999999999998</v>
      </c>
      <c r="E1057" s="45">
        <f>E1056*E1054</f>
        <v>0</v>
      </c>
      <c r="F1057" s="45">
        <f t="shared" ref="F1057:H1057" si="828">F1054*F1056</f>
        <v>0</v>
      </c>
      <c r="G1057" s="45">
        <f t="shared" si="828"/>
        <v>3600</v>
      </c>
      <c r="H1057" s="19">
        <f t="shared" si="828"/>
        <v>1140</v>
      </c>
      <c r="I1057" s="19">
        <f t="shared" ref="I1057:N1057" si="829">I1054*I1055</f>
        <v>2880.0000000000005</v>
      </c>
      <c r="J1057" s="19">
        <f t="shared" si="829"/>
        <v>1000</v>
      </c>
      <c r="K1057" s="19">
        <f t="shared" si="829"/>
        <v>375</v>
      </c>
      <c r="L1057" s="19">
        <f t="shared" si="829"/>
        <v>877.5</v>
      </c>
      <c r="M1057" s="19">
        <f t="shared" si="829"/>
        <v>1000</v>
      </c>
      <c r="N1057" s="19">
        <f t="shared" si="829"/>
        <v>3168</v>
      </c>
      <c r="O1057" s="19">
        <f>SUM(D1057:N1057)</f>
        <v>24165.5</v>
      </c>
      <c r="P1057" s="24">
        <f>O1057/A1055</f>
        <v>24165.5</v>
      </c>
      <c r="Q1057" s="24">
        <f>P1057*Q1054</f>
        <v>48331</v>
      </c>
      <c r="R1057" s="19">
        <f>MROUND(Q1057,100)</f>
        <v>48300</v>
      </c>
    </row>
    <row r="1058" spans="1:18" ht="14.25" customHeight="1" x14ac:dyDescent="0.15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9"/>
      <c r="Q1058" s="39"/>
    </row>
    <row r="1059" spans="1:18" ht="14.25" customHeight="1" x14ac:dyDescent="0.3">
      <c r="A1059" s="109" t="str">
        <f>PRICELIST!I155</f>
        <v>WFLX-LNR-S-PoLM-1500-G</v>
      </c>
      <c r="B1059" s="87"/>
      <c r="C1059" s="87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22"/>
      <c r="Q1059" s="22"/>
      <c r="R1059" s="17"/>
    </row>
    <row r="1060" spans="1:18" ht="14.25" customHeight="1" x14ac:dyDescent="0.15">
      <c r="A1060" s="19" t="s">
        <v>57</v>
      </c>
      <c r="B1060" s="19" t="s">
        <v>59</v>
      </c>
      <c r="C1060" s="19" t="s">
        <v>62</v>
      </c>
      <c r="D1060" s="19" t="s">
        <v>64</v>
      </c>
      <c r="E1060" s="19">
        <v>1200</v>
      </c>
      <c r="F1060" s="19">
        <v>900</v>
      </c>
      <c r="G1060" s="19">
        <v>600</v>
      </c>
      <c r="H1060" s="19" t="s">
        <v>67</v>
      </c>
      <c r="I1060" s="19" t="s">
        <v>68</v>
      </c>
      <c r="J1060" s="19" t="s">
        <v>69</v>
      </c>
      <c r="K1060" s="19" t="s">
        <v>71</v>
      </c>
      <c r="L1060" s="19" t="s">
        <v>72</v>
      </c>
      <c r="M1060" s="19" t="s">
        <v>73</v>
      </c>
      <c r="N1060" s="19" t="s">
        <v>75</v>
      </c>
      <c r="O1060" s="19" t="s">
        <v>76</v>
      </c>
      <c r="P1060" s="24" t="s">
        <v>78</v>
      </c>
      <c r="Q1060" s="24" t="s">
        <v>79</v>
      </c>
      <c r="R1060" s="19" t="s">
        <v>81</v>
      </c>
    </row>
    <row r="1061" spans="1:18" ht="14.25" customHeight="1" x14ac:dyDescent="0.15">
      <c r="A1061" s="21">
        <f t="shared" ref="A1061:B1061" si="830">A1054</f>
        <v>0</v>
      </c>
      <c r="B1061" s="21">
        <f t="shared" si="830"/>
        <v>0</v>
      </c>
      <c r="C1061" s="44" t="s">
        <v>188</v>
      </c>
      <c r="D1061" s="21">
        <f t="shared" ref="D1061:H1061" si="831">D1054</f>
        <v>0</v>
      </c>
      <c r="E1061" s="23" t="str">
        <f t="shared" si="831"/>
        <v>2100</v>
      </c>
      <c r="F1061" s="23" t="str">
        <f t="shared" si="831"/>
        <v>1900</v>
      </c>
      <c r="G1061" s="23" t="str">
        <f t="shared" si="831"/>
        <v>1800</v>
      </c>
      <c r="H1061" s="23">
        <f t="shared" si="831"/>
        <v>380</v>
      </c>
      <c r="I1061" s="23" t="str">
        <f>I1040</f>
        <v>5500</v>
      </c>
      <c r="J1061" s="23" t="str">
        <f t="shared" ref="J1061:Q1061" si="832">J1054</f>
        <v>1000</v>
      </c>
      <c r="K1061" s="23">
        <f t="shared" si="832"/>
        <v>375</v>
      </c>
      <c r="L1061" s="23">
        <f t="shared" si="832"/>
        <v>585</v>
      </c>
      <c r="M1061" s="23" t="str">
        <f t="shared" si="832"/>
        <v>1000</v>
      </c>
      <c r="N1061" s="23">
        <f t="shared" si="832"/>
        <v>3300</v>
      </c>
      <c r="O1061" s="23">
        <f t="shared" si="832"/>
        <v>0</v>
      </c>
      <c r="P1061" s="27">
        <f t="shared" si="832"/>
        <v>0</v>
      </c>
      <c r="Q1061" s="27">
        <f t="shared" si="832"/>
        <v>2</v>
      </c>
      <c r="R1061" s="21"/>
    </row>
    <row r="1062" spans="1:18" ht="14.25" customHeight="1" x14ac:dyDescent="0.15">
      <c r="A1062" s="19">
        <v>1</v>
      </c>
      <c r="B1062" s="19">
        <v>1.5</v>
      </c>
      <c r="C1062" s="19">
        <f>0.6+0.3</f>
        <v>0.89999999999999991</v>
      </c>
      <c r="D1062" s="19">
        <f>B1062*C1062</f>
        <v>1.3499999999999999</v>
      </c>
      <c r="E1062" s="19"/>
      <c r="F1062" s="19"/>
      <c r="G1062" s="19"/>
      <c r="H1062" s="19"/>
      <c r="I1062" s="19">
        <f>B1062*0.4</f>
        <v>0.60000000000000009</v>
      </c>
      <c r="J1062" s="19">
        <v>1</v>
      </c>
      <c r="K1062" s="19">
        <f t="shared" ref="K1062:L1062" si="833">A1062</f>
        <v>1</v>
      </c>
      <c r="L1062" s="19">
        <f t="shared" si="833"/>
        <v>1.5</v>
      </c>
      <c r="M1062" s="19">
        <f>A1062</f>
        <v>1</v>
      </c>
      <c r="N1062" s="19">
        <f>(1.2*0.4)*2</f>
        <v>0.96</v>
      </c>
      <c r="O1062" s="19"/>
      <c r="P1062" s="24"/>
      <c r="Q1062" s="24"/>
      <c r="R1062" s="19"/>
    </row>
    <row r="1063" spans="1:18" ht="14.25" customHeight="1" x14ac:dyDescent="0.2">
      <c r="A1063" s="19"/>
      <c r="B1063" s="19"/>
      <c r="C1063" s="19"/>
      <c r="D1063" s="26" t="str">
        <f>D1056</f>
        <v>7500</v>
      </c>
      <c r="E1063" s="45">
        <v>0</v>
      </c>
      <c r="F1063" s="45">
        <v>0</v>
      </c>
      <c r="G1063" s="45">
        <v>2</v>
      </c>
      <c r="H1063" s="19">
        <f>B1062*2</f>
        <v>3</v>
      </c>
      <c r="I1063" s="19"/>
      <c r="J1063" s="19"/>
      <c r="K1063" s="19"/>
      <c r="L1063" s="19"/>
      <c r="M1063" s="19"/>
      <c r="N1063" s="28"/>
      <c r="O1063" s="19"/>
      <c r="P1063" s="24"/>
      <c r="Q1063" s="24"/>
      <c r="R1063" s="19"/>
    </row>
    <row r="1064" spans="1:18" ht="14.25" customHeight="1" x14ac:dyDescent="0.2">
      <c r="A1064" s="19"/>
      <c r="B1064" s="19"/>
      <c r="C1064" s="19"/>
      <c r="D1064" s="19">
        <f>D1062*D1063</f>
        <v>10124.999999999998</v>
      </c>
      <c r="E1064" s="45">
        <f>E1063*E1061</f>
        <v>0</v>
      </c>
      <c r="F1064" s="45">
        <f t="shared" ref="F1064:H1064" si="834">F1061*F1063</f>
        <v>0</v>
      </c>
      <c r="G1064" s="45">
        <f t="shared" si="834"/>
        <v>3600</v>
      </c>
      <c r="H1064" s="19">
        <f t="shared" si="834"/>
        <v>1140</v>
      </c>
      <c r="I1064" s="19">
        <f t="shared" ref="I1064:N1064" si="835">I1061*I1062</f>
        <v>3300.0000000000005</v>
      </c>
      <c r="J1064" s="19">
        <f t="shared" si="835"/>
        <v>1000</v>
      </c>
      <c r="K1064" s="19">
        <f t="shared" si="835"/>
        <v>375</v>
      </c>
      <c r="L1064" s="19">
        <f t="shared" si="835"/>
        <v>877.5</v>
      </c>
      <c r="M1064" s="19">
        <f t="shared" si="835"/>
        <v>1000</v>
      </c>
      <c r="N1064" s="19">
        <f t="shared" si="835"/>
        <v>3168</v>
      </c>
      <c r="O1064" s="19">
        <f>SUM(D1064:N1064)</f>
        <v>24585.5</v>
      </c>
      <c r="P1064" s="24">
        <f>O1064/A1062</f>
        <v>24585.5</v>
      </c>
      <c r="Q1064" s="24">
        <f>P1064*Q1061</f>
        <v>49171</v>
      </c>
      <c r="R1064" s="19">
        <f>MROUND(Q1064,100)</f>
        <v>49200</v>
      </c>
    </row>
    <row r="1065" spans="1:18" ht="14.25" customHeight="1" x14ac:dyDescent="0.15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9"/>
      <c r="Q1065" s="39"/>
    </row>
    <row r="1066" spans="1:18" ht="14.25" customHeight="1" x14ac:dyDescent="0.3">
      <c r="A1066" s="109" t="str">
        <f>PRICELIST!I156</f>
        <v>WFLX-LNR-S-PoLM-1500-X</v>
      </c>
      <c r="B1066" s="87"/>
      <c r="C1066" s="87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22"/>
      <c r="Q1066" s="22"/>
      <c r="R1066" s="17"/>
    </row>
    <row r="1067" spans="1:18" ht="14.25" customHeight="1" x14ac:dyDescent="0.15">
      <c r="A1067" s="19" t="s">
        <v>57</v>
      </c>
      <c r="B1067" s="19" t="s">
        <v>59</v>
      </c>
      <c r="C1067" s="19" t="s">
        <v>62</v>
      </c>
      <c r="D1067" s="19" t="s">
        <v>64</v>
      </c>
      <c r="E1067" s="19">
        <v>1200</v>
      </c>
      <c r="F1067" s="19">
        <v>900</v>
      </c>
      <c r="G1067" s="19">
        <v>600</v>
      </c>
      <c r="H1067" s="19" t="s">
        <v>67</v>
      </c>
      <c r="I1067" s="19" t="s">
        <v>68</v>
      </c>
      <c r="J1067" s="19" t="s">
        <v>69</v>
      </c>
      <c r="K1067" s="19" t="s">
        <v>71</v>
      </c>
      <c r="L1067" s="19" t="s">
        <v>72</v>
      </c>
      <c r="M1067" s="19" t="s">
        <v>73</v>
      </c>
      <c r="N1067" s="19" t="s">
        <v>75</v>
      </c>
      <c r="O1067" s="19" t="s">
        <v>76</v>
      </c>
      <c r="P1067" s="24" t="s">
        <v>78</v>
      </c>
      <c r="Q1067" s="24" t="s">
        <v>79</v>
      </c>
      <c r="R1067" s="19" t="s">
        <v>81</v>
      </c>
    </row>
    <row r="1068" spans="1:18" ht="14.25" customHeight="1" x14ac:dyDescent="0.15">
      <c r="A1068" s="21">
        <f t="shared" ref="A1068:B1068" si="836">A1061</f>
        <v>0</v>
      </c>
      <c r="B1068" s="21">
        <f t="shared" si="836"/>
        <v>0</v>
      </c>
      <c r="C1068" s="44" t="s">
        <v>188</v>
      </c>
      <c r="D1068" s="21">
        <f t="shared" ref="D1068:H1068" si="837">D1061</f>
        <v>0</v>
      </c>
      <c r="E1068" s="23" t="str">
        <f t="shared" si="837"/>
        <v>2100</v>
      </c>
      <c r="F1068" s="23" t="str">
        <f t="shared" si="837"/>
        <v>1900</v>
      </c>
      <c r="G1068" s="23" t="str">
        <f t="shared" si="837"/>
        <v>1800</v>
      </c>
      <c r="H1068" s="23">
        <f t="shared" si="837"/>
        <v>380</v>
      </c>
      <c r="I1068" s="23" t="str">
        <f>I1047</f>
        <v>0</v>
      </c>
      <c r="J1068" s="23" t="str">
        <f t="shared" ref="J1068:Q1068" si="838">J1061</f>
        <v>1000</v>
      </c>
      <c r="K1068" s="23">
        <f t="shared" si="838"/>
        <v>375</v>
      </c>
      <c r="L1068" s="23">
        <f t="shared" si="838"/>
        <v>585</v>
      </c>
      <c r="M1068" s="23" t="str">
        <f t="shared" si="838"/>
        <v>1000</v>
      </c>
      <c r="N1068" s="23">
        <f t="shared" si="838"/>
        <v>3300</v>
      </c>
      <c r="O1068" s="23">
        <f t="shared" si="838"/>
        <v>0</v>
      </c>
      <c r="P1068" s="27">
        <f t="shared" si="838"/>
        <v>0</v>
      </c>
      <c r="Q1068" s="27">
        <f t="shared" si="838"/>
        <v>2</v>
      </c>
      <c r="R1068" s="21"/>
    </row>
    <row r="1069" spans="1:18" ht="14.25" customHeight="1" x14ac:dyDescent="0.15">
      <c r="A1069" s="19">
        <v>1</v>
      </c>
      <c r="B1069" s="19">
        <v>1.5</v>
      </c>
      <c r="C1069" s="19">
        <f>0.6+0.3</f>
        <v>0.89999999999999991</v>
      </c>
      <c r="D1069" s="19">
        <f>B1069*C1069</f>
        <v>1.3499999999999999</v>
      </c>
      <c r="E1069" s="19"/>
      <c r="F1069" s="19"/>
      <c r="G1069" s="19"/>
      <c r="H1069" s="19"/>
      <c r="I1069" s="19">
        <f>B1069*0.4</f>
        <v>0.60000000000000009</v>
      </c>
      <c r="J1069" s="19">
        <v>1</v>
      </c>
      <c r="K1069" s="19">
        <f t="shared" ref="K1069:L1069" si="839">A1069</f>
        <v>1</v>
      </c>
      <c r="L1069" s="19">
        <f t="shared" si="839"/>
        <v>1.5</v>
      </c>
      <c r="M1069" s="19">
        <f>A1069</f>
        <v>1</v>
      </c>
      <c r="N1069" s="19">
        <f>(1.2*0.4)*2</f>
        <v>0.96</v>
      </c>
      <c r="O1069" s="19"/>
      <c r="P1069" s="24"/>
      <c r="Q1069" s="24"/>
      <c r="R1069" s="19"/>
    </row>
    <row r="1070" spans="1:18" ht="14.25" customHeight="1" x14ac:dyDescent="0.2">
      <c r="A1070" s="19"/>
      <c r="B1070" s="19"/>
      <c r="C1070" s="19"/>
      <c r="D1070" s="26" t="str">
        <f>D1063</f>
        <v>7500</v>
      </c>
      <c r="E1070" s="45">
        <v>0</v>
      </c>
      <c r="F1070" s="45">
        <v>0</v>
      </c>
      <c r="G1070" s="45">
        <v>2</v>
      </c>
      <c r="H1070" s="19">
        <f>B1069*2</f>
        <v>3</v>
      </c>
      <c r="I1070" s="19"/>
      <c r="J1070" s="19"/>
      <c r="K1070" s="19"/>
      <c r="L1070" s="19"/>
      <c r="M1070" s="19"/>
      <c r="N1070" s="28"/>
      <c r="O1070" s="19"/>
      <c r="P1070" s="24"/>
      <c r="Q1070" s="24"/>
      <c r="R1070" s="19"/>
    </row>
    <row r="1071" spans="1:18" ht="14.25" customHeight="1" x14ac:dyDescent="0.2">
      <c r="A1071" s="19"/>
      <c r="B1071" s="19"/>
      <c r="C1071" s="19"/>
      <c r="D1071" s="19">
        <f>D1069*D1070</f>
        <v>10124.999999999998</v>
      </c>
      <c r="E1071" s="45">
        <f>E1070*E1068</f>
        <v>0</v>
      </c>
      <c r="F1071" s="45">
        <f t="shared" ref="F1071:H1071" si="840">F1068*F1070</f>
        <v>0</v>
      </c>
      <c r="G1071" s="45">
        <f t="shared" si="840"/>
        <v>3600</v>
      </c>
      <c r="H1071" s="19">
        <f t="shared" si="840"/>
        <v>1140</v>
      </c>
      <c r="I1071" s="19">
        <f t="shared" ref="I1071:N1071" si="841">I1068*I1069</f>
        <v>0</v>
      </c>
      <c r="J1071" s="19">
        <f t="shared" si="841"/>
        <v>1000</v>
      </c>
      <c r="K1071" s="19">
        <f t="shared" si="841"/>
        <v>375</v>
      </c>
      <c r="L1071" s="19">
        <f t="shared" si="841"/>
        <v>877.5</v>
      </c>
      <c r="M1071" s="19">
        <f t="shared" si="841"/>
        <v>1000</v>
      </c>
      <c r="N1071" s="19">
        <f t="shared" si="841"/>
        <v>3168</v>
      </c>
      <c r="O1071" s="19">
        <f>SUM(D1071:N1071)</f>
        <v>21285.5</v>
      </c>
      <c r="P1071" s="24">
        <f>O1071/A1069</f>
        <v>21285.5</v>
      </c>
      <c r="Q1071" s="24">
        <f>P1071*Q1068</f>
        <v>42571</v>
      </c>
      <c r="R1071" s="19">
        <f>MROUND(Q1071,100)</f>
        <v>42600</v>
      </c>
    </row>
    <row r="1072" spans="1:18" ht="14.25" customHeight="1" x14ac:dyDescent="0.15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9"/>
      <c r="Q1072" s="39"/>
    </row>
    <row r="1073" spans="1:18" ht="14.25" customHeight="1" x14ac:dyDescent="0.3">
      <c r="A1073" s="109" t="str">
        <f>PRICELIST!I157</f>
        <v>WFLX-LNR-S-LVM-1500-F</v>
      </c>
      <c r="B1073" s="87"/>
      <c r="C1073" s="87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22"/>
      <c r="Q1073" s="22"/>
      <c r="R1073" s="17"/>
    </row>
    <row r="1074" spans="1:18" ht="14.25" customHeight="1" x14ac:dyDescent="0.15">
      <c r="A1074" s="19" t="s">
        <v>57</v>
      </c>
      <c r="B1074" s="19" t="s">
        <v>59</v>
      </c>
      <c r="C1074" s="19" t="s">
        <v>62</v>
      </c>
      <c r="D1074" s="19" t="s">
        <v>64</v>
      </c>
      <c r="E1074" s="19">
        <v>1200</v>
      </c>
      <c r="F1074" s="19">
        <v>900</v>
      </c>
      <c r="G1074" s="19">
        <v>600</v>
      </c>
      <c r="H1074" s="19" t="s">
        <v>67</v>
      </c>
      <c r="I1074" s="19" t="s">
        <v>68</v>
      </c>
      <c r="J1074" s="19" t="s">
        <v>69</v>
      </c>
      <c r="K1074" s="19" t="s">
        <v>71</v>
      </c>
      <c r="L1074" s="19" t="s">
        <v>72</v>
      </c>
      <c r="M1074" s="19" t="s">
        <v>73</v>
      </c>
      <c r="N1074" s="19" t="s">
        <v>75</v>
      </c>
      <c r="O1074" s="19" t="s">
        <v>76</v>
      </c>
      <c r="P1074" s="24" t="s">
        <v>78</v>
      </c>
      <c r="Q1074" s="24" t="s">
        <v>79</v>
      </c>
      <c r="R1074" s="19" t="s">
        <v>81</v>
      </c>
    </row>
    <row r="1075" spans="1:18" ht="14.25" customHeight="1" x14ac:dyDescent="0.15">
      <c r="A1075" s="21">
        <f t="shared" ref="A1075:B1075" si="842">A1068</f>
        <v>0</v>
      </c>
      <c r="B1075" s="21">
        <f t="shared" si="842"/>
        <v>0</v>
      </c>
      <c r="C1075" s="44" t="s">
        <v>188</v>
      </c>
      <c r="D1075" s="21">
        <f t="shared" ref="D1075:H1075" si="843">D1068</f>
        <v>0</v>
      </c>
      <c r="E1075" s="23" t="str">
        <f t="shared" si="843"/>
        <v>2100</v>
      </c>
      <c r="F1075" s="23" t="str">
        <f t="shared" si="843"/>
        <v>1900</v>
      </c>
      <c r="G1075" s="23" t="str">
        <f t="shared" si="843"/>
        <v>1800</v>
      </c>
      <c r="H1075" s="23">
        <f t="shared" si="843"/>
        <v>380</v>
      </c>
      <c r="I1075" s="23" t="str">
        <f>I1054</f>
        <v>4800</v>
      </c>
      <c r="J1075" s="23" t="str">
        <f t="shared" ref="J1075:Q1075" si="844">J1068</f>
        <v>1000</v>
      </c>
      <c r="K1075" s="23">
        <f t="shared" si="844"/>
        <v>375</v>
      </c>
      <c r="L1075" s="23">
        <f t="shared" si="844"/>
        <v>585</v>
      </c>
      <c r="M1075" s="23" t="str">
        <f t="shared" si="844"/>
        <v>1000</v>
      </c>
      <c r="N1075" s="23">
        <f t="shared" si="844"/>
        <v>3300</v>
      </c>
      <c r="O1075" s="23">
        <f t="shared" si="844"/>
        <v>0</v>
      </c>
      <c r="P1075" s="27">
        <f t="shared" si="844"/>
        <v>0</v>
      </c>
      <c r="Q1075" s="27">
        <f t="shared" si="844"/>
        <v>2</v>
      </c>
      <c r="R1075" s="21"/>
    </row>
    <row r="1076" spans="1:18" ht="14.25" customHeight="1" x14ac:dyDescent="0.15">
      <c r="A1076" s="19">
        <v>1</v>
      </c>
      <c r="B1076" s="19">
        <v>1.5</v>
      </c>
      <c r="C1076" s="19">
        <f>0.6+0.3</f>
        <v>0.89999999999999991</v>
      </c>
      <c r="D1076" s="19">
        <f>B1076*C1076</f>
        <v>1.3499999999999999</v>
      </c>
      <c r="E1076" s="19"/>
      <c r="F1076" s="19"/>
      <c r="G1076" s="19"/>
      <c r="H1076" s="19"/>
      <c r="I1076" s="19">
        <f>B1076*0.4</f>
        <v>0.60000000000000009</v>
      </c>
      <c r="J1076" s="19">
        <v>1</v>
      </c>
      <c r="K1076" s="19">
        <f t="shared" ref="K1076:L1076" si="845">A1076</f>
        <v>1</v>
      </c>
      <c r="L1076" s="19">
        <f t="shared" si="845"/>
        <v>1.5</v>
      </c>
      <c r="M1076" s="19">
        <f>A1076</f>
        <v>1</v>
      </c>
      <c r="N1076" s="19">
        <f>(1.2*0.4)*2</f>
        <v>0.96</v>
      </c>
      <c r="O1076" s="19"/>
      <c r="P1076" s="24"/>
      <c r="Q1076" s="24"/>
      <c r="R1076" s="19"/>
    </row>
    <row r="1077" spans="1:18" ht="14.25" customHeight="1" x14ac:dyDescent="0.2">
      <c r="A1077" s="19"/>
      <c r="B1077" s="19"/>
      <c r="C1077" s="19"/>
      <c r="D1077" s="26" t="str">
        <f>D965</f>
        <v>9500</v>
      </c>
      <c r="E1077" s="45">
        <v>0</v>
      </c>
      <c r="F1077" s="45">
        <v>0</v>
      </c>
      <c r="G1077" s="45">
        <v>2</v>
      </c>
      <c r="H1077" s="19">
        <f>B1076*2</f>
        <v>3</v>
      </c>
      <c r="I1077" s="19"/>
      <c r="J1077" s="19"/>
      <c r="K1077" s="19"/>
      <c r="L1077" s="19"/>
      <c r="M1077" s="19"/>
      <c r="N1077" s="28"/>
      <c r="O1077" s="19"/>
      <c r="P1077" s="24"/>
      <c r="Q1077" s="24"/>
      <c r="R1077" s="19"/>
    </row>
    <row r="1078" spans="1:18" ht="14.25" customHeight="1" x14ac:dyDescent="0.2">
      <c r="A1078" s="19"/>
      <c r="B1078" s="19"/>
      <c r="C1078" s="19"/>
      <c r="D1078" s="19">
        <f>D1076*D1077</f>
        <v>12824.999999999998</v>
      </c>
      <c r="E1078" s="45">
        <f>E1077*E1075</f>
        <v>0</v>
      </c>
      <c r="F1078" s="45">
        <f t="shared" ref="F1078:H1078" si="846">F1075*F1077</f>
        <v>0</v>
      </c>
      <c r="G1078" s="45">
        <f t="shared" si="846"/>
        <v>3600</v>
      </c>
      <c r="H1078" s="19">
        <f t="shared" si="846"/>
        <v>1140</v>
      </c>
      <c r="I1078" s="19">
        <f t="shared" ref="I1078:N1078" si="847">I1075*I1076</f>
        <v>2880.0000000000005</v>
      </c>
      <c r="J1078" s="19">
        <f t="shared" si="847"/>
        <v>1000</v>
      </c>
      <c r="K1078" s="19">
        <f t="shared" si="847"/>
        <v>375</v>
      </c>
      <c r="L1078" s="19">
        <f t="shared" si="847"/>
        <v>877.5</v>
      </c>
      <c r="M1078" s="19">
        <f t="shared" si="847"/>
        <v>1000</v>
      </c>
      <c r="N1078" s="19">
        <f t="shared" si="847"/>
        <v>3168</v>
      </c>
      <c r="O1078" s="19">
        <f>SUM(D1078:N1078)</f>
        <v>26865.5</v>
      </c>
      <c r="P1078" s="24">
        <f>O1078/A1076</f>
        <v>26865.5</v>
      </c>
      <c r="Q1078" s="24">
        <f>P1078*Q1075</f>
        <v>53731</v>
      </c>
      <c r="R1078" s="19">
        <f>MROUND(Q1078,100)</f>
        <v>53700</v>
      </c>
    </row>
    <row r="1079" spans="1:18" ht="14.25" customHeight="1" x14ac:dyDescent="0.15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9"/>
      <c r="Q1079" s="39"/>
    </row>
    <row r="1080" spans="1:18" ht="14.25" customHeight="1" x14ac:dyDescent="0.3">
      <c r="A1080" s="109" t="str">
        <f>PRICELIST!I158</f>
        <v>WFLX-LNR-S-LVM-1500-G</v>
      </c>
      <c r="B1080" s="87"/>
      <c r="C1080" s="87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22"/>
      <c r="Q1080" s="22"/>
      <c r="R1080" s="17"/>
    </row>
    <row r="1081" spans="1:18" ht="14.25" customHeight="1" x14ac:dyDescent="0.15">
      <c r="A1081" s="19" t="s">
        <v>57</v>
      </c>
      <c r="B1081" s="19" t="s">
        <v>59</v>
      </c>
      <c r="C1081" s="19" t="s">
        <v>62</v>
      </c>
      <c r="D1081" s="19" t="s">
        <v>64</v>
      </c>
      <c r="E1081" s="19">
        <v>1200</v>
      </c>
      <c r="F1081" s="19">
        <v>900</v>
      </c>
      <c r="G1081" s="19">
        <v>600</v>
      </c>
      <c r="H1081" s="19" t="s">
        <v>67</v>
      </c>
      <c r="I1081" s="19" t="s">
        <v>68</v>
      </c>
      <c r="J1081" s="19" t="s">
        <v>69</v>
      </c>
      <c r="K1081" s="19" t="s">
        <v>71</v>
      </c>
      <c r="L1081" s="19" t="s">
        <v>72</v>
      </c>
      <c r="M1081" s="19" t="s">
        <v>73</v>
      </c>
      <c r="N1081" s="19" t="s">
        <v>75</v>
      </c>
      <c r="O1081" s="19" t="s">
        <v>76</v>
      </c>
      <c r="P1081" s="24" t="s">
        <v>78</v>
      </c>
      <c r="Q1081" s="24" t="s">
        <v>79</v>
      </c>
      <c r="R1081" s="19" t="s">
        <v>81</v>
      </c>
    </row>
    <row r="1082" spans="1:18" ht="14.25" customHeight="1" x14ac:dyDescent="0.15">
      <c r="A1082" s="21">
        <f t="shared" ref="A1082:B1082" si="848">A1075</f>
        <v>0</v>
      </c>
      <c r="B1082" s="21">
        <f t="shared" si="848"/>
        <v>0</v>
      </c>
      <c r="C1082" s="44" t="s">
        <v>188</v>
      </c>
      <c r="D1082" s="21">
        <f t="shared" ref="D1082:H1082" si="849">D1075</f>
        <v>0</v>
      </c>
      <c r="E1082" s="23" t="str">
        <f t="shared" si="849"/>
        <v>2100</v>
      </c>
      <c r="F1082" s="23" t="str">
        <f t="shared" si="849"/>
        <v>1900</v>
      </c>
      <c r="G1082" s="23" t="str">
        <f t="shared" si="849"/>
        <v>1800</v>
      </c>
      <c r="H1082" s="23">
        <f t="shared" si="849"/>
        <v>380</v>
      </c>
      <c r="I1082" s="23" t="str">
        <f>I1061</f>
        <v>5500</v>
      </c>
      <c r="J1082" s="23" t="str">
        <f t="shared" ref="J1082:Q1082" si="850">J1075</f>
        <v>1000</v>
      </c>
      <c r="K1082" s="23">
        <f t="shared" si="850"/>
        <v>375</v>
      </c>
      <c r="L1082" s="23">
        <f t="shared" si="850"/>
        <v>585</v>
      </c>
      <c r="M1082" s="23" t="str">
        <f t="shared" si="850"/>
        <v>1000</v>
      </c>
      <c r="N1082" s="23">
        <f t="shared" si="850"/>
        <v>3300</v>
      </c>
      <c r="O1082" s="23">
        <f t="shared" si="850"/>
        <v>0</v>
      </c>
      <c r="P1082" s="27">
        <f t="shared" si="850"/>
        <v>0</v>
      </c>
      <c r="Q1082" s="27">
        <f t="shared" si="850"/>
        <v>2</v>
      </c>
      <c r="R1082" s="21"/>
    </row>
    <row r="1083" spans="1:18" ht="14.25" customHeight="1" x14ac:dyDescent="0.15">
      <c r="A1083" s="19">
        <v>1</v>
      </c>
      <c r="B1083" s="19">
        <v>1.5</v>
      </c>
      <c r="C1083" s="19">
        <f>0.6+0.3</f>
        <v>0.89999999999999991</v>
      </c>
      <c r="D1083" s="19">
        <f>B1083*C1083</f>
        <v>1.3499999999999999</v>
      </c>
      <c r="E1083" s="19"/>
      <c r="F1083" s="19"/>
      <c r="G1083" s="19"/>
      <c r="H1083" s="19"/>
      <c r="I1083" s="19">
        <f>B1083*0.4</f>
        <v>0.60000000000000009</v>
      </c>
      <c r="J1083" s="19">
        <v>1</v>
      </c>
      <c r="K1083" s="19">
        <f t="shared" ref="K1083:L1083" si="851">A1083</f>
        <v>1</v>
      </c>
      <c r="L1083" s="19">
        <f t="shared" si="851"/>
        <v>1.5</v>
      </c>
      <c r="M1083" s="19">
        <f>A1083</f>
        <v>1</v>
      </c>
      <c r="N1083" s="19">
        <f>(1.2*0.4)*2</f>
        <v>0.96</v>
      </c>
      <c r="O1083" s="19"/>
      <c r="P1083" s="24"/>
      <c r="Q1083" s="24"/>
      <c r="R1083" s="19"/>
    </row>
    <row r="1084" spans="1:18" ht="14.25" customHeight="1" x14ac:dyDescent="0.2">
      <c r="A1084" s="19"/>
      <c r="B1084" s="19"/>
      <c r="C1084" s="19"/>
      <c r="D1084" s="26" t="str">
        <f>D1077</f>
        <v>9500</v>
      </c>
      <c r="E1084" s="45">
        <v>0</v>
      </c>
      <c r="F1084" s="45">
        <v>0</v>
      </c>
      <c r="G1084" s="45">
        <v>2</v>
      </c>
      <c r="H1084" s="19">
        <f>B1083*2</f>
        <v>3</v>
      </c>
      <c r="I1084" s="19"/>
      <c r="J1084" s="19"/>
      <c r="K1084" s="19"/>
      <c r="L1084" s="19"/>
      <c r="M1084" s="19"/>
      <c r="N1084" s="28"/>
      <c r="O1084" s="19"/>
      <c r="P1084" s="24"/>
      <c r="Q1084" s="24"/>
      <c r="R1084" s="19"/>
    </row>
    <row r="1085" spans="1:18" ht="14.25" customHeight="1" x14ac:dyDescent="0.2">
      <c r="A1085" s="19"/>
      <c r="B1085" s="19"/>
      <c r="C1085" s="19"/>
      <c r="D1085" s="19">
        <f>D1083*D1084</f>
        <v>12824.999999999998</v>
      </c>
      <c r="E1085" s="45">
        <f>E1084*E1082</f>
        <v>0</v>
      </c>
      <c r="F1085" s="45">
        <f t="shared" ref="F1085:H1085" si="852">F1082*F1084</f>
        <v>0</v>
      </c>
      <c r="G1085" s="45">
        <f t="shared" si="852"/>
        <v>3600</v>
      </c>
      <c r="H1085" s="19">
        <f t="shared" si="852"/>
        <v>1140</v>
      </c>
      <c r="I1085" s="19">
        <f t="shared" ref="I1085:N1085" si="853">I1082*I1083</f>
        <v>3300.0000000000005</v>
      </c>
      <c r="J1085" s="19">
        <f t="shared" si="853"/>
        <v>1000</v>
      </c>
      <c r="K1085" s="19">
        <f t="shared" si="853"/>
        <v>375</v>
      </c>
      <c r="L1085" s="19">
        <f t="shared" si="853"/>
        <v>877.5</v>
      </c>
      <c r="M1085" s="19">
        <f t="shared" si="853"/>
        <v>1000</v>
      </c>
      <c r="N1085" s="19">
        <f t="shared" si="853"/>
        <v>3168</v>
      </c>
      <c r="O1085" s="19">
        <f>SUM(D1085:N1085)</f>
        <v>27285.5</v>
      </c>
      <c r="P1085" s="24">
        <f>O1085/A1083</f>
        <v>27285.5</v>
      </c>
      <c r="Q1085" s="24">
        <f>P1085*Q1082</f>
        <v>54571</v>
      </c>
      <c r="R1085" s="19">
        <f>MROUND(Q1085,100)</f>
        <v>54600</v>
      </c>
    </row>
    <row r="1086" spans="1:18" ht="14.25" customHeight="1" x14ac:dyDescent="0.15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9"/>
      <c r="Q1086" s="39"/>
    </row>
    <row r="1087" spans="1:18" ht="14.25" customHeight="1" x14ac:dyDescent="0.3">
      <c r="A1087" s="109" t="str">
        <f>PRICELIST!I159</f>
        <v>WFLX-LNR-S-LVM-1500-X</v>
      </c>
      <c r="B1087" s="87"/>
      <c r="C1087" s="87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22"/>
      <c r="Q1087" s="22"/>
      <c r="R1087" s="17"/>
    </row>
    <row r="1088" spans="1:18" ht="14.25" customHeight="1" x14ac:dyDescent="0.15">
      <c r="A1088" s="19" t="s">
        <v>57</v>
      </c>
      <c r="B1088" s="19" t="s">
        <v>59</v>
      </c>
      <c r="C1088" s="19" t="s">
        <v>62</v>
      </c>
      <c r="D1088" s="19" t="s">
        <v>64</v>
      </c>
      <c r="E1088" s="19">
        <v>1200</v>
      </c>
      <c r="F1088" s="19">
        <v>900</v>
      </c>
      <c r="G1088" s="19">
        <v>600</v>
      </c>
      <c r="H1088" s="19" t="s">
        <v>67</v>
      </c>
      <c r="I1088" s="19" t="s">
        <v>68</v>
      </c>
      <c r="J1088" s="19" t="s">
        <v>69</v>
      </c>
      <c r="K1088" s="19" t="s">
        <v>71</v>
      </c>
      <c r="L1088" s="19" t="s">
        <v>72</v>
      </c>
      <c r="M1088" s="19" t="s">
        <v>73</v>
      </c>
      <c r="N1088" s="19" t="s">
        <v>75</v>
      </c>
      <c r="O1088" s="19" t="s">
        <v>76</v>
      </c>
      <c r="P1088" s="24" t="s">
        <v>78</v>
      </c>
      <c r="Q1088" s="24" t="s">
        <v>79</v>
      </c>
      <c r="R1088" s="19" t="s">
        <v>81</v>
      </c>
    </row>
    <row r="1089" spans="1:18" ht="14.25" customHeight="1" x14ac:dyDescent="0.15">
      <c r="A1089" s="21">
        <f t="shared" ref="A1089:B1089" si="854">A1082</f>
        <v>0</v>
      </c>
      <c r="B1089" s="21">
        <f t="shared" si="854"/>
        <v>0</v>
      </c>
      <c r="C1089" s="44" t="s">
        <v>188</v>
      </c>
      <c r="D1089" s="21">
        <f t="shared" ref="D1089:H1089" si="855">D1082</f>
        <v>0</v>
      </c>
      <c r="E1089" s="23" t="str">
        <f t="shared" si="855"/>
        <v>2100</v>
      </c>
      <c r="F1089" s="23" t="str">
        <f t="shared" si="855"/>
        <v>1900</v>
      </c>
      <c r="G1089" s="23" t="str">
        <f t="shared" si="855"/>
        <v>1800</v>
      </c>
      <c r="H1089" s="23">
        <f t="shared" si="855"/>
        <v>380</v>
      </c>
      <c r="I1089" s="23" t="str">
        <f>I1068</f>
        <v>0</v>
      </c>
      <c r="J1089" s="23" t="str">
        <f t="shared" ref="J1089:Q1089" si="856">J1082</f>
        <v>1000</v>
      </c>
      <c r="K1089" s="23">
        <f t="shared" si="856"/>
        <v>375</v>
      </c>
      <c r="L1089" s="23">
        <f t="shared" si="856"/>
        <v>585</v>
      </c>
      <c r="M1089" s="23" t="str">
        <f t="shared" si="856"/>
        <v>1000</v>
      </c>
      <c r="N1089" s="23">
        <f t="shared" si="856"/>
        <v>3300</v>
      </c>
      <c r="O1089" s="23">
        <f t="shared" si="856"/>
        <v>0</v>
      </c>
      <c r="P1089" s="27">
        <f t="shared" si="856"/>
        <v>0</v>
      </c>
      <c r="Q1089" s="27">
        <f t="shared" si="856"/>
        <v>2</v>
      </c>
      <c r="R1089" s="21"/>
    </row>
    <row r="1090" spans="1:18" ht="14.25" customHeight="1" x14ac:dyDescent="0.15">
      <c r="A1090" s="19">
        <v>1</v>
      </c>
      <c r="B1090" s="19">
        <v>1.5</v>
      </c>
      <c r="C1090" s="19">
        <f>0.6+0.3</f>
        <v>0.89999999999999991</v>
      </c>
      <c r="D1090" s="19">
        <f>B1090*C1090</f>
        <v>1.3499999999999999</v>
      </c>
      <c r="E1090" s="19"/>
      <c r="F1090" s="19"/>
      <c r="G1090" s="19"/>
      <c r="H1090" s="19"/>
      <c r="I1090" s="19">
        <f>B1090*0.4</f>
        <v>0.60000000000000009</v>
      </c>
      <c r="J1090" s="19">
        <v>1</v>
      </c>
      <c r="K1090" s="19">
        <f t="shared" ref="K1090:L1090" si="857">A1090</f>
        <v>1</v>
      </c>
      <c r="L1090" s="19">
        <f t="shared" si="857"/>
        <v>1.5</v>
      </c>
      <c r="M1090" s="19">
        <f>A1090</f>
        <v>1</v>
      </c>
      <c r="N1090" s="19">
        <f>(1.2*0.4)*2</f>
        <v>0.96</v>
      </c>
      <c r="O1090" s="19"/>
      <c r="P1090" s="24"/>
      <c r="Q1090" s="24"/>
      <c r="R1090" s="19"/>
    </row>
    <row r="1091" spans="1:18" ht="14.25" customHeight="1" x14ac:dyDescent="0.2">
      <c r="A1091" s="19"/>
      <c r="B1091" s="19"/>
      <c r="C1091" s="19"/>
      <c r="D1091" s="26" t="str">
        <f>D1084</f>
        <v>9500</v>
      </c>
      <c r="E1091" s="45">
        <v>0</v>
      </c>
      <c r="F1091" s="45">
        <v>0</v>
      </c>
      <c r="G1091" s="45">
        <v>2</v>
      </c>
      <c r="H1091" s="19">
        <f>B1090*2</f>
        <v>3</v>
      </c>
      <c r="I1091" s="19"/>
      <c r="J1091" s="19"/>
      <c r="K1091" s="19"/>
      <c r="L1091" s="19"/>
      <c r="M1091" s="19"/>
      <c r="N1091" s="28"/>
      <c r="O1091" s="19"/>
      <c r="P1091" s="24"/>
      <c r="Q1091" s="24"/>
      <c r="R1091" s="19"/>
    </row>
    <row r="1092" spans="1:18" ht="14.25" customHeight="1" x14ac:dyDescent="0.2">
      <c r="A1092" s="19"/>
      <c r="B1092" s="19"/>
      <c r="C1092" s="19"/>
      <c r="D1092" s="19">
        <f>D1090*D1091</f>
        <v>12824.999999999998</v>
      </c>
      <c r="E1092" s="45">
        <f>E1091*E1089</f>
        <v>0</v>
      </c>
      <c r="F1092" s="45">
        <f t="shared" ref="F1092:H1092" si="858">F1089*F1091</f>
        <v>0</v>
      </c>
      <c r="G1092" s="45">
        <f t="shared" si="858"/>
        <v>3600</v>
      </c>
      <c r="H1092" s="19">
        <f t="shared" si="858"/>
        <v>1140</v>
      </c>
      <c r="I1092" s="19">
        <f t="shared" ref="I1092:N1092" si="859">I1089*I1090</f>
        <v>0</v>
      </c>
      <c r="J1092" s="19">
        <f t="shared" si="859"/>
        <v>1000</v>
      </c>
      <c r="K1092" s="19">
        <f t="shared" si="859"/>
        <v>375</v>
      </c>
      <c r="L1092" s="19">
        <f t="shared" si="859"/>
        <v>877.5</v>
      </c>
      <c r="M1092" s="19">
        <f t="shared" si="859"/>
        <v>1000</v>
      </c>
      <c r="N1092" s="19">
        <f t="shared" si="859"/>
        <v>3168</v>
      </c>
      <c r="O1092" s="19">
        <f>SUM(D1092:N1092)</f>
        <v>23985.5</v>
      </c>
      <c r="P1092" s="24">
        <f>O1092/A1090</f>
        <v>23985.5</v>
      </c>
      <c r="Q1092" s="24">
        <f>P1092*Q1089</f>
        <v>47971</v>
      </c>
      <c r="R1092" s="19">
        <f>MROUND(Q1092,100)</f>
        <v>48000</v>
      </c>
    </row>
    <row r="1093" spans="1:18" ht="14.25" customHeight="1" x14ac:dyDescent="0.15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9"/>
      <c r="Q1093" s="39"/>
    </row>
    <row r="1094" spans="1:18" ht="14.25" customHeight="1" x14ac:dyDescent="0.3">
      <c r="A1094" s="109" t="str">
        <f>PRICELIST!I160</f>
        <v>WFLX-LNR-S-LVP-1500-F</v>
      </c>
      <c r="B1094" s="87"/>
      <c r="C1094" s="87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22"/>
      <c r="Q1094" s="22"/>
      <c r="R1094" s="17"/>
    </row>
    <row r="1095" spans="1:18" ht="14.25" customHeight="1" x14ac:dyDescent="0.15">
      <c r="A1095" s="19" t="s">
        <v>57</v>
      </c>
      <c r="B1095" s="19" t="s">
        <v>59</v>
      </c>
      <c r="C1095" s="19" t="s">
        <v>62</v>
      </c>
      <c r="D1095" s="19" t="s">
        <v>64</v>
      </c>
      <c r="E1095" s="19">
        <v>1200</v>
      </c>
      <c r="F1095" s="19">
        <v>900</v>
      </c>
      <c r="G1095" s="19">
        <v>600</v>
      </c>
      <c r="H1095" s="19" t="s">
        <v>67</v>
      </c>
      <c r="I1095" s="19" t="s">
        <v>68</v>
      </c>
      <c r="J1095" s="19" t="s">
        <v>69</v>
      </c>
      <c r="K1095" s="19" t="s">
        <v>71</v>
      </c>
      <c r="L1095" s="19" t="s">
        <v>72</v>
      </c>
      <c r="M1095" s="19" t="s">
        <v>73</v>
      </c>
      <c r="N1095" s="19" t="s">
        <v>75</v>
      </c>
      <c r="O1095" s="19" t="s">
        <v>76</v>
      </c>
      <c r="P1095" s="24" t="s">
        <v>78</v>
      </c>
      <c r="Q1095" s="24" t="s">
        <v>79</v>
      </c>
      <c r="R1095" s="19" t="s">
        <v>81</v>
      </c>
    </row>
    <row r="1096" spans="1:18" ht="14.25" customHeight="1" x14ac:dyDescent="0.15">
      <c r="A1096" s="21">
        <f t="shared" ref="A1096:B1096" si="860">A1089</f>
        <v>0</v>
      </c>
      <c r="B1096" s="21">
        <f t="shared" si="860"/>
        <v>0</v>
      </c>
      <c r="C1096" s="44" t="s">
        <v>188</v>
      </c>
      <c r="D1096" s="21">
        <f t="shared" ref="D1096:H1096" si="861">D1089</f>
        <v>0</v>
      </c>
      <c r="E1096" s="23" t="str">
        <f t="shared" si="861"/>
        <v>2100</v>
      </c>
      <c r="F1096" s="23" t="str">
        <f t="shared" si="861"/>
        <v>1900</v>
      </c>
      <c r="G1096" s="23" t="str">
        <f t="shared" si="861"/>
        <v>1800</v>
      </c>
      <c r="H1096" s="23">
        <f t="shared" si="861"/>
        <v>380</v>
      </c>
      <c r="I1096" s="23" t="str">
        <f>I1075</f>
        <v>4800</v>
      </c>
      <c r="J1096" s="23" t="str">
        <f t="shared" ref="J1096:Q1096" si="862">J1089</f>
        <v>1000</v>
      </c>
      <c r="K1096" s="23">
        <f t="shared" si="862"/>
        <v>375</v>
      </c>
      <c r="L1096" s="23">
        <f t="shared" si="862"/>
        <v>585</v>
      </c>
      <c r="M1096" s="23" t="str">
        <f t="shared" si="862"/>
        <v>1000</v>
      </c>
      <c r="N1096" s="23">
        <f t="shared" si="862"/>
        <v>3300</v>
      </c>
      <c r="O1096" s="23">
        <f t="shared" si="862"/>
        <v>0</v>
      </c>
      <c r="P1096" s="27">
        <f t="shared" si="862"/>
        <v>0</v>
      </c>
      <c r="Q1096" s="27">
        <f t="shared" si="862"/>
        <v>2</v>
      </c>
      <c r="R1096" s="21"/>
    </row>
    <row r="1097" spans="1:18" ht="14.25" customHeight="1" x14ac:dyDescent="0.15">
      <c r="A1097" s="19">
        <v>1</v>
      </c>
      <c r="B1097" s="19">
        <v>1.5</v>
      </c>
      <c r="C1097" s="19">
        <f>0.6+0.3</f>
        <v>0.89999999999999991</v>
      </c>
      <c r="D1097" s="19">
        <f>B1097*C1097</f>
        <v>1.3499999999999999</v>
      </c>
      <c r="E1097" s="19"/>
      <c r="F1097" s="19"/>
      <c r="G1097" s="19"/>
      <c r="H1097" s="19"/>
      <c r="I1097" s="19">
        <f>B1097*0.4</f>
        <v>0.60000000000000009</v>
      </c>
      <c r="J1097" s="19">
        <v>1</v>
      </c>
      <c r="K1097" s="19">
        <f t="shared" ref="K1097:L1097" si="863">A1097</f>
        <v>1</v>
      </c>
      <c r="L1097" s="19">
        <f t="shared" si="863"/>
        <v>1.5</v>
      </c>
      <c r="M1097" s="19">
        <f>A1097</f>
        <v>1</v>
      </c>
      <c r="N1097" s="19">
        <f>(1.2*0.4)*2</f>
        <v>0.96</v>
      </c>
      <c r="O1097" s="19"/>
      <c r="P1097" s="24"/>
      <c r="Q1097" s="24"/>
      <c r="R1097" s="19"/>
    </row>
    <row r="1098" spans="1:18" ht="14.25" customHeight="1" x14ac:dyDescent="0.2">
      <c r="A1098" s="19"/>
      <c r="B1098" s="19"/>
      <c r="C1098" s="19"/>
      <c r="D1098" s="26" t="str">
        <f>D979</f>
        <v>10500</v>
      </c>
      <c r="E1098" s="45">
        <v>0</v>
      </c>
      <c r="F1098" s="45">
        <v>0</v>
      </c>
      <c r="G1098" s="45">
        <v>2</v>
      </c>
      <c r="H1098" s="19">
        <f>B1097*2</f>
        <v>3</v>
      </c>
      <c r="I1098" s="19"/>
      <c r="J1098" s="19"/>
      <c r="K1098" s="19"/>
      <c r="L1098" s="19"/>
      <c r="M1098" s="19"/>
      <c r="N1098" s="28"/>
      <c r="O1098" s="19"/>
      <c r="P1098" s="24"/>
      <c r="Q1098" s="24"/>
      <c r="R1098" s="19"/>
    </row>
    <row r="1099" spans="1:18" ht="14.25" customHeight="1" x14ac:dyDescent="0.2">
      <c r="A1099" s="19"/>
      <c r="B1099" s="19"/>
      <c r="C1099" s="19"/>
      <c r="D1099" s="19">
        <f>D1097*D1098</f>
        <v>14174.999999999998</v>
      </c>
      <c r="E1099" s="45">
        <f>E1098*E1096</f>
        <v>0</v>
      </c>
      <c r="F1099" s="45">
        <f t="shared" ref="F1099:H1099" si="864">F1096*F1098</f>
        <v>0</v>
      </c>
      <c r="G1099" s="45">
        <f t="shared" si="864"/>
        <v>3600</v>
      </c>
      <c r="H1099" s="19">
        <f t="shared" si="864"/>
        <v>1140</v>
      </c>
      <c r="I1099" s="19">
        <f t="shared" ref="I1099:N1099" si="865">I1096*I1097</f>
        <v>2880.0000000000005</v>
      </c>
      <c r="J1099" s="19">
        <f t="shared" si="865"/>
        <v>1000</v>
      </c>
      <c r="K1099" s="19">
        <f t="shared" si="865"/>
        <v>375</v>
      </c>
      <c r="L1099" s="19">
        <f t="shared" si="865"/>
        <v>877.5</v>
      </c>
      <c r="M1099" s="19">
        <f t="shared" si="865"/>
        <v>1000</v>
      </c>
      <c r="N1099" s="19">
        <f t="shared" si="865"/>
        <v>3168</v>
      </c>
      <c r="O1099" s="19">
        <f>SUM(D1099:N1099)</f>
        <v>28215.5</v>
      </c>
      <c r="P1099" s="24">
        <f>O1099/A1097</f>
        <v>28215.5</v>
      </c>
      <c r="Q1099" s="24">
        <f>P1099*Q1096</f>
        <v>56431</v>
      </c>
      <c r="R1099" s="19">
        <f>MROUND(Q1099,100)</f>
        <v>56400</v>
      </c>
    </row>
    <row r="1100" spans="1:18" ht="14.25" customHeight="1" x14ac:dyDescent="0.1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9"/>
      <c r="Q1100" s="39"/>
    </row>
    <row r="1101" spans="1:18" ht="14.25" customHeight="1" x14ac:dyDescent="0.3">
      <c r="A1101" s="109" t="str">
        <f>PRICELIST!I161</f>
        <v>WFLX-LNR-S-LVP-1500-G</v>
      </c>
      <c r="B1101" s="87"/>
      <c r="C1101" s="87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22"/>
      <c r="Q1101" s="22"/>
      <c r="R1101" s="17"/>
    </row>
    <row r="1102" spans="1:18" ht="14.25" customHeight="1" x14ac:dyDescent="0.15">
      <c r="A1102" s="19" t="s">
        <v>57</v>
      </c>
      <c r="B1102" s="19" t="s">
        <v>59</v>
      </c>
      <c r="C1102" s="19" t="s">
        <v>62</v>
      </c>
      <c r="D1102" s="19" t="s">
        <v>64</v>
      </c>
      <c r="E1102" s="19">
        <v>1200</v>
      </c>
      <c r="F1102" s="19">
        <v>900</v>
      </c>
      <c r="G1102" s="19">
        <v>600</v>
      </c>
      <c r="H1102" s="19" t="s">
        <v>67</v>
      </c>
      <c r="I1102" s="19" t="s">
        <v>68</v>
      </c>
      <c r="J1102" s="19" t="s">
        <v>69</v>
      </c>
      <c r="K1102" s="19" t="s">
        <v>71</v>
      </c>
      <c r="L1102" s="19" t="s">
        <v>72</v>
      </c>
      <c r="M1102" s="19" t="s">
        <v>73</v>
      </c>
      <c r="N1102" s="19" t="s">
        <v>75</v>
      </c>
      <c r="O1102" s="19" t="s">
        <v>76</v>
      </c>
      <c r="P1102" s="24" t="s">
        <v>78</v>
      </c>
      <c r="Q1102" s="24" t="s">
        <v>79</v>
      </c>
      <c r="R1102" s="19" t="s">
        <v>81</v>
      </c>
    </row>
    <row r="1103" spans="1:18" ht="14.25" customHeight="1" x14ac:dyDescent="0.15">
      <c r="A1103" s="21">
        <f t="shared" ref="A1103:B1103" si="866">A1096</f>
        <v>0</v>
      </c>
      <c r="B1103" s="21">
        <f t="shared" si="866"/>
        <v>0</v>
      </c>
      <c r="C1103" s="44" t="s">
        <v>188</v>
      </c>
      <c r="D1103" s="21">
        <f t="shared" ref="D1103:H1103" si="867">D1096</f>
        <v>0</v>
      </c>
      <c r="E1103" s="23" t="str">
        <f t="shared" si="867"/>
        <v>2100</v>
      </c>
      <c r="F1103" s="23" t="str">
        <f t="shared" si="867"/>
        <v>1900</v>
      </c>
      <c r="G1103" s="23" t="str">
        <f t="shared" si="867"/>
        <v>1800</v>
      </c>
      <c r="H1103" s="23">
        <f t="shared" si="867"/>
        <v>380</v>
      </c>
      <c r="I1103" s="23" t="str">
        <f>I1082</f>
        <v>5500</v>
      </c>
      <c r="J1103" s="23" t="str">
        <f t="shared" ref="J1103:Q1103" si="868">J1096</f>
        <v>1000</v>
      </c>
      <c r="K1103" s="23">
        <f t="shared" si="868"/>
        <v>375</v>
      </c>
      <c r="L1103" s="23">
        <f t="shared" si="868"/>
        <v>585</v>
      </c>
      <c r="M1103" s="23" t="str">
        <f t="shared" si="868"/>
        <v>1000</v>
      </c>
      <c r="N1103" s="23">
        <f t="shared" si="868"/>
        <v>3300</v>
      </c>
      <c r="O1103" s="23">
        <f t="shared" si="868"/>
        <v>0</v>
      </c>
      <c r="P1103" s="27">
        <f t="shared" si="868"/>
        <v>0</v>
      </c>
      <c r="Q1103" s="27">
        <f t="shared" si="868"/>
        <v>2</v>
      </c>
      <c r="R1103" s="21"/>
    </row>
    <row r="1104" spans="1:18" ht="14.25" customHeight="1" x14ac:dyDescent="0.15">
      <c r="A1104" s="19">
        <v>1</v>
      </c>
      <c r="B1104" s="19">
        <v>1.5</v>
      </c>
      <c r="C1104" s="19">
        <f>0.6+0.3</f>
        <v>0.89999999999999991</v>
      </c>
      <c r="D1104" s="19">
        <f>B1104*C1104</f>
        <v>1.3499999999999999</v>
      </c>
      <c r="E1104" s="19"/>
      <c r="F1104" s="19"/>
      <c r="G1104" s="19"/>
      <c r="H1104" s="19"/>
      <c r="I1104" s="19">
        <f>B1104*0.4</f>
        <v>0.60000000000000009</v>
      </c>
      <c r="J1104" s="19">
        <v>1</v>
      </c>
      <c r="K1104" s="19">
        <f t="shared" ref="K1104:L1104" si="869">A1104</f>
        <v>1</v>
      </c>
      <c r="L1104" s="19">
        <f t="shared" si="869"/>
        <v>1.5</v>
      </c>
      <c r="M1104" s="19">
        <f>A1104</f>
        <v>1</v>
      </c>
      <c r="N1104" s="19">
        <f>(1.2*0.4)*2</f>
        <v>0.96</v>
      </c>
      <c r="O1104" s="19"/>
      <c r="P1104" s="24"/>
      <c r="Q1104" s="24"/>
      <c r="R1104" s="19"/>
    </row>
    <row r="1105" spans="1:18" ht="14.25" customHeight="1" x14ac:dyDescent="0.2">
      <c r="A1105" s="19"/>
      <c r="B1105" s="19"/>
      <c r="C1105" s="19"/>
      <c r="D1105" s="26" t="str">
        <f>D1098</f>
        <v>10500</v>
      </c>
      <c r="E1105" s="45">
        <v>0</v>
      </c>
      <c r="F1105" s="45">
        <v>0</v>
      </c>
      <c r="G1105" s="45">
        <v>2</v>
      </c>
      <c r="H1105" s="19">
        <f>B1104*2</f>
        <v>3</v>
      </c>
      <c r="I1105" s="19"/>
      <c r="J1105" s="19"/>
      <c r="K1105" s="19"/>
      <c r="L1105" s="19"/>
      <c r="M1105" s="19"/>
      <c r="N1105" s="28"/>
      <c r="O1105" s="19"/>
      <c r="P1105" s="24"/>
      <c r="Q1105" s="24"/>
      <c r="R1105" s="19"/>
    </row>
    <row r="1106" spans="1:18" ht="14.25" customHeight="1" x14ac:dyDescent="0.2">
      <c r="A1106" s="19"/>
      <c r="B1106" s="19"/>
      <c r="C1106" s="19"/>
      <c r="D1106" s="19">
        <f>D1104*D1105</f>
        <v>14174.999999999998</v>
      </c>
      <c r="E1106" s="45">
        <f>E1105*E1103</f>
        <v>0</v>
      </c>
      <c r="F1106" s="45">
        <f t="shared" ref="F1106:H1106" si="870">F1103*F1105</f>
        <v>0</v>
      </c>
      <c r="G1106" s="45">
        <f t="shared" si="870"/>
        <v>3600</v>
      </c>
      <c r="H1106" s="19">
        <f t="shared" si="870"/>
        <v>1140</v>
      </c>
      <c r="I1106" s="19">
        <f t="shared" ref="I1106:N1106" si="871">I1103*I1104</f>
        <v>3300.0000000000005</v>
      </c>
      <c r="J1106" s="19">
        <f t="shared" si="871"/>
        <v>1000</v>
      </c>
      <c r="K1106" s="19">
        <f t="shared" si="871"/>
        <v>375</v>
      </c>
      <c r="L1106" s="19">
        <f t="shared" si="871"/>
        <v>877.5</v>
      </c>
      <c r="M1106" s="19">
        <f t="shared" si="871"/>
        <v>1000</v>
      </c>
      <c r="N1106" s="19">
        <f t="shared" si="871"/>
        <v>3168</v>
      </c>
      <c r="O1106" s="19">
        <f>SUM(D1106:N1106)</f>
        <v>28635.5</v>
      </c>
      <c r="P1106" s="24">
        <f>O1106/A1104</f>
        <v>28635.5</v>
      </c>
      <c r="Q1106" s="24">
        <f>P1106*Q1103</f>
        <v>57271</v>
      </c>
      <c r="R1106" s="19">
        <f>MROUND(Q1106,100)</f>
        <v>57300</v>
      </c>
    </row>
    <row r="1107" spans="1:18" ht="14.25" customHeight="1" x14ac:dyDescent="0.15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9"/>
      <c r="Q1107" s="39"/>
    </row>
    <row r="1108" spans="1:18" ht="14.25" customHeight="1" x14ac:dyDescent="0.3">
      <c r="A1108" s="109" t="str">
        <f>PRICELIST!I162</f>
        <v>WFLX-LNR-S-LVP-1500-X</v>
      </c>
      <c r="B1108" s="87"/>
      <c r="C1108" s="87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22"/>
      <c r="Q1108" s="22"/>
      <c r="R1108" s="17"/>
    </row>
    <row r="1109" spans="1:18" ht="14.25" customHeight="1" x14ac:dyDescent="0.15">
      <c r="A1109" s="19" t="s">
        <v>57</v>
      </c>
      <c r="B1109" s="19" t="s">
        <v>59</v>
      </c>
      <c r="C1109" s="19" t="s">
        <v>62</v>
      </c>
      <c r="D1109" s="19" t="s">
        <v>64</v>
      </c>
      <c r="E1109" s="19">
        <v>1200</v>
      </c>
      <c r="F1109" s="19">
        <v>900</v>
      </c>
      <c r="G1109" s="19">
        <v>600</v>
      </c>
      <c r="H1109" s="19" t="s">
        <v>67</v>
      </c>
      <c r="I1109" s="19" t="s">
        <v>68</v>
      </c>
      <c r="J1109" s="19" t="s">
        <v>69</v>
      </c>
      <c r="K1109" s="19" t="s">
        <v>71</v>
      </c>
      <c r="L1109" s="19" t="s">
        <v>72</v>
      </c>
      <c r="M1109" s="19" t="s">
        <v>73</v>
      </c>
      <c r="N1109" s="19" t="s">
        <v>75</v>
      </c>
      <c r="O1109" s="19" t="s">
        <v>76</v>
      </c>
      <c r="P1109" s="24" t="s">
        <v>78</v>
      </c>
      <c r="Q1109" s="24" t="s">
        <v>79</v>
      </c>
      <c r="R1109" s="19" t="s">
        <v>81</v>
      </c>
    </row>
    <row r="1110" spans="1:18" ht="14.25" customHeight="1" x14ac:dyDescent="0.15">
      <c r="A1110" s="21">
        <f t="shared" ref="A1110:B1110" si="872">A1103</f>
        <v>0</v>
      </c>
      <c r="B1110" s="21">
        <f t="shared" si="872"/>
        <v>0</v>
      </c>
      <c r="C1110" s="44" t="s">
        <v>188</v>
      </c>
      <c r="D1110" s="21">
        <f t="shared" ref="D1110:H1110" si="873">D1103</f>
        <v>0</v>
      </c>
      <c r="E1110" s="23" t="str">
        <f t="shared" si="873"/>
        <v>2100</v>
      </c>
      <c r="F1110" s="23" t="str">
        <f t="shared" si="873"/>
        <v>1900</v>
      </c>
      <c r="G1110" s="23" t="str">
        <f t="shared" si="873"/>
        <v>1800</v>
      </c>
      <c r="H1110" s="23">
        <f t="shared" si="873"/>
        <v>380</v>
      </c>
      <c r="I1110" s="23" t="str">
        <f>I1089</f>
        <v>0</v>
      </c>
      <c r="J1110" s="23" t="str">
        <f t="shared" ref="J1110:Q1110" si="874">J1103</f>
        <v>1000</v>
      </c>
      <c r="K1110" s="23">
        <f t="shared" si="874"/>
        <v>375</v>
      </c>
      <c r="L1110" s="23">
        <f t="shared" si="874"/>
        <v>585</v>
      </c>
      <c r="M1110" s="23" t="str">
        <f t="shared" si="874"/>
        <v>1000</v>
      </c>
      <c r="N1110" s="23">
        <f t="shared" si="874"/>
        <v>3300</v>
      </c>
      <c r="O1110" s="23">
        <f t="shared" si="874"/>
        <v>0</v>
      </c>
      <c r="P1110" s="27">
        <f t="shared" si="874"/>
        <v>0</v>
      </c>
      <c r="Q1110" s="27">
        <f t="shared" si="874"/>
        <v>2</v>
      </c>
      <c r="R1110" s="21"/>
    </row>
    <row r="1111" spans="1:18" ht="14.25" customHeight="1" x14ac:dyDescent="0.15">
      <c r="A1111" s="19">
        <v>1</v>
      </c>
      <c r="B1111" s="19">
        <v>1.5</v>
      </c>
      <c r="C1111" s="19">
        <f>0.6+0.3</f>
        <v>0.89999999999999991</v>
      </c>
      <c r="D1111" s="19">
        <f>B1111*C1111</f>
        <v>1.3499999999999999</v>
      </c>
      <c r="E1111" s="19"/>
      <c r="F1111" s="19"/>
      <c r="G1111" s="19"/>
      <c r="H1111" s="19"/>
      <c r="I1111" s="19">
        <f>B1111*0.4</f>
        <v>0.60000000000000009</v>
      </c>
      <c r="J1111" s="19">
        <v>1</v>
      </c>
      <c r="K1111" s="19">
        <f t="shared" ref="K1111:L1111" si="875">A1111</f>
        <v>1</v>
      </c>
      <c r="L1111" s="19">
        <f t="shared" si="875"/>
        <v>1.5</v>
      </c>
      <c r="M1111" s="19">
        <f>A1111</f>
        <v>1</v>
      </c>
      <c r="N1111" s="19">
        <f>(1.2*0.4)*2</f>
        <v>0.96</v>
      </c>
      <c r="O1111" s="19"/>
      <c r="P1111" s="24"/>
      <c r="Q1111" s="24"/>
      <c r="R1111" s="19"/>
    </row>
    <row r="1112" spans="1:18" ht="14.25" customHeight="1" x14ac:dyDescent="0.2">
      <c r="A1112" s="19"/>
      <c r="B1112" s="19"/>
      <c r="C1112" s="19"/>
      <c r="D1112" s="26" t="str">
        <f>D1105</f>
        <v>10500</v>
      </c>
      <c r="E1112" s="45">
        <v>0</v>
      </c>
      <c r="F1112" s="45">
        <v>0</v>
      </c>
      <c r="G1112" s="45">
        <v>2</v>
      </c>
      <c r="H1112" s="19">
        <f>B1111*2</f>
        <v>3</v>
      </c>
      <c r="I1112" s="19"/>
      <c r="J1112" s="19"/>
      <c r="K1112" s="19"/>
      <c r="L1112" s="19"/>
      <c r="M1112" s="19"/>
      <c r="N1112" s="28"/>
      <c r="O1112" s="19"/>
      <c r="P1112" s="24"/>
      <c r="Q1112" s="24"/>
      <c r="R1112" s="19"/>
    </row>
    <row r="1113" spans="1:18" ht="14.25" customHeight="1" x14ac:dyDescent="0.2">
      <c r="A1113" s="19"/>
      <c r="B1113" s="19"/>
      <c r="C1113" s="19"/>
      <c r="D1113" s="19">
        <f>D1111*D1112</f>
        <v>14174.999999999998</v>
      </c>
      <c r="E1113" s="45">
        <f>E1112*E1110</f>
        <v>0</v>
      </c>
      <c r="F1113" s="45">
        <f t="shared" ref="F1113:H1113" si="876">F1110*F1112</f>
        <v>0</v>
      </c>
      <c r="G1113" s="45">
        <f t="shared" si="876"/>
        <v>3600</v>
      </c>
      <c r="H1113" s="19">
        <f t="shared" si="876"/>
        <v>1140</v>
      </c>
      <c r="I1113" s="19">
        <f t="shared" ref="I1113:N1113" si="877">I1110*I1111</f>
        <v>0</v>
      </c>
      <c r="J1113" s="19">
        <f t="shared" si="877"/>
        <v>1000</v>
      </c>
      <c r="K1113" s="19">
        <f t="shared" si="877"/>
        <v>375</v>
      </c>
      <c r="L1113" s="19">
        <f t="shared" si="877"/>
        <v>877.5</v>
      </c>
      <c r="M1113" s="19">
        <f t="shared" si="877"/>
        <v>1000</v>
      </c>
      <c r="N1113" s="19">
        <f t="shared" si="877"/>
        <v>3168</v>
      </c>
      <c r="O1113" s="19">
        <f>SUM(D1113:N1113)</f>
        <v>25335.5</v>
      </c>
      <c r="P1113" s="24">
        <f>O1113/A1111</f>
        <v>25335.5</v>
      </c>
      <c r="Q1113" s="24">
        <f>P1113*Q1110</f>
        <v>50671</v>
      </c>
      <c r="R1113" s="19">
        <f>MROUND(Q1113,100)</f>
        <v>50700</v>
      </c>
    </row>
    <row r="1114" spans="1:18" ht="14.25" customHeight="1" x14ac:dyDescent="0.15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9"/>
      <c r="Q1114" s="39"/>
    </row>
    <row r="1115" spans="1:18" ht="14.25" customHeight="1" x14ac:dyDescent="0.3">
      <c r="A1115" s="109" t="str">
        <f>PRICELIST!I163</f>
        <v>WFLX-LNR-S-MB-1500-F</v>
      </c>
      <c r="B1115" s="87"/>
      <c r="C1115" s="87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22"/>
      <c r="Q1115" s="22"/>
      <c r="R1115" s="17"/>
    </row>
    <row r="1116" spans="1:18" ht="14.25" customHeight="1" x14ac:dyDescent="0.15">
      <c r="A1116" s="19" t="s">
        <v>57</v>
      </c>
      <c r="B1116" s="19" t="s">
        <v>59</v>
      </c>
      <c r="C1116" s="19" t="s">
        <v>62</v>
      </c>
      <c r="D1116" s="19" t="s">
        <v>64</v>
      </c>
      <c r="E1116" s="19">
        <v>1200</v>
      </c>
      <c r="F1116" s="19">
        <v>900</v>
      </c>
      <c r="G1116" s="19">
        <v>600</v>
      </c>
      <c r="H1116" s="19" t="s">
        <v>67</v>
      </c>
      <c r="I1116" s="19" t="s">
        <v>68</v>
      </c>
      <c r="J1116" s="19" t="s">
        <v>69</v>
      </c>
      <c r="K1116" s="19" t="s">
        <v>71</v>
      </c>
      <c r="L1116" s="19" t="s">
        <v>72</v>
      </c>
      <c r="M1116" s="19" t="s">
        <v>73</v>
      </c>
      <c r="N1116" s="19" t="s">
        <v>75</v>
      </c>
      <c r="O1116" s="19" t="s">
        <v>76</v>
      </c>
      <c r="P1116" s="24" t="s">
        <v>78</v>
      </c>
      <c r="Q1116" s="24" t="s">
        <v>79</v>
      </c>
      <c r="R1116" s="19" t="s">
        <v>81</v>
      </c>
    </row>
    <row r="1117" spans="1:18" ht="14.25" customHeight="1" x14ac:dyDescent="0.15">
      <c r="A1117" s="21">
        <f t="shared" ref="A1117:B1117" si="878">A1110</f>
        <v>0</v>
      </c>
      <c r="B1117" s="21">
        <f t="shared" si="878"/>
        <v>0</v>
      </c>
      <c r="C1117" s="44" t="s">
        <v>188</v>
      </c>
      <c r="D1117" s="21">
        <f t="shared" ref="D1117:H1117" si="879">D1110</f>
        <v>0</v>
      </c>
      <c r="E1117" s="23" t="str">
        <f t="shared" si="879"/>
        <v>2100</v>
      </c>
      <c r="F1117" s="23" t="str">
        <f t="shared" si="879"/>
        <v>1900</v>
      </c>
      <c r="G1117" s="23" t="str">
        <f t="shared" si="879"/>
        <v>1800</v>
      </c>
      <c r="H1117" s="23">
        <f t="shared" si="879"/>
        <v>380</v>
      </c>
      <c r="I1117" s="23" t="str">
        <f>I1096</f>
        <v>4800</v>
      </c>
      <c r="J1117" s="23" t="str">
        <f t="shared" ref="J1117:Q1117" si="880">J1110</f>
        <v>1000</v>
      </c>
      <c r="K1117" s="23">
        <f t="shared" si="880"/>
        <v>375</v>
      </c>
      <c r="L1117" s="23">
        <f t="shared" si="880"/>
        <v>585</v>
      </c>
      <c r="M1117" s="23" t="str">
        <f t="shared" si="880"/>
        <v>1000</v>
      </c>
      <c r="N1117" s="23">
        <f t="shared" si="880"/>
        <v>3300</v>
      </c>
      <c r="O1117" s="23">
        <f t="shared" si="880"/>
        <v>0</v>
      </c>
      <c r="P1117" s="27">
        <f t="shared" si="880"/>
        <v>0</v>
      </c>
      <c r="Q1117" s="27">
        <f t="shared" si="880"/>
        <v>2</v>
      </c>
      <c r="R1117" s="21"/>
    </row>
    <row r="1118" spans="1:18" ht="14.25" customHeight="1" x14ac:dyDescent="0.15">
      <c r="A1118" s="19">
        <v>1</v>
      </c>
      <c r="B1118" s="19">
        <v>1.5</v>
      </c>
      <c r="C1118" s="19">
        <f>0.6+0.3</f>
        <v>0.89999999999999991</v>
      </c>
      <c r="D1118" s="19">
        <f>B1118*C1118</f>
        <v>1.3499999999999999</v>
      </c>
      <c r="E1118" s="19"/>
      <c r="F1118" s="19"/>
      <c r="G1118" s="19"/>
      <c r="H1118" s="19"/>
      <c r="I1118" s="19">
        <f>B1118*0.4</f>
        <v>0.60000000000000009</v>
      </c>
      <c r="J1118" s="19">
        <v>1</v>
      </c>
      <c r="K1118" s="19">
        <f t="shared" ref="K1118:L1118" si="881">A1118</f>
        <v>1</v>
      </c>
      <c r="L1118" s="19">
        <f t="shared" si="881"/>
        <v>1.5</v>
      </c>
      <c r="M1118" s="19">
        <f>A1118</f>
        <v>1</v>
      </c>
      <c r="N1118" s="19">
        <f>(1.2*0.4)*2</f>
        <v>0.96</v>
      </c>
      <c r="O1118" s="19"/>
      <c r="P1118" s="24"/>
      <c r="Q1118" s="24"/>
      <c r="R1118" s="19"/>
    </row>
    <row r="1119" spans="1:18" ht="14.25" customHeight="1" x14ac:dyDescent="0.2">
      <c r="A1119" s="19"/>
      <c r="B1119" s="19"/>
      <c r="C1119" s="19"/>
      <c r="D1119" s="26" t="str">
        <f>D993</f>
        <v>16250</v>
      </c>
      <c r="E1119" s="45">
        <v>0</v>
      </c>
      <c r="F1119" s="45">
        <v>0</v>
      </c>
      <c r="G1119" s="45">
        <v>2</v>
      </c>
      <c r="H1119" s="19">
        <f>B1118*2</f>
        <v>3</v>
      </c>
      <c r="I1119" s="19"/>
      <c r="J1119" s="19"/>
      <c r="K1119" s="19"/>
      <c r="L1119" s="19"/>
      <c r="M1119" s="19"/>
      <c r="N1119" s="28"/>
      <c r="O1119" s="19"/>
      <c r="P1119" s="24"/>
      <c r="Q1119" s="24"/>
      <c r="R1119" s="19"/>
    </row>
    <row r="1120" spans="1:18" ht="14.25" customHeight="1" x14ac:dyDescent="0.2">
      <c r="A1120" s="19"/>
      <c r="B1120" s="19"/>
      <c r="C1120" s="19"/>
      <c r="D1120" s="19">
        <f>D1118*D1119</f>
        <v>21937.499999999996</v>
      </c>
      <c r="E1120" s="45">
        <f>E1119*E1117</f>
        <v>0</v>
      </c>
      <c r="F1120" s="45">
        <f t="shared" ref="F1120:H1120" si="882">F1117*F1119</f>
        <v>0</v>
      </c>
      <c r="G1120" s="45">
        <f t="shared" si="882"/>
        <v>3600</v>
      </c>
      <c r="H1120" s="19">
        <f t="shared" si="882"/>
        <v>1140</v>
      </c>
      <c r="I1120" s="19">
        <f t="shared" ref="I1120:N1120" si="883">I1117*I1118</f>
        <v>2880.0000000000005</v>
      </c>
      <c r="J1120" s="19">
        <f t="shared" si="883"/>
        <v>1000</v>
      </c>
      <c r="K1120" s="19">
        <f t="shared" si="883"/>
        <v>375</v>
      </c>
      <c r="L1120" s="19">
        <f t="shared" si="883"/>
        <v>877.5</v>
      </c>
      <c r="M1120" s="19">
        <f t="shared" si="883"/>
        <v>1000</v>
      </c>
      <c r="N1120" s="19">
        <f t="shared" si="883"/>
        <v>3168</v>
      </c>
      <c r="O1120" s="19">
        <f>SUM(D1120:N1120)</f>
        <v>35978</v>
      </c>
      <c r="P1120" s="24">
        <f>O1120/A1118</f>
        <v>35978</v>
      </c>
      <c r="Q1120" s="24">
        <f>P1120*Q1117</f>
        <v>71956</v>
      </c>
      <c r="R1120" s="19">
        <f>MROUND(Q1120,100)</f>
        <v>72000</v>
      </c>
    </row>
    <row r="1121" spans="1:18" ht="14.25" customHeight="1" x14ac:dyDescent="0.15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9"/>
      <c r="Q1121" s="39"/>
    </row>
    <row r="1122" spans="1:18" ht="14.25" customHeight="1" x14ac:dyDescent="0.3">
      <c r="A1122" s="109" t="str">
        <f>PRICELIST!I164</f>
        <v>WFLX-LNR-S-MB-1500-G</v>
      </c>
      <c r="B1122" s="87"/>
      <c r="C1122" s="87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22"/>
      <c r="Q1122" s="22"/>
      <c r="R1122" s="17"/>
    </row>
    <row r="1123" spans="1:18" ht="14.25" customHeight="1" x14ac:dyDescent="0.15">
      <c r="A1123" s="19" t="s">
        <v>57</v>
      </c>
      <c r="B1123" s="19" t="s">
        <v>59</v>
      </c>
      <c r="C1123" s="19" t="s">
        <v>62</v>
      </c>
      <c r="D1123" s="19" t="s">
        <v>64</v>
      </c>
      <c r="E1123" s="19">
        <v>1200</v>
      </c>
      <c r="F1123" s="19">
        <v>900</v>
      </c>
      <c r="G1123" s="19">
        <v>600</v>
      </c>
      <c r="H1123" s="19" t="s">
        <v>67</v>
      </c>
      <c r="I1123" s="19" t="s">
        <v>68</v>
      </c>
      <c r="J1123" s="19" t="s">
        <v>69</v>
      </c>
      <c r="K1123" s="19" t="s">
        <v>71</v>
      </c>
      <c r="L1123" s="19" t="s">
        <v>72</v>
      </c>
      <c r="M1123" s="19" t="s">
        <v>73</v>
      </c>
      <c r="N1123" s="19" t="s">
        <v>75</v>
      </c>
      <c r="O1123" s="19" t="s">
        <v>76</v>
      </c>
      <c r="P1123" s="24" t="s">
        <v>78</v>
      </c>
      <c r="Q1123" s="24" t="s">
        <v>79</v>
      </c>
      <c r="R1123" s="19" t="s">
        <v>81</v>
      </c>
    </row>
    <row r="1124" spans="1:18" ht="14.25" customHeight="1" x14ac:dyDescent="0.15">
      <c r="A1124" s="21">
        <f t="shared" ref="A1124:B1124" si="884">A1117</f>
        <v>0</v>
      </c>
      <c r="B1124" s="21">
        <f t="shared" si="884"/>
        <v>0</v>
      </c>
      <c r="C1124" s="44" t="s">
        <v>188</v>
      </c>
      <c r="D1124" s="21">
        <f t="shared" ref="D1124:H1124" si="885">D1117</f>
        <v>0</v>
      </c>
      <c r="E1124" s="23" t="str">
        <f t="shared" si="885"/>
        <v>2100</v>
      </c>
      <c r="F1124" s="23" t="str">
        <f t="shared" si="885"/>
        <v>1900</v>
      </c>
      <c r="G1124" s="23" t="str">
        <f t="shared" si="885"/>
        <v>1800</v>
      </c>
      <c r="H1124" s="23">
        <f t="shared" si="885"/>
        <v>380</v>
      </c>
      <c r="I1124" s="23" t="str">
        <f>I1103</f>
        <v>5500</v>
      </c>
      <c r="J1124" s="23" t="str">
        <f t="shared" ref="J1124:Q1124" si="886">J1117</f>
        <v>1000</v>
      </c>
      <c r="K1124" s="23">
        <f t="shared" si="886"/>
        <v>375</v>
      </c>
      <c r="L1124" s="23">
        <f t="shared" si="886"/>
        <v>585</v>
      </c>
      <c r="M1124" s="23" t="str">
        <f t="shared" si="886"/>
        <v>1000</v>
      </c>
      <c r="N1124" s="23">
        <f t="shared" si="886"/>
        <v>3300</v>
      </c>
      <c r="O1124" s="23">
        <f t="shared" si="886"/>
        <v>0</v>
      </c>
      <c r="P1124" s="27">
        <f t="shared" si="886"/>
        <v>0</v>
      </c>
      <c r="Q1124" s="27">
        <f t="shared" si="886"/>
        <v>2</v>
      </c>
      <c r="R1124" s="21"/>
    </row>
    <row r="1125" spans="1:18" ht="14.25" customHeight="1" x14ac:dyDescent="0.15">
      <c r="A1125" s="19">
        <v>1</v>
      </c>
      <c r="B1125" s="19">
        <v>1.5</v>
      </c>
      <c r="C1125" s="19">
        <f>0.6+0.3</f>
        <v>0.89999999999999991</v>
      </c>
      <c r="D1125" s="19">
        <f>B1125*C1125</f>
        <v>1.3499999999999999</v>
      </c>
      <c r="E1125" s="19"/>
      <c r="F1125" s="19"/>
      <c r="G1125" s="19"/>
      <c r="H1125" s="19"/>
      <c r="I1125" s="19">
        <f>B1125*0.4</f>
        <v>0.60000000000000009</v>
      </c>
      <c r="J1125" s="19">
        <v>1</v>
      </c>
      <c r="K1125" s="19">
        <f t="shared" ref="K1125:L1125" si="887">A1125</f>
        <v>1</v>
      </c>
      <c r="L1125" s="19">
        <f t="shared" si="887"/>
        <v>1.5</v>
      </c>
      <c r="M1125" s="19">
        <f>A1125</f>
        <v>1</v>
      </c>
      <c r="N1125" s="19">
        <f>(1.2*0.4)*2</f>
        <v>0.96</v>
      </c>
      <c r="O1125" s="19"/>
      <c r="P1125" s="24"/>
      <c r="Q1125" s="24"/>
      <c r="R1125" s="19"/>
    </row>
    <row r="1126" spans="1:18" ht="14.25" customHeight="1" x14ac:dyDescent="0.2">
      <c r="A1126" s="19"/>
      <c r="B1126" s="19"/>
      <c r="C1126" s="19"/>
      <c r="D1126" s="26" t="str">
        <f>D1119</f>
        <v>16250</v>
      </c>
      <c r="E1126" s="45">
        <v>0</v>
      </c>
      <c r="F1126" s="45">
        <v>0</v>
      </c>
      <c r="G1126" s="45">
        <v>2</v>
      </c>
      <c r="H1126" s="19">
        <f>B1125*2</f>
        <v>3</v>
      </c>
      <c r="I1126" s="19"/>
      <c r="J1126" s="19"/>
      <c r="K1126" s="19"/>
      <c r="L1126" s="19"/>
      <c r="M1126" s="19"/>
      <c r="N1126" s="28"/>
      <c r="O1126" s="19"/>
      <c r="P1126" s="24"/>
      <c r="Q1126" s="24"/>
      <c r="R1126" s="19"/>
    </row>
    <row r="1127" spans="1:18" ht="14.25" customHeight="1" x14ac:dyDescent="0.2">
      <c r="A1127" s="19"/>
      <c r="B1127" s="19"/>
      <c r="C1127" s="19"/>
      <c r="D1127" s="19">
        <f>D1125*D1126</f>
        <v>21937.499999999996</v>
      </c>
      <c r="E1127" s="45">
        <f>E1126*E1124</f>
        <v>0</v>
      </c>
      <c r="F1127" s="45">
        <f t="shared" ref="F1127:H1127" si="888">F1124*F1126</f>
        <v>0</v>
      </c>
      <c r="G1127" s="45">
        <f t="shared" si="888"/>
        <v>3600</v>
      </c>
      <c r="H1127" s="19">
        <f t="shared" si="888"/>
        <v>1140</v>
      </c>
      <c r="I1127" s="19">
        <f t="shared" ref="I1127:N1127" si="889">I1124*I1125</f>
        <v>3300.0000000000005</v>
      </c>
      <c r="J1127" s="19">
        <f t="shared" si="889"/>
        <v>1000</v>
      </c>
      <c r="K1127" s="19">
        <f t="shared" si="889"/>
        <v>375</v>
      </c>
      <c r="L1127" s="19">
        <f t="shared" si="889"/>
        <v>877.5</v>
      </c>
      <c r="M1127" s="19">
        <f t="shared" si="889"/>
        <v>1000</v>
      </c>
      <c r="N1127" s="19">
        <f t="shared" si="889"/>
        <v>3168</v>
      </c>
      <c r="O1127" s="19">
        <f>SUM(D1127:N1127)</f>
        <v>36398</v>
      </c>
      <c r="P1127" s="24">
        <f>O1127/A1125</f>
        <v>36398</v>
      </c>
      <c r="Q1127" s="24">
        <f>P1127*Q1124</f>
        <v>72796</v>
      </c>
      <c r="R1127" s="19">
        <f>MROUND(Q1127,100)</f>
        <v>72800</v>
      </c>
    </row>
    <row r="1128" spans="1:18" ht="14.25" customHeight="1" x14ac:dyDescent="0.15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9"/>
      <c r="Q1128" s="39"/>
    </row>
    <row r="1129" spans="1:18" ht="14.25" customHeight="1" x14ac:dyDescent="0.3">
      <c r="A1129" s="109" t="str">
        <f>PRICELIST!I165</f>
        <v>WFLX-LNR-S-MB-1500-X</v>
      </c>
      <c r="B1129" s="87"/>
      <c r="C1129" s="87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22"/>
      <c r="Q1129" s="22"/>
      <c r="R1129" s="17"/>
    </row>
    <row r="1130" spans="1:18" ht="14.25" customHeight="1" x14ac:dyDescent="0.15">
      <c r="A1130" s="19" t="s">
        <v>57</v>
      </c>
      <c r="B1130" s="19" t="s">
        <v>59</v>
      </c>
      <c r="C1130" s="19" t="s">
        <v>62</v>
      </c>
      <c r="D1130" s="19" t="s">
        <v>64</v>
      </c>
      <c r="E1130" s="19">
        <v>1200</v>
      </c>
      <c r="F1130" s="19">
        <v>900</v>
      </c>
      <c r="G1130" s="19">
        <v>600</v>
      </c>
      <c r="H1130" s="19" t="s">
        <v>67</v>
      </c>
      <c r="I1130" s="19" t="s">
        <v>68</v>
      </c>
      <c r="J1130" s="19" t="s">
        <v>69</v>
      </c>
      <c r="K1130" s="19" t="s">
        <v>71</v>
      </c>
      <c r="L1130" s="19" t="s">
        <v>72</v>
      </c>
      <c r="M1130" s="19" t="s">
        <v>73</v>
      </c>
      <c r="N1130" s="19" t="s">
        <v>75</v>
      </c>
      <c r="O1130" s="19" t="s">
        <v>76</v>
      </c>
      <c r="P1130" s="24" t="s">
        <v>78</v>
      </c>
      <c r="Q1130" s="24" t="s">
        <v>79</v>
      </c>
      <c r="R1130" s="19" t="s">
        <v>81</v>
      </c>
    </row>
    <row r="1131" spans="1:18" ht="14.25" customHeight="1" x14ac:dyDescent="0.15">
      <c r="A1131" s="21">
        <f t="shared" ref="A1131:B1131" si="890">A1124</f>
        <v>0</v>
      </c>
      <c r="B1131" s="21">
        <f t="shared" si="890"/>
        <v>0</v>
      </c>
      <c r="C1131" s="44" t="s">
        <v>188</v>
      </c>
      <c r="D1131" s="21">
        <f t="shared" ref="D1131:H1131" si="891">D1124</f>
        <v>0</v>
      </c>
      <c r="E1131" s="23" t="str">
        <f t="shared" si="891"/>
        <v>2100</v>
      </c>
      <c r="F1131" s="23" t="str">
        <f t="shared" si="891"/>
        <v>1900</v>
      </c>
      <c r="G1131" s="23" t="str">
        <f t="shared" si="891"/>
        <v>1800</v>
      </c>
      <c r="H1131" s="23">
        <f t="shared" si="891"/>
        <v>380</v>
      </c>
      <c r="I1131" s="23" t="str">
        <f>I1110</f>
        <v>0</v>
      </c>
      <c r="J1131" s="23" t="str">
        <f t="shared" ref="J1131:Q1131" si="892">J1124</f>
        <v>1000</v>
      </c>
      <c r="K1131" s="23">
        <f t="shared" si="892"/>
        <v>375</v>
      </c>
      <c r="L1131" s="23">
        <f t="shared" si="892"/>
        <v>585</v>
      </c>
      <c r="M1131" s="23" t="str">
        <f t="shared" si="892"/>
        <v>1000</v>
      </c>
      <c r="N1131" s="23">
        <f t="shared" si="892"/>
        <v>3300</v>
      </c>
      <c r="O1131" s="23">
        <f t="shared" si="892"/>
        <v>0</v>
      </c>
      <c r="P1131" s="27">
        <f t="shared" si="892"/>
        <v>0</v>
      </c>
      <c r="Q1131" s="27">
        <f t="shared" si="892"/>
        <v>2</v>
      </c>
      <c r="R1131" s="21"/>
    </row>
    <row r="1132" spans="1:18" ht="14.25" customHeight="1" x14ac:dyDescent="0.15">
      <c r="A1132" s="19">
        <v>1</v>
      </c>
      <c r="B1132" s="19">
        <v>1.5</v>
      </c>
      <c r="C1132" s="19">
        <f>0.6+0.3</f>
        <v>0.89999999999999991</v>
      </c>
      <c r="D1132" s="19">
        <f>B1132*C1132</f>
        <v>1.3499999999999999</v>
      </c>
      <c r="E1132" s="19"/>
      <c r="F1132" s="19"/>
      <c r="G1132" s="19"/>
      <c r="H1132" s="19"/>
      <c r="I1132" s="19">
        <f>B1132*0.4</f>
        <v>0.60000000000000009</v>
      </c>
      <c r="J1132" s="19">
        <v>1</v>
      </c>
      <c r="K1132" s="19">
        <f t="shared" ref="K1132:L1132" si="893">A1132</f>
        <v>1</v>
      </c>
      <c r="L1132" s="19">
        <f t="shared" si="893"/>
        <v>1.5</v>
      </c>
      <c r="M1132" s="19">
        <f>A1132</f>
        <v>1</v>
      </c>
      <c r="N1132" s="19">
        <f>(1.2*0.4)*2</f>
        <v>0.96</v>
      </c>
      <c r="O1132" s="19"/>
      <c r="P1132" s="24"/>
      <c r="Q1132" s="24"/>
      <c r="R1132" s="19"/>
    </row>
    <row r="1133" spans="1:18" ht="14.25" customHeight="1" x14ac:dyDescent="0.2">
      <c r="A1133" s="19"/>
      <c r="B1133" s="19"/>
      <c r="C1133" s="19"/>
      <c r="D1133" s="26" t="str">
        <f>D1126</f>
        <v>16250</v>
      </c>
      <c r="E1133" s="45">
        <v>0</v>
      </c>
      <c r="F1133" s="45">
        <v>0</v>
      </c>
      <c r="G1133" s="45">
        <v>2</v>
      </c>
      <c r="H1133" s="19">
        <f>B1132*2</f>
        <v>3</v>
      </c>
      <c r="I1133" s="19"/>
      <c r="J1133" s="19"/>
      <c r="K1133" s="19"/>
      <c r="L1133" s="19"/>
      <c r="M1133" s="19"/>
      <c r="N1133" s="28"/>
      <c r="O1133" s="19"/>
      <c r="P1133" s="24"/>
      <c r="Q1133" s="24"/>
      <c r="R1133" s="19"/>
    </row>
    <row r="1134" spans="1:18" ht="14.25" customHeight="1" x14ac:dyDescent="0.2">
      <c r="A1134" s="19"/>
      <c r="B1134" s="19"/>
      <c r="C1134" s="19"/>
      <c r="D1134" s="19">
        <f>D1132*D1133</f>
        <v>21937.499999999996</v>
      </c>
      <c r="E1134" s="45">
        <f>E1133*E1131</f>
        <v>0</v>
      </c>
      <c r="F1134" s="45">
        <f t="shared" ref="F1134:H1134" si="894">F1131*F1133</f>
        <v>0</v>
      </c>
      <c r="G1134" s="45">
        <f t="shared" si="894"/>
        <v>3600</v>
      </c>
      <c r="H1134" s="19">
        <f t="shared" si="894"/>
        <v>1140</v>
      </c>
      <c r="I1134" s="19">
        <f t="shared" ref="I1134:N1134" si="895">I1131*I1132</f>
        <v>0</v>
      </c>
      <c r="J1134" s="19">
        <f t="shared" si="895"/>
        <v>1000</v>
      </c>
      <c r="K1134" s="19">
        <f t="shared" si="895"/>
        <v>375</v>
      </c>
      <c r="L1134" s="19">
        <f t="shared" si="895"/>
        <v>877.5</v>
      </c>
      <c r="M1134" s="19">
        <f t="shared" si="895"/>
        <v>1000</v>
      </c>
      <c r="N1134" s="19">
        <f t="shared" si="895"/>
        <v>3168</v>
      </c>
      <c r="O1134" s="19">
        <f>SUM(D1134:N1134)</f>
        <v>33098</v>
      </c>
      <c r="P1134" s="24">
        <f>O1134/A1132</f>
        <v>33098</v>
      </c>
      <c r="Q1134" s="24">
        <f>P1134*Q1131</f>
        <v>66196</v>
      </c>
      <c r="R1134" s="19">
        <f>MROUND(Q1134,100)</f>
        <v>66200</v>
      </c>
    </row>
    <row r="1135" spans="1:18" ht="14.25" customHeight="1" x14ac:dyDescent="0.2">
      <c r="A1135" s="21"/>
      <c r="B1135" s="21"/>
      <c r="C1135" s="21"/>
      <c r="D1135" s="21"/>
      <c r="E1135" s="65"/>
      <c r="F1135" s="65"/>
      <c r="G1135" s="65"/>
      <c r="H1135" s="21"/>
      <c r="I1135" s="21"/>
      <c r="J1135" s="30"/>
      <c r="K1135" s="21"/>
      <c r="L1135" s="21"/>
      <c r="M1135" s="21"/>
      <c r="N1135" s="21"/>
      <c r="O1135" s="21"/>
      <c r="P1135" s="27"/>
      <c r="Q1135" s="27"/>
      <c r="R1135" s="21"/>
    </row>
    <row r="1136" spans="1:18" ht="14.25" customHeight="1" x14ac:dyDescent="0.3">
      <c r="A1136" s="109" t="str">
        <f>PRICELIST!I166</f>
        <v>WFLX-LSHP-SH-PB-1500-F</v>
      </c>
      <c r="B1136" s="87"/>
      <c r="C1136" s="87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22"/>
      <c r="Q1136" s="22"/>
      <c r="R1136" s="17"/>
    </row>
    <row r="1137" spans="1:18" ht="14.25" customHeight="1" x14ac:dyDescent="0.15">
      <c r="A1137" s="19" t="s">
        <v>57</v>
      </c>
      <c r="B1137" s="19" t="s">
        <v>59</v>
      </c>
      <c r="C1137" s="19" t="s">
        <v>62</v>
      </c>
      <c r="D1137" s="19" t="s">
        <v>64</v>
      </c>
      <c r="E1137" s="19">
        <v>1200</v>
      </c>
      <c r="F1137" s="67" t="s">
        <v>248</v>
      </c>
      <c r="G1137" s="19">
        <v>600</v>
      </c>
      <c r="H1137" s="19" t="s">
        <v>67</v>
      </c>
      <c r="I1137" s="19" t="s">
        <v>68</v>
      </c>
      <c r="J1137" s="19" t="s">
        <v>69</v>
      </c>
      <c r="K1137" s="19" t="s">
        <v>71</v>
      </c>
      <c r="L1137" s="19" t="s">
        <v>72</v>
      </c>
      <c r="M1137" s="19" t="s">
        <v>73</v>
      </c>
      <c r="N1137" s="19" t="s">
        <v>75</v>
      </c>
      <c r="O1137" s="19" t="s">
        <v>76</v>
      </c>
      <c r="P1137" s="24" t="s">
        <v>78</v>
      </c>
      <c r="Q1137" s="24" t="s">
        <v>79</v>
      </c>
      <c r="R1137" s="19" t="s">
        <v>81</v>
      </c>
    </row>
    <row r="1138" spans="1:18" ht="14.25" customHeight="1" x14ac:dyDescent="0.15">
      <c r="A1138" s="21"/>
      <c r="B1138" s="21"/>
      <c r="C1138" s="21"/>
      <c r="D1138" s="21">
        <f t="shared" ref="D1138:E1138" si="896">D1131</f>
        <v>0</v>
      </c>
      <c r="E1138" s="23" t="str">
        <f t="shared" si="896"/>
        <v>2100</v>
      </c>
      <c r="F1138" s="68">
        <v>800</v>
      </c>
      <c r="G1138" s="23" t="str">
        <f>G1131</f>
        <v>1800</v>
      </c>
      <c r="H1138" s="21">
        <v>380</v>
      </c>
      <c r="I1138" s="23" t="str">
        <f>I1117</f>
        <v>4800</v>
      </c>
      <c r="J1138" s="23" t="str">
        <f>J1131</f>
        <v>1000</v>
      </c>
      <c r="K1138" s="21">
        <v>375</v>
      </c>
      <c r="L1138" s="21">
        <v>585</v>
      </c>
      <c r="M1138" s="23" t="str">
        <f>M1131</f>
        <v>1000</v>
      </c>
      <c r="N1138" s="21">
        <v>3300</v>
      </c>
      <c r="O1138" s="21"/>
      <c r="P1138" s="27"/>
      <c r="Q1138" s="27">
        <f>Q1131</f>
        <v>2</v>
      </c>
      <c r="R1138" s="21"/>
    </row>
    <row r="1139" spans="1:18" ht="14.25" customHeight="1" x14ac:dyDescent="0.15">
      <c r="A1139" s="19">
        <v>2</v>
      </c>
      <c r="B1139" s="19">
        <v>1.5</v>
      </c>
      <c r="C1139" s="19">
        <v>1.2</v>
      </c>
      <c r="D1139" s="19">
        <f>B1139*C1139</f>
        <v>1.7999999999999998</v>
      </c>
      <c r="E1139" s="19"/>
      <c r="F1139" s="67">
        <v>6</v>
      </c>
      <c r="G1139" s="19"/>
      <c r="H1139" s="19"/>
      <c r="I1139" s="19">
        <f>B1139*0.4</f>
        <v>0.60000000000000009</v>
      </c>
      <c r="J1139" s="19">
        <v>1</v>
      </c>
      <c r="K1139" s="19">
        <f t="shared" ref="K1139:L1139" si="897">A1139</f>
        <v>2</v>
      </c>
      <c r="L1139" s="19">
        <f t="shared" si="897"/>
        <v>1.5</v>
      </c>
      <c r="M1139" s="19">
        <f>A1139</f>
        <v>2</v>
      </c>
      <c r="N1139" s="19">
        <f>(1.2*0.4)*2</f>
        <v>0.96</v>
      </c>
      <c r="O1139" s="19"/>
      <c r="P1139" s="24"/>
      <c r="Q1139" s="24"/>
      <c r="R1139" s="19"/>
    </row>
    <row r="1140" spans="1:18" ht="14.25" customHeight="1" x14ac:dyDescent="0.15">
      <c r="A1140" s="19"/>
      <c r="B1140" s="19"/>
      <c r="C1140" s="19"/>
      <c r="D1140" s="26" t="str">
        <f>D1014</f>
        <v>2200</v>
      </c>
      <c r="E1140" s="19">
        <v>1</v>
      </c>
      <c r="F1140" s="67">
        <v>2.5</v>
      </c>
      <c r="G1140" s="19">
        <v>0</v>
      </c>
      <c r="H1140" s="19">
        <f>B1139*2</f>
        <v>3</v>
      </c>
      <c r="I1140" s="19"/>
      <c r="J1140" s="19"/>
      <c r="K1140" s="19"/>
      <c r="L1140" s="19"/>
      <c r="M1140" s="19"/>
      <c r="N1140" s="28"/>
      <c r="O1140" s="19"/>
      <c r="P1140" s="24"/>
      <c r="Q1140" s="24"/>
      <c r="R1140" s="19"/>
    </row>
    <row r="1141" spans="1:18" ht="14.25" customHeight="1" x14ac:dyDescent="0.15">
      <c r="A1141" s="19"/>
      <c r="B1141" s="19"/>
      <c r="C1141" s="19"/>
      <c r="D1141" s="19">
        <f>D1139*D1140</f>
        <v>3959.9999999999995</v>
      </c>
      <c r="E1141" s="19">
        <f>E1140*E1138</f>
        <v>2100</v>
      </c>
      <c r="F1141" s="67">
        <f>F1140*F1139*F1138</f>
        <v>12000</v>
      </c>
      <c r="G1141" s="19">
        <f t="shared" ref="G1141:H1141" si="898">G1138*G1140</f>
        <v>0</v>
      </c>
      <c r="H1141" s="19">
        <f t="shared" si="898"/>
        <v>1140</v>
      </c>
      <c r="I1141" s="19">
        <f t="shared" ref="I1141:N1141" si="899">I1138*I1139</f>
        <v>2880.0000000000005</v>
      </c>
      <c r="J1141" s="19">
        <f t="shared" si="899"/>
        <v>1000</v>
      </c>
      <c r="K1141" s="19">
        <f t="shared" si="899"/>
        <v>750</v>
      </c>
      <c r="L1141" s="19">
        <f t="shared" si="899"/>
        <v>877.5</v>
      </c>
      <c r="M1141" s="19">
        <f t="shared" si="899"/>
        <v>2000</v>
      </c>
      <c r="N1141" s="19">
        <f t="shared" si="899"/>
        <v>3168</v>
      </c>
      <c r="O1141" s="19">
        <f>SUM(D1141:N1141)</f>
        <v>29875.5</v>
      </c>
      <c r="P1141" s="24">
        <f>O1141/A1139</f>
        <v>14937.75</v>
      </c>
      <c r="Q1141" s="24">
        <f>P1141*Q1138</f>
        <v>29875.5</v>
      </c>
      <c r="R1141" s="19">
        <f>MROUND(Q1141,100)</f>
        <v>29900</v>
      </c>
    </row>
    <row r="1142" spans="1:18" ht="14.25" customHeight="1" x14ac:dyDescent="0.15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9"/>
      <c r="Q1142" s="39"/>
    </row>
    <row r="1143" spans="1:18" ht="14.25" customHeight="1" x14ac:dyDescent="0.3">
      <c r="A1143" s="109" t="str">
        <f>PRICELIST!I181</f>
        <v>WFLX-LSHP-SH-PB-1500-G</v>
      </c>
      <c r="B1143" s="87"/>
      <c r="C1143" s="87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22"/>
      <c r="Q1143" s="22"/>
      <c r="R1143" s="17"/>
    </row>
    <row r="1144" spans="1:18" ht="14.25" customHeight="1" x14ac:dyDescent="0.15">
      <c r="A1144" s="19" t="s">
        <v>57</v>
      </c>
      <c r="B1144" s="19" t="s">
        <v>59</v>
      </c>
      <c r="C1144" s="19" t="s">
        <v>62</v>
      </c>
      <c r="D1144" s="19" t="s">
        <v>64</v>
      </c>
      <c r="E1144" s="19">
        <v>1200</v>
      </c>
      <c r="F1144" s="67" t="s">
        <v>248</v>
      </c>
      <c r="G1144" s="19">
        <v>600</v>
      </c>
      <c r="H1144" s="19" t="s">
        <v>67</v>
      </c>
      <c r="I1144" s="19" t="s">
        <v>68</v>
      </c>
      <c r="J1144" s="19" t="s">
        <v>69</v>
      </c>
      <c r="K1144" s="19" t="s">
        <v>71</v>
      </c>
      <c r="L1144" s="19" t="s">
        <v>72</v>
      </c>
      <c r="M1144" s="19" t="s">
        <v>73</v>
      </c>
      <c r="N1144" s="19" t="s">
        <v>75</v>
      </c>
      <c r="O1144" s="19" t="s">
        <v>76</v>
      </c>
      <c r="P1144" s="24" t="s">
        <v>78</v>
      </c>
      <c r="Q1144" s="24" t="s">
        <v>79</v>
      </c>
      <c r="R1144" s="19" t="s">
        <v>81</v>
      </c>
    </row>
    <row r="1145" spans="1:18" ht="14.25" customHeight="1" x14ac:dyDescent="0.15">
      <c r="A1145" s="21"/>
      <c r="B1145" s="21"/>
      <c r="C1145" s="21"/>
      <c r="D1145" s="21">
        <f t="shared" ref="D1145:G1145" si="900">D1138</f>
        <v>0</v>
      </c>
      <c r="E1145" s="23" t="str">
        <f t="shared" si="900"/>
        <v>2100</v>
      </c>
      <c r="F1145" s="68">
        <f t="shared" si="900"/>
        <v>800</v>
      </c>
      <c r="G1145" s="23" t="str">
        <f t="shared" si="900"/>
        <v>1800</v>
      </c>
      <c r="H1145" s="21">
        <v>380</v>
      </c>
      <c r="I1145" s="23" t="str">
        <f>I1124</f>
        <v>5500</v>
      </c>
      <c r="J1145" s="23" t="str">
        <f>J1138</f>
        <v>1000</v>
      </c>
      <c r="K1145" s="21">
        <v>375</v>
      </c>
      <c r="L1145" s="21">
        <v>585</v>
      </c>
      <c r="M1145" s="23" t="str">
        <f>M1138</f>
        <v>1000</v>
      </c>
      <c r="N1145" s="21">
        <v>3300</v>
      </c>
      <c r="O1145" s="21"/>
      <c r="P1145" s="27"/>
      <c r="Q1145" s="27">
        <f>Q1138</f>
        <v>2</v>
      </c>
      <c r="R1145" s="21"/>
    </row>
    <row r="1146" spans="1:18" ht="14.25" customHeight="1" x14ac:dyDescent="0.15">
      <c r="A1146" s="19">
        <v>2</v>
      </c>
      <c r="B1146" s="19">
        <v>1.5</v>
      </c>
      <c r="C1146" s="19">
        <v>1.2</v>
      </c>
      <c r="D1146" s="19">
        <f>B1146*C1146</f>
        <v>1.7999999999999998</v>
      </c>
      <c r="E1146" s="19"/>
      <c r="F1146" s="67">
        <f t="shared" ref="F1146:F1147" si="901">F1139</f>
        <v>6</v>
      </c>
      <c r="G1146" s="19"/>
      <c r="H1146" s="19"/>
      <c r="I1146" s="19">
        <f>B1146*0.4</f>
        <v>0.60000000000000009</v>
      </c>
      <c r="J1146" s="19">
        <v>1</v>
      </c>
      <c r="K1146" s="19">
        <f t="shared" ref="K1146:L1146" si="902">A1146</f>
        <v>2</v>
      </c>
      <c r="L1146" s="19">
        <f t="shared" si="902"/>
        <v>1.5</v>
      </c>
      <c r="M1146" s="19">
        <f>A1146</f>
        <v>2</v>
      </c>
      <c r="N1146" s="19">
        <f>(1.2*0.4)*2</f>
        <v>0.96</v>
      </c>
      <c r="O1146" s="19"/>
      <c r="P1146" s="24"/>
      <c r="Q1146" s="24"/>
      <c r="R1146" s="19"/>
    </row>
    <row r="1147" spans="1:18" ht="14.25" customHeight="1" x14ac:dyDescent="0.15">
      <c r="A1147" s="19"/>
      <c r="B1147" s="19"/>
      <c r="C1147" s="19"/>
      <c r="D1147" s="26" t="str">
        <f>D1021</f>
        <v>2200</v>
      </c>
      <c r="E1147" s="19">
        <v>1</v>
      </c>
      <c r="F1147" s="67">
        <f t="shared" si="901"/>
        <v>2.5</v>
      </c>
      <c r="G1147" s="19">
        <v>0</v>
      </c>
      <c r="H1147" s="19">
        <f>B1146*2</f>
        <v>3</v>
      </c>
      <c r="I1147" s="19"/>
      <c r="J1147" s="19"/>
      <c r="K1147" s="19"/>
      <c r="L1147" s="19"/>
      <c r="M1147" s="19"/>
      <c r="N1147" s="28"/>
      <c r="O1147" s="19"/>
      <c r="P1147" s="24"/>
      <c r="Q1147" s="24"/>
      <c r="R1147" s="19"/>
    </row>
    <row r="1148" spans="1:18" ht="14.25" customHeight="1" x14ac:dyDescent="0.15">
      <c r="A1148" s="19"/>
      <c r="B1148" s="19"/>
      <c r="C1148" s="19"/>
      <c r="D1148" s="19">
        <f>D1146*D1147</f>
        <v>3959.9999999999995</v>
      </c>
      <c r="E1148" s="19">
        <f>E1147*E1145</f>
        <v>2100</v>
      </c>
      <c r="F1148" s="67">
        <f>F1147*F1146*F1145</f>
        <v>12000</v>
      </c>
      <c r="G1148" s="19">
        <f t="shared" ref="G1148:H1148" si="903">G1145*G1147</f>
        <v>0</v>
      </c>
      <c r="H1148" s="19">
        <f t="shared" si="903"/>
        <v>1140</v>
      </c>
      <c r="I1148" s="19">
        <f t="shared" ref="I1148:N1148" si="904">I1145*I1146</f>
        <v>3300.0000000000005</v>
      </c>
      <c r="J1148" s="19">
        <f t="shared" si="904"/>
        <v>1000</v>
      </c>
      <c r="K1148" s="19">
        <f t="shared" si="904"/>
        <v>750</v>
      </c>
      <c r="L1148" s="19">
        <f t="shared" si="904"/>
        <v>877.5</v>
      </c>
      <c r="M1148" s="19">
        <f t="shared" si="904"/>
        <v>2000</v>
      </c>
      <c r="N1148" s="19">
        <f t="shared" si="904"/>
        <v>3168</v>
      </c>
      <c r="O1148" s="19">
        <f>SUM(D1148:N1148)</f>
        <v>30295.5</v>
      </c>
      <c r="P1148" s="24">
        <f>O1148/A1146</f>
        <v>15147.75</v>
      </c>
      <c r="Q1148" s="24">
        <f>P1148*Q1145</f>
        <v>30295.5</v>
      </c>
      <c r="R1148" s="19">
        <f>MROUND(Q1148,100)</f>
        <v>30300</v>
      </c>
    </row>
    <row r="1149" spans="1:18" ht="14.25" customHeight="1" x14ac:dyDescent="0.15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9"/>
      <c r="Q1149" s="27">
        <f>Q1142</f>
        <v>0</v>
      </c>
    </row>
    <row r="1150" spans="1:18" ht="14.25" customHeight="1" x14ac:dyDescent="0.3">
      <c r="A1150" s="109" t="str">
        <f>PRICELIST!I182</f>
        <v>WFLX-LSHP-SH-PB-1500-X</v>
      </c>
      <c r="B1150" s="87"/>
      <c r="C1150" s="87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22"/>
      <c r="Q1150" s="22"/>
      <c r="R1150" s="17"/>
    </row>
    <row r="1151" spans="1:18" ht="14.25" customHeight="1" x14ac:dyDescent="0.15">
      <c r="A1151" s="19" t="s">
        <v>57</v>
      </c>
      <c r="B1151" s="19" t="s">
        <v>59</v>
      </c>
      <c r="C1151" s="19" t="s">
        <v>62</v>
      </c>
      <c r="D1151" s="19" t="s">
        <v>64</v>
      </c>
      <c r="E1151" s="19">
        <v>1200</v>
      </c>
      <c r="F1151" s="67" t="s">
        <v>248</v>
      </c>
      <c r="G1151" s="19">
        <v>600</v>
      </c>
      <c r="H1151" s="19" t="s">
        <v>67</v>
      </c>
      <c r="I1151" s="19" t="s">
        <v>68</v>
      </c>
      <c r="J1151" s="19" t="s">
        <v>69</v>
      </c>
      <c r="K1151" s="19" t="s">
        <v>71</v>
      </c>
      <c r="L1151" s="19" t="s">
        <v>72</v>
      </c>
      <c r="M1151" s="19" t="s">
        <v>73</v>
      </c>
      <c r="N1151" s="19" t="s">
        <v>75</v>
      </c>
      <c r="O1151" s="19" t="s">
        <v>76</v>
      </c>
      <c r="P1151" s="24" t="s">
        <v>78</v>
      </c>
      <c r="Q1151" s="24" t="s">
        <v>79</v>
      </c>
      <c r="R1151" s="19" t="s">
        <v>81</v>
      </c>
    </row>
    <row r="1152" spans="1:18" ht="14.25" customHeight="1" x14ac:dyDescent="0.15">
      <c r="A1152" s="21"/>
      <c r="B1152" s="21"/>
      <c r="C1152" s="21"/>
      <c r="D1152" s="21">
        <f t="shared" ref="D1152:E1152" si="905">D1145</f>
        <v>0</v>
      </c>
      <c r="E1152" s="23" t="str">
        <f t="shared" si="905"/>
        <v>2100</v>
      </c>
      <c r="F1152" s="68">
        <f t="shared" ref="F1152:F1154" si="906">F1138</f>
        <v>800</v>
      </c>
      <c r="G1152" s="23" t="str">
        <f>G1145</f>
        <v>1800</v>
      </c>
      <c r="H1152" s="21">
        <v>380</v>
      </c>
      <c r="I1152" s="23" t="str">
        <f>I1131</f>
        <v>0</v>
      </c>
      <c r="J1152" s="23" t="str">
        <f>J1145</f>
        <v>1000</v>
      </c>
      <c r="K1152" s="21">
        <v>375</v>
      </c>
      <c r="L1152" s="21">
        <v>585</v>
      </c>
      <c r="M1152" s="23" t="str">
        <f>M1145</f>
        <v>1000</v>
      </c>
      <c r="N1152" s="21">
        <v>3300</v>
      </c>
      <c r="O1152" s="21"/>
      <c r="P1152" s="27"/>
      <c r="Q1152" s="27">
        <f>Q1145</f>
        <v>2</v>
      </c>
      <c r="R1152" s="21"/>
    </row>
    <row r="1153" spans="1:18" ht="14.25" customHeight="1" x14ac:dyDescent="0.15">
      <c r="A1153" s="19">
        <v>2</v>
      </c>
      <c r="B1153" s="19">
        <v>1.5</v>
      </c>
      <c r="C1153" s="19">
        <v>1.2</v>
      </c>
      <c r="D1153" s="19">
        <f>B1153*C1153</f>
        <v>1.7999999999999998</v>
      </c>
      <c r="E1153" s="19"/>
      <c r="F1153" s="67">
        <f t="shared" si="906"/>
        <v>6</v>
      </c>
      <c r="G1153" s="19"/>
      <c r="H1153" s="19"/>
      <c r="I1153" s="19">
        <f>B1153*0.4</f>
        <v>0.60000000000000009</v>
      </c>
      <c r="J1153" s="19">
        <v>1</v>
      </c>
      <c r="K1153" s="19">
        <f t="shared" ref="K1153:L1153" si="907">A1153</f>
        <v>2</v>
      </c>
      <c r="L1153" s="19">
        <f t="shared" si="907"/>
        <v>1.5</v>
      </c>
      <c r="M1153" s="19">
        <f>A1153</f>
        <v>2</v>
      </c>
      <c r="N1153" s="19">
        <f>(1.2*0.4)*2</f>
        <v>0.96</v>
      </c>
      <c r="O1153" s="19"/>
      <c r="P1153" s="24"/>
      <c r="Q1153" s="24"/>
      <c r="R1153" s="19"/>
    </row>
    <row r="1154" spans="1:18" ht="14.25" customHeight="1" x14ac:dyDescent="0.15">
      <c r="A1154" s="19"/>
      <c r="B1154" s="19"/>
      <c r="C1154" s="19"/>
      <c r="D1154" s="26" t="str">
        <f>D1028</f>
        <v>2200</v>
      </c>
      <c r="E1154" s="19">
        <v>1</v>
      </c>
      <c r="F1154" s="67">
        <f t="shared" si="906"/>
        <v>2.5</v>
      </c>
      <c r="G1154" s="19">
        <v>0</v>
      </c>
      <c r="H1154" s="19">
        <f>B1153*2</f>
        <v>3</v>
      </c>
      <c r="I1154" s="19"/>
      <c r="J1154" s="19"/>
      <c r="K1154" s="19"/>
      <c r="L1154" s="19"/>
      <c r="M1154" s="19"/>
      <c r="N1154" s="28"/>
      <c r="O1154" s="19"/>
      <c r="P1154" s="24"/>
      <c r="Q1154" s="24"/>
      <c r="R1154" s="19"/>
    </row>
    <row r="1155" spans="1:18" ht="14.25" customHeight="1" x14ac:dyDescent="0.15">
      <c r="A1155" s="19"/>
      <c r="B1155" s="19"/>
      <c r="C1155" s="19"/>
      <c r="D1155" s="19">
        <f>D1153*D1154</f>
        <v>3959.9999999999995</v>
      </c>
      <c r="E1155" s="19">
        <f>E1154*E1152</f>
        <v>2100</v>
      </c>
      <c r="F1155" s="67">
        <f>F1154*F1153*F1152</f>
        <v>12000</v>
      </c>
      <c r="G1155" s="19">
        <f t="shared" ref="G1155:H1155" si="908">G1152*G1154</f>
        <v>0</v>
      </c>
      <c r="H1155" s="19">
        <f t="shared" si="908"/>
        <v>1140</v>
      </c>
      <c r="I1155" s="19">
        <f t="shared" ref="I1155:N1155" si="909">I1152*I1153</f>
        <v>0</v>
      </c>
      <c r="J1155" s="19">
        <f t="shared" si="909"/>
        <v>1000</v>
      </c>
      <c r="K1155" s="19">
        <f t="shared" si="909"/>
        <v>750</v>
      </c>
      <c r="L1155" s="19">
        <f t="shared" si="909"/>
        <v>877.5</v>
      </c>
      <c r="M1155" s="19">
        <f t="shared" si="909"/>
        <v>2000</v>
      </c>
      <c r="N1155" s="19">
        <f t="shared" si="909"/>
        <v>3168</v>
      </c>
      <c r="O1155" s="19">
        <f>SUM(D1155:N1155)</f>
        <v>26995.5</v>
      </c>
      <c r="P1155" s="24">
        <f>O1155/A1153</f>
        <v>13497.75</v>
      </c>
      <c r="Q1155" s="24">
        <f>P1155*Q1152</f>
        <v>26995.5</v>
      </c>
      <c r="R1155" s="19">
        <f>MROUND(Q1155,100)</f>
        <v>27000</v>
      </c>
    </row>
    <row r="1156" spans="1:18" ht="14.25" customHeight="1" x14ac:dyDescent="0.15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9"/>
      <c r="Q1156" s="39"/>
    </row>
    <row r="1157" spans="1:18" ht="14.25" customHeight="1" x14ac:dyDescent="0.3">
      <c r="A1157" s="109">
        <f>PRICELIST!I183</f>
        <v>0</v>
      </c>
      <c r="B1157" s="87"/>
      <c r="C1157" s="87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22"/>
      <c r="Q1157" s="22"/>
      <c r="R1157" s="17"/>
    </row>
    <row r="1158" spans="1:18" ht="14.25" customHeight="1" x14ac:dyDescent="0.15">
      <c r="A1158" s="19" t="s">
        <v>57</v>
      </c>
      <c r="B1158" s="19" t="s">
        <v>59</v>
      </c>
      <c r="C1158" s="19" t="s">
        <v>62</v>
      </c>
      <c r="D1158" s="19" t="s">
        <v>64</v>
      </c>
      <c r="E1158" s="19">
        <v>1200</v>
      </c>
      <c r="F1158" s="67" t="s">
        <v>248</v>
      </c>
      <c r="G1158" s="19">
        <v>600</v>
      </c>
      <c r="H1158" s="19" t="s">
        <v>67</v>
      </c>
      <c r="I1158" s="19" t="s">
        <v>68</v>
      </c>
      <c r="J1158" s="19" t="s">
        <v>69</v>
      </c>
      <c r="K1158" s="19" t="s">
        <v>71</v>
      </c>
      <c r="L1158" s="19" t="s">
        <v>72</v>
      </c>
      <c r="M1158" s="19" t="s">
        <v>73</v>
      </c>
      <c r="N1158" s="19" t="s">
        <v>75</v>
      </c>
      <c r="O1158" s="19" t="s">
        <v>76</v>
      </c>
      <c r="P1158" s="24" t="s">
        <v>78</v>
      </c>
      <c r="Q1158" s="24" t="s">
        <v>79</v>
      </c>
      <c r="R1158" s="19" t="s">
        <v>81</v>
      </c>
    </row>
    <row r="1159" spans="1:18" ht="14.25" customHeight="1" x14ac:dyDescent="0.15">
      <c r="A1159" s="21"/>
      <c r="B1159" s="21"/>
      <c r="C1159" s="21"/>
      <c r="D1159" s="21">
        <f t="shared" ref="D1159:E1159" si="910">D1152</f>
        <v>0</v>
      </c>
      <c r="E1159" s="23" t="str">
        <f t="shared" si="910"/>
        <v>2100</v>
      </c>
      <c r="F1159" s="68">
        <v>800</v>
      </c>
      <c r="G1159" s="23" t="str">
        <f>G1152</f>
        <v>1800</v>
      </c>
      <c r="H1159" s="21">
        <v>380</v>
      </c>
      <c r="I1159" s="23" t="str">
        <f>I1138</f>
        <v>4800</v>
      </c>
      <c r="J1159" s="23" t="str">
        <f>J1152</f>
        <v>1000</v>
      </c>
      <c r="K1159" s="21">
        <v>375</v>
      </c>
      <c r="L1159" s="21">
        <v>585</v>
      </c>
      <c r="M1159" s="23" t="str">
        <f>M1152</f>
        <v>1000</v>
      </c>
      <c r="N1159" s="21">
        <v>3300</v>
      </c>
      <c r="O1159" s="21"/>
      <c r="P1159" s="27"/>
      <c r="Q1159" s="27">
        <f>Q1152</f>
        <v>2</v>
      </c>
      <c r="R1159" s="21"/>
    </row>
    <row r="1160" spans="1:18" ht="14.25" customHeight="1" x14ac:dyDescent="0.15">
      <c r="A1160" s="19">
        <v>2</v>
      </c>
      <c r="B1160" s="19">
        <v>1.5</v>
      </c>
      <c r="C1160" s="19">
        <v>1.2</v>
      </c>
      <c r="D1160" s="19">
        <f>B1160*C1160</f>
        <v>1.7999999999999998</v>
      </c>
      <c r="E1160" s="19"/>
      <c r="F1160" s="67">
        <v>6</v>
      </c>
      <c r="G1160" s="19"/>
      <c r="H1160" s="19"/>
      <c r="I1160" s="19">
        <f>B1160*0.4</f>
        <v>0.60000000000000009</v>
      </c>
      <c r="J1160" s="19">
        <v>1</v>
      </c>
      <c r="K1160" s="19">
        <f t="shared" ref="K1160:L1160" si="911">A1160</f>
        <v>2</v>
      </c>
      <c r="L1160" s="19">
        <f t="shared" si="911"/>
        <v>1.5</v>
      </c>
      <c r="M1160" s="19">
        <f>A1160</f>
        <v>2</v>
      </c>
      <c r="N1160" s="19">
        <f>(1.2*0.4)*2</f>
        <v>0.96</v>
      </c>
      <c r="O1160" s="19"/>
      <c r="P1160" s="24"/>
      <c r="Q1160" s="24"/>
      <c r="R1160" s="19"/>
    </row>
    <row r="1161" spans="1:18" ht="14.25" customHeight="1" x14ac:dyDescent="0.15">
      <c r="A1161" s="19"/>
      <c r="B1161" s="19"/>
      <c r="C1161" s="19"/>
      <c r="D1161" s="26" t="str">
        <f>D1035</f>
        <v>3000</v>
      </c>
      <c r="E1161" s="19">
        <v>1</v>
      </c>
      <c r="F1161" s="67">
        <v>2.5</v>
      </c>
      <c r="G1161" s="19">
        <v>0</v>
      </c>
      <c r="H1161" s="19">
        <f>B1160*2</f>
        <v>3</v>
      </c>
      <c r="I1161" s="19"/>
      <c r="J1161" s="19"/>
      <c r="K1161" s="19"/>
      <c r="L1161" s="19"/>
      <c r="M1161" s="19"/>
      <c r="N1161" s="28"/>
      <c r="O1161" s="19"/>
      <c r="P1161" s="24"/>
      <c r="Q1161" s="24"/>
      <c r="R1161" s="19"/>
    </row>
    <row r="1162" spans="1:18" ht="14.25" customHeight="1" x14ac:dyDescent="0.15">
      <c r="A1162" s="19"/>
      <c r="B1162" s="19"/>
      <c r="C1162" s="19"/>
      <c r="D1162" s="19">
        <f>D1160*D1161</f>
        <v>5399.9999999999991</v>
      </c>
      <c r="E1162" s="19">
        <f>E1161*E1159</f>
        <v>2100</v>
      </c>
      <c r="F1162" s="67">
        <f>F1161*F1160*F1159</f>
        <v>12000</v>
      </c>
      <c r="G1162" s="19">
        <f t="shared" ref="G1162:H1162" si="912">G1159*G1161</f>
        <v>0</v>
      </c>
      <c r="H1162" s="19">
        <f t="shared" si="912"/>
        <v>1140</v>
      </c>
      <c r="I1162" s="19">
        <f t="shared" ref="I1162:N1162" si="913">I1159*I1160</f>
        <v>2880.0000000000005</v>
      </c>
      <c r="J1162" s="19">
        <f t="shared" si="913"/>
        <v>1000</v>
      </c>
      <c r="K1162" s="19">
        <f t="shared" si="913"/>
        <v>750</v>
      </c>
      <c r="L1162" s="19">
        <f t="shared" si="913"/>
        <v>877.5</v>
      </c>
      <c r="M1162" s="19">
        <f t="shared" si="913"/>
        <v>2000</v>
      </c>
      <c r="N1162" s="19">
        <f t="shared" si="913"/>
        <v>3168</v>
      </c>
      <c r="O1162" s="19">
        <f>SUM(D1162:N1162)</f>
        <v>31315.5</v>
      </c>
      <c r="P1162" s="24">
        <f>O1162/A1160</f>
        <v>15657.75</v>
      </c>
      <c r="Q1162" s="24">
        <f>P1162*Q1159</f>
        <v>31315.5</v>
      </c>
      <c r="R1162" s="19">
        <f>MROUND(Q1162,100)</f>
        <v>31300</v>
      </c>
    </row>
    <row r="1163" spans="1:18" ht="14.25" customHeight="1" x14ac:dyDescent="0.15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9"/>
      <c r="Q1163" s="39"/>
    </row>
    <row r="1164" spans="1:18" ht="14.25" customHeight="1" x14ac:dyDescent="0.3">
      <c r="A1164" s="109">
        <f>PRICELIST!I184</f>
        <v>0</v>
      </c>
      <c r="B1164" s="87"/>
      <c r="C1164" s="87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22"/>
      <c r="Q1164" s="22"/>
      <c r="R1164" s="17"/>
    </row>
    <row r="1165" spans="1:18" ht="14.25" customHeight="1" x14ac:dyDescent="0.15">
      <c r="A1165" s="19" t="s">
        <v>57</v>
      </c>
      <c r="B1165" s="19" t="s">
        <v>59</v>
      </c>
      <c r="C1165" s="19" t="s">
        <v>62</v>
      </c>
      <c r="D1165" s="19" t="s">
        <v>64</v>
      </c>
      <c r="E1165" s="19">
        <v>1200</v>
      </c>
      <c r="F1165" s="67" t="s">
        <v>248</v>
      </c>
      <c r="G1165" s="19">
        <v>600</v>
      </c>
      <c r="H1165" s="19" t="s">
        <v>67</v>
      </c>
      <c r="I1165" s="19" t="s">
        <v>68</v>
      </c>
      <c r="J1165" s="19" t="s">
        <v>69</v>
      </c>
      <c r="K1165" s="19" t="s">
        <v>71</v>
      </c>
      <c r="L1165" s="19" t="s">
        <v>72</v>
      </c>
      <c r="M1165" s="19" t="s">
        <v>73</v>
      </c>
      <c r="N1165" s="19" t="s">
        <v>75</v>
      </c>
      <c r="O1165" s="19" t="s">
        <v>76</v>
      </c>
      <c r="P1165" s="24" t="s">
        <v>78</v>
      </c>
      <c r="Q1165" s="24" t="s">
        <v>79</v>
      </c>
      <c r="R1165" s="19" t="s">
        <v>81</v>
      </c>
    </row>
    <row r="1166" spans="1:18" ht="14.25" customHeight="1" x14ac:dyDescent="0.15">
      <c r="A1166" s="21"/>
      <c r="B1166" s="21"/>
      <c r="C1166" s="21"/>
      <c r="D1166" s="21">
        <f t="shared" ref="D1166:G1166" si="914">D1159</f>
        <v>0</v>
      </c>
      <c r="E1166" s="23" t="str">
        <f t="shared" si="914"/>
        <v>2100</v>
      </c>
      <c r="F1166" s="68">
        <f t="shared" si="914"/>
        <v>800</v>
      </c>
      <c r="G1166" s="23" t="str">
        <f t="shared" si="914"/>
        <v>1800</v>
      </c>
      <c r="H1166" s="21">
        <v>380</v>
      </c>
      <c r="I1166" s="23" t="str">
        <f>I1145</f>
        <v>5500</v>
      </c>
      <c r="J1166" s="23" t="str">
        <f>J1159</f>
        <v>1000</v>
      </c>
      <c r="K1166" s="21">
        <v>375</v>
      </c>
      <c r="L1166" s="21">
        <v>585</v>
      </c>
      <c r="M1166" s="23" t="str">
        <f>M1159</f>
        <v>1000</v>
      </c>
      <c r="N1166" s="21">
        <v>3300</v>
      </c>
      <c r="O1166" s="21"/>
      <c r="P1166" s="27"/>
      <c r="Q1166" s="27">
        <f>Q1159</f>
        <v>2</v>
      </c>
      <c r="R1166" s="21"/>
    </row>
    <row r="1167" spans="1:18" ht="14.25" customHeight="1" x14ac:dyDescent="0.15">
      <c r="A1167" s="19">
        <v>2</v>
      </c>
      <c r="B1167" s="19">
        <v>1.5</v>
      </c>
      <c r="C1167" s="19">
        <v>1.2</v>
      </c>
      <c r="D1167" s="19">
        <f>B1167*C1167</f>
        <v>1.7999999999999998</v>
      </c>
      <c r="E1167" s="19"/>
      <c r="F1167" s="67">
        <f t="shared" ref="F1167:F1168" si="915">F1160</f>
        <v>6</v>
      </c>
      <c r="G1167" s="19"/>
      <c r="H1167" s="19"/>
      <c r="I1167" s="19">
        <f>B1167*0.4</f>
        <v>0.60000000000000009</v>
      </c>
      <c r="J1167" s="19">
        <v>1</v>
      </c>
      <c r="K1167" s="19">
        <f t="shared" ref="K1167:L1167" si="916">A1167</f>
        <v>2</v>
      </c>
      <c r="L1167" s="19">
        <f t="shared" si="916"/>
        <v>1.5</v>
      </c>
      <c r="M1167" s="19">
        <f>A1167</f>
        <v>2</v>
      </c>
      <c r="N1167" s="19">
        <f>(1.2*0.4)*2</f>
        <v>0.96</v>
      </c>
      <c r="O1167" s="19"/>
      <c r="P1167" s="24"/>
      <c r="Q1167" s="24"/>
      <c r="R1167" s="19"/>
    </row>
    <row r="1168" spans="1:18" ht="14.25" customHeight="1" x14ac:dyDescent="0.15">
      <c r="A1168" s="19"/>
      <c r="B1168" s="19"/>
      <c r="C1168" s="19"/>
      <c r="D1168" s="26" t="str">
        <f>D1042</f>
        <v>3000</v>
      </c>
      <c r="E1168" s="19">
        <v>1</v>
      </c>
      <c r="F1168" s="67">
        <f t="shared" si="915"/>
        <v>2.5</v>
      </c>
      <c r="G1168" s="19">
        <v>0</v>
      </c>
      <c r="H1168" s="19">
        <f>B1167*2</f>
        <v>3</v>
      </c>
      <c r="I1168" s="19"/>
      <c r="J1168" s="19"/>
      <c r="K1168" s="19"/>
      <c r="L1168" s="19"/>
      <c r="M1168" s="19"/>
      <c r="N1168" s="28"/>
      <c r="O1168" s="19"/>
      <c r="P1168" s="24"/>
      <c r="Q1168" s="24"/>
      <c r="R1168" s="19"/>
    </row>
    <row r="1169" spans="1:18" ht="14.25" customHeight="1" x14ac:dyDescent="0.15">
      <c r="A1169" s="19"/>
      <c r="B1169" s="19"/>
      <c r="C1169" s="19"/>
      <c r="D1169" s="19">
        <f>D1167*D1168</f>
        <v>5399.9999999999991</v>
      </c>
      <c r="E1169" s="19">
        <f>E1168*E1166</f>
        <v>2100</v>
      </c>
      <c r="F1169" s="67">
        <f>F1168*F1167*F1166</f>
        <v>12000</v>
      </c>
      <c r="G1169" s="19">
        <f t="shared" ref="G1169:H1169" si="917">G1166*G1168</f>
        <v>0</v>
      </c>
      <c r="H1169" s="19">
        <f t="shared" si="917"/>
        <v>1140</v>
      </c>
      <c r="I1169" s="19">
        <f t="shared" ref="I1169:N1169" si="918">I1166*I1167</f>
        <v>3300.0000000000005</v>
      </c>
      <c r="J1169" s="19">
        <f t="shared" si="918"/>
        <v>1000</v>
      </c>
      <c r="K1169" s="19">
        <f t="shared" si="918"/>
        <v>750</v>
      </c>
      <c r="L1169" s="19">
        <f t="shared" si="918"/>
        <v>877.5</v>
      </c>
      <c r="M1169" s="19">
        <f t="shared" si="918"/>
        <v>2000</v>
      </c>
      <c r="N1169" s="19">
        <f t="shared" si="918"/>
        <v>3168</v>
      </c>
      <c r="O1169" s="19">
        <f>SUM(D1169:N1169)</f>
        <v>31735.5</v>
      </c>
      <c r="P1169" s="24">
        <f>O1169/A1167</f>
        <v>15867.75</v>
      </c>
      <c r="Q1169" s="24">
        <f>P1169*Q1166</f>
        <v>31735.5</v>
      </c>
      <c r="R1169" s="19">
        <f>MROUND(Q1169,100)</f>
        <v>31700</v>
      </c>
    </row>
    <row r="1170" spans="1:18" ht="14.25" customHeight="1" x14ac:dyDescent="0.15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9"/>
      <c r="Q1170" s="27">
        <f>Q1163</f>
        <v>0</v>
      </c>
    </row>
    <row r="1171" spans="1:18" ht="14.25" customHeight="1" x14ac:dyDescent="0.3">
      <c r="A1171" s="109">
        <f>PRICELIST!I185</f>
        <v>0</v>
      </c>
      <c r="B1171" s="87"/>
      <c r="C1171" s="87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22"/>
      <c r="Q1171" s="22"/>
      <c r="R1171" s="17"/>
    </row>
    <row r="1172" spans="1:18" ht="14.25" customHeight="1" x14ac:dyDescent="0.15">
      <c r="A1172" s="19" t="s">
        <v>57</v>
      </c>
      <c r="B1172" s="19" t="s">
        <v>59</v>
      </c>
      <c r="C1172" s="19" t="s">
        <v>62</v>
      </c>
      <c r="D1172" s="19" t="s">
        <v>64</v>
      </c>
      <c r="E1172" s="19">
        <v>1200</v>
      </c>
      <c r="F1172" s="67" t="s">
        <v>248</v>
      </c>
      <c r="G1172" s="19">
        <v>600</v>
      </c>
      <c r="H1172" s="19" t="s">
        <v>67</v>
      </c>
      <c r="I1172" s="19" t="s">
        <v>68</v>
      </c>
      <c r="J1172" s="19" t="s">
        <v>69</v>
      </c>
      <c r="K1172" s="19" t="s">
        <v>71</v>
      </c>
      <c r="L1172" s="19" t="s">
        <v>72</v>
      </c>
      <c r="M1172" s="19" t="s">
        <v>73</v>
      </c>
      <c r="N1172" s="19" t="s">
        <v>75</v>
      </c>
      <c r="O1172" s="19" t="s">
        <v>76</v>
      </c>
      <c r="P1172" s="24" t="s">
        <v>78</v>
      </c>
      <c r="Q1172" s="24" t="s">
        <v>79</v>
      </c>
      <c r="R1172" s="19" t="s">
        <v>81</v>
      </c>
    </row>
    <row r="1173" spans="1:18" ht="14.25" customHeight="1" x14ac:dyDescent="0.15">
      <c r="A1173" s="21"/>
      <c r="B1173" s="21"/>
      <c r="C1173" s="21"/>
      <c r="D1173" s="21">
        <f t="shared" ref="D1173:E1173" si="919">D1166</f>
        <v>0</v>
      </c>
      <c r="E1173" s="23" t="str">
        <f t="shared" si="919"/>
        <v>2100</v>
      </c>
      <c r="F1173" s="68">
        <v>800</v>
      </c>
      <c r="G1173" s="23" t="str">
        <f>G1166</f>
        <v>1800</v>
      </c>
      <c r="H1173" s="21">
        <v>380</v>
      </c>
      <c r="I1173" s="23" t="str">
        <f>I1152</f>
        <v>0</v>
      </c>
      <c r="J1173" s="23" t="str">
        <f>J1166</f>
        <v>1000</v>
      </c>
      <c r="K1173" s="21">
        <v>375</v>
      </c>
      <c r="L1173" s="21">
        <v>585</v>
      </c>
      <c r="M1173" s="23" t="str">
        <f>M1166</f>
        <v>1000</v>
      </c>
      <c r="N1173" s="21">
        <v>3300</v>
      </c>
      <c r="O1173" s="21"/>
      <c r="P1173" s="27"/>
      <c r="Q1173" s="27">
        <f>Q1166</f>
        <v>2</v>
      </c>
      <c r="R1173" s="21"/>
    </row>
    <row r="1174" spans="1:18" ht="14.25" customHeight="1" x14ac:dyDescent="0.15">
      <c r="A1174" s="19">
        <v>2</v>
      </c>
      <c r="B1174" s="19">
        <v>1.5</v>
      </c>
      <c r="C1174" s="19">
        <v>1.2</v>
      </c>
      <c r="D1174" s="19">
        <f>B1174*C1174</f>
        <v>1.7999999999999998</v>
      </c>
      <c r="E1174" s="19"/>
      <c r="F1174" s="67">
        <v>6</v>
      </c>
      <c r="G1174" s="19"/>
      <c r="H1174" s="19"/>
      <c r="I1174" s="19">
        <f>B1174*0.4</f>
        <v>0.60000000000000009</v>
      </c>
      <c r="J1174" s="19">
        <v>1</v>
      </c>
      <c r="K1174" s="19">
        <f t="shared" ref="K1174:L1174" si="920">A1174</f>
        <v>2</v>
      </c>
      <c r="L1174" s="19">
        <f t="shared" si="920"/>
        <v>1.5</v>
      </c>
      <c r="M1174" s="19">
        <f>A1174</f>
        <v>2</v>
      </c>
      <c r="N1174" s="19">
        <f>(1.2*0.4)*2</f>
        <v>0.96</v>
      </c>
      <c r="O1174" s="19"/>
      <c r="P1174" s="24"/>
      <c r="Q1174" s="24"/>
      <c r="R1174" s="19"/>
    </row>
    <row r="1175" spans="1:18" ht="14.25" customHeight="1" x14ac:dyDescent="0.2">
      <c r="A1175" s="19"/>
      <c r="B1175" s="19"/>
      <c r="C1175" s="19"/>
      <c r="D1175" s="26" t="str">
        <f>D1049</f>
        <v>3000</v>
      </c>
      <c r="E1175" s="45">
        <v>1</v>
      </c>
      <c r="F1175" s="67">
        <v>2.5</v>
      </c>
      <c r="G1175" s="45">
        <v>0</v>
      </c>
      <c r="H1175" s="19">
        <f>B1174*2</f>
        <v>3</v>
      </c>
      <c r="I1175" s="19"/>
      <c r="J1175" s="19"/>
      <c r="K1175" s="19"/>
      <c r="L1175" s="19"/>
      <c r="M1175" s="19"/>
      <c r="N1175" s="28"/>
      <c r="O1175" s="19"/>
      <c r="P1175" s="24"/>
      <c r="Q1175" s="24"/>
      <c r="R1175" s="19"/>
    </row>
    <row r="1176" spans="1:18" ht="14.25" customHeight="1" x14ac:dyDescent="0.2">
      <c r="A1176" s="19"/>
      <c r="B1176" s="19"/>
      <c r="C1176" s="19"/>
      <c r="D1176" s="19">
        <f>D1174*D1175</f>
        <v>5399.9999999999991</v>
      </c>
      <c r="E1176" s="45">
        <f>E1175*E1173</f>
        <v>2100</v>
      </c>
      <c r="F1176" s="67">
        <f>F1175*F1174*F1173</f>
        <v>12000</v>
      </c>
      <c r="G1176" s="45">
        <f t="shared" ref="G1176:H1176" si="921">G1173*G1175</f>
        <v>0</v>
      </c>
      <c r="H1176" s="19">
        <f t="shared" si="921"/>
        <v>1140</v>
      </c>
      <c r="I1176" s="19">
        <f t="shared" ref="I1176:N1176" si="922">I1173*I1174</f>
        <v>0</v>
      </c>
      <c r="J1176" s="19">
        <f t="shared" si="922"/>
        <v>1000</v>
      </c>
      <c r="K1176" s="19">
        <f t="shared" si="922"/>
        <v>750</v>
      </c>
      <c r="L1176" s="19">
        <f t="shared" si="922"/>
        <v>877.5</v>
      </c>
      <c r="M1176" s="19">
        <f t="shared" si="922"/>
        <v>2000</v>
      </c>
      <c r="N1176" s="19">
        <f t="shared" si="922"/>
        <v>3168</v>
      </c>
      <c r="O1176" s="19">
        <f>SUM(D1176:N1176)</f>
        <v>28435.5</v>
      </c>
      <c r="P1176" s="24">
        <f>O1176/A1174</f>
        <v>14217.75</v>
      </c>
      <c r="Q1176" s="24">
        <f>P1176*Q1173</f>
        <v>28435.5</v>
      </c>
      <c r="R1176" s="19">
        <f>MROUND(Q1176,100)</f>
        <v>28400</v>
      </c>
    </row>
    <row r="1177" spans="1:18" ht="14.25" customHeight="1" x14ac:dyDescent="0.15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9"/>
      <c r="Q1177" s="39"/>
    </row>
    <row r="1178" spans="1:18" ht="14.25" customHeight="1" x14ac:dyDescent="0.3">
      <c r="A1178" s="109">
        <f>PRICELIST!I186</f>
        <v>0</v>
      </c>
      <c r="B1178" s="87"/>
      <c r="C1178" s="87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22"/>
      <c r="Q1178" s="22"/>
      <c r="R1178" s="17"/>
    </row>
    <row r="1179" spans="1:18" ht="14.25" customHeight="1" x14ac:dyDescent="0.15">
      <c r="A1179" s="19" t="s">
        <v>57</v>
      </c>
      <c r="B1179" s="19" t="s">
        <v>59</v>
      </c>
      <c r="C1179" s="19" t="s">
        <v>62</v>
      </c>
      <c r="D1179" s="19" t="s">
        <v>64</v>
      </c>
      <c r="E1179" s="19">
        <v>1200</v>
      </c>
      <c r="F1179" s="67" t="s">
        <v>248</v>
      </c>
      <c r="G1179" s="19">
        <v>600</v>
      </c>
      <c r="H1179" s="19" t="s">
        <v>67</v>
      </c>
      <c r="I1179" s="19" t="s">
        <v>68</v>
      </c>
      <c r="J1179" s="19" t="s">
        <v>69</v>
      </c>
      <c r="K1179" s="19" t="s">
        <v>71</v>
      </c>
      <c r="L1179" s="19" t="s">
        <v>72</v>
      </c>
      <c r="M1179" s="19" t="s">
        <v>73</v>
      </c>
      <c r="N1179" s="19" t="s">
        <v>75</v>
      </c>
      <c r="O1179" s="19" t="s">
        <v>76</v>
      </c>
      <c r="P1179" s="24" t="s">
        <v>78</v>
      </c>
      <c r="Q1179" s="24" t="s">
        <v>79</v>
      </c>
      <c r="R1179" s="19" t="s">
        <v>81</v>
      </c>
    </row>
    <row r="1180" spans="1:18" ht="14.25" customHeight="1" x14ac:dyDescent="0.15">
      <c r="A1180" s="21"/>
      <c r="B1180" s="21"/>
      <c r="C1180" s="21"/>
      <c r="D1180" s="21">
        <f t="shared" ref="D1180:E1180" si="923">D1173</f>
        <v>0</v>
      </c>
      <c r="E1180" s="23" t="str">
        <f t="shared" si="923"/>
        <v>2100</v>
      </c>
      <c r="F1180" s="68">
        <v>800</v>
      </c>
      <c r="G1180" s="23" t="str">
        <f t="shared" ref="G1180:H1180" si="924">G1173</f>
        <v>1800</v>
      </c>
      <c r="H1180" s="21">
        <f t="shared" si="924"/>
        <v>380</v>
      </c>
      <c r="I1180" s="23" t="str">
        <f>I1159</f>
        <v>4800</v>
      </c>
      <c r="J1180" s="23" t="str">
        <f t="shared" ref="J1180:Q1180" si="925">J1173</f>
        <v>1000</v>
      </c>
      <c r="K1180" s="21">
        <f t="shared" si="925"/>
        <v>375</v>
      </c>
      <c r="L1180" s="21">
        <f t="shared" si="925"/>
        <v>585</v>
      </c>
      <c r="M1180" s="23" t="str">
        <f t="shared" si="925"/>
        <v>1000</v>
      </c>
      <c r="N1180" s="21">
        <f t="shared" si="925"/>
        <v>3300</v>
      </c>
      <c r="O1180" s="21">
        <f t="shared" si="925"/>
        <v>0</v>
      </c>
      <c r="P1180" s="27">
        <f t="shared" si="925"/>
        <v>0</v>
      </c>
      <c r="Q1180" s="27">
        <f t="shared" si="925"/>
        <v>2</v>
      </c>
      <c r="R1180" s="21"/>
    </row>
    <row r="1181" spans="1:18" ht="14.25" customHeight="1" x14ac:dyDescent="0.15">
      <c r="A1181" s="19">
        <v>2</v>
      </c>
      <c r="B1181" s="19">
        <v>1.5</v>
      </c>
      <c r="C1181" s="19">
        <v>1.2</v>
      </c>
      <c r="D1181" s="19">
        <f>B1181*C1181</f>
        <v>1.7999999999999998</v>
      </c>
      <c r="E1181" s="19"/>
      <c r="F1181" s="67">
        <v>6</v>
      </c>
      <c r="G1181" s="19"/>
      <c r="H1181" s="19"/>
      <c r="I1181" s="19">
        <f>B1181*0.4</f>
        <v>0.60000000000000009</v>
      </c>
      <c r="J1181" s="19">
        <v>1</v>
      </c>
      <c r="K1181" s="19">
        <f t="shared" ref="K1181:L1181" si="926">A1181</f>
        <v>2</v>
      </c>
      <c r="L1181" s="19">
        <f t="shared" si="926"/>
        <v>1.5</v>
      </c>
      <c r="M1181" s="19">
        <f>A1181</f>
        <v>2</v>
      </c>
      <c r="N1181" s="19">
        <f>(1.2*0.4)*2</f>
        <v>0.96</v>
      </c>
      <c r="O1181" s="19"/>
      <c r="P1181" s="24"/>
      <c r="Q1181" s="24"/>
      <c r="R1181" s="19"/>
    </row>
    <row r="1182" spans="1:18" ht="14.25" customHeight="1" x14ac:dyDescent="0.2">
      <c r="A1182" s="19"/>
      <c r="B1182" s="19"/>
      <c r="C1182" s="19"/>
      <c r="D1182" s="26">
        <f>'MASTER DATA'!C813</f>
        <v>0</v>
      </c>
      <c r="E1182" s="45">
        <v>1</v>
      </c>
      <c r="F1182" s="67">
        <v>2.5</v>
      </c>
      <c r="G1182" s="45">
        <v>0</v>
      </c>
      <c r="H1182" s="19">
        <f>B1181*2</f>
        <v>3</v>
      </c>
      <c r="I1182" s="19"/>
      <c r="J1182" s="19"/>
      <c r="K1182" s="19"/>
      <c r="L1182" s="19"/>
      <c r="M1182" s="19"/>
      <c r="N1182" s="28"/>
      <c r="O1182" s="19"/>
      <c r="P1182" s="24"/>
      <c r="Q1182" s="24"/>
      <c r="R1182" s="19"/>
    </row>
    <row r="1183" spans="1:18" ht="14.25" customHeight="1" x14ac:dyDescent="0.2">
      <c r="A1183" s="19"/>
      <c r="B1183" s="19"/>
      <c r="C1183" s="19"/>
      <c r="D1183" s="19">
        <f>D1181*D1182</f>
        <v>0</v>
      </c>
      <c r="E1183" s="45">
        <f>E1182*E1180</f>
        <v>2100</v>
      </c>
      <c r="F1183" s="67">
        <f>F1182*F1181*F1180</f>
        <v>12000</v>
      </c>
      <c r="G1183" s="45">
        <f t="shared" ref="G1183:H1183" si="927">G1180*G1182</f>
        <v>0</v>
      </c>
      <c r="H1183" s="19">
        <f t="shared" si="927"/>
        <v>1140</v>
      </c>
      <c r="I1183" s="19">
        <f t="shared" ref="I1183:N1183" si="928">I1180*I1181</f>
        <v>2880.0000000000005</v>
      </c>
      <c r="J1183" s="19">
        <f t="shared" si="928"/>
        <v>1000</v>
      </c>
      <c r="K1183" s="19">
        <f t="shared" si="928"/>
        <v>750</v>
      </c>
      <c r="L1183" s="19">
        <f t="shared" si="928"/>
        <v>877.5</v>
      </c>
      <c r="M1183" s="19">
        <f t="shared" si="928"/>
        <v>2000</v>
      </c>
      <c r="N1183" s="19">
        <f t="shared" si="928"/>
        <v>3168</v>
      </c>
      <c r="O1183" s="19">
        <f>SUM(D1183:N1183)</f>
        <v>25915.5</v>
      </c>
      <c r="P1183" s="24">
        <f>O1183/A1181</f>
        <v>12957.75</v>
      </c>
      <c r="Q1183" s="24">
        <f>P1183*Q1180</f>
        <v>25915.5</v>
      </c>
      <c r="R1183" s="19">
        <f>MROUND(Q1183,100)</f>
        <v>25900</v>
      </c>
    </row>
    <row r="1184" spans="1:18" ht="14.25" customHeight="1" x14ac:dyDescent="0.15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9"/>
      <c r="Q1184" s="39"/>
    </row>
    <row r="1185" spans="1:18" ht="14.25" customHeight="1" x14ac:dyDescent="0.3">
      <c r="A1185" s="109">
        <f>PRICELIST!I187</f>
        <v>0</v>
      </c>
      <c r="B1185" s="87"/>
      <c r="C1185" s="87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22"/>
      <c r="Q1185" s="22"/>
      <c r="R1185" s="17"/>
    </row>
    <row r="1186" spans="1:18" ht="14.25" customHeight="1" x14ac:dyDescent="0.15">
      <c r="A1186" s="19" t="s">
        <v>57</v>
      </c>
      <c r="B1186" s="19" t="s">
        <v>59</v>
      </c>
      <c r="C1186" s="19" t="s">
        <v>62</v>
      </c>
      <c r="D1186" s="19" t="s">
        <v>64</v>
      </c>
      <c r="E1186" s="19">
        <v>1200</v>
      </c>
      <c r="F1186" s="67" t="s">
        <v>248</v>
      </c>
      <c r="G1186" s="19">
        <v>600</v>
      </c>
      <c r="H1186" s="19" t="s">
        <v>67</v>
      </c>
      <c r="I1186" s="19" t="s">
        <v>68</v>
      </c>
      <c r="J1186" s="19" t="s">
        <v>69</v>
      </c>
      <c r="K1186" s="19" t="s">
        <v>71</v>
      </c>
      <c r="L1186" s="19" t="s">
        <v>72</v>
      </c>
      <c r="M1186" s="19" t="s">
        <v>73</v>
      </c>
      <c r="N1186" s="19" t="s">
        <v>75</v>
      </c>
      <c r="O1186" s="19" t="s">
        <v>76</v>
      </c>
      <c r="P1186" s="24" t="s">
        <v>78</v>
      </c>
      <c r="Q1186" s="24" t="s">
        <v>79</v>
      </c>
      <c r="R1186" s="19" t="s">
        <v>81</v>
      </c>
    </row>
    <row r="1187" spans="1:18" ht="14.25" customHeight="1" x14ac:dyDescent="0.15">
      <c r="A1187" s="21"/>
      <c r="B1187" s="21"/>
      <c r="C1187" s="21"/>
      <c r="D1187" s="21">
        <f t="shared" ref="D1187:E1187" si="929">D1180</f>
        <v>0</v>
      </c>
      <c r="E1187" s="23" t="str">
        <f t="shared" si="929"/>
        <v>2100</v>
      </c>
      <c r="F1187" s="68">
        <v>800</v>
      </c>
      <c r="G1187" s="23" t="str">
        <f t="shared" ref="G1187:H1187" si="930">G1180</f>
        <v>1800</v>
      </c>
      <c r="H1187" s="21">
        <f t="shared" si="930"/>
        <v>380</v>
      </c>
      <c r="I1187" s="23" t="str">
        <f>I1166</f>
        <v>5500</v>
      </c>
      <c r="J1187" s="23" t="str">
        <f t="shared" ref="J1187:Q1187" si="931">J1180</f>
        <v>1000</v>
      </c>
      <c r="K1187" s="21">
        <f t="shared" si="931"/>
        <v>375</v>
      </c>
      <c r="L1187" s="21">
        <f t="shared" si="931"/>
        <v>585</v>
      </c>
      <c r="M1187" s="23" t="str">
        <f t="shared" si="931"/>
        <v>1000</v>
      </c>
      <c r="N1187" s="21">
        <f t="shared" si="931"/>
        <v>3300</v>
      </c>
      <c r="O1187" s="21">
        <f t="shared" si="931"/>
        <v>0</v>
      </c>
      <c r="P1187" s="27">
        <f t="shared" si="931"/>
        <v>0</v>
      </c>
      <c r="Q1187" s="27">
        <f t="shared" si="931"/>
        <v>2</v>
      </c>
      <c r="R1187" s="21"/>
    </row>
    <row r="1188" spans="1:18" ht="14.25" customHeight="1" x14ac:dyDescent="0.15">
      <c r="A1188" s="19">
        <v>2</v>
      </c>
      <c r="B1188" s="19">
        <v>1.5</v>
      </c>
      <c r="C1188" s="19">
        <v>1.2</v>
      </c>
      <c r="D1188" s="19">
        <f>B1188*C1188</f>
        <v>1.7999999999999998</v>
      </c>
      <c r="E1188" s="19"/>
      <c r="F1188" s="67">
        <v>6</v>
      </c>
      <c r="G1188" s="19"/>
      <c r="H1188" s="19"/>
      <c r="I1188" s="19">
        <f>B1188*0.4</f>
        <v>0.60000000000000009</v>
      </c>
      <c r="J1188" s="19">
        <v>1</v>
      </c>
      <c r="K1188" s="19">
        <f t="shared" ref="K1188:L1188" si="932">A1188</f>
        <v>2</v>
      </c>
      <c r="L1188" s="19">
        <f t="shared" si="932"/>
        <v>1.5</v>
      </c>
      <c r="M1188" s="19">
        <f>A1188</f>
        <v>2</v>
      </c>
      <c r="N1188" s="19">
        <f>(1.2*0.4)*2</f>
        <v>0.96</v>
      </c>
      <c r="O1188" s="19"/>
      <c r="P1188" s="24"/>
      <c r="Q1188" s="24"/>
      <c r="R1188" s="19"/>
    </row>
    <row r="1189" spans="1:18" ht="14.25" customHeight="1" x14ac:dyDescent="0.2">
      <c r="A1189" s="19"/>
      <c r="B1189" s="19"/>
      <c r="C1189" s="19"/>
      <c r="D1189" s="26">
        <f>D1182</f>
        <v>0</v>
      </c>
      <c r="E1189" s="45">
        <v>1</v>
      </c>
      <c r="F1189" s="67">
        <v>2.5</v>
      </c>
      <c r="G1189" s="45">
        <v>0</v>
      </c>
      <c r="H1189" s="19">
        <f>B1188*2</f>
        <v>3</v>
      </c>
      <c r="I1189" s="19"/>
      <c r="J1189" s="19"/>
      <c r="K1189" s="19"/>
      <c r="L1189" s="19"/>
      <c r="M1189" s="19"/>
      <c r="N1189" s="28"/>
      <c r="O1189" s="19"/>
      <c r="P1189" s="24"/>
      <c r="Q1189" s="24"/>
      <c r="R1189" s="19"/>
    </row>
    <row r="1190" spans="1:18" ht="14.25" customHeight="1" x14ac:dyDescent="0.2">
      <c r="A1190" s="19"/>
      <c r="B1190" s="19"/>
      <c r="C1190" s="19"/>
      <c r="D1190" s="19">
        <f>D1188*D1189</f>
        <v>0</v>
      </c>
      <c r="E1190" s="45">
        <f>E1189*E1187</f>
        <v>2100</v>
      </c>
      <c r="F1190" s="67">
        <f>F1189*F1188*F1187</f>
        <v>12000</v>
      </c>
      <c r="G1190" s="45">
        <f t="shared" ref="G1190:H1190" si="933">G1187*G1189</f>
        <v>0</v>
      </c>
      <c r="H1190" s="19">
        <f t="shared" si="933"/>
        <v>1140</v>
      </c>
      <c r="I1190" s="19">
        <f t="shared" ref="I1190:N1190" si="934">I1187*I1188</f>
        <v>3300.0000000000005</v>
      </c>
      <c r="J1190" s="19">
        <f t="shared" si="934"/>
        <v>1000</v>
      </c>
      <c r="K1190" s="19">
        <f t="shared" si="934"/>
        <v>750</v>
      </c>
      <c r="L1190" s="19">
        <f t="shared" si="934"/>
        <v>877.5</v>
      </c>
      <c r="M1190" s="19">
        <f t="shared" si="934"/>
        <v>2000</v>
      </c>
      <c r="N1190" s="19">
        <f t="shared" si="934"/>
        <v>3168</v>
      </c>
      <c r="O1190" s="19">
        <f>SUM(D1190:N1190)</f>
        <v>26335.5</v>
      </c>
      <c r="P1190" s="24">
        <f>O1190/A1188</f>
        <v>13167.75</v>
      </c>
      <c r="Q1190" s="24">
        <f>P1190*Q1187</f>
        <v>26335.5</v>
      </c>
      <c r="R1190" s="19">
        <f>MROUND(Q1190,100)</f>
        <v>26300</v>
      </c>
    </row>
    <row r="1191" spans="1:18" ht="14.25" customHeight="1" x14ac:dyDescent="0.15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9"/>
      <c r="Q1191" s="39"/>
    </row>
    <row r="1192" spans="1:18" ht="14.25" customHeight="1" x14ac:dyDescent="0.3">
      <c r="A1192" s="109">
        <f>PRICELIST!I188</f>
        <v>0</v>
      </c>
      <c r="B1192" s="87"/>
      <c r="C1192" s="87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22"/>
      <c r="Q1192" s="22"/>
      <c r="R1192" s="17"/>
    </row>
    <row r="1193" spans="1:18" ht="14.25" customHeight="1" x14ac:dyDescent="0.15">
      <c r="A1193" s="19" t="s">
        <v>57</v>
      </c>
      <c r="B1193" s="19" t="s">
        <v>59</v>
      </c>
      <c r="C1193" s="19" t="s">
        <v>62</v>
      </c>
      <c r="D1193" s="19" t="s">
        <v>64</v>
      </c>
      <c r="E1193" s="19">
        <v>1200</v>
      </c>
      <c r="F1193" s="67" t="s">
        <v>248</v>
      </c>
      <c r="G1193" s="19">
        <v>600</v>
      </c>
      <c r="H1193" s="19" t="s">
        <v>67</v>
      </c>
      <c r="I1193" s="19" t="s">
        <v>68</v>
      </c>
      <c r="J1193" s="19" t="s">
        <v>69</v>
      </c>
      <c r="K1193" s="19" t="s">
        <v>71</v>
      </c>
      <c r="L1193" s="19" t="s">
        <v>72</v>
      </c>
      <c r="M1193" s="19" t="s">
        <v>73</v>
      </c>
      <c r="N1193" s="19" t="s">
        <v>75</v>
      </c>
      <c r="O1193" s="19" t="s">
        <v>76</v>
      </c>
      <c r="P1193" s="24" t="s">
        <v>78</v>
      </c>
      <c r="Q1193" s="24" t="s">
        <v>79</v>
      </c>
      <c r="R1193" s="19" t="s">
        <v>81</v>
      </c>
    </row>
    <row r="1194" spans="1:18" ht="14.25" customHeight="1" x14ac:dyDescent="0.15">
      <c r="A1194" s="21"/>
      <c r="B1194" s="21"/>
      <c r="C1194" s="21"/>
      <c r="D1194" s="21">
        <f t="shared" ref="D1194:E1194" si="935">D1187</f>
        <v>0</v>
      </c>
      <c r="E1194" s="23" t="str">
        <f t="shared" si="935"/>
        <v>2100</v>
      </c>
      <c r="F1194" s="68">
        <v>800</v>
      </c>
      <c r="G1194" s="23" t="str">
        <f t="shared" ref="G1194:H1194" si="936">G1187</f>
        <v>1800</v>
      </c>
      <c r="H1194" s="21">
        <f t="shared" si="936"/>
        <v>380</v>
      </c>
      <c r="I1194" s="23" t="str">
        <f>I1173</f>
        <v>0</v>
      </c>
      <c r="J1194" s="23" t="str">
        <f t="shared" ref="J1194:Q1194" si="937">J1187</f>
        <v>1000</v>
      </c>
      <c r="K1194" s="21">
        <f t="shared" si="937"/>
        <v>375</v>
      </c>
      <c r="L1194" s="21">
        <f t="shared" si="937"/>
        <v>585</v>
      </c>
      <c r="M1194" s="23" t="str">
        <f t="shared" si="937"/>
        <v>1000</v>
      </c>
      <c r="N1194" s="21">
        <f t="shared" si="937"/>
        <v>3300</v>
      </c>
      <c r="O1194" s="21">
        <f t="shared" si="937"/>
        <v>0</v>
      </c>
      <c r="P1194" s="27">
        <f t="shared" si="937"/>
        <v>0</v>
      </c>
      <c r="Q1194" s="27">
        <f t="shared" si="937"/>
        <v>2</v>
      </c>
      <c r="R1194" s="21"/>
    </row>
    <row r="1195" spans="1:18" ht="14.25" customHeight="1" x14ac:dyDescent="0.15">
      <c r="A1195" s="19">
        <v>2</v>
      </c>
      <c r="B1195" s="19">
        <v>1.5</v>
      </c>
      <c r="C1195" s="19">
        <v>1.2</v>
      </c>
      <c r="D1195" s="19">
        <f>B1195*C1195</f>
        <v>1.7999999999999998</v>
      </c>
      <c r="E1195" s="19"/>
      <c r="F1195" s="67">
        <v>6</v>
      </c>
      <c r="G1195" s="19"/>
      <c r="H1195" s="19"/>
      <c r="I1195" s="19">
        <f>B1195*0.4</f>
        <v>0.60000000000000009</v>
      </c>
      <c r="J1195" s="19">
        <v>1</v>
      </c>
      <c r="K1195" s="19">
        <f t="shared" ref="K1195:L1195" si="938">A1195</f>
        <v>2</v>
      </c>
      <c r="L1195" s="19">
        <f t="shared" si="938"/>
        <v>1.5</v>
      </c>
      <c r="M1195" s="19">
        <f>A1195</f>
        <v>2</v>
      </c>
      <c r="N1195" s="19">
        <f>(1.2*0.4)*2</f>
        <v>0.96</v>
      </c>
      <c r="O1195" s="19"/>
      <c r="P1195" s="24"/>
      <c r="Q1195" s="24"/>
      <c r="R1195" s="19"/>
    </row>
    <row r="1196" spans="1:18" ht="14.25" customHeight="1" x14ac:dyDescent="0.2">
      <c r="A1196" s="19"/>
      <c r="B1196" s="19"/>
      <c r="C1196" s="19"/>
      <c r="D1196" s="26" t="str">
        <f>D1070</f>
        <v>7500</v>
      </c>
      <c r="E1196" s="45">
        <v>1</v>
      </c>
      <c r="F1196" s="67">
        <v>2.5</v>
      </c>
      <c r="G1196" s="45">
        <v>0</v>
      </c>
      <c r="H1196" s="19">
        <f>B1195*2</f>
        <v>3</v>
      </c>
      <c r="I1196" s="19"/>
      <c r="J1196" s="19"/>
      <c r="K1196" s="19"/>
      <c r="L1196" s="19"/>
      <c r="M1196" s="19"/>
      <c r="N1196" s="28"/>
      <c r="O1196" s="19"/>
      <c r="P1196" s="24"/>
      <c r="Q1196" s="24"/>
      <c r="R1196" s="19"/>
    </row>
    <row r="1197" spans="1:18" ht="14.25" customHeight="1" x14ac:dyDescent="0.2">
      <c r="A1197" s="19"/>
      <c r="B1197" s="19"/>
      <c r="C1197" s="19"/>
      <c r="D1197" s="19">
        <f>D1195*D1196</f>
        <v>13499.999999999998</v>
      </c>
      <c r="E1197" s="45">
        <f>E1196*E1194</f>
        <v>2100</v>
      </c>
      <c r="F1197" s="67">
        <f>F1196*F1195*F1194</f>
        <v>12000</v>
      </c>
      <c r="G1197" s="45">
        <f t="shared" ref="G1197:H1197" si="939">G1194*G1196</f>
        <v>0</v>
      </c>
      <c r="H1197" s="19">
        <f t="shared" si="939"/>
        <v>1140</v>
      </c>
      <c r="I1197" s="19">
        <f t="shared" ref="I1197:N1197" si="940">I1194*I1195</f>
        <v>0</v>
      </c>
      <c r="J1197" s="19">
        <f t="shared" si="940"/>
        <v>1000</v>
      </c>
      <c r="K1197" s="19">
        <f t="shared" si="940"/>
        <v>750</v>
      </c>
      <c r="L1197" s="19">
        <f t="shared" si="940"/>
        <v>877.5</v>
      </c>
      <c r="M1197" s="19">
        <f t="shared" si="940"/>
        <v>2000</v>
      </c>
      <c r="N1197" s="19">
        <f t="shared" si="940"/>
        <v>3168</v>
      </c>
      <c r="O1197" s="19">
        <f>SUM(D1197:N1197)</f>
        <v>36535.5</v>
      </c>
      <c r="P1197" s="24">
        <f>O1197/A1195</f>
        <v>18267.75</v>
      </c>
      <c r="Q1197" s="24">
        <f>P1197*Q1194</f>
        <v>36535.5</v>
      </c>
      <c r="R1197" s="19">
        <f>MROUND(Q1197,100)</f>
        <v>36500</v>
      </c>
    </row>
    <row r="1198" spans="1:18" ht="14.25" customHeight="1" x14ac:dyDescent="0.15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9"/>
      <c r="Q1198" s="39"/>
    </row>
    <row r="1199" spans="1:18" ht="14.25" customHeight="1" x14ac:dyDescent="0.3">
      <c r="A1199" s="109">
        <f>PRICELIST!I189</f>
        <v>0</v>
      </c>
      <c r="B1199" s="87"/>
      <c r="C1199" s="87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22"/>
      <c r="Q1199" s="22"/>
      <c r="R1199" s="17"/>
    </row>
    <row r="1200" spans="1:18" ht="14.25" customHeight="1" x14ac:dyDescent="0.15">
      <c r="A1200" s="19" t="s">
        <v>57</v>
      </c>
      <c r="B1200" s="19" t="s">
        <v>59</v>
      </c>
      <c r="C1200" s="19" t="s">
        <v>62</v>
      </c>
      <c r="D1200" s="19" t="s">
        <v>64</v>
      </c>
      <c r="E1200" s="19">
        <v>1200</v>
      </c>
      <c r="F1200" s="67" t="s">
        <v>248</v>
      </c>
      <c r="G1200" s="19">
        <v>600</v>
      </c>
      <c r="H1200" s="19" t="s">
        <v>67</v>
      </c>
      <c r="I1200" s="19" t="s">
        <v>68</v>
      </c>
      <c r="J1200" s="19" t="s">
        <v>69</v>
      </c>
      <c r="K1200" s="19" t="s">
        <v>71</v>
      </c>
      <c r="L1200" s="19" t="s">
        <v>72</v>
      </c>
      <c r="M1200" s="19" t="s">
        <v>73</v>
      </c>
      <c r="N1200" s="19" t="s">
        <v>75</v>
      </c>
      <c r="O1200" s="19" t="s">
        <v>76</v>
      </c>
      <c r="P1200" s="24" t="s">
        <v>78</v>
      </c>
      <c r="Q1200" s="24" t="s">
        <v>79</v>
      </c>
      <c r="R1200" s="19" t="s">
        <v>81</v>
      </c>
    </row>
    <row r="1201" spans="1:18" ht="14.25" customHeight="1" x14ac:dyDescent="0.15">
      <c r="A1201" s="21"/>
      <c r="B1201" s="21"/>
      <c r="C1201" s="21"/>
      <c r="D1201" s="21">
        <f t="shared" ref="D1201:E1201" si="941">D1194</f>
        <v>0</v>
      </c>
      <c r="E1201" s="23" t="str">
        <f t="shared" si="941"/>
        <v>2100</v>
      </c>
      <c r="F1201" s="68">
        <v>800</v>
      </c>
      <c r="G1201" s="23" t="str">
        <f t="shared" ref="G1201:H1201" si="942">G1194</f>
        <v>1800</v>
      </c>
      <c r="H1201" s="21">
        <f t="shared" si="942"/>
        <v>380</v>
      </c>
      <c r="I1201" s="23" t="str">
        <f>I1180</f>
        <v>4800</v>
      </c>
      <c r="J1201" s="23" t="str">
        <f t="shared" ref="J1201:Q1201" si="943">J1194</f>
        <v>1000</v>
      </c>
      <c r="K1201" s="21">
        <f t="shared" si="943"/>
        <v>375</v>
      </c>
      <c r="L1201" s="21">
        <f t="shared" si="943"/>
        <v>585</v>
      </c>
      <c r="M1201" s="23" t="str">
        <f t="shared" si="943"/>
        <v>1000</v>
      </c>
      <c r="N1201" s="21">
        <f t="shared" si="943"/>
        <v>3300</v>
      </c>
      <c r="O1201" s="21">
        <f t="shared" si="943"/>
        <v>0</v>
      </c>
      <c r="P1201" s="27">
        <f t="shared" si="943"/>
        <v>0</v>
      </c>
      <c r="Q1201" s="27">
        <f t="shared" si="943"/>
        <v>2</v>
      </c>
      <c r="R1201" s="21"/>
    </row>
    <row r="1202" spans="1:18" ht="14.25" customHeight="1" x14ac:dyDescent="0.15">
      <c r="A1202" s="19">
        <v>2</v>
      </c>
      <c r="B1202" s="19">
        <v>1.5</v>
      </c>
      <c r="C1202" s="19">
        <v>1.2</v>
      </c>
      <c r="D1202" s="19">
        <f>B1202*C1202</f>
        <v>1.7999999999999998</v>
      </c>
      <c r="E1202" s="19"/>
      <c r="F1202" s="67">
        <v>6</v>
      </c>
      <c r="G1202" s="19"/>
      <c r="H1202" s="19"/>
      <c r="I1202" s="19">
        <f>B1202*0.4</f>
        <v>0.60000000000000009</v>
      </c>
      <c r="J1202" s="19">
        <v>1</v>
      </c>
      <c r="K1202" s="19">
        <f t="shared" ref="K1202:L1202" si="944">A1202</f>
        <v>2</v>
      </c>
      <c r="L1202" s="19">
        <f t="shared" si="944"/>
        <v>1.5</v>
      </c>
      <c r="M1202" s="19">
        <f>A1202</f>
        <v>2</v>
      </c>
      <c r="N1202" s="19">
        <f>(1.2*0.4)*2</f>
        <v>0.96</v>
      </c>
      <c r="O1202" s="19"/>
      <c r="P1202" s="24"/>
      <c r="Q1202" s="24"/>
      <c r="R1202" s="19"/>
    </row>
    <row r="1203" spans="1:18" ht="14.25" customHeight="1" x14ac:dyDescent="0.2">
      <c r="A1203" s="19"/>
      <c r="B1203" s="19"/>
      <c r="C1203" s="19"/>
      <c r="D1203" s="26" t="str">
        <f>D1084</f>
        <v>9500</v>
      </c>
      <c r="E1203" s="45">
        <v>1</v>
      </c>
      <c r="F1203" s="67">
        <v>2.5</v>
      </c>
      <c r="G1203" s="45">
        <v>0</v>
      </c>
      <c r="H1203" s="19">
        <f>B1202*2</f>
        <v>3</v>
      </c>
      <c r="I1203" s="19"/>
      <c r="J1203" s="19"/>
      <c r="K1203" s="19"/>
      <c r="L1203" s="19"/>
      <c r="M1203" s="19"/>
      <c r="N1203" s="28"/>
      <c r="O1203" s="19"/>
      <c r="P1203" s="24"/>
      <c r="Q1203" s="24"/>
      <c r="R1203" s="19"/>
    </row>
    <row r="1204" spans="1:18" ht="14.25" customHeight="1" x14ac:dyDescent="0.2">
      <c r="A1204" s="19"/>
      <c r="B1204" s="19"/>
      <c r="C1204" s="19"/>
      <c r="D1204" s="19">
        <f>D1202*D1203</f>
        <v>17100</v>
      </c>
      <c r="E1204" s="45">
        <f>E1203*E1201</f>
        <v>2100</v>
      </c>
      <c r="F1204" s="67">
        <f>F1203*F1202*F1201</f>
        <v>12000</v>
      </c>
      <c r="G1204" s="45">
        <f t="shared" ref="G1204:H1204" si="945">G1201*G1203</f>
        <v>0</v>
      </c>
      <c r="H1204" s="19">
        <f t="shared" si="945"/>
        <v>1140</v>
      </c>
      <c r="I1204" s="19">
        <f t="shared" ref="I1204:N1204" si="946">I1201*I1202</f>
        <v>2880.0000000000005</v>
      </c>
      <c r="J1204" s="19">
        <f t="shared" si="946"/>
        <v>1000</v>
      </c>
      <c r="K1204" s="19">
        <f t="shared" si="946"/>
        <v>750</v>
      </c>
      <c r="L1204" s="19">
        <f t="shared" si="946"/>
        <v>877.5</v>
      </c>
      <c r="M1204" s="19">
        <f t="shared" si="946"/>
        <v>2000</v>
      </c>
      <c r="N1204" s="19">
        <f t="shared" si="946"/>
        <v>3168</v>
      </c>
      <c r="O1204" s="19">
        <f>SUM(D1204:N1204)</f>
        <v>43015.5</v>
      </c>
      <c r="P1204" s="24">
        <f>O1204/A1202</f>
        <v>21507.75</v>
      </c>
      <c r="Q1204" s="24">
        <f>P1204*Q1201</f>
        <v>43015.5</v>
      </c>
      <c r="R1204" s="19">
        <f>MROUND(Q1204,100)</f>
        <v>43000</v>
      </c>
    </row>
    <row r="1205" spans="1:18" ht="14.25" customHeight="1" x14ac:dyDescent="0.15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9"/>
      <c r="Q1205" s="39"/>
    </row>
    <row r="1206" spans="1:18" ht="14.25" customHeight="1" x14ac:dyDescent="0.3">
      <c r="A1206" s="109">
        <f>PRICELIST!I190</f>
        <v>0</v>
      </c>
      <c r="B1206" s="87"/>
      <c r="C1206" s="87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22"/>
      <c r="Q1206" s="22"/>
      <c r="R1206" s="17"/>
    </row>
    <row r="1207" spans="1:18" ht="14.25" customHeight="1" x14ac:dyDescent="0.15">
      <c r="A1207" s="19" t="s">
        <v>57</v>
      </c>
      <c r="B1207" s="19" t="s">
        <v>59</v>
      </c>
      <c r="C1207" s="19" t="s">
        <v>62</v>
      </c>
      <c r="D1207" s="19" t="s">
        <v>64</v>
      </c>
      <c r="E1207" s="19">
        <v>1200</v>
      </c>
      <c r="F1207" s="67" t="s">
        <v>248</v>
      </c>
      <c r="G1207" s="19">
        <v>600</v>
      </c>
      <c r="H1207" s="19" t="s">
        <v>67</v>
      </c>
      <c r="I1207" s="19" t="s">
        <v>68</v>
      </c>
      <c r="J1207" s="19" t="s">
        <v>69</v>
      </c>
      <c r="K1207" s="19" t="s">
        <v>71</v>
      </c>
      <c r="L1207" s="19" t="s">
        <v>72</v>
      </c>
      <c r="M1207" s="19" t="s">
        <v>73</v>
      </c>
      <c r="N1207" s="19" t="s">
        <v>75</v>
      </c>
      <c r="O1207" s="19" t="s">
        <v>76</v>
      </c>
      <c r="P1207" s="24" t="s">
        <v>78</v>
      </c>
      <c r="Q1207" s="24" t="s">
        <v>79</v>
      </c>
      <c r="R1207" s="19" t="s">
        <v>81</v>
      </c>
    </row>
    <row r="1208" spans="1:18" ht="14.25" customHeight="1" x14ac:dyDescent="0.15">
      <c r="A1208" s="21"/>
      <c r="B1208" s="21"/>
      <c r="C1208" s="21"/>
      <c r="D1208" s="21">
        <f t="shared" ref="D1208:E1208" si="947">D1201</f>
        <v>0</v>
      </c>
      <c r="E1208" s="23" t="str">
        <f t="shared" si="947"/>
        <v>2100</v>
      </c>
      <c r="F1208" s="68">
        <v>800</v>
      </c>
      <c r="G1208" s="23" t="str">
        <f t="shared" ref="G1208:H1208" si="948">G1201</f>
        <v>1800</v>
      </c>
      <c r="H1208" s="21">
        <f t="shared" si="948"/>
        <v>380</v>
      </c>
      <c r="I1208" s="23" t="str">
        <f>I1187</f>
        <v>5500</v>
      </c>
      <c r="J1208" s="23" t="str">
        <f t="shared" ref="J1208:Q1208" si="949">J1201</f>
        <v>1000</v>
      </c>
      <c r="K1208" s="21">
        <f t="shared" si="949"/>
        <v>375</v>
      </c>
      <c r="L1208" s="21">
        <f t="shared" si="949"/>
        <v>585</v>
      </c>
      <c r="M1208" s="23" t="str">
        <f t="shared" si="949"/>
        <v>1000</v>
      </c>
      <c r="N1208" s="21">
        <f t="shared" si="949"/>
        <v>3300</v>
      </c>
      <c r="O1208" s="21">
        <f t="shared" si="949"/>
        <v>0</v>
      </c>
      <c r="P1208" s="27">
        <f t="shared" si="949"/>
        <v>0</v>
      </c>
      <c r="Q1208" s="27">
        <f t="shared" si="949"/>
        <v>2</v>
      </c>
      <c r="R1208" s="21"/>
    </row>
    <row r="1209" spans="1:18" ht="14.25" customHeight="1" x14ac:dyDescent="0.15">
      <c r="A1209" s="19">
        <v>2</v>
      </c>
      <c r="B1209" s="19">
        <v>1.5</v>
      </c>
      <c r="C1209" s="19">
        <v>1.2</v>
      </c>
      <c r="D1209" s="19">
        <f>B1209*C1209</f>
        <v>1.7999999999999998</v>
      </c>
      <c r="E1209" s="19"/>
      <c r="F1209" s="67">
        <v>6</v>
      </c>
      <c r="G1209" s="19"/>
      <c r="H1209" s="19"/>
      <c r="I1209" s="19">
        <f>B1209*0.4</f>
        <v>0.60000000000000009</v>
      </c>
      <c r="J1209" s="19">
        <v>1</v>
      </c>
      <c r="K1209" s="19">
        <f t="shared" ref="K1209:L1209" si="950">A1209</f>
        <v>2</v>
      </c>
      <c r="L1209" s="19">
        <f t="shared" si="950"/>
        <v>1.5</v>
      </c>
      <c r="M1209" s="19">
        <f>A1209</f>
        <v>2</v>
      </c>
      <c r="N1209" s="19">
        <f>(1.2*0.4)*2</f>
        <v>0.96</v>
      </c>
      <c r="O1209" s="19"/>
      <c r="P1209" s="24"/>
      <c r="Q1209" s="24"/>
      <c r="R1209" s="19"/>
    </row>
    <row r="1210" spans="1:18" ht="14.25" customHeight="1" x14ac:dyDescent="0.2">
      <c r="A1210" s="19"/>
      <c r="B1210" s="19"/>
      <c r="C1210" s="19"/>
      <c r="D1210" s="26" t="str">
        <f>D1203</f>
        <v>9500</v>
      </c>
      <c r="E1210" s="45">
        <v>1</v>
      </c>
      <c r="F1210" s="67">
        <v>2.5</v>
      </c>
      <c r="G1210" s="45">
        <v>0</v>
      </c>
      <c r="H1210" s="19">
        <f>B1209*2</f>
        <v>3</v>
      </c>
      <c r="I1210" s="19"/>
      <c r="J1210" s="19"/>
      <c r="K1210" s="19"/>
      <c r="L1210" s="19"/>
      <c r="M1210" s="19"/>
      <c r="N1210" s="28"/>
      <c r="O1210" s="19"/>
      <c r="P1210" s="24"/>
      <c r="Q1210" s="24"/>
      <c r="R1210" s="19"/>
    </row>
    <row r="1211" spans="1:18" ht="14.25" customHeight="1" x14ac:dyDescent="0.2">
      <c r="A1211" s="19"/>
      <c r="B1211" s="19"/>
      <c r="C1211" s="19"/>
      <c r="D1211" s="19">
        <f>D1209*D1210</f>
        <v>17100</v>
      </c>
      <c r="E1211" s="45">
        <f>E1210*E1208</f>
        <v>2100</v>
      </c>
      <c r="F1211" s="67">
        <f>F1210*F1209*F1208</f>
        <v>12000</v>
      </c>
      <c r="G1211" s="45">
        <f t="shared" ref="G1211:H1211" si="951">G1208*G1210</f>
        <v>0</v>
      </c>
      <c r="H1211" s="19">
        <f t="shared" si="951"/>
        <v>1140</v>
      </c>
      <c r="I1211" s="19">
        <f t="shared" ref="I1211:N1211" si="952">I1208*I1209</f>
        <v>3300.0000000000005</v>
      </c>
      <c r="J1211" s="19">
        <f t="shared" si="952"/>
        <v>1000</v>
      </c>
      <c r="K1211" s="19">
        <f t="shared" si="952"/>
        <v>750</v>
      </c>
      <c r="L1211" s="19">
        <f t="shared" si="952"/>
        <v>877.5</v>
      </c>
      <c r="M1211" s="19">
        <f t="shared" si="952"/>
        <v>2000</v>
      </c>
      <c r="N1211" s="19">
        <f t="shared" si="952"/>
        <v>3168</v>
      </c>
      <c r="O1211" s="19">
        <f>SUM(D1211:N1211)</f>
        <v>43435.5</v>
      </c>
      <c r="P1211" s="24">
        <f>O1211/A1209</f>
        <v>21717.75</v>
      </c>
      <c r="Q1211" s="24">
        <f>P1211*Q1208</f>
        <v>43435.5</v>
      </c>
      <c r="R1211" s="19">
        <f>MROUND(Q1211,100)</f>
        <v>43400</v>
      </c>
    </row>
    <row r="1212" spans="1:18" ht="14.25" customHeight="1" x14ac:dyDescent="0.15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9"/>
      <c r="Q1212" s="39"/>
    </row>
    <row r="1213" spans="1:18" ht="14.25" customHeight="1" x14ac:dyDescent="0.3">
      <c r="A1213" s="109">
        <f>PRICELIST!I191</f>
        <v>0</v>
      </c>
      <c r="B1213" s="87"/>
      <c r="C1213" s="87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22"/>
      <c r="Q1213" s="22"/>
      <c r="R1213" s="17"/>
    </row>
    <row r="1214" spans="1:18" ht="14.25" customHeight="1" x14ac:dyDescent="0.15">
      <c r="A1214" s="19" t="s">
        <v>57</v>
      </c>
      <c r="B1214" s="19" t="s">
        <v>59</v>
      </c>
      <c r="C1214" s="19" t="s">
        <v>62</v>
      </c>
      <c r="D1214" s="19" t="s">
        <v>64</v>
      </c>
      <c r="E1214" s="19">
        <v>1200</v>
      </c>
      <c r="F1214" s="67" t="s">
        <v>248</v>
      </c>
      <c r="G1214" s="19">
        <v>600</v>
      </c>
      <c r="H1214" s="19" t="s">
        <v>67</v>
      </c>
      <c r="I1214" s="19" t="s">
        <v>68</v>
      </c>
      <c r="J1214" s="19" t="s">
        <v>69</v>
      </c>
      <c r="K1214" s="19" t="s">
        <v>71</v>
      </c>
      <c r="L1214" s="19" t="s">
        <v>72</v>
      </c>
      <c r="M1214" s="19" t="s">
        <v>73</v>
      </c>
      <c r="N1214" s="19" t="s">
        <v>75</v>
      </c>
      <c r="O1214" s="19" t="s">
        <v>76</v>
      </c>
      <c r="P1214" s="24" t="s">
        <v>78</v>
      </c>
      <c r="Q1214" s="24" t="s">
        <v>79</v>
      </c>
      <c r="R1214" s="19" t="s">
        <v>81</v>
      </c>
    </row>
    <row r="1215" spans="1:18" ht="14.25" customHeight="1" x14ac:dyDescent="0.15">
      <c r="A1215" s="21"/>
      <c r="B1215" s="21"/>
      <c r="C1215" s="21"/>
      <c r="D1215" s="21">
        <f t="shared" ref="D1215:E1215" si="953">D1208</f>
        <v>0</v>
      </c>
      <c r="E1215" s="23" t="str">
        <f t="shared" si="953"/>
        <v>2100</v>
      </c>
      <c r="F1215" s="68">
        <v>800</v>
      </c>
      <c r="G1215" s="23" t="str">
        <f t="shared" ref="G1215:H1215" si="954">G1208</f>
        <v>1800</v>
      </c>
      <c r="H1215" s="21">
        <f t="shared" si="954"/>
        <v>380</v>
      </c>
      <c r="I1215" s="23" t="str">
        <f>I1194</f>
        <v>0</v>
      </c>
      <c r="J1215" s="23" t="str">
        <f t="shared" ref="J1215:Q1215" si="955">J1208</f>
        <v>1000</v>
      </c>
      <c r="K1215" s="21">
        <f t="shared" si="955"/>
        <v>375</v>
      </c>
      <c r="L1215" s="21">
        <f t="shared" si="955"/>
        <v>585</v>
      </c>
      <c r="M1215" s="23" t="str">
        <f t="shared" si="955"/>
        <v>1000</v>
      </c>
      <c r="N1215" s="21">
        <f t="shared" si="955"/>
        <v>3300</v>
      </c>
      <c r="O1215" s="21">
        <f t="shared" si="955"/>
        <v>0</v>
      </c>
      <c r="P1215" s="27">
        <f t="shared" si="955"/>
        <v>0</v>
      </c>
      <c r="Q1215" s="27">
        <f t="shared" si="955"/>
        <v>2</v>
      </c>
      <c r="R1215" s="21"/>
    </row>
    <row r="1216" spans="1:18" ht="14.25" customHeight="1" x14ac:dyDescent="0.15">
      <c r="A1216" s="19">
        <v>2</v>
      </c>
      <c r="B1216" s="19">
        <v>1.5</v>
      </c>
      <c r="C1216" s="19">
        <v>1.2</v>
      </c>
      <c r="D1216" s="19">
        <f>B1216*C1216</f>
        <v>1.7999999999999998</v>
      </c>
      <c r="E1216" s="19"/>
      <c r="F1216" s="67">
        <v>6</v>
      </c>
      <c r="G1216" s="19"/>
      <c r="H1216" s="19"/>
      <c r="I1216" s="19">
        <f>B1216*0.4</f>
        <v>0.60000000000000009</v>
      </c>
      <c r="J1216" s="19">
        <v>1</v>
      </c>
      <c r="K1216" s="19">
        <f t="shared" ref="K1216:L1216" si="956">A1216</f>
        <v>2</v>
      </c>
      <c r="L1216" s="19">
        <f t="shared" si="956"/>
        <v>1.5</v>
      </c>
      <c r="M1216" s="19">
        <f>A1216</f>
        <v>2</v>
      </c>
      <c r="N1216" s="19">
        <f>(1.2*0.4)*2</f>
        <v>0.96</v>
      </c>
      <c r="O1216" s="19"/>
      <c r="P1216" s="24"/>
      <c r="Q1216" s="24"/>
      <c r="R1216" s="19"/>
    </row>
    <row r="1217" spans="1:18" ht="14.25" customHeight="1" x14ac:dyDescent="0.2">
      <c r="A1217" s="19"/>
      <c r="B1217" s="19"/>
      <c r="C1217" s="19"/>
      <c r="D1217" s="26" t="str">
        <f>D1210</f>
        <v>9500</v>
      </c>
      <c r="E1217" s="45">
        <v>1</v>
      </c>
      <c r="F1217" s="67">
        <v>2.5</v>
      </c>
      <c r="G1217" s="45">
        <v>0</v>
      </c>
      <c r="H1217" s="19">
        <f>B1216*2</f>
        <v>3</v>
      </c>
      <c r="I1217" s="19"/>
      <c r="J1217" s="19"/>
      <c r="K1217" s="19"/>
      <c r="L1217" s="19"/>
      <c r="M1217" s="19"/>
      <c r="N1217" s="28"/>
      <c r="O1217" s="19"/>
      <c r="P1217" s="24"/>
      <c r="Q1217" s="24"/>
      <c r="R1217" s="19"/>
    </row>
    <row r="1218" spans="1:18" ht="14.25" customHeight="1" x14ac:dyDescent="0.2">
      <c r="A1218" s="19"/>
      <c r="B1218" s="19"/>
      <c r="C1218" s="19"/>
      <c r="D1218" s="19">
        <f>D1216*D1217</f>
        <v>17100</v>
      </c>
      <c r="E1218" s="45">
        <f>E1217*E1215</f>
        <v>2100</v>
      </c>
      <c r="F1218" s="67">
        <f>F1217*F1216*F1215</f>
        <v>12000</v>
      </c>
      <c r="G1218" s="45">
        <f t="shared" ref="G1218:H1218" si="957">G1215*G1217</f>
        <v>0</v>
      </c>
      <c r="H1218" s="19">
        <f t="shared" si="957"/>
        <v>1140</v>
      </c>
      <c r="I1218" s="19">
        <f t="shared" ref="I1218:N1218" si="958">I1215*I1216</f>
        <v>0</v>
      </c>
      <c r="J1218" s="19">
        <f t="shared" si="958"/>
        <v>1000</v>
      </c>
      <c r="K1218" s="19">
        <f t="shared" si="958"/>
        <v>750</v>
      </c>
      <c r="L1218" s="19">
        <f t="shared" si="958"/>
        <v>877.5</v>
      </c>
      <c r="M1218" s="19">
        <f t="shared" si="958"/>
        <v>2000</v>
      </c>
      <c r="N1218" s="19">
        <f t="shared" si="958"/>
        <v>3168</v>
      </c>
      <c r="O1218" s="19">
        <f>SUM(D1218:N1218)</f>
        <v>40135.5</v>
      </c>
      <c r="P1218" s="24">
        <f>O1218/A1216</f>
        <v>20067.75</v>
      </c>
      <c r="Q1218" s="24">
        <f>P1218*Q1215</f>
        <v>40135.5</v>
      </c>
      <c r="R1218" s="19">
        <f>MROUND(Q1218,100)</f>
        <v>40100</v>
      </c>
    </row>
    <row r="1219" spans="1:18" ht="14.25" customHeight="1" x14ac:dyDescent="0.15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9"/>
      <c r="Q1219" s="39"/>
    </row>
    <row r="1220" spans="1:18" ht="14.25" customHeight="1" x14ac:dyDescent="0.3">
      <c r="A1220" s="109">
        <f>PRICELIST!I192</f>
        <v>0</v>
      </c>
      <c r="B1220" s="87"/>
      <c r="C1220" s="87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22"/>
      <c r="Q1220" s="22"/>
      <c r="R1220" s="17"/>
    </row>
    <row r="1221" spans="1:18" ht="14.25" customHeight="1" x14ac:dyDescent="0.15">
      <c r="A1221" s="19" t="s">
        <v>57</v>
      </c>
      <c r="B1221" s="19" t="s">
        <v>59</v>
      </c>
      <c r="C1221" s="19" t="s">
        <v>62</v>
      </c>
      <c r="D1221" s="19" t="s">
        <v>64</v>
      </c>
      <c r="E1221" s="19">
        <v>1200</v>
      </c>
      <c r="F1221" s="67" t="s">
        <v>248</v>
      </c>
      <c r="G1221" s="19">
        <v>600</v>
      </c>
      <c r="H1221" s="19" t="s">
        <v>67</v>
      </c>
      <c r="I1221" s="19" t="s">
        <v>68</v>
      </c>
      <c r="J1221" s="19" t="s">
        <v>69</v>
      </c>
      <c r="K1221" s="19" t="s">
        <v>71</v>
      </c>
      <c r="L1221" s="19" t="s">
        <v>72</v>
      </c>
      <c r="M1221" s="19" t="s">
        <v>73</v>
      </c>
      <c r="N1221" s="19" t="s">
        <v>75</v>
      </c>
      <c r="O1221" s="19" t="s">
        <v>76</v>
      </c>
      <c r="P1221" s="24" t="s">
        <v>78</v>
      </c>
      <c r="Q1221" s="24" t="s">
        <v>79</v>
      </c>
      <c r="R1221" s="19" t="s">
        <v>81</v>
      </c>
    </row>
    <row r="1222" spans="1:18" ht="14.25" customHeight="1" x14ac:dyDescent="0.15">
      <c r="A1222" s="21"/>
      <c r="B1222" s="21"/>
      <c r="C1222" s="21"/>
      <c r="D1222" s="21">
        <f t="shared" ref="D1222:E1222" si="959">D1215</f>
        <v>0</v>
      </c>
      <c r="E1222" s="23" t="str">
        <f t="shared" si="959"/>
        <v>2100</v>
      </c>
      <c r="F1222" s="68">
        <v>800</v>
      </c>
      <c r="G1222" s="23" t="str">
        <f t="shared" ref="G1222:H1222" si="960">G1215</f>
        <v>1800</v>
      </c>
      <c r="H1222" s="21">
        <f t="shared" si="960"/>
        <v>380</v>
      </c>
      <c r="I1222" s="23" t="str">
        <f>I1201</f>
        <v>4800</v>
      </c>
      <c r="J1222" s="23" t="str">
        <f t="shared" ref="J1222:Q1222" si="961">J1215</f>
        <v>1000</v>
      </c>
      <c r="K1222" s="21">
        <f t="shared" si="961"/>
        <v>375</v>
      </c>
      <c r="L1222" s="21">
        <f t="shared" si="961"/>
        <v>585</v>
      </c>
      <c r="M1222" s="23" t="str">
        <f t="shared" si="961"/>
        <v>1000</v>
      </c>
      <c r="N1222" s="21">
        <f t="shared" si="961"/>
        <v>3300</v>
      </c>
      <c r="O1222" s="21">
        <f t="shared" si="961"/>
        <v>0</v>
      </c>
      <c r="P1222" s="27">
        <f t="shared" si="961"/>
        <v>0</v>
      </c>
      <c r="Q1222" s="27">
        <f t="shared" si="961"/>
        <v>2</v>
      </c>
      <c r="R1222" s="21"/>
    </row>
    <row r="1223" spans="1:18" ht="14.25" customHeight="1" x14ac:dyDescent="0.15">
      <c r="A1223" s="19">
        <v>2</v>
      </c>
      <c r="B1223" s="19">
        <v>1.5</v>
      </c>
      <c r="C1223" s="19">
        <v>1.2</v>
      </c>
      <c r="D1223" s="19">
        <f>B1223*C1223</f>
        <v>1.7999999999999998</v>
      </c>
      <c r="E1223" s="19"/>
      <c r="F1223" s="67">
        <v>6</v>
      </c>
      <c r="G1223" s="19"/>
      <c r="H1223" s="19"/>
      <c r="I1223" s="19">
        <f>B1223*0.4</f>
        <v>0.60000000000000009</v>
      </c>
      <c r="J1223" s="19">
        <v>1</v>
      </c>
      <c r="K1223" s="19">
        <f t="shared" ref="K1223:L1223" si="962">A1223</f>
        <v>2</v>
      </c>
      <c r="L1223" s="19">
        <f t="shared" si="962"/>
        <v>1.5</v>
      </c>
      <c r="M1223" s="19">
        <f>A1223</f>
        <v>2</v>
      </c>
      <c r="N1223" s="19">
        <f>(1.2*0.4)*2</f>
        <v>0.96</v>
      </c>
      <c r="O1223" s="19"/>
      <c r="P1223" s="24"/>
      <c r="Q1223" s="24"/>
      <c r="R1223" s="19"/>
    </row>
    <row r="1224" spans="1:18" ht="14.25" customHeight="1" x14ac:dyDescent="0.2">
      <c r="A1224" s="19"/>
      <c r="B1224" s="19"/>
      <c r="C1224" s="19"/>
      <c r="D1224" s="26" t="str">
        <f>D1098</f>
        <v>10500</v>
      </c>
      <c r="E1224" s="45">
        <v>1</v>
      </c>
      <c r="F1224" s="67">
        <v>2.5</v>
      </c>
      <c r="G1224" s="45">
        <v>0</v>
      </c>
      <c r="H1224" s="19">
        <f>B1223*2</f>
        <v>3</v>
      </c>
      <c r="I1224" s="19"/>
      <c r="J1224" s="19"/>
      <c r="K1224" s="19"/>
      <c r="L1224" s="19"/>
      <c r="M1224" s="19"/>
      <c r="N1224" s="28"/>
      <c r="O1224" s="19"/>
      <c r="P1224" s="24"/>
      <c r="Q1224" s="24"/>
      <c r="R1224" s="19"/>
    </row>
    <row r="1225" spans="1:18" ht="14.25" customHeight="1" x14ac:dyDescent="0.2">
      <c r="A1225" s="19"/>
      <c r="B1225" s="19"/>
      <c r="C1225" s="19"/>
      <c r="D1225" s="19">
        <f>D1223*D1224</f>
        <v>18899.999999999996</v>
      </c>
      <c r="E1225" s="45">
        <f>E1224*E1222</f>
        <v>2100</v>
      </c>
      <c r="F1225" s="67">
        <f>F1224*F1223*F1222</f>
        <v>12000</v>
      </c>
      <c r="G1225" s="45">
        <f t="shared" ref="G1225:H1225" si="963">G1222*G1224</f>
        <v>0</v>
      </c>
      <c r="H1225" s="19">
        <f t="shared" si="963"/>
        <v>1140</v>
      </c>
      <c r="I1225" s="19">
        <f t="shared" ref="I1225:N1225" si="964">I1222*I1223</f>
        <v>2880.0000000000005</v>
      </c>
      <c r="J1225" s="19">
        <f t="shared" si="964"/>
        <v>1000</v>
      </c>
      <c r="K1225" s="19">
        <f t="shared" si="964"/>
        <v>750</v>
      </c>
      <c r="L1225" s="19">
        <f t="shared" si="964"/>
        <v>877.5</v>
      </c>
      <c r="M1225" s="19">
        <f t="shared" si="964"/>
        <v>2000</v>
      </c>
      <c r="N1225" s="19">
        <f t="shared" si="964"/>
        <v>3168</v>
      </c>
      <c r="O1225" s="19">
        <f>SUM(D1225:N1225)</f>
        <v>44815.5</v>
      </c>
      <c r="P1225" s="24">
        <f>O1225/A1223</f>
        <v>22407.75</v>
      </c>
      <c r="Q1225" s="24">
        <f>P1225*Q1222</f>
        <v>44815.5</v>
      </c>
      <c r="R1225" s="19">
        <f>MROUND(Q1225,100)</f>
        <v>44800</v>
      </c>
    </row>
    <row r="1226" spans="1:18" ht="14.25" customHeight="1" x14ac:dyDescent="0.15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9"/>
      <c r="Q1226" s="39"/>
    </row>
    <row r="1227" spans="1:18" ht="14.25" customHeight="1" x14ac:dyDescent="0.3">
      <c r="A1227" s="109">
        <f>PRICELIST!I193</f>
        <v>0</v>
      </c>
      <c r="B1227" s="87"/>
      <c r="C1227" s="87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22"/>
      <c r="Q1227" s="22"/>
      <c r="R1227" s="17"/>
    </row>
    <row r="1228" spans="1:18" ht="14.25" customHeight="1" x14ac:dyDescent="0.15">
      <c r="A1228" s="19" t="s">
        <v>57</v>
      </c>
      <c r="B1228" s="19" t="s">
        <v>59</v>
      </c>
      <c r="C1228" s="19" t="s">
        <v>62</v>
      </c>
      <c r="D1228" s="19" t="s">
        <v>64</v>
      </c>
      <c r="E1228" s="19">
        <v>1200</v>
      </c>
      <c r="F1228" s="67" t="s">
        <v>248</v>
      </c>
      <c r="G1228" s="19">
        <v>600</v>
      </c>
      <c r="H1228" s="19" t="s">
        <v>67</v>
      </c>
      <c r="I1228" s="19" t="s">
        <v>68</v>
      </c>
      <c r="J1228" s="19" t="s">
        <v>69</v>
      </c>
      <c r="K1228" s="19" t="s">
        <v>71</v>
      </c>
      <c r="L1228" s="19" t="s">
        <v>72</v>
      </c>
      <c r="M1228" s="19" t="s">
        <v>73</v>
      </c>
      <c r="N1228" s="19" t="s">
        <v>75</v>
      </c>
      <c r="O1228" s="19" t="s">
        <v>76</v>
      </c>
      <c r="P1228" s="24" t="s">
        <v>78</v>
      </c>
      <c r="Q1228" s="24" t="s">
        <v>79</v>
      </c>
      <c r="R1228" s="19" t="s">
        <v>81</v>
      </c>
    </row>
    <row r="1229" spans="1:18" ht="14.25" customHeight="1" x14ac:dyDescent="0.15">
      <c r="A1229" s="21"/>
      <c r="B1229" s="21"/>
      <c r="C1229" s="21"/>
      <c r="D1229" s="21">
        <f t="shared" ref="D1229:E1229" si="965">D1222</f>
        <v>0</v>
      </c>
      <c r="E1229" s="23" t="str">
        <f t="shared" si="965"/>
        <v>2100</v>
      </c>
      <c r="F1229" s="68">
        <v>800</v>
      </c>
      <c r="G1229" s="23" t="str">
        <f t="shared" ref="G1229:H1229" si="966">G1222</f>
        <v>1800</v>
      </c>
      <c r="H1229" s="21">
        <f t="shared" si="966"/>
        <v>380</v>
      </c>
      <c r="I1229" s="23" t="str">
        <f>I1208</f>
        <v>5500</v>
      </c>
      <c r="J1229" s="23" t="str">
        <f t="shared" ref="J1229:Q1229" si="967">J1222</f>
        <v>1000</v>
      </c>
      <c r="K1229" s="21">
        <f t="shared" si="967"/>
        <v>375</v>
      </c>
      <c r="L1229" s="21">
        <f t="shared" si="967"/>
        <v>585</v>
      </c>
      <c r="M1229" s="23" t="str">
        <f t="shared" si="967"/>
        <v>1000</v>
      </c>
      <c r="N1229" s="21">
        <f t="shared" si="967"/>
        <v>3300</v>
      </c>
      <c r="O1229" s="21">
        <f t="shared" si="967"/>
        <v>0</v>
      </c>
      <c r="P1229" s="27">
        <f t="shared" si="967"/>
        <v>0</v>
      </c>
      <c r="Q1229" s="27">
        <f t="shared" si="967"/>
        <v>2</v>
      </c>
      <c r="R1229" s="21"/>
    </row>
    <row r="1230" spans="1:18" ht="14.25" customHeight="1" x14ac:dyDescent="0.15">
      <c r="A1230" s="19">
        <v>2</v>
      </c>
      <c r="B1230" s="19">
        <v>1.5</v>
      </c>
      <c r="C1230" s="19">
        <v>1.2</v>
      </c>
      <c r="D1230" s="19">
        <f>B1230*C1230</f>
        <v>1.7999999999999998</v>
      </c>
      <c r="E1230" s="19"/>
      <c r="F1230" s="67">
        <v>6</v>
      </c>
      <c r="G1230" s="19"/>
      <c r="H1230" s="19"/>
      <c r="I1230" s="19">
        <f>B1230*0.4</f>
        <v>0.60000000000000009</v>
      </c>
      <c r="J1230" s="19">
        <v>1</v>
      </c>
      <c r="K1230" s="19">
        <f t="shared" ref="K1230:L1230" si="968">A1230</f>
        <v>2</v>
      </c>
      <c r="L1230" s="19">
        <f t="shared" si="968"/>
        <v>1.5</v>
      </c>
      <c r="M1230" s="19">
        <f>A1230</f>
        <v>2</v>
      </c>
      <c r="N1230" s="19">
        <f>(1.2*0.4)*2</f>
        <v>0.96</v>
      </c>
      <c r="O1230" s="19"/>
      <c r="P1230" s="24"/>
      <c r="Q1230" s="24"/>
      <c r="R1230" s="19"/>
    </row>
    <row r="1231" spans="1:18" ht="14.25" customHeight="1" x14ac:dyDescent="0.2">
      <c r="A1231" s="19"/>
      <c r="B1231" s="19"/>
      <c r="C1231" s="19"/>
      <c r="D1231" s="26" t="str">
        <f>D1224</f>
        <v>10500</v>
      </c>
      <c r="E1231" s="45">
        <v>1</v>
      </c>
      <c r="F1231" s="67">
        <v>2.5</v>
      </c>
      <c r="G1231" s="45">
        <v>0</v>
      </c>
      <c r="H1231" s="19">
        <f>B1230*2</f>
        <v>3</v>
      </c>
      <c r="I1231" s="19"/>
      <c r="J1231" s="19"/>
      <c r="K1231" s="19"/>
      <c r="L1231" s="19"/>
      <c r="M1231" s="19"/>
      <c r="N1231" s="28"/>
      <c r="O1231" s="19"/>
      <c r="P1231" s="24"/>
      <c r="Q1231" s="24"/>
      <c r="R1231" s="19"/>
    </row>
    <row r="1232" spans="1:18" ht="14.25" customHeight="1" x14ac:dyDescent="0.2">
      <c r="A1232" s="19"/>
      <c r="B1232" s="19"/>
      <c r="C1232" s="19"/>
      <c r="D1232" s="19">
        <f>D1230*D1231</f>
        <v>18899.999999999996</v>
      </c>
      <c r="E1232" s="45">
        <f>E1231*E1229</f>
        <v>2100</v>
      </c>
      <c r="F1232" s="67">
        <f>F1231*F1230*F1229</f>
        <v>12000</v>
      </c>
      <c r="G1232" s="45">
        <f t="shared" ref="G1232:H1232" si="969">G1229*G1231</f>
        <v>0</v>
      </c>
      <c r="H1232" s="19">
        <f t="shared" si="969"/>
        <v>1140</v>
      </c>
      <c r="I1232" s="19">
        <f t="shared" ref="I1232:N1232" si="970">I1229*I1230</f>
        <v>3300.0000000000005</v>
      </c>
      <c r="J1232" s="19">
        <f t="shared" si="970"/>
        <v>1000</v>
      </c>
      <c r="K1232" s="19">
        <f t="shared" si="970"/>
        <v>750</v>
      </c>
      <c r="L1232" s="19">
        <f t="shared" si="970"/>
        <v>877.5</v>
      </c>
      <c r="M1232" s="19">
        <f t="shared" si="970"/>
        <v>2000</v>
      </c>
      <c r="N1232" s="19">
        <f t="shared" si="970"/>
        <v>3168</v>
      </c>
      <c r="O1232" s="19">
        <f>SUM(D1232:N1232)</f>
        <v>45235.5</v>
      </c>
      <c r="P1232" s="24">
        <f>O1232/A1230</f>
        <v>22617.75</v>
      </c>
      <c r="Q1232" s="24">
        <f>P1232*Q1229</f>
        <v>45235.5</v>
      </c>
      <c r="R1232" s="19">
        <f>MROUND(Q1232,100)</f>
        <v>45200</v>
      </c>
    </row>
    <row r="1233" spans="1:18" ht="14.25" customHeight="1" x14ac:dyDescent="0.15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9"/>
      <c r="Q1233" s="39"/>
    </row>
    <row r="1234" spans="1:18" ht="14.25" customHeight="1" x14ac:dyDescent="0.3">
      <c r="A1234" s="109">
        <f>PRICELIST!I194</f>
        <v>0</v>
      </c>
      <c r="B1234" s="87"/>
      <c r="C1234" s="87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22"/>
      <c r="Q1234" s="22"/>
      <c r="R1234" s="17"/>
    </row>
    <row r="1235" spans="1:18" ht="14.25" customHeight="1" x14ac:dyDescent="0.15">
      <c r="A1235" s="19" t="s">
        <v>57</v>
      </c>
      <c r="B1235" s="19" t="s">
        <v>59</v>
      </c>
      <c r="C1235" s="19" t="s">
        <v>62</v>
      </c>
      <c r="D1235" s="19" t="s">
        <v>64</v>
      </c>
      <c r="E1235" s="19">
        <v>1200</v>
      </c>
      <c r="F1235" s="67" t="s">
        <v>248</v>
      </c>
      <c r="G1235" s="19">
        <v>600</v>
      </c>
      <c r="H1235" s="19" t="s">
        <v>67</v>
      </c>
      <c r="I1235" s="19" t="s">
        <v>68</v>
      </c>
      <c r="J1235" s="19" t="s">
        <v>69</v>
      </c>
      <c r="K1235" s="19" t="s">
        <v>71</v>
      </c>
      <c r="L1235" s="19" t="s">
        <v>72</v>
      </c>
      <c r="M1235" s="19" t="s">
        <v>73</v>
      </c>
      <c r="N1235" s="19" t="s">
        <v>75</v>
      </c>
      <c r="O1235" s="19" t="s">
        <v>76</v>
      </c>
      <c r="P1235" s="24" t="s">
        <v>78</v>
      </c>
      <c r="Q1235" s="24" t="s">
        <v>79</v>
      </c>
      <c r="R1235" s="19" t="s">
        <v>81</v>
      </c>
    </row>
    <row r="1236" spans="1:18" ht="14.25" customHeight="1" x14ac:dyDescent="0.15">
      <c r="A1236" s="21"/>
      <c r="B1236" s="21"/>
      <c r="C1236" s="21"/>
      <c r="D1236" s="21">
        <f t="shared" ref="D1236:E1236" si="971">D1229</f>
        <v>0</v>
      </c>
      <c r="E1236" s="23" t="str">
        <f t="shared" si="971"/>
        <v>2100</v>
      </c>
      <c r="F1236" s="68">
        <v>800</v>
      </c>
      <c r="G1236" s="23" t="str">
        <f t="shared" ref="G1236:H1236" si="972">G1229</f>
        <v>1800</v>
      </c>
      <c r="H1236" s="21">
        <f t="shared" si="972"/>
        <v>380</v>
      </c>
      <c r="I1236" s="23" t="str">
        <f>I1215</f>
        <v>0</v>
      </c>
      <c r="J1236" s="23" t="str">
        <f t="shared" ref="J1236:Q1236" si="973">J1229</f>
        <v>1000</v>
      </c>
      <c r="K1236" s="21">
        <f t="shared" si="973"/>
        <v>375</v>
      </c>
      <c r="L1236" s="21">
        <f t="shared" si="973"/>
        <v>585</v>
      </c>
      <c r="M1236" s="23" t="str">
        <f t="shared" si="973"/>
        <v>1000</v>
      </c>
      <c r="N1236" s="21">
        <f t="shared" si="973"/>
        <v>3300</v>
      </c>
      <c r="O1236" s="21">
        <f t="shared" si="973"/>
        <v>0</v>
      </c>
      <c r="P1236" s="27">
        <f t="shared" si="973"/>
        <v>0</v>
      </c>
      <c r="Q1236" s="27">
        <f t="shared" si="973"/>
        <v>2</v>
      </c>
      <c r="R1236" s="21"/>
    </row>
    <row r="1237" spans="1:18" ht="14.25" customHeight="1" x14ac:dyDescent="0.15">
      <c r="A1237" s="19">
        <v>2</v>
      </c>
      <c r="B1237" s="19">
        <v>1.5</v>
      </c>
      <c r="C1237" s="19">
        <v>1.2</v>
      </c>
      <c r="D1237" s="19">
        <f>B1237*C1237</f>
        <v>1.7999999999999998</v>
      </c>
      <c r="E1237" s="19"/>
      <c r="F1237" s="67">
        <v>6</v>
      </c>
      <c r="G1237" s="19"/>
      <c r="H1237" s="19"/>
      <c r="I1237" s="19">
        <f>B1237*0.4</f>
        <v>0.60000000000000009</v>
      </c>
      <c r="J1237" s="19">
        <v>1</v>
      </c>
      <c r="K1237" s="19">
        <f t="shared" ref="K1237:L1237" si="974">A1237</f>
        <v>2</v>
      </c>
      <c r="L1237" s="19">
        <f t="shared" si="974"/>
        <v>1.5</v>
      </c>
      <c r="M1237" s="19">
        <f>A1237</f>
        <v>2</v>
      </c>
      <c r="N1237" s="19">
        <f>(1.2*0.4)*2</f>
        <v>0.96</v>
      </c>
      <c r="O1237" s="19"/>
      <c r="P1237" s="24"/>
      <c r="Q1237" s="24"/>
      <c r="R1237" s="19"/>
    </row>
    <row r="1238" spans="1:18" ht="14.25" customHeight="1" x14ac:dyDescent="0.2">
      <c r="A1238" s="19"/>
      <c r="B1238" s="19"/>
      <c r="C1238" s="19"/>
      <c r="D1238" s="26" t="str">
        <f>D1231</f>
        <v>10500</v>
      </c>
      <c r="E1238" s="45">
        <v>1</v>
      </c>
      <c r="F1238" s="67">
        <v>2.5</v>
      </c>
      <c r="G1238" s="45">
        <v>0</v>
      </c>
      <c r="H1238" s="19">
        <f>B1237*2</f>
        <v>3</v>
      </c>
      <c r="I1238" s="19"/>
      <c r="J1238" s="19"/>
      <c r="K1238" s="19"/>
      <c r="L1238" s="19"/>
      <c r="M1238" s="19"/>
      <c r="N1238" s="28"/>
      <c r="O1238" s="19"/>
      <c r="P1238" s="24"/>
      <c r="Q1238" s="24"/>
      <c r="R1238" s="19"/>
    </row>
    <row r="1239" spans="1:18" ht="14.25" customHeight="1" x14ac:dyDescent="0.2">
      <c r="A1239" s="19"/>
      <c r="B1239" s="19"/>
      <c r="C1239" s="19"/>
      <c r="D1239" s="19">
        <f>D1237*D1238</f>
        <v>18899.999999999996</v>
      </c>
      <c r="E1239" s="45">
        <f>E1238*E1236</f>
        <v>2100</v>
      </c>
      <c r="F1239" s="67">
        <f>F1238*F1237*F1236</f>
        <v>12000</v>
      </c>
      <c r="G1239" s="45">
        <f t="shared" ref="G1239:H1239" si="975">G1236*G1238</f>
        <v>0</v>
      </c>
      <c r="H1239" s="19">
        <f t="shared" si="975"/>
        <v>1140</v>
      </c>
      <c r="I1239" s="19">
        <f t="shared" ref="I1239:N1239" si="976">I1236*I1237</f>
        <v>0</v>
      </c>
      <c r="J1239" s="19">
        <f t="shared" si="976"/>
        <v>1000</v>
      </c>
      <c r="K1239" s="19">
        <f t="shared" si="976"/>
        <v>750</v>
      </c>
      <c r="L1239" s="19">
        <f t="shared" si="976"/>
        <v>877.5</v>
      </c>
      <c r="M1239" s="19">
        <f t="shared" si="976"/>
        <v>2000</v>
      </c>
      <c r="N1239" s="19">
        <f t="shared" si="976"/>
        <v>3168</v>
      </c>
      <c r="O1239" s="19">
        <f>SUM(D1239:N1239)</f>
        <v>41935.5</v>
      </c>
      <c r="P1239" s="24">
        <f>O1239/A1237</f>
        <v>20967.75</v>
      </c>
      <c r="Q1239" s="24">
        <f>P1239*Q1236</f>
        <v>41935.5</v>
      </c>
      <c r="R1239" s="19">
        <f>MROUND(Q1239,100)</f>
        <v>41900</v>
      </c>
    </row>
    <row r="1240" spans="1:18" ht="14.25" customHeight="1" x14ac:dyDescent="0.15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9"/>
      <c r="Q1240" s="39"/>
    </row>
    <row r="1241" spans="1:18" ht="14.25" customHeight="1" x14ac:dyDescent="0.3">
      <c r="A1241" s="109">
        <f>PRICELIST!I195</f>
        <v>0</v>
      </c>
      <c r="B1241" s="87"/>
      <c r="C1241" s="87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22"/>
      <c r="Q1241" s="22"/>
      <c r="R1241" s="17"/>
    </row>
    <row r="1242" spans="1:18" ht="14.25" customHeight="1" x14ac:dyDescent="0.15">
      <c r="A1242" s="19" t="s">
        <v>57</v>
      </c>
      <c r="B1242" s="19" t="s">
        <v>59</v>
      </c>
      <c r="C1242" s="19" t="s">
        <v>62</v>
      </c>
      <c r="D1242" s="19" t="s">
        <v>64</v>
      </c>
      <c r="E1242" s="19">
        <v>1200</v>
      </c>
      <c r="F1242" s="67" t="s">
        <v>248</v>
      </c>
      <c r="G1242" s="19">
        <v>600</v>
      </c>
      <c r="H1242" s="19" t="s">
        <v>67</v>
      </c>
      <c r="I1242" s="19" t="s">
        <v>68</v>
      </c>
      <c r="J1242" s="19" t="s">
        <v>69</v>
      </c>
      <c r="K1242" s="19" t="s">
        <v>71</v>
      </c>
      <c r="L1242" s="19" t="s">
        <v>72</v>
      </c>
      <c r="M1242" s="19" t="s">
        <v>73</v>
      </c>
      <c r="N1242" s="19" t="s">
        <v>75</v>
      </c>
      <c r="O1242" s="19" t="s">
        <v>76</v>
      </c>
      <c r="P1242" s="24" t="s">
        <v>78</v>
      </c>
      <c r="Q1242" s="24" t="s">
        <v>79</v>
      </c>
      <c r="R1242" s="19" t="s">
        <v>81</v>
      </c>
    </row>
    <row r="1243" spans="1:18" ht="14.25" customHeight="1" x14ac:dyDescent="0.15">
      <c r="A1243" s="21"/>
      <c r="B1243" s="21"/>
      <c r="C1243" s="21"/>
      <c r="D1243" s="21">
        <f t="shared" ref="D1243:E1243" si="977">D1236</f>
        <v>0</v>
      </c>
      <c r="E1243" s="23" t="str">
        <f t="shared" si="977"/>
        <v>2100</v>
      </c>
      <c r="F1243" s="68">
        <v>800</v>
      </c>
      <c r="G1243" s="23" t="str">
        <f t="shared" ref="G1243:H1243" si="978">G1236</f>
        <v>1800</v>
      </c>
      <c r="H1243" s="21">
        <f t="shared" si="978"/>
        <v>380</v>
      </c>
      <c r="I1243" s="23" t="str">
        <f>I1222</f>
        <v>4800</v>
      </c>
      <c r="J1243" s="23" t="str">
        <f t="shared" ref="J1243:Q1243" si="979">J1236</f>
        <v>1000</v>
      </c>
      <c r="K1243" s="21">
        <f t="shared" si="979"/>
        <v>375</v>
      </c>
      <c r="L1243" s="21">
        <f t="shared" si="979"/>
        <v>585</v>
      </c>
      <c r="M1243" s="23" t="str">
        <f t="shared" si="979"/>
        <v>1000</v>
      </c>
      <c r="N1243" s="21">
        <f t="shared" si="979"/>
        <v>3300</v>
      </c>
      <c r="O1243" s="21">
        <f t="shared" si="979"/>
        <v>0</v>
      </c>
      <c r="P1243" s="27">
        <f t="shared" si="979"/>
        <v>0</v>
      </c>
      <c r="Q1243" s="27">
        <f t="shared" si="979"/>
        <v>2</v>
      </c>
      <c r="R1243" s="21"/>
    </row>
    <row r="1244" spans="1:18" ht="14.25" customHeight="1" x14ac:dyDescent="0.15">
      <c r="A1244" s="19">
        <v>2</v>
      </c>
      <c r="B1244" s="19">
        <v>1.5</v>
      </c>
      <c r="C1244" s="19">
        <v>1.2</v>
      </c>
      <c r="D1244" s="19">
        <f>B1244*C1244</f>
        <v>1.7999999999999998</v>
      </c>
      <c r="E1244" s="19"/>
      <c r="F1244" s="67">
        <v>6</v>
      </c>
      <c r="G1244" s="19"/>
      <c r="H1244" s="19"/>
      <c r="I1244" s="19">
        <f>B1244*0.4</f>
        <v>0.60000000000000009</v>
      </c>
      <c r="J1244" s="19">
        <v>1</v>
      </c>
      <c r="K1244" s="19">
        <f t="shared" ref="K1244:L1244" si="980">A1244</f>
        <v>2</v>
      </c>
      <c r="L1244" s="19">
        <f t="shared" si="980"/>
        <v>1.5</v>
      </c>
      <c r="M1244" s="19">
        <f>A1244</f>
        <v>2</v>
      </c>
      <c r="N1244" s="19">
        <f>(1.2*0.4)*2</f>
        <v>0.96</v>
      </c>
      <c r="O1244" s="19"/>
      <c r="P1244" s="24"/>
      <c r="Q1244" s="24"/>
      <c r="R1244" s="19"/>
    </row>
    <row r="1245" spans="1:18" ht="14.25" customHeight="1" x14ac:dyDescent="0.2">
      <c r="A1245" s="19"/>
      <c r="B1245" s="19"/>
      <c r="C1245" s="19"/>
      <c r="D1245" s="26" t="str">
        <f>D1119</f>
        <v>16250</v>
      </c>
      <c r="E1245" s="45">
        <v>1</v>
      </c>
      <c r="F1245" s="67">
        <v>2.5</v>
      </c>
      <c r="G1245" s="45">
        <v>0</v>
      </c>
      <c r="H1245" s="19">
        <f>B1244*2</f>
        <v>3</v>
      </c>
      <c r="I1245" s="19"/>
      <c r="J1245" s="19"/>
      <c r="K1245" s="19"/>
      <c r="L1245" s="19"/>
      <c r="M1245" s="19"/>
      <c r="N1245" s="28"/>
      <c r="O1245" s="19"/>
      <c r="P1245" s="24"/>
      <c r="Q1245" s="24"/>
      <c r="R1245" s="19"/>
    </row>
    <row r="1246" spans="1:18" ht="14.25" customHeight="1" x14ac:dyDescent="0.2">
      <c r="A1246" s="19"/>
      <c r="B1246" s="19"/>
      <c r="C1246" s="19"/>
      <c r="D1246" s="19">
        <f>D1244*D1245</f>
        <v>29249.999999999996</v>
      </c>
      <c r="E1246" s="45">
        <f>E1245*E1243</f>
        <v>2100</v>
      </c>
      <c r="F1246" s="67">
        <f>F1245*F1244*F1243</f>
        <v>12000</v>
      </c>
      <c r="G1246" s="45">
        <f t="shared" ref="G1246:H1246" si="981">G1243*G1245</f>
        <v>0</v>
      </c>
      <c r="H1246" s="19">
        <f t="shared" si="981"/>
        <v>1140</v>
      </c>
      <c r="I1246" s="19">
        <f t="shared" ref="I1246:N1246" si="982">I1243*I1244</f>
        <v>2880.0000000000005</v>
      </c>
      <c r="J1246" s="19">
        <f t="shared" si="982"/>
        <v>1000</v>
      </c>
      <c r="K1246" s="19">
        <f t="shared" si="982"/>
        <v>750</v>
      </c>
      <c r="L1246" s="19">
        <f t="shared" si="982"/>
        <v>877.5</v>
      </c>
      <c r="M1246" s="19">
        <f t="shared" si="982"/>
        <v>2000</v>
      </c>
      <c r="N1246" s="19">
        <f t="shared" si="982"/>
        <v>3168</v>
      </c>
      <c r="O1246" s="19">
        <f>SUM(D1246:N1246)</f>
        <v>55165.5</v>
      </c>
      <c r="P1246" s="24">
        <f>O1246/A1244</f>
        <v>27582.75</v>
      </c>
      <c r="Q1246" s="24">
        <f>P1246*Q1243</f>
        <v>55165.5</v>
      </c>
      <c r="R1246" s="19">
        <f>MROUND(Q1246,100)</f>
        <v>55200</v>
      </c>
    </row>
    <row r="1247" spans="1:18" ht="14.25" customHeight="1" x14ac:dyDescent="0.15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9"/>
      <c r="Q1247" s="39"/>
    </row>
    <row r="1248" spans="1:18" ht="14.25" customHeight="1" x14ac:dyDescent="0.3">
      <c r="A1248" s="109">
        <f>PRICELIST!I196</f>
        <v>0</v>
      </c>
      <c r="B1248" s="87"/>
      <c r="C1248" s="87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22"/>
      <c r="Q1248" s="22"/>
      <c r="R1248" s="17"/>
    </row>
    <row r="1249" spans="1:18" ht="14.25" customHeight="1" x14ac:dyDescent="0.15">
      <c r="A1249" s="19" t="s">
        <v>57</v>
      </c>
      <c r="B1249" s="19" t="s">
        <v>59</v>
      </c>
      <c r="C1249" s="19" t="s">
        <v>62</v>
      </c>
      <c r="D1249" s="19" t="s">
        <v>64</v>
      </c>
      <c r="E1249" s="19">
        <v>1200</v>
      </c>
      <c r="F1249" s="67" t="s">
        <v>248</v>
      </c>
      <c r="G1249" s="19">
        <v>600</v>
      </c>
      <c r="H1249" s="19" t="s">
        <v>67</v>
      </c>
      <c r="I1249" s="19" t="s">
        <v>68</v>
      </c>
      <c r="J1249" s="19" t="s">
        <v>69</v>
      </c>
      <c r="K1249" s="19" t="s">
        <v>71</v>
      </c>
      <c r="L1249" s="19" t="s">
        <v>72</v>
      </c>
      <c r="M1249" s="19" t="s">
        <v>73</v>
      </c>
      <c r="N1249" s="19" t="s">
        <v>75</v>
      </c>
      <c r="O1249" s="19" t="s">
        <v>76</v>
      </c>
      <c r="P1249" s="24" t="s">
        <v>78</v>
      </c>
      <c r="Q1249" s="24" t="s">
        <v>79</v>
      </c>
      <c r="R1249" s="19" t="s">
        <v>81</v>
      </c>
    </row>
    <row r="1250" spans="1:18" ht="14.25" customHeight="1" x14ac:dyDescent="0.15">
      <c r="A1250" s="21"/>
      <c r="B1250" s="21"/>
      <c r="C1250" s="21"/>
      <c r="D1250" s="21">
        <f t="shared" ref="D1250:E1250" si="983">D1243</f>
        <v>0</v>
      </c>
      <c r="E1250" s="23" t="str">
        <f t="shared" si="983"/>
        <v>2100</v>
      </c>
      <c r="F1250" s="68">
        <v>800</v>
      </c>
      <c r="G1250" s="23" t="str">
        <f t="shared" ref="G1250:H1250" si="984">G1243</f>
        <v>1800</v>
      </c>
      <c r="H1250" s="21">
        <f t="shared" si="984"/>
        <v>380</v>
      </c>
      <c r="I1250" s="23" t="str">
        <f>I1229</f>
        <v>5500</v>
      </c>
      <c r="J1250" s="23" t="str">
        <f t="shared" ref="J1250:Q1250" si="985">J1243</f>
        <v>1000</v>
      </c>
      <c r="K1250" s="21">
        <f t="shared" si="985"/>
        <v>375</v>
      </c>
      <c r="L1250" s="21">
        <f t="shared" si="985"/>
        <v>585</v>
      </c>
      <c r="M1250" s="23" t="str">
        <f t="shared" si="985"/>
        <v>1000</v>
      </c>
      <c r="N1250" s="21">
        <f t="shared" si="985"/>
        <v>3300</v>
      </c>
      <c r="O1250" s="21">
        <f t="shared" si="985"/>
        <v>0</v>
      </c>
      <c r="P1250" s="27">
        <f t="shared" si="985"/>
        <v>0</v>
      </c>
      <c r="Q1250" s="27">
        <f t="shared" si="985"/>
        <v>2</v>
      </c>
      <c r="R1250" s="21"/>
    </row>
    <row r="1251" spans="1:18" ht="14.25" customHeight="1" x14ac:dyDescent="0.15">
      <c r="A1251" s="19">
        <v>2</v>
      </c>
      <c r="B1251" s="19">
        <v>1.5</v>
      </c>
      <c r="C1251" s="19">
        <v>1.2</v>
      </c>
      <c r="D1251" s="19">
        <f>B1251*C1251</f>
        <v>1.7999999999999998</v>
      </c>
      <c r="E1251" s="19"/>
      <c r="F1251" s="67">
        <v>6</v>
      </c>
      <c r="G1251" s="19"/>
      <c r="H1251" s="19"/>
      <c r="I1251" s="19">
        <f>B1251*0.4</f>
        <v>0.60000000000000009</v>
      </c>
      <c r="J1251" s="19">
        <v>1</v>
      </c>
      <c r="K1251" s="19">
        <f t="shared" ref="K1251:L1251" si="986">A1251</f>
        <v>2</v>
      </c>
      <c r="L1251" s="19">
        <f t="shared" si="986"/>
        <v>1.5</v>
      </c>
      <c r="M1251" s="19">
        <f>A1251</f>
        <v>2</v>
      </c>
      <c r="N1251" s="19">
        <f>(1.2*0.4)*2</f>
        <v>0.96</v>
      </c>
      <c r="O1251" s="19"/>
      <c r="P1251" s="24"/>
      <c r="Q1251" s="24"/>
      <c r="R1251" s="19"/>
    </row>
    <row r="1252" spans="1:18" ht="14.25" customHeight="1" x14ac:dyDescent="0.2">
      <c r="A1252" s="19"/>
      <c r="B1252" s="19"/>
      <c r="C1252" s="19"/>
      <c r="D1252" s="26" t="str">
        <f>D1245</f>
        <v>16250</v>
      </c>
      <c r="E1252" s="45">
        <v>1</v>
      </c>
      <c r="F1252" s="67">
        <v>2.5</v>
      </c>
      <c r="G1252" s="45">
        <v>0</v>
      </c>
      <c r="H1252" s="19">
        <f>B1251*2</f>
        <v>3</v>
      </c>
      <c r="I1252" s="19"/>
      <c r="J1252" s="19"/>
      <c r="K1252" s="19"/>
      <c r="L1252" s="19"/>
      <c r="M1252" s="19"/>
      <c r="N1252" s="28"/>
      <c r="O1252" s="19"/>
      <c r="P1252" s="24"/>
      <c r="Q1252" s="24"/>
      <c r="R1252" s="19"/>
    </row>
    <row r="1253" spans="1:18" ht="14.25" customHeight="1" x14ac:dyDescent="0.2">
      <c r="A1253" s="19"/>
      <c r="B1253" s="19"/>
      <c r="C1253" s="19"/>
      <c r="D1253" s="19">
        <f>D1251*D1252</f>
        <v>29249.999999999996</v>
      </c>
      <c r="E1253" s="45">
        <f>E1252*E1250</f>
        <v>2100</v>
      </c>
      <c r="F1253" s="67">
        <f>F1252*F1251*F1250</f>
        <v>12000</v>
      </c>
      <c r="G1253" s="45">
        <f t="shared" ref="G1253:H1253" si="987">G1250*G1252</f>
        <v>0</v>
      </c>
      <c r="H1253" s="19">
        <f t="shared" si="987"/>
        <v>1140</v>
      </c>
      <c r="I1253" s="19">
        <f t="shared" ref="I1253:N1253" si="988">I1250*I1251</f>
        <v>3300.0000000000005</v>
      </c>
      <c r="J1253" s="19">
        <f t="shared" si="988"/>
        <v>1000</v>
      </c>
      <c r="K1253" s="19">
        <f t="shared" si="988"/>
        <v>750</v>
      </c>
      <c r="L1253" s="19">
        <f t="shared" si="988"/>
        <v>877.5</v>
      </c>
      <c r="M1253" s="19">
        <f t="shared" si="988"/>
        <v>2000</v>
      </c>
      <c r="N1253" s="19">
        <f t="shared" si="988"/>
        <v>3168</v>
      </c>
      <c r="O1253" s="19">
        <f>SUM(D1253:N1253)</f>
        <v>55585.5</v>
      </c>
      <c r="P1253" s="24">
        <f>O1253/A1251</f>
        <v>27792.75</v>
      </c>
      <c r="Q1253" s="24">
        <f>P1253*Q1250</f>
        <v>55585.5</v>
      </c>
      <c r="R1253" s="19">
        <f>MROUND(Q1253,100)</f>
        <v>55600</v>
      </c>
    </row>
    <row r="1254" spans="1:18" ht="14.25" customHeight="1" x14ac:dyDescent="0.15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9"/>
      <c r="Q1254" s="39"/>
    </row>
    <row r="1255" spans="1:18" ht="14.25" customHeight="1" x14ac:dyDescent="0.3">
      <c r="A1255" s="109">
        <f>PRICELIST!I197</f>
        <v>0</v>
      </c>
      <c r="B1255" s="87"/>
      <c r="C1255" s="87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22"/>
      <c r="Q1255" s="22"/>
      <c r="R1255" s="17"/>
    </row>
    <row r="1256" spans="1:18" ht="14.25" customHeight="1" x14ac:dyDescent="0.15">
      <c r="A1256" s="19" t="s">
        <v>57</v>
      </c>
      <c r="B1256" s="19" t="s">
        <v>59</v>
      </c>
      <c r="C1256" s="19" t="s">
        <v>62</v>
      </c>
      <c r="D1256" s="19" t="s">
        <v>64</v>
      </c>
      <c r="E1256" s="19">
        <v>1200</v>
      </c>
      <c r="F1256" s="67" t="s">
        <v>248</v>
      </c>
      <c r="G1256" s="19">
        <v>600</v>
      </c>
      <c r="H1256" s="19" t="s">
        <v>67</v>
      </c>
      <c r="I1256" s="19" t="s">
        <v>68</v>
      </c>
      <c r="J1256" s="19" t="s">
        <v>69</v>
      </c>
      <c r="K1256" s="19" t="s">
        <v>71</v>
      </c>
      <c r="L1256" s="19" t="s">
        <v>72</v>
      </c>
      <c r="M1256" s="19" t="s">
        <v>73</v>
      </c>
      <c r="N1256" s="19" t="s">
        <v>75</v>
      </c>
      <c r="O1256" s="19" t="s">
        <v>76</v>
      </c>
      <c r="P1256" s="24" t="s">
        <v>78</v>
      </c>
      <c r="Q1256" s="24" t="s">
        <v>79</v>
      </c>
      <c r="R1256" s="19" t="s">
        <v>81</v>
      </c>
    </row>
    <row r="1257" spans="1:18" ht="14.25" customHeight="1" x14ac:dyDescent="0.15">
      <c r="A1257" s="21"/>
      <c r="B1257" s="21"/>
      <c r="C1257" s="21"/>
      <c r="D1257" s="21">
        <f t="shared" ref="D1257:E1257" si="989">D1250</f>
        <v>0</v>
      </c>
      <c r="E1257" s="23" t="str">
        <f t="shared" si="989"/>
        <v>2100</v>
      </c>
      <c r="F1257" s="68">
        <v>800</v>
      </c>
      <c r="G1257" s="23" t="str">
        <f t="shared" ref="G1257:H1257" si="990">G1250</f>
        <v>1800</v>
      </c>
      <c r="H1257" s="21">
        <f t="shared" si="990"/>
        <v>380</v>
      </c>
      <c r="I1257" s="23" t="str">
        <f>I1236</f>
        <v>0</v>
      </c>
      <c r="J1257" s="23" t="str">
        <f t="shared" ref="J1257:Q1257" si="991">J1250</f>
        <v>1000</v>
      </c>
      <c r="K1257" s="21">
        <f t="shared" si="991"/>
        <v>375</v>
      </c>
      <c r="L1257" s="21">
        <f t="shared" si="991"/>
        <v>585</v>
      </c>
      <c r="M1257" s="23" t="str">
        <f t="shared" si="991"/>
        <v>1000</v>
      </c>
      <c r="N1257" s="21">
        <f t="shared" si="991"/>
        <v>3300</v>
      </c>
      <c r="O1257" s="21">
        <f t="shared" si="991"/>
        <v>0</v>
      </c>
      <c r="P1257" s="27">
        <f t="shared" si="991"/>
        <v>0</v>
      </c>
      <c r="Q1257" s="27">
        <f t="shared" si="991"/>
        <v>2</v>
      </c>
      <c r="R1257" s="21"/>
    </row>
    <row r="1258" spans="1:18" ht="14.25" customHeight="1" x14ac:dyDescent="0.15">
      <c r="A1258" s="19">
        <v>2</v>
      </c>
      <c r="B1258" s="19">
        <v>1.5</v>
      </c>
      <c r="C1258" s="19">
        <v>1.2</v>
      </c>
      <c r="D1258" s="19">
        <f>B1258*C1258</f>
        <v>1.7999999999999998</v>
      </c>
      <c r="E1258" s="19"/>
      <c r="F1258" s="67">
        <v>6</v>
      </c>
      <c r="G1258" s="19"/>
      <c r="H1258" s="19"/>
      <c r="I1258" s="19">
        <f>B1258*0.4</f>
        <v>0.60000000000000009</v>
      </c>
      <c r="J1258" s="19">
        <v>1</v>
      </c>
      <c r="K1258" s="19">
        <f t="shared" ref="K1258:L1258" si="992">A1258</f>
        <v>2</v>
      </c>
      <c r="L1258" s="19">
        <f t="shared" si="992"/>
        <v>1.5</v>
      </c>
      <c r="M1258" s="19">
        <f>A1258</f>
        <v>2</v>
      </c>
      <c r="N1258" s="19">
        <f>(1.2*0.4)*2</f>
        <v>0.96</v>
      </c>
      <c r="O1258" s="19"/>
      <c r="P1258" s="24"/>
      <c r="Q1258" s="24"/>
      <c r="R1258" s="19"/>
    </row>
    <row r="1259" spans="1:18" ht="14.25" customHeight="1" x14ac:dyDescent="0.2">
      <c r="A1259" s="19"/>
      <c r="B1259" s="19"/>
      <c r="C1259" s="19"/>
      <c r="D1259" s="26" t="str">
        <f>D1252</f>
        <v>16250</v>
      </c>
      <c r="E1259" s="45">
        <v>1</v>
      </c>
      <c r="F1259" s="67">
        <v>2.5</v>
      </c>
      <c r="G1259" s="45">
        <v>0</v>
      </c>
      <c r="H1259" s="19">
        <f>B1258*2</f>
        <v>3</v>
      </c>
      <c r="I1259" s="19"/>
      <c r="J1259" s="19"/>
      <c r="K1259" s="19"/>
      <c r="L1259" s="19"/>
      <c r="M1259" s="19"/>
      <c r="N1259" s="28"/>
      <c r="O1259" s="19"/>
      <c r="P1259" s="24"/>
      <c r="Q1259" s="24"/>
      <c r="R1259" s="19"/>
    </row>
    <row r="1260" spans="1:18" ht="14.25" customHeight="1" x14ac:dyDescent="0.2">
      <c r="A1260" s="19"/>
      <c r="B1260" s="19"/>
      <c r="C1260" s="19"/>
      <c r="D1260" s="19">
        <f>D1258*D1259</f>
        <v>29249.999999999996</v>
      </c>
      <c r="E1260" s="45">
        <f>E1259*E1257</f>
        <v>2100</v>
      </c>
      <c r="F1260" s="67">
        <f>F1259*F1258*F1257</f>
        <v>12000</v>
      </c>
      <c r="G1260" s="45">
        <f t="shared" ref="G1260:H1260" si="993">G1257*G1259</f>
        <v>0</v>
      </c>
      <c r="H1260" s="19">
        <f t="shared" si="993"/>
        <v>1140</v>
      </c>
      <c r="I1260" s="19">
        <f t="shared" ref="I1260:N1260" si="994">I1257*I1258</f>
        <v>0</v>
      </c>
      <c r="J1260" s="19">
        <f t="shared" si="994"/>
        <v>1000</v>
      </c>
      <c r="K1260" s="19">
        <f t="shared" si="994"/>
        <v>750</v>
      </c>
      <c r="L1260" s="19">
        <f t="shared" si="994"/>
        <v>877.5</v>
      </c>
      <c r="M1260" s="19">
        <f t="shared" si="994"/>
        <v>2000</v>
      </c>
      <c r="N1260" s="19">
        <f t="shared" si="994"/>
        <v>3168</v>
      </c>
      <c r="O1260" s="19">
        <f>SUM(D1260:N1260)</f>
        <v>52285.5</v>
      </c>
      <c r="P1260" s="24">
        <f>O1260/A1258</f>
        <v>26142.75</v>
      </c>
      <c r="Q1260" s="24">
        <f>P1260*Q1257</f>
        <v>52285.5</v>
      </c>
      <c r="R1260" s="19">
        <f>MROUND(Q1260,100)</f>
        <v>52300</v>
      </c>
    </row>
    <row r="1261" spans="1:18" ht="14.25" customHeight="1" x14ac:dyDescent="0.15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9"/>
      <c r="Q1261" s="39"/>
    </row>
    <row r="1262" spans="1:18" ht="14.25" customHeight="1" x14ac:dyDescent="0.3">
      <c r="A1262" s="109" t="str">
        <f>PRICELIST!I198</f>
        <v>WFLX-LSHP-NSH-PB-1500-F</v>
      </c>
      <c r="B1262" s="87"/>
      <c r="C1262" s="87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22"/>
      <c r="Q1262" s="22"/>
      <c r="R1262" s="17"/>
    </row>
    <row r="1263" spans="1:18" ht="14.25" customHeight="1" x14ac:dyDescent="0.15">
      <c r="A1263" s="19" t="s">
        <v>57</v>
      </c>
      <c r="B1263" s="19" t="s">
        <v>59</v>
      </c>
      <c r="C1263" s="19" t="s">
        <v>62</v>
      </c>
      <c r="D1263" s="19" t="s">
        <v>64</v>
      </c>
      <c r="E1263" s="19">
        <v>1200</v>
      </c>
      <c r="F1263" s="67" t="s">
        <v>248</v>
      </c>
      <c r="G1263" s="19">
        <v>600</v>
      </c>
      <c r="H1263" s="19" t="s">
        <v>67</v>
      </c>
      <c r="I1263" s="19" t="s">
        <v>68</v>
      </c>
      <c r="J1263" s="19" t="s">
        <v>69</v>
      </c>
      <c r="K1263" s="19" t="s">
        <v>71</v>
      </c>
      <c r="L1263" s="19" t="s">
        <v>72</v>
      </c>
      <c r="M1263" s="19" t="s">
        <v>73</v>
      </c>
      <c r="N1263" s="19" t="s">
        <v>75</v>
      </c>
      <c r="O1263" s="19" t="s">
        <v>76</v>
      </c>
      <c r="P1263" s="24" t="s">
        <v>78</v>
      </c>
      <c r="Q1263" s="24" t="s">
        <v>79</v>
      </c>
      <c r="R1263" s="19" t="s">
        <v>81</v>
      </c>
    </row>
    <row r="1264" spans="1:18" ht="14.25" customHeight="1" x14ac:dyDescent="0.15">
      <c r="A1264" s="21"/>
      <c r="B1264" s="21"/>
      <c r="C1264" s="44" t="s">
        <v>188</v>
      </c>
      <c r="D1264" s="21"/>
      <c r="E1264" s="23" t="str">
        <f t="shared" ref="E1264:G1264" si="995">E1257</f>
        <v>2100</v>
      </c>
      <c r="F1264" s="68">
        <f t="shared" si="995"/>
        <v>800</v>
      </c>
      <c r="G1264" s="23" t="str">
        <f t="shared" si="995"/>
        <v>1800</v>
      </c>
      <c r="H1264" s="21">
        <v>380</v>
      </c>
      <c r="I1264" s="23" t="str">
        <f>I1243</f>
        <v>4800</v>
      </c>
      <c r="J1264" s="23" t="str">
        <f>J1257</f>
        <v>1000</v>
      </c>
      <c r="K1264" s="21">
        <v>375</v>
      </c>
      <c r="L1264" s="21">
        <v>585</v>
      </c>
      <c r="M1264" s="23" t="str">
        <f>M1257</f>
        <v>1000</v>
      </c>
      <c r="N1264" s="21">
        <v>3300</v>
      </c>
      <c r="O1264" s="21"/>
      <c r="P1264" s="27"/>
      <c r="Q1264" s="27">
        <f>Q1257</f>
        <v>2</v>
      </c>
      <c r="R1264" s="21"/>
    </row>
    <row r="1265" spans="1:18" ht="14.25" customHeight="1" x14ac:dyDescent="0.15">
      <c r="A1265" s="19">
        <v>1</v>
      </c>
      <c r="B1265" s="19">
        <v>1.5</v>
      </c>
      <c r="C1265" s="19">
        <f>0.6+0.3</f>
        <v>0.89999999999999991</v>
      </c>
      <c r="D1265" s="19">
        <f>B1265*C1265</f>
        <v>1.3499999999999999</v>
      </c>
      <c r="E1265" s="19"/>
      <c r="F1265" s="67">
        <f t="shared" ref="F1265:F1266" si="996">F1258</f>
        <v>6</v>
      </c>
      <c r="G1265" s="19"/>
      <c r="H1265" s="19"/>
      <c r="I1265" s="19">
        <f>B1265*0.4</f>
        <v>0.60000000000000009</v>
      </c>
      <c r="J1265" s="19">
        <v>1</v>
      </c>
      <c r="K1265" s="19">
        <f t="shared" ref="K1265:L1265" si="997">A1265</f>
        <v>1</v>
      </c>
      <c r="L1265" s="19">
        <f t="shared" si="997"/>
        <v>1.5</v>
      </c>
      <c r="M1265" s="19">
        <f>A1265</f>
        <v>1</v>
      </c>
      <c r="N1265" s="19">
        <f>(1.2*0.4)*2</f>
        <v>0.96</v>
      </c>
      <c r="O1265" s="19"/>
      <c r="P1265" s="24"/>
      <c r="Q1265" s="24"/>
      <c r="R1265" s="19"/>
    </row>
    <row r="1266" spans="1:18" ht="14.25" customHeight="1" x14ac:dyDescent="0.2">
      <c r="A1266" s="19"/>
      <c r="B1266" s="19"/>
      <c r="C1266" s="19"/>
      <c r="D1266" s="26" t="str">
        <f>D1140</f>
        <v>2200</v>
      </c>
      <c r="E1266" s="45">
        <v>0</v>
      </c>
      <c r="F1266" s="67">
        <f t="shared" si="996"/>
        <v>2.5</v>
      </c>
      <c r="G1266" s="45">
        <v>2</v>
      </c>
      <c r="H1266" s="19">
        <f>B1265*2</f>
        <v>3</v>
      </c>
      <c r="I1266" s="19"/>
      <c r="J1266" s="19"/>
      <c r="K1266" s="19"/>
      <c r="L1266" s="19"/>
      <c r="M1266" s="19"/>
      <c r="N1266" s="28"/>
      <c r="O1266" s="19"/>
      <c r="P1266" s="24"/>
      <c r="Q1266" s="24"/>
      <c r="R1266" s="19"/>
    </row>
    <row r="1267" spans="1:18" ht="14.25" customHeight="1" x14ac:dyDescent="0.2">
      <c r="A1267" s="19"/>
      <c r="B1267" s="19"/>
      <c r="C1267" s="19"/>
      <c r="D1267" s="19">
        <f>D1265*D1266</f>
        <v>2969.9999999999995</v>
      </c>
      <c r="E1267" s="45">
        <f>E1266*E1264</f>
        <v>0</v>
      </c>
      <c r="F1267" s="67">
        <f>F1266*F1265*F1264</f>
        <v>12000</v>
      </c>
      <c r="G1267" s="45">
        <f t="shared" ref="G1267:H1267" si="998">G1264*G1266</f>
        <v>3600</v>
      </c>
      <c r="H1267" s="19">
        <f t="shared" si="998"/>
        <v>1140</v>
      </c>
      <c r="I1267" s="19">
        <f t="shared" ref="I1267:N1267" si="999">I1264*I1265</f>
        <v>2880.0000000000005</v>
      </c>
      <c r="J1267" s="19">
        <f t="shared" si="999"/>
        <v>1000</v>
      </c>
      <c r="K1267" s="19">
        <f t="shared" si="999"/>
        <v>375</v>
      </c>
      <c r="L1267" s="19">
        <f t="shared" si="999"/>
        <v>877.5</v>
      </c>
      <c r="M1267" s="19">
        <f t="shared" si="999"/>
        <v>1000</v>
      </c>
      <c r="N1267" s="19">
        <f t="shared" si="999"/>
        <v>3168</v>
      </c>
      <c r="O1267" s="19">
        <f>SUM(D1267:N1267)</f>
        <v>29010.5</v>
      </c>
      <c r="P1267" s="24">
        <f>O1267/A1265</f>
        <v>29010.5</v>
      </c>
      <c r="Q1267" s="24">
        <f>P1267*Q1264</f>
        <v>58021</v>
      </c>
      <c r="R1267" s="19">
        <f>MROUND(Q1267,100)</f>
        <v>58000</v>
      </c>
    </row>
    <row r="1268" spans="1:18" ht="14.25" customHeight="1" x14ac:dyDescent="0.15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9"/>
      <c r="Q1268" s="39"/>
    </row>
    <row r="1269" spans="1:18" ht="14.25" customHeight="1" x14ac:dyDescent="0.3">
      <c r="A1269" s="109" t="str">
        <f>PRICELIST!I199</f>
        <v>WFLX-LSHP-NSH-PB-1500-G</v>
      </c>
      <c r="B1269" s="87"/>
      <c r="C1269" s="87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22"/>
      <c r="Q1269" s="22"/>
      <c r="R1269" s="17"/>
    </row>
    <row r="1270" spans="1:18" ht="14.25" customHeight="1" x14ac:dyDescent="0.15">
      <c r="A1270" s="19" t="s">
        <v>57</v>
      </c>
      <c r="B1270" s="19" t="s">
        <v>59</v>
      </c>
      <c r="C1270" s="19" t="s">
        <v>62</v>
      </c>
      <c r="D1270" s="19" t="s">
        <v>64</v>
      </c>
      <c r="E1270" s="19">
        <v>1200</v>
      </c>
      <c r="F1270" s="67" t="s">
        <v>248</v>
      </c>
      <c r="G1270" s="19">
        <v>600</v>
      </c>
      <c r="H1270" s="19" t="s">
        <v>67</v>
      </c>
      <c r="I1270" s="19" t="s">
        <v>68</v>
      </c>
      <c r="J1270" s="19" t="s">
        <v>69</v>
      </c>
      <c r="K1270" s="19" t="s">
        <v>71</v>
      </c>
      <c r="L1270" s="19" t="s">
        <v>72</v>
      </c>
      <c r="M1270" s="19" t="s">
        <v>73</v>
      </c>
      <c r="N1270" s="19" t="s">
        <v>75</v>
      </c>
      <c r="O1270" s="19" t="s">
        <v>76</v>
      </c>
      <c r="P1270" s="24" t="s">
        <v>78</v>
      </c>
      <c r="Q1270" s="24" t="s">
        <v>79</v>
      </c>
      <c r="R1270" s="19" t="s">
        <v>81</v>
      </c>
    </row>
    <row r="1271" spans="1:18" ht="14.25" customHeight="1" x14ac:dyDescent="0.15">
      <c r="A1271" s="21"/>
      <c r="B1271" s="21"/>
      <c r="C1271" s="44" t="s">
        <v>188</v>
      </c>
      <c r="D1271" s="21"/>
      <c r="E1271" s="23" t="str">
        <f>E1264</f>
        <v>2100</v>
      </c>
      <c r="F1271" s="68">
        <v>800</v>
      </c>
      <c r="G1271" s="23" t="str">
        <f t="shared" ref="G1271:H1271" si="1000">G1264</f>
        <v>1800</v>
      </c>
      <c r="H1271" s="23">
        <f t="shared" si="1000"/>
        <v>380</v>
      </c>
      <c r="I1271" s="23" t="str">
        <f>I1250</f>
        <v>5500</v>
      </c>
      <c r="J1271" s="23" t="str">
        <f t="shared" ref="J1271:R1271" si="1001">J1264</f>
        <v>1000</v>
      </c>
      <c r="K1271" s="23">
        <f t="shared" si="1001"/>
        <v>375</v>
      </c>
      <c r="L1271" s="23">
        <f t="shared" si="1001"/>
        <v>585</v>
      </c>
      <c r="M1271" s="23" t="str">
        <f t="shared" si="1001"/>
        <v>1000</v>
      </c>
      <c r="N1271" s="23">
        <f t="shared" si="1001"/>
        <v>3300</v>
      </c>
      <c r="O1271" s="23">
        <f t="shared" si="1001"/>
        <v>0</v>
      </c>
      <c r="P1271" s="27">
        <f t="shared" si="1001"/>
        <v>0</v>
      </c>
      <c r="Q1271" s="27">
        <f t="shared" si="1001"/>
        <v>2</v>
      </c>
      <c r="R1271" s="23">
        <f t="shared" si="1001"/>
        <v>0</v>
      </c>
    </row>
    <row r="1272" spans="1:18" ht="14.25" customHeight="1" x14ac:dyDescent="0.15">
      <c r="A1272" s="19">
        <v>1</v>
      </c>
      <c r="B1272" s="19">
        <v>1.5</v>
      </c>
      <c r="C1272" s="19">
        <f>0.6+0.3</f>
        <v>0.89999999999999991</v>
      </c>
      <c r="D1272" s="19">
        <f>B1272*C1272</f>
        <v>1.3499999999999999</v>
      </c>
      <c r="E1272" s="19"/>
      <c r="F1272" s="67">
        <v>6</v>
      </c>
      <c r="G1272" s="19"/>
      <c r="H1272" s="19"/>
      <c r="I1272" s="19">
        <f>B1272*0.4</f>
        <v>0.60000000000000009</v>
      </c>
      <c r="J1272" s="19">
        <v>1</v>
      </c>
      <c r="K1272" s="19">
        <f t="shared" ref="K1272:L1272" si="1002">A1272</f>
        <v>1</v>
      </c>
      <c r="L1272" s="19">
        <f t="shared" si="1002"/>
        <v>1.5</v>
      </c>
      <c r="M1272" s="19">
        <f>A1272</f>
        <v>1</v>
      </c>
      <c r="N1272" s="19">
        <f>(1.2*0.4)*2</f>
        <v>0.96</v>
      </c>
      <c r="O1272" s="19"/>
      <c r="P1272" s="24"/>
      <c r="Q1272" s="24"/>
      <c r="R1272" s="19"/>
    </row>
    <row r="1273" spans="1:18" ht="14.25" customHeight="1" x14ac:dyDescent="0.2">
      <c r="A1273" s="19"/>
      <c r="B1273" s="19"/>
      <c r="C1273" s="19"/>
      <c r="D1273" s="26" t="str">
        <f>D1266</f>
        <v>2200</v>
      </c>
      <c r="E1273" s="45">
        <v>0</v>
      </c>
      <c r="F1273" s="67">
        <v>2.5</v>
      </c>
      <c r="G1273" s="45">
        <v>2</v>
      </c>
      <c r="H1273" s="19">
        <f>B1272*2</f>
        <v>3</v>
      </c>
      <c r="I1273" s="19"/>
      <c r="J1273" s="19"/>
      <c r="K1273" s="19"/>
      <c r="L1273" s="19"/>
      <c r="M1273" s="19"/>
      <c r="N1273" s="28"/>
      <c r="O1273" s="19"/>
      <c r="P1273" s="24"/>
      <c r="Q1273" s="24"/>
      <c r="R1273" s="19"/>
    </row>
    <row r="1274" spans="1:18" ht="14.25" customHeight="1" x14ac:dyDescent="0.2">
      <c r="A1274" s="19"/>
      <c r="B1274" s="19"/>
      <c r="C1274" s="19"/>
      <c r="D1274" s="19">
        <f>D1272*D1273</f>
        <v>2969.9999999999995</v>
      </c>
      <c r="E1274" s="45">
        <f>E1273*E1271</f>
        <v>0</v>
      </c>
      <c r="F1274" s="67">
        <f>F1273*F1272*F1271</f>
        <v>12000</v>
      </c>
      <c r="G1274" s="45">
        <f t="shared" ref="G1274:H1274" si="1003">G1271*G1273</f>
        <v>3600</v>
      </c>
      <c r="H1274" s="19">
        <f t="shared" si="1003"/>
        <v>1140</v>
      </c>
      <c r="I1274" s="19">
        <f t="shared" ref="I1274:N1274" si="1004">I1271*I1272</f>
        <v>3300.0000000000005</v>
      </c>
      <c r="J1274" s="19">
        <f t="shared" si="1004"/>
        <v>1000</v>
      </c>
      <c r="K1274" s="19">
        <f t="shared" si="1004"/>
        <v>375</v>
      </c>
      <c r="L1274" s="19">
        <f t="shared" si="1004"/>
        <v>877.5</v>
      </c>
      <c r="M1274" s="19">
        <f t="shared" si="1004"/>
        <v>1000</v>
      </c>
      <c r="N1274" s="19">
        <f t="shared" si="1004"/>
        <v>3168</v>
      </c>
      <c r="O1274" s="19">
        <f>SUM(D1274:N1274)</f>
        <v>29430.5</v>
      </c>
      <c r="P1274" s="24">
        <f>O1274/A1272</f>
        <v>29430.5</v>
      </c>
      <c r="Q1274" s="24">
        <f>P1274*Q1271</f>
        <v>58861</v>
      </c>
      <c r="R1274" s="19">
        <f>MROUND(Q1274,100)</f>
        <v>58900</v>
      </c>
    </row>
    <row r="1275" spans="1:18" ht="14.25" customHeight="1" x14ac:dyDescent="0.15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9"/>
      <c r="Q1275" s="39"/>
    </row>
    <row r="1276" spans="1:18" ht="14.25" customHeight="1" x14ac:dyDescent="0.3">
      <c r="A1276" s="109" t="str">
        <f>PRICELIST!I200</f>
        <v>WFLX-LSHP-NSH-PB-1500-X</v>
      </c>
      <c r="B1276" s="87"/>
      <c r="C1276" s="87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22"/>
      <c r="Q1276" s="22"/>
      <c r="R1276" s="17"/>
    </row>
    <row r="1277" spans="1:18" ht="14.25" customHeight="1" x14ac:dyDescent="0.15">
      <c r="A1277" s="19" t="s">
        <v>57</v>
      </c>
      <c r="B1277" s="19" t="s">
        <v>59</v>
      </c>
      <c r="C1277" s="19" t="s">
        <v>62</v>
      </c>
      <c r="D1277" s="19" t="s">
        <v>64</v>
      </c>
      <c r="E1277" s="19">
        <v>1200</v>
      </c>
      <c r="F1277" s="67" t="s">
        <v>248</v>
      </c>
      <c r="G1277" s="19">
        <v>600</v>
      </c>
      <c r="H1277" s="19" t="s">
        <v>67</v>
      </c>
      <c r="I1277" s="19" t="s">
        <v>68</v>
      </c>
      <c r="J1277" s="19" t="s">
        <v>69</v>
      </c>
      <c r="K1277" s="19" t="s">
        <v>71</v>
      </c>
      <c r="L1277" s="19" t="s">
        <v>72</v>
      </c>
      <c r="M1277" s="19" t="s">
        <v>73</v>
      </c>
      <c r="N1277" s="19" t="s">
        <v>75</v>
      </c>
      <c r="O1277" s="19" t="s">
        <v>76</v>
      </c>
      <c r="P1277" s="24" t="s">
        <v>78</v>
      </c>
      <c r="Q1277" s="24" t="s">
        <v>79</v>
      </c>
      <c r="R1277" s="19" t="s">
        <v>81</v>
      </c>
    </row>
    <row r="1278" spans="1:18" ht="14.25" customHeight="1" x14ac:dyDescent="0.15">
      <c r="A1278" s="21">
        <f t="shared" ref="A1278:B1278" si="1005">A1271</f>
        <v>0</v>
      </c>
      <c r="B1278" s="21">
        <f t="shared" si="1005"/>
        <v>0</v>
      </c>
      <c r="C1278" s="44" t="s">
        <v>188</v>
      </c>
      <c r="D1278" s="21">
        <f t="shared" ref="D1278:H1278" si="1006">D1271</f>
        <v>0</v>
      </c>
      <c r="E1278" s="23" t="str">
        <f t="shared" si="1006"/>
        <v>2100</v>
      </c>
      <c r="F1278" s="68">
        <f t="shared" si="1006"/>
        <v>800</v>
      </c>
      <c r="G1278" s="23" t="str">
        <f t="shared" si="1006"/>
        <v>1800</v>
      </c>
      <c r="H1278" s="23">
        <f t="shared" si="1006"/>
        <v>380</v>
      </c>
      <c r="I1278" s="23" t="str">
        <f>I1257</f>
        <v>0</v>
      </c>
      <c r="J1278" s="23" t="str">
        <f t="shared" ref="J1278:Q1278" si="1007">J1271</f>
        <v>1000</v>
      </c>
      <c r="K1278" s="23">
        <f t="shared" si="1007"/>
        <v>375</v>
      </c>
      <c r="L1278" s="23">
        <f t="shared" si="1007"/>
        <v>585</v>
      </c>
      <c r="M1278" s="23" t="str">
        <f t="shared" si="1007"/>
        <v>1000</v>
      </c>
      <c r="N1278" s="23">
        <f t="shared" si="1007"/>
        <v>3300</v>
      </c>
      <c r="O1278" s="23">
        <f t="shared" si="1007"/>
        <v>0</v>
      </c>
      <c r="P1278" s="27">
        <f t="shared" si="1007"/>
        <v>0</v>
      </c>
      <c r="Q1278" s="27">
        <f t="shared" si="1007"/>
        <v>2</v>
      </c>
      <c r="R1278" s="21"/>
    </row>
    <row r="1279" spans="1:18" ht="14.25" customHeight="1" x14ac:dyDescent="0.15">
      <c r="A1279" s="19">
        <v>1</v>
      </c>
      <c r="B1279" s="19">
        <v>1.5</v>
      </c>
      <c r="C1279" s="19">
        <f>0.6+0.3</f>
        <v>0.89999999999999991</v>
      </c>
      <c r="D1279" s="19">
        <f>B1279*C1279</f>
        <v>1.3499999999999999</v>
      </c>
      <c r="E1279" s="19"/>
      <c r="F1279" s="67">
        <f t="shared" ref="F1279:F1280" si="1008">F1272</f>
        <v>6</v>
      </c>
      <c r="G1279" s="19"/>
      <c r="H1279" s="19"/>
      <c r="I1279" s="19">
        <f>B1279*0.4</f>
        <v>0.60000000000000009</v>
      </c>
      <c r="J1279" s="19">
        <v>1</v>
      </c>
      <c r="K1279" s="19">
        <f t="shared" ref="K1279:L1279" si="1009">A1279</f>
        <v>1</v>
      </c>
      <c r="L1279" s="19">
        <f t="shared" si="1009"/>
        <v>1.5</v>
      </c>
      <c r="M1279" s="19">
        <f>A1279</f>
        <v>1</v>
      </c>
      <c r="N1279" s="19">
        <f>(1.2*0.4)*2</f>
        <v>0.96</v>
      </c>
      <c r="O1279" s="19"/>
      <c r="P1279" s="24"/>
      <c r="Q1279" s="24"/>
      <c r="R1279" s="19"/>
    </row>
    <row r="1280" spans="1:18" ht="14.25" customHeight="1" x14ac:dyDescent="0.2">
      <c r="A1280" s="19"/>
      <c r="B1280" s="19"/>
      <c r="C1280" s="19"/>
      <c r="D1280" s="26" t="str">
        <f>D1273</f>
        <v>2200</v>
      </c>
      <c r="E1280" s="45">
        <v>0</v>
      </c>
      <c r="F1280" s="67">
        <f t="shared" si="1008"/>
        <v>2.5</v>
      </c>
      <c r="G1280" s="45">
        <v>2</v>
      </c>
      <c r="H1280" s="19">
        <f>B1279*2</f>
        <v>3</v>
      </c>
      <c r="I1280" s="19"/>
      <c r="J1280" s="19"/>
      <c r="K1280" s="19"/>
      <c r="L1280" s="19"/>
      <c r="M1280" s="19"/>
      <c r="N1280" s="28"/>
      <c r="O1280" s="19"/>
      <c r="P1280" s="24"/>
      <c r="Q1280" s="24"/>
      <c r="R1280" s="19"/>
    </row>
    <row r="1281" spans="1:18" ht="14.25" customHeight="1" x14ac:dyDescent="0.2">
      <c r="A1281" s="19"/>
      <c r="B1281" s="19"/>
      <c r="C1281" s="19"/>
      <c r="D1281" s="19">
        <f>D1279*D1280</f>
        <v>2969.9999999999995</v>
      </c>
      <c r="E1281" s="45">
        <f>E1280*E1278</f>
        <v>0</v>
      </c>
      <c r="F1281" s="67">
        <f>F1280*F1279*F1278</f>
        <v>12000</v>
      </c>
      <c r="G1281" s="45">
        <f t="shared" ref="G1281:H1281" si="1010">G1278*G1280</f>
        <v>3600</v>
      </c>
      <c r="H1281" s="19">
        <f t="shared" si="1010"/>
        <v>1140</v>
      </c>
      <c r="I1281" s="19">
        <f t="shared" ref="I1281:N1281" si="1011">I1278*I1279</f>
        <v>0</v>
      </c>
      <c r="J1281" s="19">
        <f t="shared" si="1011"/>
        <v>1000</v>
      </c>
      <c r="K1281" s="19">
        <f t="shared" si="1011"/>
        <v>375</v>
      </c>
      <c r="L1281" s="19">
        <f t="shared" si="1011"/>
        <v>877.5</v>
      </c>
      <c r="M1281" s="19">
        <f t="shared" si="1011"/>
        <v>1000</v>
      </c>
      <c r="N1281" s="19">
        <f t="shared" si="1011"/>
        <v>3168</v>
      </c>
      <c r="O1281" s="19">
        <f>SUM(D1281:N1281)</f>
        <v>26130.5</v>
      </c>
      <c r="P1281" s="24">
        <f>O1281/A1279</f>
        <v>26130.5</v>
      </c>
      <c r="Q1281" s="24">
        <f>P1281*Q1278</f>
        <v>52261</v>
      </c>
      <c r="R1281" s="19">
        <f>MROUND(Q1281,100)</f>
        <v>52300</v>
      </c>
    </row>
    <row r="1282" spans="1:18" ht="14.25" customHeight="1" x14ac:dyDescent="0.15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9"/>
      <c r="Q1282" s="39"/>
    </row>
    <row r="1283" spans="1:18" ht="14.25" customHeight="1" x14ac:dyDescent="0.3">
      <c r="A1283" s="109">
        <f>PRICELIST!I201</f>
        <v>0</v>
      </c>
      <c r="B1283" s="87"/>
      <c r="C1283" s="87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22"/>
      <c r="Q1283" s="22"/>
      <c r="R1283" s="17"/>
    </row>
    <row r="1284" spans="1:18" ht="14.25" customHeight="1" x14ac:dyDescent="0.15">
      <c r="A1284" s="19" t="s">
        <v>57</v>
      </c>
      <c r="B1284" s="19" t="s">
        <v>59</v>
      </c>
      <c r="C1284" s="19" t="s">
        <v>62</v>
      </c>
      <c r="D1284" s="19" t="s">
        <v>64</v>
      </c>
      <c r="E1284" s="19">
        <v>1200</v>
      </c>
      <c r="F1284" s="67" t="s">
        <v>248</v>
      </c>
      <c r="G1284" s="19">
        <v>600</v>
      </c>
      <c r="H1284" s="19" t="s">
        <v>67</v>
      </c>
      <c r="I1284" s="19" t="s">
        <v>68</v>
      </c>
      <c r="J1284" s="19" t="s">
        <v>69</v>
      </c>
      <c r="K1284" s="19" t="s">
        <v>71</v>
      </c>
      <c r="L1284" s="19" t="s">
        <v>72</v>
      </c>
      <c r="M1284" s="19" t="s">
        <v>73</v>
      </c>
      <c r="N1284" s="19" t="s">
        <v>75</v>
      </c>
      <c r="O1284" s="19" t="s">
        <v>76</v>
      </c>
      <c r="P1284" s="24" t="s">
        <v>78</v>
      </c>
      <c r="Q1284" s="24" t="s">
        <v>79</v>
      </c>
      <c r="R1284" s="19" t="s">
        <v>81</v>
      </c>
    </row>
    <row r="1285" spans="1:18" ht="14.25" customHeight="1" x14ac:dyDescent="0.15">
      <c r="A1285" s="21">
        <f t="shared" ref="A1285:B1285" si="1012">A1278</f>
        <v>0</v>
      </c>
      <c r="B1285" s="21">
        <f t="shared" si="1012"/>
        <v>0</v>
      </c>
      <c r="C1285" s="44" t="s">
        <v>188</v>
      </c>
      <c r="D1285" s="21">
        <f t="shared" ref="D1285:E1285" si="1013">D1278</f>
        <v>0</v>
      </c>
      <c r="E1285" s="23" t="str">
        <f t="shared" si="1013"/>
        <v>2100</v>
      </c>
      <c r="F1285" s="68">
        <f t="shared" ref="F1285:F1287" si="1014">F1271</f>
        <v>800</v>
      </c>
      <c r="G1285" s="23" t="str">
        <f t="shared" ref="G1285:H1285" si="1015">G1278</f>
        <v>1800</v>
      </c>
      <c r="H1285" s="23">
        <f t="shared" si="1015"/>
        <v>380</v>
      </c>
      <c r="I1285" s="23" t="str">
        <f>I1264</f>
        <v>4800</v>
      </c>
      <c r="J1285" s="23" t="str">
        <f t="shared" ref="J1285:Q1285" si="1016">J1278</f>
        <v>1000</v>
      </c>
      <c r="K1285" s="23">
        <f t="shared" si="1016"/>
        <v>375</v>
      </c>
      <c r="L1285" s="23">
        <f t="shared" si="1016"/>
        <v>585</v>
      </c>
      <c r="M1285" s="23" t="str">
        <f t="shared" si="1016"/>
        <v>1000</v>
      </c>
      <c r="N1285" s="23">
        <f t="shared" si="1016"/>
        <v>3300</v>
      </c>
      <c r="O1285" s="23">
        <f t="shared" si="1016"/>
        <v>0</v>
      </c>
      <c r="P1285" s="27">
        <f t="shared" si="1016"/>
        <v>0</v>
      </c>
      <c r="Q1285" s="27">
        <f t="shared" si="1016"/>
        <v>2</v>
      </c>
      <c r="R1285" s="21"/>
    </row>
    <row r="1286" spans="1:18" ht="14.25" customHeight="1" x14ac:dyDescent="0.15">
      <c r="A1286" s="19">
        <v>1</v>
      </c>
      <c r="B1286" s="19">
        <v>1.5</v>
      </c>
      <c r="C1286" s="19">
        <f>0.6+0.3</f>
        <v>0.89999999999999991</v>
      </c>
      <c r="D1286" s="19">
        <f>B1286*C1286</f>
        <v>1.3499999999999999</v>
      </c>
      <c r="E1286" s="19"/>
      <c r="F1286" s="67">
        <f t="shared" si="1014"/>
        <v>6</v>
      </c>
      <c r="G1286" s="19"/>
      <c r="H1286" s="19"/>
      <c r="I1286" s="19">
        <f>B1286*0.4</f>
        <v>0.60000000000000009</v>
      </c>
      <c r="J1286" s="19">
        <v>1</v>
      </c>
      <c r="K1286" s="19">
        <f t="shared" ref="K1286:L1286" si="1017">A1286</f>
        <v>1</v>
      </c>
      <c r="L1286" s="19">
        <f t="shared" si="1017"/>
        <v>1.5</v>
      </c>
      <c r="M1286" s="19">
        <f>A1286</f>
        <v>1</v>
      </c>
      <c r="N1286" s="19">
        <f>(1.2*0.4)*2</f>
        <v>0.96</v>
      </c>
      <c r="O1286" s="19"/>
      <c r="P1286" s="24"/>
      <c r="Q1286" s="24"/>
      <c r="R1286" s="19"/>
    </row>
    <row r="1287" spans="1:18" ht="14.25" customHeight="1" x14ac:dyDescent="0.2">
      <c r="A1287" s="19"/>
      <c r="B1287" s="19"/>
      <c r="C1287" s="19"/>
      <c r="D1287" s="26" t="str">
        <f>D1161</f>
        <v>3000</v>
      </c>
      <c r="E1287" s="45">
        <v>0</v>
      </c>
      <c r="F1287" s="67">
        <f t="shared" si="1014"/>
        <v>2.5</v>
      </c>
      <c r="G1287" s="45">
        <v>2</v>
      </c>
      <c r="H1287" s="19">
        <f>B1286*2</f>
        <v>3</v>
      </c>
      <c r="I1287" s="19"/>
      <c r="J1287" s="19"/>
      <c r="K1287" s="19"/>
      <c r="L1287" s="19"/>
      <c r="M1287" s="19"/>
      <c r="N1287" s="28"/>
      <c r="O1287" s="19"/>
      <c r="P1287" s="24"/>
      <c r="Q1287" s="24"/>
      <c r="R1287" s="19"/>
    </row>
    <row r="1288" spans="1:18" ht="14.25" customHeight="1" x14ac:dyDescent="0.2">
      <c r="A1288" s="19"/>
      <c r="B1288" s="19"/>
      <c r="C1288" s="19"/>
      <c r="D1288" s="19">
        <f>D1286*D1287</f>
        <v>4049.9999999999995</v>
      </c>
      <c r="E1288" s="45">
        <f>E1287*E1285</f>
        <v>0</v>
      </c>
      <c r="F1288" s="67">
        <f>F1287*F1286*F1285</f>
        <v>12000</v>
      </c>
      <c r="G1288" s="45">
        <f t="shared" ref="G1288:H1288" si="1018">G1285*G1287</f>
        <v>3600</v>
      </c>
      <c r="H1288" s="19">
        <f t="shared" si="1018"/>
        <v>1140</v>
      </c>
      <c r="I1288" s="19">
        <f t="shared" ref="I1288:N1288" si="1019">I1285*I1286</f>
        <v>2880.0000000000005</v>
      </c>
      <c r="J1288" s="19">
        <f t="shared" si="1019"/>
        <v>1000</v>
      </c>
      <c r="K1288" s="19">
        <f t="shared" si="1019"/>
        <v>375</v>
      </c>
      <c r="L1288" s="19">
        <f t="shared" si="1019"/>
        <v>877.5</v>
      </c>
      <c r="M1288" s="19">
        <f t="shared" si="1019"/>
        <v>1000</v>
      </c>
      <c r="N1288" s="19">
        <f t="shared" si="1019"/>
        <v>3168</v>
      </c>
      <c r="O1288" s="19">
        <f>SUM(D1288:N1288)</f>
        <v>30090.5</v>
      </c>
      <c r="P1288" s="24">
        <f>O1288/A1286</f>
        <v>30090.5</v>
      </c>
      <c r="Q1288" s="24">
        <f>P1288*Q1285</f>
        <v>60181</v>
      </c>
      <c r="R1288" s="19">
        <f>MROUND(Q1288,100)</f>
        <v>60200</v>
      </c>
    </row>
    <row r="1289" spans="1:18" ht="14.25" customHeight="1" x14ac:dyDescent="0.15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9"/>
      <c r="Q1289" s="39"/>
    </row>
    <row r="1290" spans="1:18" ht="14.25" customHeight="1" x14ac:dyDescent="0.3">
      <c r="A1290" s="109">
        <f>PRICELIST!I202</f>
        <v>0</v>
      </c>
      <c r="B1290" s="87"/>
      <c r="C1290" s="87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22"/>
      <c r="Q1290" s="22"/>
      <c r="R1290" s="17"/>
    </row>
    <row r="1291" spans="1:18" ht="14.25" customHeight="1" x14ac:dyDescent="0.15">
      <c r="A1291" s="19" t="s">
        <v>57</v>
      </c>
      <c r="B1291" s="19" t="s">
        <v>59</v>
      </c>
      <c r="C1291" s="19" t="s">
        <v>62</v>
      </c>
      <c r="D1291" s="19" t="s">
        <v>64</v>
      </c>
      <c r="E1291" s="19">
        <v>1200</v>
      </c>
      <c r="F1291" s="67" t="s">
        <v>248</v>
      </c>
      <c r="G1291" s="19">
        <v>600</v>
      </c>
      <c r="H1291" s="19" t="s">
        <v>67</v>
      </c>
      <c r="I1291" s="19" t="s">
        <v>68</v>
      </c>
      <c r="J1291" s="19" t="s">
        <v>69</v>
      </c>
      <c r="K1291" s="19" t="s">
        <v>71</v>
      </c>
      <c r="L1291" s="19" t="s">
        <v>72</v>
      </c>
      <c r="M1291" s="19" t="s">
        <v>73</v>
      </c>
      <c r="N1291" s="19" t="s">
        <v>75</v>
      </c>
      <c r="O1291" s="19" t="s">
        <v>76</v>
      </c>
      <c r="P1291" s="24" t="s">
        <v>78</v>
      </c>
      <c r="Q1291" s="24" t="s">
        <v>79</v>
      </c>
      <c r="R1291" s="19" t="s">
        <v>81</v>
      </c>
    </row>
    <row r="1292" spans="1:18" ht="14.25" customHeight="1" x14ac:dyDescent="0.15">
      <c r="A1292" s="21">
        <f t="shared" ref="A1292:B1292" si="1020">A1285</f>
        <v>0</v>
      </c>
      <c r="B1292" s="21">
        <f t="shared" si="1020"/>
        <v>0</v>
      </c>
      <c r="C1292" s="44" t="s">
        <v>188</v>
      </c>
      <c r="D1292" s="21">
        <f t="shared" ref="D1292:E1292" si="1021">D1285</f>
        <v>0</v>
      </c>
      <c r="E1292" s="23" t="str">
        <f t="shared" si="1021"/>
        <v>2100</v>
      </c>
      <c r="F1292" s="68">
        <v>800</v>
      </c>
      <c r="G1292" s="23" t="str">
        <f t="shared" ref="G1292:H1292" si="1022">G1285</f>
        <v>1800</v>
      </c>
      <c r="H1292" s="23">
        <f t="shared" si="1022"/>
        <v>380</v>
      </c>
      <c r="I1292" s="23" t="str">
        <f>I1271</f>
        <v>5500</v>
      </c>
      <c r="J1292" s="23" t="str">
        <f t="shared" ref="J1292:Q1292" si="1023">J1285</f>
        <v>1000</v>
      </c>
      <c r="K1292" s="23">
        <f t="shared" si="1023"/>
        <v>375</v>
      </c>
      <c r="L1292" s="23">
        <f t="shared" si="1023"/>
        <v>585</v>
      </c>
      <c r="M1292" s="23" t="str">
        <f t="shared" si="1023"/>
        <v>1000</v>
      </c>
      <c r="N1292" s="23">
        <f t="shared" si="1023"/>
        <v>3300</v>
      </c>
      <c r="O1292" s="23">
        <f t="shared" si="1023"/>
        <v>0</v>
      </c>
      <c r="P1292" s="27">
        <f t="shared" si="1023"/>
        <v>0</v>
      </c>
      <c r="Q1292" s="27">
        <f t="shared" si="1023"/>
        <v>2</v>
      </c>
      <c r="R1292" s="21"/>
    </row>
    <row r="1293" spans="1:18" ht="14.25" customHeight="1" x14ac:dyDescent="0.15">
      <c r="A1293" s="19">
        <v>1</v>
      </c>
      <c r="B1293" s="19">
        <v>1.5</v>
      </c>
      <c r="C1293" s="19">
        <f>0.6+0.3</f>
        <v>0.89999999999999991</v>
      </c>
      <c r="D1293" s="19">
        <f>B1293*C1293</f>
        <v>1.3499999999999999</v>
      </c>
      <c r="E1293" s="19"/>
      <c r="F1293" s="67">
        <v>6</v>
      </c>
      <c r="G1293" s="19"/>
      <c r="H1293" s="19"/>
      <c r="I1293" s="19">
        <f>B1293*0.4</f>
        <v>0.60000000000000009</v>
      </c>
      <c r="J1293" s="19">
        <v>1</v>
      </c>
      <c r="K1293" s="19">
        <f t="shared" ref="K1293:L1293" si="1024">A1293</f>
        <v>1</v>
      </c>
      <c r="L1293" s="19">
        <f t="shared" si="1024"/>
        <v>1.5</v>
      </c>
      <c r="M1293" s="19">
        <f>A1293</f>
        <v>1</v>
      </c>
      <c r="N1293" s="19">
        <f>(1.2*0.4)*2</f>
        <v>0.96</v>
      </c>
      <c r="O1293" s="19"/>
      <c r="P1293" s="24"/>
      <c r="Q1293" s="24"/>
      <c r="R1293" s="19"/>
    </row>
    <row r="1294" spans="1:18" ht="14.25" customHeight="1" x14ac:dyDescent="0.2">
      <c r="A1294" s="19"/>
      <c r="B1294" s="19"/>
      <c r="C1294" s="19"/>
      <c r="D1294" s="26" t="str">
        <f>D1287</f>
        <v>3000</v>
      </c>
      <c r="E1294" s="45">
        <v>0</v>
      </c>
      <c r="F1294" s="67">
        <v>2.5</v>
      </c>
      <c r="G1294" s="45">
        <v>2</v>
      </c>
      <c r="H1294" s="19">
        <f>B1293*2</f>
        <v>3</v>
      </c>
      <c r="I1294" s="19"/>
      <c r="J1294" s="19"/>
      <c r="K1294" s="19"/>
      <c r="L1294" s="19"/>
      <c r="M1294" s="19"/>
      <c r="N1294" s="28"/>
      <c r="O1294" s="19"/>
      <c r="P1294" s="24"/>
      <c r="Q1294" s="24"/>
      <c r="R1294" s="19"/>
    </row>
    <row r="1295" spans="1:18" ht="14.25" customHeight="1" x14ac:dyDescent="0.2">
      <c r="A1295" s="19"/>
      <c r="B1295" s="19"/>
      <c r="C1295" s="19"/>
      <c r="D1295" s="19">
        <f>D1293*D1294</f>
        <v>4049.9999999999995</v>
      </c>
      <c r="E1295" s="45">
        <f>E1294*E1292</f>
        <v>0</v>
      </c>
      <c r="F1295" s="67">
        <f>F1294*F1293*F1292</f>
        <v>12000</v>
      </c>
      <c r="G1295" s="45">
        <f t="shared" ref="G1295:H1295" si="1025">G1292*G1294</f>
        <v>3600</v>
      </c>
      <c r="H1295" s="19">
        <f t="shared" si="1025"/>
        <v>1140</v>
      </c>
      <c r="I1295" s="19">
        <f t="shared" ref="I1295:N1295" si="1026">I1292*I1293</f>
        <v>3300.0000000000005</v>
      </c>
      <c r="J1295" s="19">
        <f t="shared" si="1026"/>
        <v>1000</v>
      </c>
      <c r="K1295" s="19">
        <f t="shared" si="1026"/>
        <v>375</v>
      </c>
      <c r="L1295" s="19">
        <f t="shared" si="1026"/>
        <v>877.5</v>
      </c>
      <c r="M1295" s="19">
        <f t="shared" si="1026"/>
        <v>1000</v>
      </c>
      <c r="N1295" s="19">
        <f t="shared" si="1026"/>
        <v>3168</v>
      </c>
      <c r="O1295" s="19">
        <f>SUM(D1295:N1295)</f>
        <v>30510.5</v>
      </c>
      <c r="P1295" s="24">
        <f>O1295/A1293</f>
        <v>30510.5</v>
      </c>
      <c r="Q1295" s="24">
        <f>P1295*Q1292</f>
        <v>61021</v>
      </c>
      <c r="R1295" s="19">
        <f>MROUND(Q1295,100)</f>
        <v>61000</v>
      </c>
    </row>
    <row r="1296" spans="1:18" ht="14.25" customHeight="1" x14ac:dyDescent="0.15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9"/>
      <c r="Q1296" s="39"/>
    </row>
    <row r="1297" spans="1:18" ht="14.25" customHeight="1" x14ac:dyDescent="0.3">
      <c r="A1297" s="109">
        <f>PRICELIST!I203</f>
        <v>0</v>
      </c>
      <c r="B1297" s="87"/>
      <c r="C1297" s="87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22"/>
      <c r="Q1297" s="22"/>
      <c r="R1297" s="17"/>
    </row>
    <row r="1298" spans="1:18" ht="14.25" customHeight="1" x14ac:dyDescent="0.15">
      <c r="A1298" s="19" t="s">
        <v>57</v>
      </c>
      <c r="B1298" s="19" t="s">
        <v>59</v>
      </c>
      <c r="C1298" s="19" t="s">
        <v>62</v>
      </c>
      <c r="D1298" s="19" t="s">
        <v>64</v>
      </c>
      <c r="E1298" s="19">
        <v>1200</v>
      </c>
      <c r="F1298" s="67" t="s">
        <v>248</v>
      </c>
      <c r="G1298" s="19">
        <v>600</v>
      </c>
      <c r="H1298" s="19" t="s">
        <v>67</v>
      </c>
      <c r="I1298" s="19" t="s">
        <v>68</v>
      </c>
      <c r="J1298" s="19" t="s">
        <v>69</v>
      </c>
      <c r="K1298" s="19" t="s">
        <v>71</v>
      </c>
      <c r="L1298" s="19" t="s">
        <v>72</v>
      </c>
      <c r="M1298" s="19" t="s">
        <v>73</v>
      </c>
      <c r="N1298" s="19" t="s">
        <v>75</v>
      </c>
      <c r="O1298" s="19" t="s">
        <v>76</v>
      </c>
      <c r="P1298" s="24" t="s">
        <v>78</v>
      </c>
      <c r="Q1298" s="24" t="s">
        <v>79</v>
      </c>
      <c r="R1298" s="19" t="s">
        <v>81</v>
      </c>
    </row>
    <row r="1299" spans="1:18" ht="14.25" customHeight="1" x14ac:dyDescent="0.15">
      <c r="A1299" s="21">
        <f t="shared" ref="A1299:B1299" si="1027">A1292</f>
        <v>0</v>
      </c>
      <c r="B1299" s="21">
        <f t="shared" si="1027"/>
        <v>0</v>
      </c>
      <c r="C1299" s="44" t="s">
        <v>188</v>
      </c>
      <c r="D1299" s="21">
        <f t="shared" ref="D1299:H1299" si="1028">D1292</f>
        <v>0</v>
      </c>
      <c r="E1299" s="23" t="str">
        <f t="shared" si="1028"/>
        <v>2100</v>
      </c>
      <c r="F1299" s="68">
        <f t="shared" si="1028"/>
        <v>800</v>
      </c>
      <c r="G1299" s="23" t="str">
        <f t="shared" si="1028"/>
        <v>1800</v>
      </c>
      <c r="H1299" s="23">
        <f t="shared" si="1028"/>
        <v>380</v>
      </c>
      <c r="I1299" s="23" t="str">
        <f>I1278</f>
        <v>0</v>
      </c>
      <c r="J1299" s="23" t="str">
        <f t="shared" ref="J1299:Q1299" si="1029">J1292</f>
        <v>1000</v>
      </c>
      <c r="K1299" s="23">
        <f t="shared" si="1029"/>
        <v>375</v>
      </c>
      <c r="L1299" s="23">
        <f t="shared" si="1029"/>
        <v>585</v>
      </c>
      <c r="M1299" s="23" t="str">
        <f t="shared" si="1029"/>
        <v>1000</v>
      </c>
      <c r="N1299" s="23">
        <f t="shared" si="1029"/>
        <v>3300</v>
      </c>
      <c r="O1299" s="23">
        <f t="shared" si="1029"/>
        <v>0</v>
      </c>
      <c r="P1299" s="27">
        <f t="shared" si="1029"/>
        <v>0</v>
      </c>
      <c r="Q1299" s="27">
        <f t="shared" si="1029"/>
        <v>2</v>
      </c>
      <c r="R1299" s="21"/>
    </row>
    <row r="1300" spans="1:18" ht="14.25" customHeight="1" x14ac:dyDescent="0.15">
      <c r="A1300" s="19">
        <v>1</v>
      </c>
      <c r="B1300" s="19">
        <v>1.5</v>
      </c>
      <c r="C1300" s="19">
        <f>0.6+0.3</f>
        <v>0.89999999999999991</v>
      </c>
      <c r="D1300" s="19">
        <f>B1300*C1300</f>
        <v>1.3499999999999999</v>
      </c>
      <c r="E1300" s="19"/>
      <c r="F1300" s="67">
        <f t="shared" ref="F1300:F1301" si="1030">F1293</f>
        <v>6</v>
      </c>
      <c r="G1300" s="19"/>
      <c r="H1300" s="19"/>
      <c r="I1300" s="19">
        <f>B1300*0.4</f>
        <v>0.60000000000000009</v>
      </c>
      <c r="J1300" s="19">
        <v>1</v>
      </c>
      <c r="K1300" s="19">
        <f t="shared" ref="K1300:L1300" si="1031">A1300</f>
        <v>1</v>
      </c>
      <c r="L1300" s="19">
        <f t="shared" si="1031"/>
        <v>1.5</v>
      </c>
      <c r="M1300" s="19">
        <f>A1300</f>
        <v>1</v>
      </c>
      <c r="N1300" s="19">
        <f>(1.2*0.4)*2</f>
        <v>0.96</v>
      </c>
      <c r="O1300" s="19"/>
      <c r="P1300" s="24"/>
      <c r="Q1300" s="24"/>
      <c r="R1300" s="19"/>
    </row>
    <row r="1301" spans="1:18" ht="14.25" customHeight="1" x14ac:dyDescent="0.2">
      <c r="A1301" s="19"/>
      <c r="B1301" s="19"/>
      <c r="C1301" s="19"/>
      <c r="D1301" s="26" t="str">
        <f>D1294</f>
        <v>3000</v>
      </c>
      <c r="E1301" s="45">
        <v>0</v>
      </c>
      <c r="F1301" s="67">
        <f t="shared" si="1030"/>
        <v>2.5</v>
      </c>
      <c r="G1301" s="45">
        <v>2</v>
      </c>
      <c r="H1301" s="19">
        <f>B1300*2</f>
        <v>3</v>
      </c>
      <c r="I1301" s="19"/>
      <c r="J1301" s="19"/>
      <c r="K1301" s="19"/>
      <c r="L1301" s="19"/>
      <c r="M1301" s="19"/>
      <c r="N1301" s="28"/>
      <c r="O1301" s="19"/>
      <c r="P1301" s="24"/>
      <c r="Q1301" s="24"/>
      <c r="R1301" s="19"/>
    </row>
    <row r="1302" spans="1:18" ht="14.25" customHeight="1" x14ac:dyDescent="0.2">
      <c r="A1302" s="19"/>
      <c r="B1302" s="19"/>
      <c r="C1302" s="19"/>
      <c r="D1302" s="19">
        <f>D1300*D1301</f>
        <v>4049.9999999999995</v>
      </c>
      <c r="E1302" s="45">
        <f>E1301*E1299</f>
        <v>0</v>
      </c>
      <c r="F1302" s="67">
        <f>F1301*F1300*F1299</f>
        <v>12000</v>
      </c>
      <c r="G1302" s="45">
        <f t="shared" ref="G1302:H1302" si="1032">G1299*G1301</f>
        <v>3600</v>
      </c>
      <c r="H1302" s="19">
        <f t="shared" si="1032"/>
        <v>1140</v>
      </c>
      <c r="I1302" s="19">
        <f t="shared" ref="I1302:N1302" si="1033">I1299*I1300</f>
        <v>0</v>
      </c>
      <c r="J1302" s="19">
        <f t="shared" si="1033"/>
        <v>1000</v>
      </c>
      <c r="K1302" s="19">
        <f t="shared" si="1033"/>
        <v>375</v>
      </c>
      <c r="L1302" s="19">
        <f t="shared" si="1033"/>
        <v>877.5</v>
      </c>
      <c r="M1302" s="19">
        <f t="shared" si="1033"/>
        <v>1000</v>
      </c>
      <c r="N1302" s="19">
        <f t="shared" si="1033"/>
        <v>3168</v>
      </c>
      <c r="O1302" s="19">
        <f>SUM(D1302:N1302)</f>
        <v>27210.5</v>
      </c>
      <c r="P1302" s="24">
        <f>O1302/A1300</f>
        <v>27210.5</v>
      </c>
      <c r="Q1302" s="24">
        <f>P1302*Q1299</f>
        <v>54421</v>
      </c>
      <c r="R1302" s="19">
        <f>MROUND(Q1302,100)</f>
        <v>54400</v>
      </c>
    </row>
    <row r="1303" spans="1:18" ht="14.25" customHeight="1" x14ac:dyDescent="0.15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9"/>
      <c r="Q1303" s="39"/>
    </row>
    <row r="1304" spans="1:18" ht="14.25" customHeight="1" x14ac:dyDescent="0.3">
      <c r="A1304" s="109">
        <f>PRICELIST!I204</f>
        <v>0</v>
      </c>
      <c r="B1304" s="87"/>
      <c r="C1304" s="87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22"/>
      <c r="Q1304" s="22"/>
      <c r="R1304" s="17"/>
    </row>
    <row r="1305" spans="1:18" ht="14.25" customHeight="1" x14ac:dyDescent="0.15">
      <c r="A1305" s="19" t="s">
        <v>57</v>
      </c>
      <c r="B1305" s="19" t="s">
        <v>59</v>
      </c>
      <c r="C1305" s="19" t="s">
        <v>62</v>
      </c>
      <c r="D1305" s="19" t="s">
        <v>64</v>
      </c>
      <c r="E1305" s="19">
        <v>1200</v>
      </c>
      <c r="F1305" s="67" t="s">
        <v>248</v>
      </c>
      <c r="G1305" s="19">
        <v>600</v>
      </c>
      <c r="H1305" s="19" t="s">
        <v>67</v>
      </c>
      <c r="I1305" s="19" t="s">
        <v>68</v>
      </c>
      <c r="J1305" s="19" t="s">
        <v>69</v>
      </c>
      <c r="K1305" s="19" t="s">
        <v>71</v>
      </c>
      <c r="L1305" s="19" t="s">
        <v>72</v>
      </c>
      <c r="M1305" s="19" t="s">
        <v>73</v>
      </c>
      <c r="N1305" s="19" t="s">
        <v>75</v>
      </c>
      <c r="O1305" s="19" t="s">
        <v>76</v>
      </c>
      <c r="P1305" s="24" t="s">
        <v>78</v>
      </c>
      <c r="Q1305" s="24" t="s">
        <v>79</v>
      </c>
      <c r="R1305" s="19" t="s">
        <v>81</v>
      </c>
    </row>
    <row r="1306" spans="1:18" ht="14.25" customHeight="1" x14ac:dyDescent="0.15">
      <c r="A1306" s="21">
        <f t="shared" ref="A1306:B1306" si="1034">A1299</f>
        <v>0</v>
      </c>
      <c r="B1306" s="21">
        <f t="shared" si="1034"/>
        <v>0</v>
      </c>
      <c r="C1306" s="44" t="s">
        <v>188</v>
      </c>
      <c r="D1306" s="21">
        <f t="shared" ref="D1306:E1306" si="1035">D1299</f>
        <v>0</v>
      </c>
      <c r="E1306" s="23" t="str">
        <f t="shared" si="1035"/>
        <v>2100</v>
      </c>
      <c r="F1306" s="68">
        <v>800</v>
      </c>
      <c r="G1306" s="23" t="str">
        <f t="shared" ref="G1306:H1306" si="1036">G1299</f>
        <v>1800</v>
      </c>
      <c r="H1306" s="23">
        <f t="shared" si="1036"/>
        <v>380</v>
      </c>
      <c r="I1306" s="23" t="str">
        <f>I1285</f>
        <v>4800</v>
      </c>
      <c r="J1306" s="23" t="str">
        <f t="shared" ref="J1306:Q1306" si="1037">J1299</f>
        <v>1000</v>
      </c>
      <c r="K1306" s="23">
        <f t="shared" si="1037"/>
        <v>375</v>
      </c>
      <c r="L1306" s="23">
        <f t="shared" si="1037"/>
        <v>585</v>
      </c>
      <c r="M1306" s="23" t="str">
        <f t="shared" si="1037"/>
        <v>1000</v>
      </c>
      <c r="N1306" s="23">
        <f t="shared" si="1037"/>
        <v>3300</v>
      </c>
      <c r="O1306" s="23">
        <f t="shared" si="1037"/>
        <v>0</v>
      </c>
      <c r="P1306" s="27">
        <f t="shared" si="1037"/>
        <v>0</v>
      </c>
      <c r="Q1306" s="27">
        <f t="shared" si="1037"/>
        <v>2</v>
      </c>
      <c r="R1306" s="21"/>
    </row>
    <row r="1307" spans="1:18" ht="14.25" customHeight="1" x14ac:dyDescent="0.15">
      <c r="A1307" s="19">
        <v>1</v>
      </c>
      <c r="B1307" s="19">
        <v>1.5</v>
      </c>
      <c r="C1307" s="19">
        <f>0.6+0.3</f>
        <v>0.89999999999999991</v>
      </c>
      <c r="D1307" s="19">
        <f>B1307*C1307</f>
        <v>1.3499999999999999</v>
      </c>
      <c r="E1307" s="19"/>
      <c r="F1307" s="67">
        <v>6</v>
      </c>
      <c r="G1307" s="19"/>
      <c r="H1307" s="19"/>
      <c r="I1307" s="19">
        <f>B1307*0.4</f>
        <v>0.60000000000000009</v>
      </c>
      <c r="J1307" s="19">
        <v>1</v>
      </c>
      <c r="K1307" s="19">
        <f t="shared" ref="K1307:L1307" si="1038">A1307</f>
        <v>1</v>
      </c>
      <c r="L1307" s="19">
        <f t="shared" si="1038"/>
        <v>1.5</v>
      </c>
      <c r="M1307" s="19">
        <f>A1307</f>
        <v>1</v>
      </c>
      <c r="N1307" s="19">
        <f>(1.2*0.4)*2</f>
        <v>0.96</v>
      </c>
      <c r="O1307" s="19"/>
      <c r="P1307" s="24"/>
      <c r="Q1307" s="24"/>
      <c r="R1307" s="19"/>
    </row>
    <row r="1308" spans="1:18" ht="14.25" customHeight="1" x14ac:dyDescent="0.2">
      <c r="A1308" s="19"/>
      <c r="B1308" s="19"/>
      <c r="C1308" s="19"/>
      <c r="D1308" s="26">
        <f>D1189</f>
        <v>0</v>
      </c>
      <c r="E1308" s="45">
        <v>0</v>
      </c>
      <c r="F1308" s="67">
        <v>2.5</v>
      </c>
      <c r="G1308" s="45">
        <v>2</v>
      </c>
      <c r="H1308" s="19">
        <f>B1307*2</f>
        <v>3</v>
      </c>
      <c r="I1308" s="19"/>
      <c r="J1308" s="19"/>
      <c r="K1308" s="19"/>
      <c r="L1308" s="19"/>
      <c r="M1308" s="19"/>
      <c r="N1308" s="28"/>
      <c r="O1308" s="19"/>
      <c r="P1308" s="24"/>
      <c r="Q1308" s="24"/>
      <c r="R1308" s="19"/>
    </row>
    <row r="1309" spans="1:18" ht="14.25" customHeight="1" x14ac:dyDescent="0.2">
      <c r="A1309" s="19"/>
      <c r="B1309" s="19"/>
      <c r="C1309" s="19"/>
      <c r="D1309" s="19">
        <f>D1307*D1308</f>
        <v>0</v>
      </c>
      <c r="E1309" s="45">
        <f>E1308*E1306</f>
        <v>0</v>
      </c>
      <c r="F1309" s="67">
        <f>F1308*F1307*F1306</f>
        <v>12000</v>
      </c>
      <c r="G1309" s="45">
        <f t="shared" ref="G1309:H1309" si="1039">G1306*G1308</f>
        <v>3600</v>
      </c>
      <c r="H1309" s="19">
        <f t="shared" si="1039"/>
        <v>1140</v>
      </c>
      <c r="I1309" s="19">
        <f t="shared" ref="I1309:N1309" si="1040">I1306*I1307</f>
        <v>2880.0000000000005</v>
      </c>
      <c r="J1309" s="19">
        <f t="shared" si="1040"/>
        <v>1000</v>
      </c>
      <c r="K1309" s="19">
        <f t="shared" si="1040"/>
        <v>375</v>
      </c>
      <c r="L1309" s="19">
        <f t="shared" si="1040"/>
        <v>877.5</v>
      </c>
      <c r="M1309" s="19">
        <f t="shared" si="1040"/>
        <v>1000</v>
      </c>
      <c r="N1309" s="19">
        <f t="shared" si="1040"/>
        <v>3168</v>
      </c>
      <c r="O1309" s="19">
        <f>SUM(D1309:N1309)</f>
        <v>26040.5</v>
      </c>
      <c r="P1309" s="24">
        <f>O1309/A1307</f>
        <v>26040.5</v>
      </c>
      <c r="Q1309" s="24">
        <f>P1309*Q1306</f>
        <v>52081</v>
      </c>
      <c r="R1309" s="19">
        <f>MROUND(Q1309,100)</f>
        <v>52100</v>
      </c>
    </row>
    <row r="1310" spans="1:18" ht="14.25" customHeight="1" x14ac:dyDescent="0.15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9"/>
      <c r="Q1310" s="39"/>
    </row>
    <row r="1311" spans="1:18" ht="14.25" customHeight="1" x14ac:dyDescent="0.3">
      <c r="A1311" s="109">
        <f>PRICELIST!I205</f>
        <v>0</v>
      </c>
      <c r="B1311" s="87"/>
      <c r="C1311" s="87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22"/>
      <c r="Q1311" s="22"/>
      <c r="R1311" s="17"/>
    </row>
    <row r="1312" spans="1:18" ht="14.25" customHeight="1" x14ac:dyDescent="0.15">
      <c r="A1312" s="19" t="s">
        <v>57</v>
      </c>
      <c r="B1312" s="19" t="s">
        <v>59</v>
      </c>
      <c r="C1312" s="19" t="s">
        <v>62</v>
      </c>
      <c r="D1312" s="19" t="s">
        <v>64</v>
      </c>
      <c r="E1312" s="19">
        <v>1200</v>
      </c>
      <c r="F1312" s="67" t="s">
        <v>248</v>
      </c>
      <c r="G1312" s="19">
        <v>600</v>
      </c>
      <c r="H1312" s="19" t="s">
        <v>67</v>
      </c>
      <c r="I1312" s="19" t="s">
        <v>68</v>
      </c>
      <c r="J1312" s="19" t="s">
        <v>69</v>
      </c>
      <c r="K1312" s="19" t="s">
        <v>71</v>
      </c>
      <c r="L1312" s="19" t="s">
        <v>72</v>
      </c>
      <c r="M1312" s="19" t="s">
        <v>73</v>
      </c>
      <c r="N1312" s="19" t="s">
        <v>75</v>
      </c>
      <c r="O1312" s="19" t="s">
        <v>76</v>
      </c>
      <c r="P1312" s="24" t="s">
        <v>78</v>
      </c>
      <c r="Q1312" s="24" t="s">
        <v>79</v>
      </c>
      <c r="R1312" s="19" t="s">
        <v>81</v>
      </c>
    </row>
    <row r="1313" spans="1:18" ht="14.25" customHeight="1" x14ac:dyDescent="0.15">
      <c r="A1313" s="21">
        <f t="shared" ref="A1313:B1313" si="1041">A1306</f>
        <v>0</v>
      </c>
      <c r="B1313" s="21">
        <f t="shared" si="1041"/>
        <v>0</v>
      </c>
      <c r="C1313" s="44" t="s">
        <v>188</v>
      </c>
      <c r="D1313" s="21">
        <f t="shared" ref="D1313:H1313" si="1042">D1306</f>
        <v>0</v>
      </c>
      <c r="E1313" s="23" t="str">
        <f t="shared" si="1042"/>
        <v>2100</v>
      </c>
      <c r="F1313" s="68">
        <f t="shared" si="1042"/>
        <v>800</v>
      </c>
      <c r="G1313" s="23" t="str">
        <f t="shared" si="1042"/>
        <v>1800</v>
      </c>
      <c r="H1313" s="23">
        <f t="shared" si="1042"/>
        <v>380</v>
      </c>
      <c r="I1313" s="23" t="str">
        <f>I1292</f>
        <v>5500</v>
      </c>
      <c r="J1313" s="23" t="str">
        <f t="shared" ref="J1313:Q1313" si="1043">J1306</f>
        <v>1000</v>
      </c>
      <c r="K1313" s="23">
        <f t="shared" si="1043"/>
        <v>375</v>
      </c>
      <c r="L1313" s="23">
        <f t="shared" si="1043"/>
        <v>585</v>
      </c>
      <c r="M1313" s="23" t="str">
        <f t="shared" si="1043"/>
        <v>1000</v>
      </c>
      <c r="N1313" s="23">
        <f t="shared" si="1043"/>
        <v>3300</v>
      </c>
      <c r="O1313" s="23">
        <f t="shared" si="1043"/>
        <v>0</v>
      </c>
      <c r="P1313" s="27">
        <f t="shared" si="1043"/>
        <v>0</v>
      </c>
      <c r="Q1313" s="27">
        <f t="shared" si="1043"/>
        <v>2</v>
      </c>
      <c r="R1313" s="21"/>
    </row>
    <row r="1314" spans="1:18" ht="14.25" customHeight="1" x14ac:dyDescent="0.15">
      <c r="A1314" s="19">
        <v>1</v>
      </c>
      <c r="B1314" s="19">
        <v>1.5</v>
      </c>
      <c r="C1314" s="19">
        <f>0.6+0.3</f>
        <v>0.89999999999999991</v>
      </c>
      <c r="D1314" s="19">
        <f>B1314*C1314</f>
        <v>1.3499999999999999</v>
      </c>
      <c r="E1314" s="19"/>
      <c r="F1314" s="67">
        <f t="shared" ref="F1314:F1315" si="1044">F1307</f>
        <v>6</v>
      </c>
      <c r="G1314" s="19"/>
      <c r="H1314" s="19"/>
      <c r="I1314" s="19">
        <f>B1314*0.4</f>
        <v>0.60000000000000009</v>
      </c>
      <c r="J1314" s="19">
        <v>1</v>
      </c>
      <c r="K1314" s="19">
        <f t="shared" ref="K1314:L1314" si="1045">A1314</f>
        <v>1</v>
      </c>
      <c r="L1314" s="19">
        <f t="shared" si="1045"/>
        <v>1.5</v>
      </c>
      <c r="M1314" s="19">
        <f>A1314</f>
        <v>1</v>
      </c>
      <c r="N1314" s="19">
        <f>(1.2*0.4)*2</f>
        <v>0.96</v>
      </c>
      <c r="O1314" s="19"/>
      <c r="P1314" s="24"/>
      <c r="Q1314" s="24"/>
      <c r="R1314" s="19"/>
    </row>
    <row r="1315" spans="1:18" ht="14.25" customHeight="1" x14ac:dyDescent="0.2">
      <c r="A1315" s="19"/>
      <c r="B1315" s="19"/>
      <c r="C1315" s="19"/>
      <c r="D1315" s="26">
        <f>D1308</f>
        <v>0</v>
      </c>
      <c r="E1315" s="45">
        <v>0</v>
      </c>
      <c r="F1315" s="67">
        <f t="shared" si="1044"/>
        <v>2.5</v>
      </c>
      <c r="G1315" s="45">
        <v>2</v>
      </c>
      <c r="H1315" s="19">
        <f>B1314*2</f>
        <v>3</v>
      </c>
      <c r="I1315" s="19"/>
      <c r="J1315" s="19"/>
      <c r="K1315" s="19"/>
      <c r="L1315" s="19"/>
      <c r="M1315" s="19"/>
      <c r="N1315" s="28"/>
      <c r="O1315" s="19"/>
      <c r="P1315" s="24"/>
      <c r="Q1315" s="24"/>
      <c r="R1315" s="19"/>
    </row>
    <row r="1316" spans="1:18" ht="14.25" customHeight="1" x14ac:dyDescent="0.2">
      <c r="A1316" s="19"/>
      <c r="B1316" s="19"/>
      <c r="C1316" s="19"/>
      <c r="D1316" s="19">
        <f>D1314*D1315</f>
        <v>0</v>
      </c>
      <c r="E1316" s="45">
        <f>E1315*E1313</f>
        <v>0</v>
      </c>
      <c r="F1316" s="67">
        <f>F1315*F1314*F1313</f>
        <v>12000</v>
      </c>
      <c r="G1316" s="45">
        <f t="shared" ref="G1316:H1316" si="1046">G1313*G1315</f>
        <v>3600</v>
      </c>
      <c r="H1316" s="19">
        <f t="shared" si="1046"/>
        <v>1140</v>
      </c>
      <c r="I1316" s="19">
        <f t="shared" ref="I1316:N1316" si="1047">I1313*I1314</f>
        <v>3300.0000000000005</v>
      </c>
      <c r="J1316" s="19">
        <f t="shared" si="1047"/>
        <v>1000</v>
      </c>
      <c r="K1316" s="19">
        <f t="shared" si="1047"/>
        <v>375</v>
      </c>
      <c r="L1316" s="19">
        <f t="shared" si="1047"/>
        <v>877.5</v>
      </c>
      <c r="M1316" s="19">
        <f t="shared" si="1047"/>
        <v>1000</v>
      </c>
      <c r="N1316" s="19">
        <f t="shared" si="1047"/>
        <v>3168</v>
      </c>
      <c r="O1316" s="19">
        <f>SUM(D1316:N1316)</f>
        <v>26460.5</v>
      </c>
      <c r="P1316" s="24">
        <f>O1316/A1314</f>
        <v>26460.5</v>
      </c>
      <c r="Q1316" s="24">
        <f>P1316*Q1313</f>
        <v>52921</v>
      </c>
      <c r="R1316" s="19">
        <f>MROUND(Q1316,100)</f>
        <v>52900</v>
      </c>
    </row>
    <row r="1317" spans="1:18" ht="14.25" customHeight="1" x14ac:dyDescent="0.15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9"/>
      <c r="Q1317" s="39"/>
    </row>
    <row r="1318" spans="1:18" ht="14.25" customHeight="1" x14ac:dyDescent="0.3">
      <c r="A1318" s="109">
        <f>PRICELIST!I206</f>
        <v>0</v>
      </c>
      <c r="B1318" s="87"/>
      <c r="C1318" s="87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22"/>
      <c r="Q1318" s="22"/>
      <c r="R1318" s="17"/>
    </row>
    <row r="1319" spans="1:18" ht="14.25" customHeight="1" x14ac:dyDescent="0.15">
      <c r="A1319" s="19" t="s">
        <v>57</v>
      </c>
      <c r="B1319" s="19" t="s">
        <v>59</v>
      </c>
      <c r="C1319" s="19" t="s">
        <v>62</v>
      </c>
      <c r="D1319" s="19" t="s">
        <v>64</v>
      </c>
      <c r="E1319" s="19">
        <v>1200</v>
      </c>
      <c r="F1319" s="67" t="s">
        <v>248</v>
      </c>
      <c r="G1319" s="19">
        <v>600</v>
      </c>
      <c r="H1319" s="19" t="s">
        <v>67</v>
      </c>
      <c r="I1319" s="19" t="s">
        <v>68</v>
      </c>
      <c r="J1319" s="19" t="s">
        <v>69</v>
      </c>
      <c r="K1319" s="19" t="s">
        <v>71</v>
      </c>
      <c r="L1319" s="19" t="s">
        <v>72</v>
      </c>
      <c r="M1319" s="19" t="s">
        <v>73</v>
      </c>
      <c r="N1319" s="19" t="s">
        <v>75</v>
      </c>
      <c r="O1319" s="19" t="s">
        <v>76</v>
      </c>
      <c r="P1319" s="24" t="s">
        <v>78</v>
      </c>
      <c r="Q1319" s="24" t="s">
        <v>79</v>
      </c>
      <c r="R1319" s="19" t="s">
        <v>81</v>
      </c>
    </row>
    <row r="1320" spans="1:18" ht="14.25" customHeight="1" x14ac:dyDescent="0.15">
      <c r="A1320" s="21">
        <f t="shared" ref="A1320:B1320" si="1048">A1313</f>
        <v>0</v>
      </c>
      <c r="B1320" s="21">
        <f t="shared" si="1048"/>
        <v>0</v>
      </c>
      <c r="C1320" s="44" t="s">
        <v>188</v>
      </c>
      <c r="D1320" s="21">
        <f t="shared" ref="D1320:E1320" si="1049">D1313</f>
        <v>0</v>
      </c>
      <c r="E1320" s="23" t="str">
        <f t="shared" si="1049"/>
        <v>2100</v>
      </c>
      <c r="F1320" s="68">
        <f t="shared" ref="F1320:F1322" si="1050">F1306</f>
        <v>800</v>
      </c>
      <c r="G1320" s="23" t="str">
        <f t="shared" ref="G1320:H1320" si="1051">G1313</f>
        <v>1800</v>
      </c>
      <c r="H1320" s="23">
        <f t="shared" si="1051"/>
        <v>380</v>
      </c>
      <c r="I1320" s="23" t="str">
        <f>I1299</f>
        <v>0</v>
      </c>
      <c r="J1320" s="23" t="str">
        <f t="shared" ref="J1320:Q1320" si="1052">J1313</f>
        <v>1000</v>
      </c>
      <c r="K1320" s="23">
        <f t="shared" si="1052"/>
        <v>375</v>
      </c>
      <c r="L1320" s="23">
        <f t="shared" si="1052"/>
        <v>585</v>
      </c>
      <c r="M1320" s="23" t="str">
        <f t="shared" si="1052"/>
        <v>1000</v>
      </c>
      <c r="N1320" s="23">
        <f t="shared" si="1052"/>
        <v>3300</v>
      </c>
      <c r="O1320" s="23">
        <f t="shared" si="1052"/>
        <v>0</v>
      </c>
      <c r="P1320" s="27">
        <f t="shared" si="1052"/>
        <v>0</v>
      </c>
      <c r="Q1320" s="27">
        <f t="shared" si="1052"/>
        <v>2</v>
      </c>
      <c r="R1320" s="21"/>
    </row>
    <row r="1321" spans="1:18" ht="14.25" customHeight="1" x14ac:dyDescent="0.15">
      <c r="A1321" s="19">
        <v>1</v>
      </c>
      <c r="B1321" s="19">
        <v>1.5</v>
      </c>
      <c r="C1321" s="19">
        <f>0.6+0.3</f>
        <v>0.89999999999999991</v>
      </c>
      <c r="D1321" s="19">
        <f>B1321*C1321</f>
        <v>1.3499999999999999</v>
      </c>
      <c r="E1321" s="19"/>
      <c r="F1321" s="67">
        <f t="shared" si="1050"/>
        <v>6</v>
      </c>
      <c r="G1321" s="19"/>
      <c r="H1321" s="19"/>
      <c r="I1321" s="19">
        <f>B1321*0.4</f>
        <v>0.60000000000000009</v>
      </c>
      <c r="J1321" s="19">
        <v>1</v>
      </c>
      <c r="K1321" s="19">
        <f t="shared" ref="K1321:L1321" si="1053">A1321</f>
        <v>1</v>
      </c>
      <c r="L1321" s="19">
        <f t="shared" si="1053"/>
        <v>1.5</v>
      </c>
      <c r="M1321" s="19">
        <f>A1321</f>
        <v>1</v>
      </c>
      <c r="N1321" s="19">
        <f>(1.2*0.4)*2</f>
        <v>0.96</v>
      </c>
      <c r="O1321" s="19"/>
      <c r="P1321" s="24"/>
      <c r="Q1321" s="24"/>
      <c r="R1321" s="19"/>
    </row>
    <row r="1322" spans="1:18" ht="14.25" customHeight="1" x14ac:dyDescent="0.2">
      <c r="A1322" s="19"/>
      <c r="B1322" s="19"/>
      <c r="C1322" s="19"/>
      <c r="D1322" s="26">
        <f>D1315</f>
        <v>0</v>
      </c>
      <c r="E1322" s="45">
        <v>0</v>
      </c>
      <c r="F1322" s="67">
        <f t="shared" si="1050"/>
        <v>2.5</v>
      </c>
      <c r="G1322" s="45">
        <v>2</v>
      </c>
      <c r="H1322" s="19">
        <f>B1321*2</f>
        <v>3</v>
      </c>
      <c r="I1322" s="19"/>
      <c r="J1322" s="19"/>
      <c r="K1322" s="19"/>
      <c r="L1322" s="19"/>
      <c r="M1322" s="19"/>
      <c r="N1322" s="28"/>
      <c r="O1322" s="19"/>
      <c r="P1322" s="24"/>
      <c r="Q1322" s="24"/>
      <c r="R1322" s="19"/>
    </row>
    <row r="1323" spans="1:18" ht="14.25" customHeight="1" x14ac:dyDescent="0.2">
      <c r="A1323" s="19"/>
      <c r="B1323" s="19"/>
      <c r="C1323" s="19"/>
      <c r="D1323" s="19">
        <f>D1321*D1322</f>
        <v>0</v>
      </c>
      <c r="E1323" s="45">
        <f>E1322*E1320</f>
        <v>0</v>
      </c>
      <c r="F1323" s="67">
        <f>F1322*F1321*F1320</f>
        <v>12000</v>
      </c>
      <c r="G1323" s="45">
        <f t="shared" ref="G1323:H1323" si="1054">G1320*G1322</f>
        <v>3600</v>
      </c>
      <c r="H1323" s="19">
        <f t="shared" si="1054"/>
        <v>1140</v>
      </c>
      <c r="I1323" s="19">
        <f t="shared" ref="I1323:N1323" si="1055">I1320*I1321</f>
        <v>0</v>
      </c>
      <c r="J1323" s="19">
        <f t="shared" si="1055"/>
        <v>1000</v>
      </c>
      <c r="K1323" s="19">
        <f t="shared" si="1055"/>
        <v>375</v>
      </c>
      <c r="L1323" s="19">
        <f t="shared" si="1055"/>
        <v>877.5</v>
      </c>
      <c r="M1323" s="19">
        <f t="shared" si="1055"/>
        <v>1000</v>
      </c>
      <c r="N1323" s="19">
        <f t="shared" si="1055"/>
        <v>3168</v>
      </c>
      <c r="O1323" s="19">
        <f>SUM(D1323:N1323)</f>
        <v>23160.5</v>
      </c>
      <c r="P1323" s="24">
        <f>O1323/A1321</f>
        <v>23160.5</v>
      </c>
      <c r="Q1323" s="24">
        <f>P1323*Q1320</f>
        <v>46321</v>
      </c>
      <c r="R1323" s="19">
        <f>MROUND(Q1323,100)</f>
        <v>46300</v>
      </c>
    </row>
    <row r="1324" spans="1:18" ht="14.25" customHeight="1" x14ac:dyDescent="0.15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9"/>
      <c r="Q1324" s="39"/>
    </row>
    <row r="1325" spans="1:18" ht="14.25" customHeight="1" x14ac:dyDescent="0.3">
      <c r="A1325" s="109">
        <f>PRICELIST!I207</f>
        <v>0</v>
      </c>
      <c r="B1325" s="87"/>
      <c r="C1325" s="87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22"/>
      <c r="Q1325" s="22"/>
      <c r="R1325" s="17"/>
    </row>
    <row r="1326" spans="1:18" ht="14.25" customHeight="1" x14ac:dyDescent="0.15">
      <c r="A1326" s="19" t="s">
        <v>57</v>
      </c>
      <c r="B1326" s="19" t="s">
        <v>59</v>
      </c>
      <c r="C1326" s="19" t="s">
        <v>62</v>
      </c>
      <c r="D1326" s="19" t="s">
        <v>64</v>
      </c>
      <c r="E1326" s="19">
        <v>1200</v>
      </c>
      <c r="F1326" s="67" t="s">
        <v>248</v>
      </c>
      <c r="G1326" s="19">
        <v>600</v>
      </c>
      <c r="H1326" s="19" t="s">
        <v>67</v>
      </c>
      <c r="I1326" s="19" t="s">
        <v>68</v>
      </c>
      <c r="J1326" s="19" t="s">
        <v>69</v>
      </c>
      <c r="K1326" s="19" t="s">
        <v>71</v>
      </c>
      <c r="L1326" s="19" t="s">
        <v>72</v>
      </c>
      <c r="M1326" s="19" t="s">
        <v>73</v>
      </c>
      <c r="N1326" s="19" t="s">
        <v>75</v>
      </c>
      <c r="O1326" s="19" t="s">
        <v>76</v>
      </c>
      <c r="P1326" s="24" t="s">
        <v>78</v>
      </c>
      <c r="Q1326" s="24" t="s">
        <v>79</v>
      </c>
      <c r="R1326" s="19" t="s">
        <v>81</v>
      </c>
    </row>
    <row r="1327" spans="1:18" ht="14.25" customHeight="1" x14ac:dyDescent="0.15">
      <c r="A1327" s="21">
        <f t="shared" ref="A1327:B1327" si="1056">A1320</f>
        <v>0</v>
      </c>
      <c r="B1327" s="21">
        <f t="shared" si="1056"/>
        <v>0</v>
      </c>
      <c r="C1327" s="44" t="s">
        <v>188</v>
      </c>
      <c r="D1327" s="21">
        <f t="shared" ref="D1327:E1327" si="1057">D1320</f>
        <v>0</v>
      </c>
      <c r="E1327" s="23" t="str">
        <f t="shared" si="1057"/>
        <v>2100</v>
      </c>
      <c r="F1327" s="68">
        <v>800</v>
      </c>
      <c r="G1327" s="23" t="str">
        <f t="shared" ref="G1327:H1327" si="1058">G1320</f>
        <v>1800</v>
      </c>
      <c r="H1327" s="23">
        <f t="shared" si="1058"/>
        <v>380</v>
      </c>
      <c r="I1327" s="23" t="str">
        <f>I1306</f>
        <v>4800</v>
      </c>
      <c r="J1327" s="23" t="str">
        <f t="shared" ref="J1327:Q1327" si="1059">J1320</f>
        <v>1000</v>
      </c>
      <c r="K1327" s="23">
        <f t="shared" si="1059"/>
        <v>375</v>
      </c>
      <c r="L1327" s="23">
        <f t="shared" si="1059"/>
        <v>585</v>
      </c>
      <c r="M1327" s="23" t="str">
        <f t="shared" si="1059"/>
        <v>1000</v>
      </c>
      <c r="N1327" s="23">
        <f t="shared" si="1059"/>
        <v>3300</v>
      </c>
      <c r="O1327" s="23">
        <f t="shared" si="1059"/>
        <v>0</v>
      </c>
      <c r="P1327" s="27">
        <f t="shared" si="1059"/>
        <v>0</v>
      </c>
      <c r="Q1327" s="27">
        <f t="shared" si="1059"/>
        <v>2</v>
      </c>
      <c r="R1327" s="21"/>
    </row>
    <row r="1328" spans="1:18" ht="14.25" customHeight="1" x14ac:dyDescent="0.15">
      <c r="A1328" s="19">
        <v>1</v>
      </c>
      <c r="B1328" s="19">
        <v>1.5</v>
      </c>
      <c r="C1328" s="19">
        <f>0.6+0.3</f>
        <v>0.89999999999999991</v>
      </c>
      <c r="D1328" s="19">
        <f>B1328*C1328</f>
        <v>1.3499999999999999</v>
      </c>
      <c r="E1328" s="19"/>
      <c r="F1328" s="67">
        <v>6</v>
      </c>
      <c r="G1328" s="19"/>
      <c r="H1328" s="19"/>
      <c r="I1328" s="19">
        <f>B1328*0.4</f>
        <v>0.60000000000000009</v>
      </c>
      <c r="J1328" s="19">
        <v>1</v>
      </c>
      <c r="K1328" s="19">
        <f t="shared" ref="K1328:L1328" si="1060">A1328</f>
        <v>1</v>
      </c>
      <c r="L1328" s="19">
        <f t="shared" si="1060"/>
        <v>1.5</v>
      </c>
      <c r="M1328" s="19">
        <f>A1328</f>
        <v>1</v>
      </c>
      <c r="N1328" s="19">
        <f>(1.2*0.4)*2</f>
        <v>0.96</v>
      </c>
      <c r="O1328" s="19"/>
      <c r="P1328" s="24"/>
      <c r="Q1328" s="24"/>
      <c r="R1328" s="19"/>
    </row>
    <row r="1329" spans="1:18" ht="14.25" customHeight="1" x14ac:dyDescent="0.2">
      <c r="A1329" s="19"/>
      <c r="B1329" s="19"/>
      <c r="C1329" s="19"/>
      <c r="D1329" s="26" t="str">
        <f>D1217</f>
        <v>9500</v>
      </c>
      <c r="E1329" s="45">
        <v>0</v>
      </c>
      <c r="F1329" s="67">
        <v>2.5</v>
      </c>
      <c r="G1329" s="45">
        <v>2</v>
      </c>
      <c r="H1329" s="19">
        <f>B1328*2</f>
        <v>3</v>
      </c>
      <c r="I1329" s="19"/>
      <c r="J1329" s="19"/>
      <c r="K1329" s="19"/>
      <c r="L1329" s="19"/>
      <c r="M1329" s="19"/>
      <c r="N1329" s="28"/>
      <c r="O1329" s="19"/>
      <c r="P1329" s="24"/>
      <c r="Q1329" s="24"/>
      <c r="R1329" s="19"/>
    </row>
    <row r="1330" spans="1:18" ht="14.25" customHeight="1" x14ac:dyDescent="0.2">
      <c r="A1330" s="19"/>
      <c r="B1330" s="19"/>
      <c r="C1330" s="19"/>
      <c r="D1330" s="19">
        <f>D1328*D1329</f>
        <v>12824.999999999998</v>
      </c>
      <c r="E1330" s="45">
        <f>E1329*E1327</f>
        <v>0</v>
      </c>
      <c r="F1330" s="67">
        <f>F1329*F1328*F1327</f>
        <v>12000</v>
      </c>
      <c r="G1330" s="45">
        <f t="shared" ref="G1330:H1330" si="1061">G1327*G1329</f>
        <v>3600</v>
      </c>
      <c r="H1330" s="19">
        <f t="shared" si="1061"/>
        <v>1140</v>
      </c>
      <c r="I1330" s="19">
        <f t="shared" ref="I1330:N1330" si="1062">I1327*I1328</f>
        <v>2880.0000000000005</v>
      </c>
      <c r="J1330" s="19">
        <f t="shared" si="1062"/>
        <v>1000</v>
      </c>
      <c r="K1330" s="19">
        <f t="shared" si="1062"/>
        <v>375</v>
      </c>
      <c r="L1330" s="19">
        <f t="shared" si="1062"/>
        <v>877.5</v>
      </c>
      <c r="M1330" s="19">
        <f t="shared" si="1062"/>
        <v>1000</v>
      </c>
      <c r="N1330" s="19">
        <f t="shared" si="1062"/>
        <v>3168</v>
      </c>
      <c r="O1330" s="19">
        <f>SUM(D1330:N1330)</f>
        <v>38865.5</v>
      </c>
      <c r="P1330" s="24">
        <f>O1330/A1328</f>
        <v>38865.5</v>
      </c>
      <c r="Q1330" s="24">
        <f>P1330*Q1327</f>
        <v>77731</v>
      </c>
      <c r="R1330" s="19">
        <f>MROUND(Q1330,100)</f>
        <v>77700</v>
      </c>
    </row>
    <row r="1331" spans="1:18" ht="14.25" customHeight="1" x14ac:dyDescent="0.15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9"/>
      <c r="Q1331" s="39"/>
    </row>
    <row r="1332" spans="1:18" ht="14.25" customHeight="1" x14ac:dyDescent="0.3">
      <c r="A1332" s="109">
        <f>PRICELIST!I208</f>
        <v>0</v>
      </c>
      <c r="B1332" s="87"/>
      <c r="C1332" s="87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22"/>
      <c r="Q1332" s="22"/>
      <c r="R1332" s="17"/>
    </row>
    <row r="1333" spans="1:18" ht="14.25" customHeight="1" x14ac:dyDescent="0.15">
      <c r="A1333" s="19" t="s">
        <v>57</v>
      </c>
      <c r="B1333" s="19" t="s">
        <v>59</v>
      </c>
      <c r="C1333" s="19" t="s">
        <v>62</v>
      </c>
      <c r="D1333" s="19" t="s">
        <v>64</v>
      </c>
      <c r="E1333" s="19">
        <v>1200</v>
      </c>
      <c r="F1333" s="67" t="s">
        <v>248</v>
      </c>
      <c r="G1333" s="19">
        <v>600</v>
      </c>
      <c r="H1333" s="19" t="s">
        <v>67</v>
      </c>
      <c r="I1333" s="19" t="s">
        <v>68</v>
      </c>
      <c r="J1333" s="19" t="s">
        <v>69</v>
      </c>
      <c r="K1333" s="19" t="s">
        <v>71</v>
      </c>
      <c r="L1333" s="19" t="s">
        <v>72</v>
      </c>
      <c r="M1333" s="19" t="s">
        <v>73</v>
      </c>
      <c r="N1333" s="19" t="s">
        <v>75</v>
      </c>
      <c r="O1333" s="19" t="s">
        <v>76</v>
      </c>
      <c r="P1333" s="24" t="s">
        <v>78</v>
      </c>
      <c r="Q1333" s="24" t="s">
        <v>79</v>
      </c>
      <c r="R1333" s="19" t="s">
        <v>81</v>
      </c>
    </row>
    <row r="1334" spans="1:18" ht="14.25" customHeight="1" x14ac:dyDescent="0.15">
      <c r="A1334" s="21">
        <f t="shared" ref="A1334:B1334" si="1063">A1327</f>
        <v>0</v>
      </c>
      <c r="B1334" s="21">
        <f t="shared" si="1063"/>
        <v>0</v>
      </c>
      <c r="C1334" s="44" t="s">
        <v>188</v>
      </c>
      <c r="D1334" s="21">
        <f t="shared" ref="D1334:H1334" si="1064">D1327</f>
        <v>0</v>
      </c>
      <c r="E1334" s="23" t="str">
        <f t="shared" si="1064"/>
        <v>2100</v>
      </c>
      <c r="F1334" s="68">
        <f t="shared" si="1064"/>
        <v>800</v>
      </c>
      <c r="G1334" s="23" t="str">
        <f t="shared" si="1064"/>
        <v>1800</v>
      </c>
      <c r="H1334" s="23">
        <f t="shared" si="1064"/>
        <v>380</v>
      </c>
      <c r="I1334" s="23" t="str">
        <f>I1313</f>
        <v>5500</v>
      </c>
      <c r="J1334" s="23" t="str">
        <f t="shared" ref="J1334:Q1334" si="1065">J1327</f>
        <v>1000</v>
      </c>
      <c r="K1334" s="23">
        <f t="shared" si="1065"/>
        <v>375</v>
      </c>
      <c r="L1334" s="23">
        <f t="shared" si="1065"/>
        <v>585</v>
      </c>
      <c r="M1334" s="23" t="str">
        <f t="shared" si="1065"/>
        <v>1000</v>
      </c>
      <c r="N1334" s="23">
        <f t="shared" si="1065"/>
        <v>3300</v>
      </c>
      <c r="O1334" s="23">
        <f t="shared" si="1065"/>
        <v>0</v>
      </c>
      <c r="P1334" s="27">
        <f t="shared" si="1065"/>
        <v>0</v>
      </c>
      <c r="Q1334" s="27">
        <f t="shared" si="1065"/>
        <v>2</v>
      </c>
      <c r="R1334" s="21"/>
    </row>
    <row r="1335" spans="1:18" ht="14.25" customHeight="1" x14ac:dyDescent="0.15">
      <c r="A1335" s="19">
        <v>1</v>
      </c>
      <c r="B1335" s="19">
        <v>1.5</v>
      </c>
      <c r="C1335" s="19">
        <f>0.6+0.3</f>
        <v>0.89999999999999991</v>
      </c>
      <c r="D1335" s="19">
        <f>B1335*C1335</f>
        <v>1.3499999999999999</v>
      </c>
      <c r="E1335" s="19"/>
      <c r="F1335" s="67">
        <f t="shared" ref="F1335:F1336" si="1066">F1328</f>
        <v>6</v>
      </c>
      <c r="G1335" s="19"/>
      <c r="H1335" s="19"/>
      <c r="I1335" s="19">
        <f>B1335*0.4</f>
        <v>0.60000000000000009</v>
      </c>
      <c r="J1335" s="19">
        <v>1</v>
      </c>
      <c r="K1335" s="19">
        <f t="shared" ref="K1335:L1335" si="1067">A1335</f>
        <v>1</v>
      </c>
      <c r="L1335" s="19">
        <f t="shared" si="1067"/>
        <v>1.5</v>
      </c>
      <c r="M1335" s="19">
        <f>A1335</f>
        <v>1</v>
      </c>
      <c r="N1335" s="19">
        <f>(1.2*0.4)*2</f>
        <v>0.96</v>
      </c>
      <c r="O1335" s="19"/>
      <c r="P1335" s="24"/>
      <c r="Q1335" s="24"/>
      <c r="R1335" s="19"/>
    </row>
    <row r="1336" spans="1:18" ht="14.25" customHeight="1" x14ac:dyDescent="0.2">
      <c r="A1336" s="19"/>
      <c r="B1336" s="19"/>
      <c r="C1336" s="19"/>
      <c r="D1336" s="26" t="str">
        <f>D1329</f>
        <v>9500</v>
      </c>
      <c r="E1336" s="45">
        <v>0</v>
      </c>
      <c r="F1336" s="67">
        <f t="shared" si="1066"/>
        <v>2.5</v>
      </c>
      <c r="G1336" s="45">
        <v>2</v>
      </c>
      <c r="H1336" s="19">
        <f>B1335*2</f>
        <v>3</v>
      </c>
      <c r="I1336" s="19"/>
      <c r="J1336" s="19"/>
      <c r="K1336" s="19"/>
      <c r="L1336" s="19"/>
      <c r="M1336" s="19"/>
      <c r="N1336" s="28"/>
      <c r="O1336" s="19"/>
      <c r="P1336" s="24"/>
      <c r="Q1336" s="24"/>
      <c r="R1336" s="19"/>
    </row>
    <row r="1337" spans="1:18" ht="14.25" customHeight="1" x14ac:dyDescent="0.2">
      <c r="A1337" s="19"/>
      <c r="B1337" s="19"/>
      <c r="C1337" s="19"/>
      <c r="D1337" s="19">
        <f>D1335*D1336</f>
        <v>12824.999999999998</v>
      </c>
      <c r="E1337" s="45">
        <f>E1336*E1334</f>
        <v>0</v>
      </c>
      <c r="F1337" s="67">
        <f>F1336*F1335*F1334</f>
        <v>12000</v>
      </c>
      <c r="G1337" s="45">
        <f t="shared" ref="G1337:H1337" si="1068">G1334*G1336</f>
        <v>3600</v>
      </c>
      <c r="H1337" s="19">
        <f t="shared" si="1068"/>
        <v>1140</v>
      </c>
      <c r="I1337" s="19">
        <f t="shared" ref="I1337:N1337" si="1069">I1334*I1335</f>
        <v>3300.0000000000005</v>
      </c>
      <c r="J1337" s="19">
        <f t="shared" si="1069"/>
        <v>1000</v>
      </c>
      <c r="K1337" s="19">
        <f t="shared" si="1069"/>
        <v>375</v>
      </c>
      <c r="L1337" s="19">
        <f t="shared" si="1069"/>
        <v>877.5</v>
      </c>
      <c r="M1337" s="19">
        <f t="shared" si="1069"/>
        <v>1000</v>
      </c>
      <c r="N1337" s="19">
        <f t="shared" si="1069"/>
        <v>3168</v>
      </c>
      <c r="O1337" s="19">
        <f>SUM(D1337:N1337)</f>
        <v>39285.5</v>
      </c>
      <c r="P1337" s="24">
        <f>O1337/A1335</f>
        <v>39285.5</v>
      </c>
      <c r="Q1337" s="24">
        <f>P1337*Q1334</f>
        <v>78571</v>
      </c>
      <c r="R1337" s="19">
        <f>MROUND(Q1337,100)</f>
        <v>78600</v>
      </c>
    </row>
    <row r="1338" spans="1:18" ht="14.25" customHeight="1" x14ac:dyDescent="0.15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9"/>
      <c r="Q1338" s="39"/>
    </row>
    <row r="1339" spans="1:18" ht="14.25" customHeight="1" x14ac:dyDescent="0.3">
      <c r="A1339" s="109">
        <f>PRICELIST!I209</f>
        <v>0</v>
      </c>
      <c r="B1339" s="87"/>
      <c r="C1339" s="87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22"/>
      <c r="Q1339" s="22"/>
      <c r="R1339" s="17"/>
    </row>
    <row r="1340" spans="1:18" ht="14.25" customHeight="1" x14ac:dyDescent="0.15">
      <c r="A1340" s="19" t="s">
        <v>57</v>
      </c>
      <c r="B1340" s="19" t="s">
        <v>59</v>
      </c>
      <c r="C1340" s="19" t="s">
        <v>62</v>
      </c>
      <c r="D1340" s="19" t="s">
        <v>64</v>
      </c>
      <c r="E1340" s="19">
        <v>1200</v>
      </c>
      <c r="F1340" s="67" t="s">
        <v>248</v>
      </c>
      <c r="G1340" s="19">
        <v>600</v>
      </c>
      <c r="H1340" s="19" t="s">
        <v>67</v>
      </c>
      <c r="I1340" s="19" t="s">
        <v>68</v>
      </c>
      <c r="J1340" s="19" t="s">
        <v>69</v>
      </c>
      <c r="K1340" s="19" t="s">
        <v>71</v>
      </c>
      <c r="L1340" s="19" t="s">
        <v>72</v>
      </c>
      <c r="M1340" s="19" t="s">
        <v>73</v>
      </c>
      <c r="N1340" s="19" t="s">
        <v>75</v>
      </c>
      <c r="O1340" s="19" t="s">
        <v>76</v>
      </c>
      <c r="P1340" s="24" t="s">
        <v>78</v>
      </c>
      <c r="Q1340" s="24" t="s">
        <v>79</v>
      </c>
      <c r="R1340" s="19" t="s">
        <v>81</v>
      </c>
    </row>
    <row r="1341" spans="1:18" ht="14.25" customHeight="1" x14ac:dyDescent="0.15">
      <c r="A1341" s="21">
        <f t="shared" ref="A1341:B1341" si="1070">A1334</f>
        <v>0</v>
      </c>
      <c r="B1341" s="21">
        <f t="shared" si="1070"/>
        <v>0</v>
      </c>
      <c r="C1341" s="44" t="s">
        <v>188</v>
      </c>
      <c r="D1341" s="21">
        <f t="shared" ref="D1341:E1341" si="1071">D1334</f>
        <v>0</v>
      </c>
      <c r="E1341" s="23" t="str">
        <f t="shared" si="1071"/>
        <v>2100</v>
      </c>
      <c r="F1341" s="68">
        <v>800</v>
      </c>
      <c r="G1341" s="23" t="str">
        <f t="shared" ref="G1341:H1341" si="1072">G1334</f>
        <v>1800</v>
      </c>
      <c r="H1341" s="23">
        <f t="shared" si="1072"/>
        <v>380</v>
      </c>
      <c r="I1341" s="23" t="str">
        <f>I1320</f>
        <v>0</v>
      </c>
      <c r="J1341" s="23" t="str">
        <f t="shared" ref="J1341:Q1341" si="1073">J1334</f>
        <v>1000</v>
      </c>
      <c r="K1341" s="23">
        <f t="shared" si="1073"/>
        <v>375</v>
      </c>
      <c r="L1341" s="23">
        <f t="shared" si="1073"/>
        <v>585</v>
      </c>
      <c r="M1341" s="23" t="str">
        <f t="shared" si="1073"/>
        <v>1000</v>
      </c>
      <c r="N1341" s="23">
        <f t="shared" si="1073"/>
        <v>3300</v>
      </c>
      <c r="O1341" s="23">
        <f t="shared" si="1073"/>
        <v>0</v>
      </c>
      <c r="P1341" s="27">
        <f t="shared" si="1073"/>
        <v>0</v>
      </c>
      <c r="Q1341" s="27">
        <f t="shared" si="1073"/>
        <v>2</v>
      </c>
      <c r="R1341" s="21"/>
    </row>
    <row r="1342" spans="1:18" ht="14.25" customHeight="1" x14ac:dyDescent="0.15">
      <c r="A1342" s="19">
        <v>1</v>
      </c>
      <c r="B1342" s="19">
        <v>1.5</v>
      </c>
      <c r="C1342" s="19">
        <f>0.6+0.3</f>
        <v>0.89999999999999991</v>
      </c>
      <c r="D1342" s="19">
        <f>B1342*C1342</f>
        <v>1.3499999999999999</v>
      </c>
      <c r="E1342" s="19"/>
      <c r="F1342" s="67">
        <v>6</v>
      </c>
      <c r="G1342" s="19"/>
      <c r="H1342" s="19"/>
      <c r="I1342" s="19">
        <f>B1342*0.4</f>
        <v>0.60000000000000009</v>
      </c>
      <c r="J1342" s="19">
        <v>1</v>
      </c>
      <c r="K1342" s="19">
        <f t="shared" ref="K1342:L1342" si="1074">A1342</f>
        <v>1</v>
      </c>
      <c r="L1342" s="19">
        <f t="shared" si="1074"/>
        <v>1.5</v>
      </c>
      <c r="M1342" s="19">
        <f>A1342</f>
        <v>1</v>
      </c>
      <c r="N1342" s="19">
        <f>(1.2*0.4)*2</f>
        <v>0.96</v>
      </c>
      <c r="O1342" s="19"/>
      <c r="P1342" s="24"/>
      <c r="Q1342" s="24"/>
      <c r="R1342" s="19"/>
    </row>
    <row r="1343" spans="1:18" ht="14.25" customHeight="1" x14ac:dyDescent="0.2">
      <c r="A1343" s="19"/>
      <c r="B1343" s="19"/>
      <c r="C1343" s="19"/>
      <c r="D1343" s="26" t="str">
        <f>D1336</f>
        <v>9500</v>
      </c>
      <c r="E1343" s="45">
        <v>0</v>
      </c>
      <c r="F1343" s="67">
        <v>2.5</v>
      </c>
      <c r="G1343" s="45">
        <v>2</v>
      </c>
      <c r="H1343" s="19">
        <f>B1342*2</f>
        <v>3</v>
      </c>
      <c r="I1343" s="19"/>
      <c r="J1343" s="19"/>
      <c r="K1343" s="19"/>
      <c r="L1343" s="19"/>
      <c r="M1343" s="19"/>
      <c r="N1343" s="28"/>
      <c r="O1343" s="19"/>
      <c r="P1343" s="24"/>
      <c r="Q1343" s="24"/>
      <c r="R1343" s="19"/>
    </row>
    <row r="1344" spans="1:18" ht="14.25" customHeight="1" x14ac:dyDescent="0.2">
      <c r="A1344" s="19"/>
      <c r="B1344" s="19"/>
      <c r="C1344" s="19"/>
      <c r="D1344" s="19">
        <f>D1342*D1343</f>
        <v>12824.999999999998</v>
      </c>
      <c r="E1344" s="45">
        <f>E1343*E1341</f>
        <v>0</v>
      </c>
      <c r="F1344" s="67">
        <f>F1343*F1342*F1341</f>
        <v>12000</v>
      </c>
      <c r="G1344" s="45">
        <f t="shared" ref="G1344:H1344" si="1075">G1341*G1343</f>
        <v>3600</v>
      </c>
      <c r="H1344" s="19">
        <f t="shared" si="1075"/>
        <v>1140</v>
      </c>
      <c r="I1344" s="19">
        <f t="shared" ref="I1344:N1344" si="1076">I1341*I1342</f>
        <v>0</v>
      </c>
      <c r="J1344" s="19">
        <f t="shared" si="1076"/>
        <v>1000</v>
      </c>
      <c r="K1344" s="19">
        <f t="shared" si="1076"/>
        <v>375</v>
      </c>
      <c r="L1344" s="19">
        <f t="shared" si="1076"/>
        <v>877.5</v>
      </c>
      <c r="M1344" s="19">
        <f t="shared" si="1076"/>
        <v>1000</v>
      </c>
      <c r="N1344" s="19">
        <f t="shared" si="1076"/>
        <v>3168</v>
      </c>
      <c r="O1344" s="19">
        <f>SUM(D1344:N1344)</f>
        <v>35985.5</v>
      </c>
      <c r="P1344" s="24">
        <f>O1344/A1342</f>
        <v>35985.5</v>
      </c>
      <c r="Q1344" s="24">
        <f>P1344*Q1341</f>
        <v>71971</v>
      </c>
      <c r="R1344" s="19">
        <f>MROUND(Q1344,100)</f>
        <v>72000</v>
      </c>
    </row>
    <row r="1345" spans="1:18" ht="14.25" customHeight="1" x14ac:dyDescent="0.15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9"/>
      <c r="Q1345" s="39"/>
    </row>
    <row r="1346" spans="1:18" ht="14.25" customHeight="1" x14ac:dyDescent="0.3">
      <c r="A1346" s="109">
        <f>PRICELIST!I210</f>
        <v>0</v>
      </c>
      <c r="B1346" s="87"/>
      <c r="C1346" s="87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22"/>
      <c r="Q1346" s="22"/>
      <c r="R1346" s="17"/>
    </row>
    <row r="1347" spans="1:18" ht="14.25" customHeight="1" x14ac:dyDescent="0.15">
      <c r="A1347" s="19" t="s">
        <v>57</v>
      </c>
      <c r="B1347" s="19" t="s">
        <v>59</v>
      </c>
      <c r="C1347" s="19" t="s">
        <v>62</v>
      </c>
      <c r="D1347" s="19" t="s">
        <v>64</v>
      </c>
      <c r="E1347" s="19">
        <v>1200</v>
      </c>
      <c r="F1347" s="67" t="s">
        <v>248</v>
      </c>
      <c r="G1347" s="19">
        <v>600</v>
      </c>
      <c r="H1347" s="19" t="s">
        <v>67</v>
      </c>
      <c r="I1347" s="19" t="s">
        <v>68</v>
      </c>
      <c r="J1347" s="19" t="s">
        <v>69</v>
      </c>
      <c r="K1347" s="19" t="s">
        <v>71</v>
      </c>
      <c r="L1347" s="19" t="s">
        <v>72</v>
      </c>
      <c r="M1347" s="19" t="s">
        <v>73</v>
      </c>
      <c r="N1347" s="19" t="s">
        <v>75</v>
      </c>
      <c r="O1347" s="19" t="s">
        <v>76</v>
      </c>
      <c r="P1347" s="24" t="s">
        <v>78</v>
      </c>
      <c r="Q1347" s="24" t="s">
        <v>79</v>
      </c>
      <c r="R1347" s="19" t="s">
        <v>81</v>
      </c>
    </row>
    <row r="1348" spans="1:18" ht="14.25" customHeight="1" x14ac:dyDescent="0.15">
      <c r="A1348" s="21">
        <f t="shared" ref="A1348:B1348" si="1077">A1341</f>
        <v>0</v>
      </c>
      <c r="B1348" s="21">
        <f t="shared" si="1077"/>
        <v>0</v>
      </c>
      <c r="C1348" s="44" t="s">
        <v>188</v>
      </c>
      <c r="D1348" s="21">
        <f t="shared" ref="D1348:H1348" si="1078">D1341</f>
        <v>0</v>
      </c>
      <c r="E1348" s="23" t="str">
        <f t="shared" si="1078"/>
        <v>2100</v>
      </c>
      <c r="F1348" s="68">
        <f t="shared" si="1078"/>
        <v>800</v>
      </c>
      <c r="G1348" s="23" t="str">
        <f t="shared" si="1078"/>
        <v>1800</v>
      </c>
      <c r="H1348" s="23">
        <f t="shared" si="1078"/>
        <v>380</v>
      </c>
      <c r="I1348" s="23" t="str">
        <f>I1327</f>
        <v>4800</v>
      </c>
      <c r="J1348" s="23" t="str">
        <f t="shared" ref="J1348:Q1348" si="1079">J1341</f>
        <v>1000</v>
      </c>
      <c r="K1348" s="23">
        <f t="shared" si="1079"/>
        <v>375</v>
      </c>
      <c r="L1348" s="23">
        <f t="shared" si="1079"/>
        <v>585</v>
      </c>
      <c r="M1348" s="23" t="str">
        <f t="shared" si="1079"/>
        <v>1000</v>
      </c>
      <c r="N1348" s="23">
        <f t="shared" si="1079"/>
        <v>3300</v>
      </c>
      <c r="O1348" s="23">
        <f t="shared" si="1079"/>
        <v>0</v>
      </c>
      <c r="P1348" s="27">
        <f t="shared" si="1079"/>
        <v>0</v>
      </c>
      <c r="Q1348" s="27">
        <f t="shared" si="1079"/>
        <v>2</v>
      </c>
      <c r="R1348" s="21"/>
    </row>
    <row r="1349" spans="1:18" ht="14.25" customHeight="1" x14ac:dyDescent="0.15">
      <c r="A1349" s="19">
        <v>1</v>
      </c>
      <c r="B1349" s="19">
        <v>1.5</v>
      </c>
      <c r="C1349" s="19">
        <f>0.6+0.3</f>
        <v>0.89999999999999991</v>
      </c>
      <c r="D1349" s="19">
        <f>B1349*C1349</f>
        <v>1.3499999999999999</v>
      </c>
      <c r="E1349" s="19"/>
      <c r="F1349" s="67">
        <f t="shared" ref="F1349:F1350" si="1080">F1342</f>
        <v>6</v>
      </c>
      <c r="G1349" s="19"/>
      <c r="H1349" s="19"/>
      <c r="I1349" s="19">
        <f>B1349*0.4</f>
        <v>0.60000000000000009</v>
      </c>
      <c r="J1349" s="19">
        <v>1</v>
      </c>
      <c r="K1349" s="19">
        <f t="shared" ref="K1349:L1349" si="1081">A1349</f>
        <v>1</v>
      </c>
      <c r="L1349" s="19">
        <f t="shared" si="1081"/>
        <v>1.5</v>
      </c>
      <c r="M1349" s="19">
        <f>A1349</f>
        <v>1</v>
      </c>
      <c r="N1349" s="19">
        <f>(1.2*0.4)*2</f>
        <v>0.96</v>
      </c>
      <c r="O1349" s="19"/>
      <c r="P1349" s="24"/>
      <c r="Q1349" s="24"/>
      <c r="R1349" s="19"/>
    </row>
    <row r="1350" spans="1:18" ht="14.25" customHeight="1" x14ac:dyDescent="0.2">
      <c r="A1350" s="19"/>
      <c r="B1350" s="19"/>
      <c r="C1350" s="19"/>
      <c r="D1350" s="26" t="str">
        <f>D1231</f>
        <v>10500</v>
      </c>
      <c r="E1350" s="45">
        <v>0</v>
      </c>
      <c r="F1350" s="67">
        <f t="shared" si="1080"/>
        <v>2.5</v>
      </c>
      <c r="G1350" s="45">
        <v>2</v>
      </c>
      <c r="H1350" s="19">
        <f>B1349*2</f>
        <v>3</v>
      </c>
      <c r="I1350" s="19"/>
      <c r="J1350" s="19"/>
      <c r="K1350" s="19"/>
      <c r="L1350" s="19"/>
      <c r="M1350" s="19"/>
      <c r="N1350" s="28"/>
      <c r="O1350" s="19"/>
      <c r="P1350" s="24"/>
      <c r="Q1350" s="24"/>
      <c r="R1350" s="19"/>
    </row>
    <row r="1351" spans="1:18" ht="14.25" customHeight="1" x14ac:dyDescent="0.2">
      <c r="A1351" s="19"/>
      <c r="B1351" s="19"/>
      <c r="C1351" s="19"/>
      <c r="D1351" s="19">
        <f>D1349*D1350</f>
        <v>14174.999999999998</v>
      </c>
      <c r="E1351" s="45">
        <f>E1350*E1348</f>
        <v>0</v>
      </c>
      <c r="F1351" s="67">
        <f>F1350*F1349*F1348</f>
        <v>12000</v>
      </c>
      <c r="G1351" s="45">
        <f t="shared" ref="G1351:H1351" si="1082">G1348*G1350</f>
        <v>3600</v>
      </c>
      <c r="H1351" s="19">
        <f t="shared" si="1082"/>
        <v>1140</v>
      </c>
      <c r="I1351" s="19">
        <f t="shared" ref="I1351:N1351" si="1083">I1348*I1349</f>
        <v>2880.0000000000005</v>
      </c>
      <c r="J1351" s="19">
        <f t="shared" si="1083"/>
        <v>1000</v>
      </c>
      <c r="K1351" s="19">
        <f t="shared" si="1083"/>
        <v>375</v>
      </c>
      <c r="L1351" s="19">
        <f t="shared" si="1083"/>
        <v>877.5</v>
      </c>
      <c r="M1351" s="19">
        <f t="shared" si="1083"/>
        <v>1000</v>
      </c>
      <c r="N1351" s="19">
        <f t="shared" si="1083"/>
        <v>3168</v>
      </c>
      <c r="O1351" s="19">
        <f>SUM(D1351:N1351)</f>
        <v>40215.5</v>
      </c>
      <c r="P1351" s="24">
        <f>O1351/A1349</f>
        <v>40215.5</v>
      </c>
      <c r="Q1351" s="24">
        <f>P1351*Q1348</f>
        <v>80431</v>
      </c>
      <c r="R1351" s="19">
        <f>MROUND(Q1351,100)</f>
        <v>80400</v>
      </c>
    </row>
    <row r="1352" spans="1:18" ht="14.25" customHeight="1" x14ac:dyDescent="0.15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9"/>
      <c r="Q1352" s="39"/>
    </row>
    <row r="1353" spans="1:18" ht="14.25" customHeight="1" x14ac:dyDescent="0.3">
      <c r="A1353" s="109">
        <f>PRICELIST!I211</f>
        <v>0</v>
      </c>
      <c r="B1353" s="87"/>
      <c r="C1353" s="87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22"/>
      <c r="Q1353" s="22"/>
      <c r="R1353" s="17"/>
    </row>
    <row r="1354" spans="1:18" ht="14.25" customHeight="1" x14ac:dyDescent="0.15">
      <c r="A1354" s="19" t="s">
        <v>57</v>
      </c>
      <c r="B1354" s="19" t="s">
        <v>59</v>
      </c>
      <c r="C1354" s="19" t="s">
        <v>62</v>
      </c>
      <c r="D1354" s="19" t="s">
        <v>64</v>
      </c>
      <c r="E1354" s="19">
        <v>1200</v>
      </c>
      <c r="F1354" s="67" t="s">
        <v>248</v>
      </c>
      <c r="G1354" s="19">
        <v>600</v>
      </c>
      <c r="H1354" s="19" t="s">
        <v>67</v>
      </c>
      <c r="I1354" s="19" t="s">
        <v>68</v>
      </c>
      <c r="J1354" s="19" t="s">
        <v>69</v>
      </c>
      <c r="K1354" s="19" t="s">
        <v>71</v>
      </c>
      <c r="L1354" s="19" t="s">
        <v>72</v>
      </c>
      <c r="M1354" s="19" t="s">
        <v>73</v>
      </c>
      <c r="N1354" s="19" t="s">
        <v>75</v>
      </c>
      <c r="O1354" s="19" t="s">
        <v>76</v>
      </c>
      <c r="P1354" s="24" t="s">
        <v>78</v>
      </c>
      <c r="Q1354" s="24" t="s">
        <v>79</v>
      </c>
      <c r="R1354" s="19" t="s">
        <v>81</v>
      </c>
    </row>
    <row r="1355" spans="1:18" ht="14.25" customHeight="1" x14ac:dyDescent="0.15">
      <c r="A1355" s="21">
        <f t="shared" ref="A1355:B1355" si="1084">A1348</f>
        <v>0</v>
      </c>
      <c r="B1355" s="21">
        <f t="shared" si="1084"/>
        <v>0</v>
      </c>
      <c r="C1355" s="44" t="s">
        <v>188</v>
      </c>
      <c r="D1355" s="21">
        <f t="shared" ref="D1355:E1355" si="1085">D1348</f>
        <v>0</v>
      </c>
      <c r="E1355" s="23" t="str">
        <f t="shared" si="1085"/>
        <v>2100</v>
      </c>
      <c r="F1355" s="68">
        <f t="shared" ref="F1355:F1357" si="1086">F1341</f>
        <v>800</v>
      </c>
      <c r="G1355" s="23" t="str">
        <f t="shared" ref="G1355:H1355" si="1087">G1348</f>
        <v>1800</v>
      </c>
      <c r="H1355" s="23">
        <f t="shared" si="1087"/>
        <v>380</v>
      </c>
      <c r="I1355" s="23" t="str">
        <f>I1334</f>
        <v>5500</v>
      </c>
      <c r="J1355" s="23" t="str">
        <f t="shared" ref="J1355:Q1355" si="1088">J1348</f>
        <v>1000</v>
      </c>
      <c r="K1355" s="23">
        <f t="shared" si="1088"/>
        <v>375</v>
      </c>
      <c r="L1355" s="23">
        <f t="shared" si="1088"/>
        <v>585</v>
      </c>
      <c r="M1355" s="23" t="str">
        <f t="shared" si="1088"/>
        <v>1000</v>
      </c>
      <c r="N1355" s="23">
        <f t="shared" si="1088"/>
        <v>3300</v>
      </c>
      <c r="O1355" s="23">
        <f t="shared" si="1088"/>
        <v>0</v>
      </c>
      <c r="P1355" s="27">
        <f t="shared" si="1088"/>
        <v>0</v>
      </c>
      <c r="Q1355" s="27">
        <f t="shared" si="1088"/>
        <v>2</v>
      </c>
      <c r="R1355" s="21"/>
    </row>
    <row r="1356" spans="1:18" ht="14.25" customHeight="1" x14ac:dyDescent="0.15">
      <c r="A1356" s="19">
        <v>1</v>
      </c>
      <c r="B1356" s="19">
        <v>1.5</v>
      </c>
      <c r="C1356" s="19">
        <f>0.6+0.3</f>
        <v>0.89999999999999991</v>
      </c>
      <c r="D1356" s="19">
        <f>B1356*C1356</f>
        <v>1.3499999999999999</v>
      </c>
      <c r="E1356" s="19"/>
      <c r="F1356" s="67">
        <f t="shared" si="1086"/>
        <v>6</v>
      </c>
      <c r="G1356" s="19"/>
      <c r="H1356" s="19"/>
      <c r="I1356" s="19">
        <f>B1356*0.4</f>
        <v>0.60000000000000009</v>
      </c>
      <c r="J1356" s="19">
        <v>1</v>
      </c>
      <c r="K1356" s="19">
        <f t="shared" ref="K1356:L1356" si="1089">A1356</f>
        <v>1</v>
      </c>
      <c r="L1356" s="19">
        <f t="shared" si="1089"/>
        <v>1.5</v>
      </c>
      <c r="M1356" s="19">
        <f>A1356</f>
        <v>1</v>
      </c>
      <c r="N1356" s="19">
        <f>(1.2*0.4)*2</f>
        <v>0.96</v>
      </c>
      <c r="O1356" s="19"/>
      <c r="P1356" s="24"/>
      <c r="Q1356" s="24"/>
      <c r="R1356" s="19"/>
    </row>
    <row r="1357" spans="1:18" ht="14.25" customHeight="1" x14ac:dyDescent="0.2">
      <c r="A1357" s="19"/>
      <c r="B1357" s="19"/>
      <c r="C1357" s="19"/>
      <c r="D1357" s="26" t="str">
        <f>D1350</f>
        <v>10500</v>
      </c>
      <c r="E1357" s="45">
        <v>0</v>
      </c>
      <c r="F1357" s="67">
        <f t="shared" si="1086"/>
        <v>2.5</v>
      </c>
      <c r="G1357" s="45">
        <v>2</v>
      </c>
      <c r="H1357" s="19">
        <f>B1356*2</f>
        <v>3</v>
      </c>
      <c r="I1357" s="19"/>
      <c r="J1357" s="19"/>
      <c r="K1357" s="19"/>
      <c r="L1357" s="19"/>
      <c r="M1357" s="19"/>
      <c r="N1357" s="28"/>
      <c r="O1357" s="19"/>
      <c r="P1357" s="24"/>
      <c r="Q1357" s="24"/>
      <c r="R1357" s="19"/>
    </row>
    <row r="1358" spans="1:18" ht="14.25" customHeight="1" x14ac:dyDescent="0.2">
      <c r="A1358" s="19"/>
      <c r="B1358" s="19"/>
      <c r="C1358" s="19"/>
      <c r="D1358" s="19">
        <f>D1356*D1357</f>
        <v>14174.999999999998</v>
      </c>
      <c r="E1358" s="45">
        <f>E1357*E1355</f>
        <v>0</v>
      </c>
      <c r="F1358" s="67">
        <f>F1357*F1356*F1355</f>
        <v>12000</v>
      </c>
      <c r="G1358" s="45">
        <f t="shared" ref="G1358:H1358" si="1090">G1355*G1357</f>
        <v>3600</v>
      </c>
      <c r="H1358" s="19">
        <f t="shared" si="1090"/>
        <v>1140</v>
      </c>
      <c r="I1358" s="19">
        <f t="shared" ref="I1358:N1358" si="1091">I1355*I1356</f>
        <v>3300.0000000000005</v>
      </c>
      <c r="J1358" s="19">
        <f t="shared" si="1091"/>
        <v>1000</v>
      </c>
      <c r="K1358" s="19">
        <f t="shared" si="1091"/>
        <v>375</v>
      </c>
      <c r="L1358" s="19">
        <f t="shared" si="1091"/>
        <v>877.5</v>
      </c>
      <c r="M1358" s="19">
        <f t="shared" si="1091"/>
        <v>1000</v>
      </c>
      <c r="N1358" s="19">
        <f t="shared" si="1091"/>
        <v>3168</v>
      </c>
      <c r="O1358" s="19">
        <f>SUM(D1358:N1358)</f>
        <v>40635.5</v>
      </c>
      <c r="P1358" s="24">
        <f>O1358/A1356</f>
        <v>40635.5</v>
      </c>
      <c r="Q1358" s="24">
        <f>P1358*Q1355</f>
        <v>81271</v>
      </c>
      <c r="R1358" s="19">
        <f>MROUND(Q1358,100)</f>
        <v>81300</v>
      </c>
    </row>
    <row r="1359" spans="1:18" ht="14.25" customHeight="1" x14ac:dyDescent="0.15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9"/>
      <c r="Q1359" s="39"/>
    </row>
    <row r="1360" spans="1:18" ht="14.25" customHeight="1" x14ac:dyDescent="0.3">
      <c r="A1360" s="109">
        <f>PRICELIST!I212</f>
        <v>0</v>
      </c>
      <c r="B1360" s="87"/>
      <c r="C1360" s="87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22"/>
      <c r="Q1360" s="22"/>
      <c r="R1360" s="17"/>
    </row>
    <row r="1361" spans="1:18" ht="14.25" customHeight="1" x14ac:dyDescent="0.15">
      <c r="A1361" s="19" t="s">
        <v>57</v>
      </c>
      <c r="B1361" s="19" t="s">
        <v>59</v>
      </c>
      <c r="C1361" s="19" t="s">
        <v>62</v>
      </c>
      <c r="D1361" s="19" t="s">
        <v>64</v>
      </c>
      <c r="E1361" s="19">
        <v>1200</v>
      </c>
      <c r="F1361" s="67" t="s">
        <v>248</v>
      </c>
      <c r="G1361" s="19">
        <v>600</v>
      </c>
      <c r="H1361" s="19" t="s">
        <v>67</v>
      </c>
      <c r="I1361" s="19" t="s">
        <v>68</v>
      </c>
      <c r="J1361" s="19" t="s">
        <v>69</v>
      </c>
      <c r="K1361" s="19" t="s">
        <v>71</v>
      </c>
      <c r="L1361" s="19" t="s">
        <v>72</v>
      </c>
      <c r="M1361" s="19" t="s">
        <v>73</v>
      </c>
      <c r="N1361" s="19" t="s">
        <v>75</v>
      </c>
      <c r="O1361" s="19" t="s">
        <v>76</v>
      </c>
      <c r="P1361" s="24" t="s">
        <v>78</v>
      </c>
      <c r="Q1361" s="24" t="s">
        <v>79</v>
      </c>
      <c r="R1361" s="19" t="s">
        <v>81</v>
      </c>
    </row>
    <row r="1362" spans="1:18" ht="14.25" customHeight="1" x14ac:dyDescent="0.15">
      <c r="A1362" s="21">
        <f t="shared" ref="A1362:B1362" si="1092">A1355</f>
        <v>0</v>
      </c>
      <c r="B1362" s="21">
        <f t="shared" si="1092"/>
        <v>0</v>
      </c>
      <c r="C1362" s="44" t="s">
        <v>188</v>
      </c>
      <c r="D1362" s="21">
        <f t="shared" ref="D1362:E1362" si="1093">D1355</f>
        <v>0</v>
      </c>
      <c r="E1362" s="23" t="str">
        <f t="shared" si="1093"/>
        <v>2100</v>
      </c>
      <c r="F1362" s="68">
        <v>800</v>
      </c>
      <c r="G1362" s="23" t="str">
        <f t="shared" ref="G1362:H1362" si="1094">G1355</f>
        <v>1800</v>
      </c>
      <c r="H1362" s="23">
        <f t="shared" si="1094"/>
        <v>380</v>
      </c>
      <c r="I1362" s="23" t="str">
        <f>I1341</f>
        <v>0</v>
      </c>
      <c r="J1362" s="23" t="str">
        <f t="shared" ref="J1362:Q1362" si="1095">J1355</f>
        <v>1000</v>
      </c>
      <c r="K1362" s="23">
        <f t="shared" si="1095"/>
        <v>375</v>
      </c>
      <c r="L1362" s="23">
        <f t="shared" si="1095"/>
        <v>585</v>
      </c>
      <c r="M1362" s="23" t="str">
        <f t="shared" si="1095"/>
        <v>1000</v>
      </c>
      <c r="N1362" s="23">
        <f t="shared" si="1095"/>
        <v>3300</v>
      </c>
      <c r="O1362" s="23">
        <f t="shared" si="1095"/>
        <v>0</v>
      </c>
      <c r="P1362" s="27">
        <f t="shared" si="1095"/>
        <v>0</v>
      </c>
      <c r="Q1362" s="27">
        <f t="shared" si="1095"/>
        <v>2</v>
      </c>
      <c r="R1362" s="21"/>
    </row>
    <row r="1363" spans="1:18" ht="14.25" customHeight="1" x14ac:dyDescent="0.15">
      <c r="A1363" s="19">
        <v>1</v>
      </c>
      <c r="B1363" s="19">
        <v>1.5</v>
      </c>
      <c r="C1363" s="19">
        <f>0.6+0.3</f>
        <v>0.89999999999999991</v>
      </c>
      <c r="D1363" s="19">
        <f>B1363*C1363</f>
        <v>1.3499999999999999</v>
      </c>
      <c r="E1363" s="19"/>
      <c r="F1363" s="67">
        <v>6</v>
      </c>
      <c r="G1363" s="19"/>
      <c r="H1363" s="19"/>
      <c r="I1363" s="19">
        <f>B1363*0.4</f>
        <v>0.60000000000000009</v>
      </c>
      <c r="J1363" s="19">
        <v>1</v>
      </c>
      <c r="K1363" s="19">
        <f t="shared" ref="K1363:L1363" si="1096">A1363</f>
        <v>1</v>
      </c>
      <c r="L1363" s="19">
        <f t="shared" si="1096"/>
        <v>1.5</v>
      </c>
      <c r="M1363" s="19">
        <f>A1363</f>
        <v>1</v>
      </c>
      <c r="N1363" s="19">
        <f>(1.2*0.4)*2</f>
        <v>0.96</v>
      </c>
      <c r="O1363" s="19"/>
      <c r="P1363" s="24"/>
      <c r="Q1363" s="24"/>
      <c r="R1363" s="19"/>
    </row>
    <row r="1364" spans="1:18" ht="14.25" customHeight="1" x14ac:dyDescent="0.2">
      <c r="A1364" s="19"/>
      <c r="B1364" s="19"/>
      <c r="C1364" s="19"/>
      <c r="D1364" s="26" t="str">
        <f>D1357</f>
        <v>10500</v>
      </c>
      <c r="E1364" s="45">
        <v>0</v>
      </c>
      <c r="F1364" s="67">
        <v>2.5</v>
      </c>
      <c r="G1364" s="45">
        <v>2</v>
      </c>
      <c r="H1364" s="19">
        <f>B1363*2</f>
        <v>3</v>
      </c>
      <c r="I1364" s="19"/>
      <c r="J1364" s="19"/>
      <c r="K1364" s="19"/>
      <c r="L1364" s="19"/>
      <c r="M1364" s="19"/>
      <c r="N1364" s="28"/>
      <c r="O1364" s="19"/>
      <c r="P1364" s="24"/>
      <c r="Q1364" s="24"/>
      <c r="R1364" s="19"/>
    </row>
    <row r="1365" spans="1:18" ht="14.25" customHeight="1" x14ac:dyDescent="0.2">
      <c r="A1365" s="19"/>
      <c r="B1365" s="19"/>
      <c r="C1365" s="19"/>
      <c r="D1365" s="19">
        <f>D1363*D1364</f>
        <v>14174.999999999998</v>
      </c>
      <c r="E1365" s="45">
        <f>E1364*E1362</f>
        <v>0</v>
      </c>
      <c r="F1365" s="67">
        <f>F1364*F1363*F1362</f>
        <v>12000</v>
      </c>
      <c r="G1365" s="45">
        <f t="shared" ref="G1365:H1365" si="1097">G1362*G1364</f>
        <v>3600</v>
      </c>
      <c r="H1365" s="19">
        <f t="shared" si="1097"/>
        <v>1140</v>
      </c>
      <c r="I1365" s="19">
        <f t="shared" ref="I1365:N1365" si="1098">I1362*I1363</f>
        <v>0</v>
      </c>
      <c r="J1365" s="19">
        <f t="shared" si="1098"/>
        <v>1000</v>
      </c>
      <c r="K1365" s="19">
        <f t="shared" si="1098"/>
        <v>375</v>
      </c>
      <c r="L1365" s="19">
        <f t="shared" si="1098"/>
        <v>877.5</v>
      </c>
      <c r="M1365" s="19">
        <f t="shared" si="1098"/>
        <v>1000</v>
      </c>
      <c r="N1365" s="19">
        <f t="shared" si="1098"/>
        <v>3168</v>
      </c>
      <c r="O1365" s="19">
        <f>SUM(D1365:N1365)</f>
        <v>37335.5</v>
      </c>
      <c r="P1365" s="24">
        <f>O1365/A1363</f>
        <v>37335.5</v>
      </c>
      <c r="Q1365" s="24">
        <f>P1365*Q1362</f>
        <v>74671</v>
      </c>
      <c r="R1365" s="19">
        <f>MROUND(Q1365,100)</f>
        <v>74700</v>
      </c>
    </row>
    <row r="1366" spans="1:18" ht="14.25" customHeight="1" x14ac:dyDescent="0.15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9"/>
      <c r="Q1366" s="39"/>
    </row>
    <row r="1367" spans="1:18" ht="14.25" customHeight="1" x14ac:dyDescent="0.3">
      <c r="A1367" s="109">
        <f>PRICELIST!I213</f>
        <v>0</v>
      </c>
      <c r="B1367" s="87"/>
      <c r="C1367" s="87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22"/>
      <c r="Q1367" s="22"/>
      <c r="R1367" s="17"/>
    </row>
    <row r="1368" spans="1:18" ht="14.25" customHeight="1" x14ac:dyDescent="0.15">
      <c r="A1368" s="19" t="s">
        <v>57</v>
      </c>
      <c r="B1368" s="19" t="s">
        <v>59</v>
      </c>
      <c r="C1368" s="19" t="s">
        <v>62</v>
      </c>
      <c r="D1368" s="19" t="s">
        <v>64</v>
      </c>
      <c r="E1368" s="19">
        <v>1200</v>
      </c>
      <c r="F1368" s="67" t="s">
        <v>248</v>
      </c>
      <c r="G1368" s="19">
        <v>600</v>
      </c>
      <c r="H1368" s="19" t="s">
        <v>67</v>
      </c>
      <c r="I1368" s="19" t="s">
        <v>68</v>
      </c>
      <c r="J1368" s="19" t="s">
        <v>69</v>
      </c>
      <c r="K1368" s="19" t="s">
        <v>71</v>
      </c>
      <c r="L1368" s="19" t="s">
        <v>72</v>
      </c>
      <c r="M1368" s="19" t="s">
        <v>73</v>
      </c>
      <c r="N1368" s="19" t="s">
        <v>75</v>
      </c>
      <c r="O1368" s="19" t="s">
        <v>76</v>
      </c>
      <c r="P1368" s="24" t="s">
        <v>78</v>
      </c>
      <c r="Q1368" s="24" t="s">
        <v>79</v>
      </c>
      <c r="R1368" s="19" t="s">
        <v>81</v>
      </c>
    </row>
    <row r="1369" spans="1:18" ht="14.25" customHeight="1" x14ac:dyDescent="0.15">
      <c r="A1369" s="21">
        <f t="shared" ref="A1369:B1369" si="1099">A1362</f>
        <v>0</v>
      </c>
      <c r="B1369" s="21">
        <f t="shared" si="1099"/>
        <v>0</v>
      </c>
      <c r="C1369" s="44" t="s">
        <v>188</v>
      </c>
      <c r="D1369" s="21">
        <f t="shared" ref="D1369:H1369" si="1100">D1362</f>
        <v>0</v>
      </c>
      <c r="E1369" s="23" t="str">
        <f t="shared" si="1100"/>
        <v>2100</v>
      </c>
      <c r="F1369" s="68">
        <f t="shared" si="1100"/>
        <v>800</v>
      </c>
      <c r="G1369" s="23" t="str">
        <f t="shared" si="1100"/>
        <v>1800</v>
      </c>
      <c r="H1369" s="23">
        <f t="shared" si="1100"/>
        <v>380</v>
      </c>
      <c r="I1369" s="23" t="str">
        <f>I1348</f>
        <v>4800</v>
      </c>
      <c r="J1369" s="23" t="str">
        <f t="shared" ref="J1369:Q1369" si="1101">J1362</f>
        <v>1000</v>
      </c>
      <c r="K1369" s="23">
        <f t="shared" si="1101"/>
        <v>375</v>
      </c>
      <c r="L1369" s="23">
        <f t="shared" si="1101"/>
        <v>585</v>
      </c>
      <c r="M1369" s="23" t="str">
        <f t="shared" si="1101"/>
        <v>1000</v>
      </c>
      <c r="N1369" s="23">
        <f t="shared" si="1101"/>
        <v>3300</v>
      </c>
      <c r="O1369" s="23">
        <f t="shared" si="1101"/>
        <v>0</v>
      </c>
      <c r="P1369" s="27">
        <f t="shared" si="1101"/>
        <v>0</v>
      </c>
      <c r="Q1369" s="27">
        <f t="shared" si="1101"/>
        <v>2</v>
      </c>
      <c r="R1369" s="21"/>
    </row>
    <row r="1370" spans="1:18" ht="14.25" customHeight="1" x14ac:dyDescent="0.15">
      <c r="A1370" s="19">
        <v>1</v>
      </c>
      <c r="B1370" s="19">
        <v>1.5</v>
      </c>
      <c r="C1370" s="19">
        <f>0.6+0.3</f>
        <v>0.89999999999999991</v>
      </c>
      <c r="D1370" s="19">
        <f>B1370*C1370</f>
        <v>1.3499999999999999</v>
      </c>
      <c r="E1370" s="19"/>
      <c r="F1370" s="67">
        <f t="shared" ref="F1370:F1371" si="1102">F1363</f>
        <v>6</v>
      </c>
      <c r="G1370" s="19"/>
      <c r="H1370" s="19"/>
      <c r="I1370" s="19">
        <f>B1370*0.4</f>
        <v>0.60000000000000009</v>
      </c>
      <c r="J1370" s="19">
        <v>1</v>
      </c>
      <c r="K1370" s="19">
        <f t="shared" ref="K1370:L1370" si="1103">A1370</f>
        <v>1</v>
      </c>
      <c r="L1370" s="19">
        <f t="shared" si="1103"/>
        <v>1.5</v>
      </c>
      <c r="M1370" s="19">
        <f>A1370</f>
        <v>1</v>
      </c>
      <c r="N1370" s="19">
        <f>(1.2*0.4)*2</f>
        <v>0.96</v>
      </c>
      <c r="O1370" s="19"/>
      <c r="P1370" s="24"/>
      <c r="Q1370" s="24"/>
      <c r="R1370" s="19"/>
    </row>
    <row r="1371" spans="1:18" ht="14.25" customHeight="1" x14ac:dyDescent="0.2">
      <c r="A1371" s="19"/>
      <c r="B1371" s="19"/>
      <c r="C1371" s="19"/>
      <c r="D1371" s="26" t="str">
        <f>D1245</f>
        <v>16250</v>
      </c>
      <c r="E1371" s="45">
        <v>0</v>
      </c>
      <c r="F1371" s="67">
        <f t="shared" si="1102"/>
        <v>2.5</v>
      </c>
      <c r="G1371" s="45">
        <v>2</v>
      </c>
      <c r="H1371" s="19">
        <f>B1370*2</f>
        <v>3</v>
      </c>
      <c r="I1371" s="19"/>
      <c r="J1371" s="19"/>
      <c r="K1371" s="19"/>
      <c r="L1371" s="19"/>
      <c r="M1371" s="19"/>
      <c r="N1371" s="28"/>
      <c r="O1371" s="19"/>
      <c r="P1371" s="24"/>
      <c r="Q1371" s="24"/>
      <c r="R1371" s="19"/>
    </row>
    <row r="1372" spans="1:18" ht="14.25" customHeight="1" x14ac:dyDescent="0.2">
      <c r="A1372" s="19"/>
      <c r="B1372" s="19"/>
      <c r="C1372" s="19"/>
      <c r="D1372" s="19">
        <f>D1370*D1371</f>
        <v>21937.499999999996</v>
      </c>
      <c r="E1372" s="45">
        <f>E1371*E1369</f>
        <v>0</v>
      </c>
      <c r="F1372" s="67">
        <f>F1371*F1370*F1369</f>
        <v>12000</v>
      </c>
      <c r="G1372" s="45">
        <f t="shared" ref="G1372:H1372" si="1104">G1369*G1371</f>
        <v>3600</v>
      </c>
      <c r="H1372" s="19">
        <f t="shared" si="1104"/>
        <v>1140</v>
      </c>
      <c r="I1372" s="19">
        <f t="shared" ref="I1372:N1372" si="1105">I1369*I1370</f>
        <v>2880.0000000000005</v>
      </c>
      <c r="J1372" s="19">
        <f t="shared" si="1105"/>
        <v>1000</v>
      </c>
      <c r="K1372" s="19">
        <f t="shared" si="1105"/>
        <v>375</v>
      </c>
      <c r="L1372" s="19">
        <f t="shared" si="1105"/>
        <v>877.5</v>
      </c>
      <c r="M1372" s="19">
        <f t="shared" si="1105"/>
        <v>1000</v>
      </c>
      <c r="N1372" s="19">
        <f t="shared" si="1105"/>
        <v>3168</v>
      </c>
      <c r="O1372" s="19">
        <f>SUM(D1372:N1372)</f>
        <v>47978</v>
      </c>
      <c r="P1372" s="24">
        <f>O1372/A1370</f>
        <v>47978</v>
      </c>
      <c r="Q1372" s="24">
        <f>P1372*Q1369</f>
        <v>95956</v>
      </c>
      <c r="R1372" s="19">
        <f>MROUND(Q1372,100)</f>
        <v>96000</v>
      </c>
    </row>
    <row r="1373" spans="1:18" ht="14.25" customHeight="1" x14ac:dyDescent="0.15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9"/>
      <c r="Q1373" s="39"/>
    </row>
    <row r="1374" spans="1:18" ht="14.25" customHeight="1" x14ac:dyDescent="0.3">
      <c r="A1374" s="109">
        <f>PRICELIST!I214</f>
        <v>0</v>
      </c>
      <c r="B1374" s="87"/>
      <c r="C1374" s="87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22"/>
      <c r="Q1374" s="22"/>
      <c r="R1374" s="17"/>
    </row>
    <row r="1375" spans="1:18" ht="14.25" customHeight="1" x14ac:dyDescent="0.15">
      <c r="A1375" s="19" t="s">
        <v>57</v>
      </c>
      <c r="B1375" s="19" t="s">
        <v>59</v>
      </c>
      <c r="C1375" s="19" t="s">
        <v>62</v>
      </c>
      <c r="D1375" s="19" t="s">
        <v>64</v>
      </c>
      <c r="E1375" s="19">
        <v>1200</v>
      </c>
      <c r="F1375" s="67" t="s">
        <v>248</v>
      </c>
      <c r="G1375" s="19">
        <v>600</v>
      </c>
      <c r="H1375" s="19" t="s">
        <v>67</v>
      </c>
      <c r="I1375" s="19" t="s">
        <v>68</v>
      </c>
      <c r="J1375" s="19" t="s">
        <v>69</v>
      </c>
      <c r="K1375" s="19" t="s">
        <v>71</v>
      </c>
      <c r="L1375" s="19" t="s">
        <v>72</v>
      </c>
      <c r="M1375" s="19" t="s">
        <v>73</v>
      </c>
      <c r="N1375" s="19" t="s">
        <v>75</v>
      </c>
      <c r="O1375" s="19" t="s">
        <v>76</v>
      </c>
      <c r="P1375" s="24" t="s">
        <v>78</v>
      </c>
      <c r="Q1375" s="24" t="s">
        <v>79</v>
      </c>
      <c r="R1375" s="19" t="s">
        <v>81</v>
      </c>
    </row>
    <row r="1376" spans="1:18" ht="14.25" customHeight="1" x14ac:dyDescent="0.15">
      <c r="A1376" s="21">
        <f t="shared" ref="A1376:B1376" si="1106">A1369</f>
        <v>0</v>
      </c>
      <c r="B1376" s="21">
        <f t="shared" si="1106"/>
        <v>0</v>
      </c>
      <c r="C1376" s="44" t="s">
        <v>188</v>
      </c>
      <c r="D1376" s="21">
        <f t="shared" ref="D1376:E1376" si="1107">D1369</f>
        <v>0</v>
      </c>
      <c r="E1376" s="23" t="str">
        <f t="shared" si="1107"/>
        <v>2100</v>
      </c>
      <c r="F1376" s="68">
        <v>800</v>
      </c>
      <c r="G1376" s="23" t="str">
        <f t="shared" ref="G1376:H1376" si="1108">G1369</f>
        <v>1800</v>
      </c>
      <c r="H1376" s="23">
        <f t="shared" si="1108"/>
        <v>380</v>
      </c>
      <c r="I1376" s="23" t="str">
        <f>I1355</f>
        <v>5500</v>
      </c>
      <c r="J1376" s="23" t="str">
        <f t="shared" ref="J1376:Q1376" si="1109">J1369</f>
        <v>1000</v>
      </c>
      <c r="K1376" s="23">
        <f t="shared" si="1109"/>
        <v>375</v>
      </c>
      <c r="L1376" s="23">
        <f t="shared" si="1109"/>
        <v>585</v>
      </c>
      <c r="M1376" s="23" t="str">
        <f t="shared" si="1109"/>
        <v>1000</v>
      </c>
      <c r="N1376" s="23">
        <f t="shared" si="1109"/>
        <v>3300</v>
      </c>
      <c r="O1376" s="23">
        <f t="shared" si="1109"/>
        <v>0</v>
      </c>
      <c r="P1376" s="27">
        <f t="shared" si="1109"/>
        <v>0</v>
      </c>
      <c r="Q1376" s="27">
        <f t="shared" si="1109"/>
        <v>2</v>
      </c>
      <c r="R1376" s="21"/>
    </row>
    <row r="1377" spans="1:18" ht="14.25" customHeight="1" x14ac:dyDescent="0.15">
      <c r="A1377" s="19">
        <v>1</v>
      </c>
      <c r="B1377" s="19">
        <v>1.5</v>
      </c>
      <c r="C1377" s="19">
        <f>0.6+0.3</f>
        <v>0.89999999999999991</v>
      </c>
      <c r="D1377" s="19">
        <f>B1377*C1377</f>
        <v>1.3499999999999999</v>
      </c>
      <c r="E1377" s="19"/>
      <c r="F1377" s="67">
        <v>6</v>
      </c>
      <c r="G1377" s="19"/>
      <c r="H1377" s="19"/>
      <c r="I1377" s="19">
        <f>B1377*0.4</f>
        <v>0.60000000000000009</v>
      </c>
      <c r="J1377" s="19">
        <v>1</v>
      </c>
      <c r="K1377" s="19">
        <f t="shared" ref="K1377:L1377" si="1110">A1377</f>
        <v>1</v>
      </c>
      <c r="L1377" s="19">
        <f t="shared" si="1110"/>
        <v>1.5</v>
      </c>
      <c r="M1377" s="19">
        <f>A1377</f>
        <v>1</v>
      </c>
      <c r="N1377" s="19">
        <f>(1.2*0.4)*2</f>
        <v>0.96</v>
      </c>
      <c r="O1377" s="19"/>
      <c r="P1377" s="24"/>
      <c r="Q1377" s="24"/>
      <c r="R1377" s="19"/>
    </row>
    <row r="1378" spans="1:18" ht="14.25" customHeight="1" x14ac:dyDescent="0.2">
      <c r="A1378" s="19"/>
      <c r="B1378" s="19"/>
      <c r="C1378" s="19"/>
      <c r="D1378" s="26" t="str">
        <f>D1371</f>
        <v>16250</v>
      </c>
      <c r="E1378" s="45">
        <v>0</v>
      </c>
      <c r="F1378" s="67">
        <v>2.5</v>
      </c>
      <c r="G1378" s="45">
        <v>2</v>
      </c>
      <c r="H1378" s="19">
        <f>B1377*2</f>
        <v>3</v>
      </c>
      <c r="I1378" s="19"/>
      <c r="J1378" s="19"/>
      <c r="K1378" s="19"/>
      <c r="L1378" s="19"/>
      <c r="M1378" s="19"/>
      <c r="N1378" s="28"/>
      <c r="O1378" s="19"/>
      <c r="P1378" s="24"/>
      <c r="Q1378" s="24"/>
      <c r="R1378" s="19"/>
    </row>
    <row r="1379" spans="1:18" ht="14.25" customHeight="1" x14ac:dyDescent="0.2">
      <c r="A1379" s="19"/>
      <c r="B1379" s="19"/>
      <c r="C1379" s="19"/>
      <c r="D1379" s="19">
        <f>D1377*D1378</f>
        <v>21937.499999999996</v>
      </c>
      <c r="E1379" s="45">
        <f>E1378*E1376</f>
        <v>0</v>
      </c>
      <c r="F1379" s="67">
        <f>F1378*F1377*F1376</f>
        <v>12000</v>
      </c>
      <c r="G1379" s="45">
        <f t="shared" ref="G1379:H1379" si="1111">G1376*G1378</f>
        <v>3600</v>
      </c>
      <c r="H1379" s="19">
        <f t="shared" si="1111"/>
        <v>1140</v>
      </c>
      <c r="I1379" s="19">
        <f t="shared" ref="I1379:N1379" si="1112">I1376*I1377</f>
        <v>3300.0000000000005</v>
      </c>
      <c r="J1379" s="19">
        <f t="shared" si="1112"/>
        <v>1000</v>
      </c>
      <c r="K1379" s="19">
        <f t="shared" si="1112"/>
        <v>375</v>
      </c>
      <c r="L1379" s="19">
        <f t="shared" si="1112"/>
        <v>877.5</v>
      </c>
      <c r="M1379" s="19">
        <f t="shared" si="1112"/>
        <v>1000</v>
      </c>
      <c r="N1379" s="19">
        <f t="shared" si="1112"/>
        <v>3168</v>
      </c>
      <c r="O1379" s="19">
        <f>SUM(D1379:N1379)</f>
        <v>48398</v>
      </c>
      <c r="P1379" s="24">
        <f>O1379/A1377</f>
        <v>48398</v>
      </c>
      <c r="Q1379" s="24">
        <f>P1379*Q1376</f>
        <v>96796</v>
      </c>
      <c r="R1379" s="19">
        <f>MROUND(Q1379,100)</f>
        <v>96800</v>
      </c>
    </row>
    <row r="1380" spans="1:18" ht="14.25" customHeight="1" x14ac:dyDescent="0.15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9"/>
      <c r="Q1380" s="39"/>
    </row>
    <row r="1381" spans="1:18" ht="14.25" customHeight="1" x14ac:dyDescent="0.3">
      <c r="A1381" s="109">
        <f>PRICELIST!I215</f>
        <v>0</v>
      </c>
      <c r="B1381" s="87"/>
      <c r="C1381" s="87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22"/>
      <c r="Q1381" s="22"/>
      <c r="R1381" s="17"/>
    </row>
    <row r="1382" spans="1:18" ht="14.25" customHeight="1" x14ac:dyDescent="0.15">
      <c r="A1382" s="19" t="s">
        <v>57</v>
      </c>
      <c r="B1382" s="19" t="s">
        <v>59</v>
      </c>
      <c r="C1382" s="19" t="s">
        <v>62</v>
      </c>
      <c r="D1382" s="19" t="s">
        <v>64</v>
      </c>
      <c r="E1382" s="19">
        <v>1200</v>
      </c>
      <c r="F1382" s="67" t="s">
        <v>248</v>
      </c>
      <c r="G1382" s="19">
        <v>600</v>
      </c>
      <c r="H1382" s="19" t="s">
        <v>67</v>
      </c>
      <c r="I1382" s="19" t="s">
        <v>68</v>
      </c>
      <c r="J1382" s="19" t="s">
        <v>69</v>
      </c>
      <c r="K1382" s="19" t="s">
        <v>71</v>
      </c>
      <c r="L1382" s="19" t="s">
        <v>72</v>
      </c>
      <c r="M1382" s="19" t="s">
        <v>73</v>
      </c>
      <c r="N1382" s="19" t="s">
        <v>75</v>
      </c>
      <c r="O1382" s="19" t="s">
        <v>76</v>
      </c>
      <c r="P1382" s="24" t="s">
        <v>78</v>
      </c>
      <c r="Q1382" s="24" t="s">
        <v>79</v>
      </c>
      <c r="R1382" s="19" t="s">
        <v>81</v>
      </c>
    </row>
    <row r="1383" spans="1:18" ht="14.25" customHeight="1" x14ac:dyDescent="0.15">
      <c r="A1383" s="21">
        <f t="shared" ref="A1383:B1383" si="1113">A1376</f>
        <v>0</v>
      </c>
      <c r="B1383" s="21">
        <f t="shared" si="1113"/>
        <v>0</v>
      </c>
      <c r="C1383" s="44" t="s">
        <v>188</v>
      </c>
      <c r="D1383" s="21">
        <f t="shared" ref="D1383:H1383" si="1114">D1376</f>
        <v>0</v>
      </c>
      <c r="E1383" s="23" t="str">
        <f t="shared" si="1114"/>
        <v>2100</v>
      </c>
      <c r="F1383" s="68">
        <f t="shared" si="1114"/>
        <v>800</v>
      </c>
      <c r="G1383" s="23" t="str">
        <f t="shared" si="1114"/>
        <v>1800</v>
      </c>
      <c r="H1383" s="23">
        <f t="shared" si="1114"/>
        <v>380</v>
      </c>
      <c r="I1383" s="23" t="str">
        <f>I1362</f>
        <v>0</v>
      </c>
      <c r="J1383" s="23" t="str">
        <f t="shared" ref="J1383:Q1383" si="1115">J1376</f>
        <v>1000</v>
      </c>
      <c r="K1383" s="23">
        <f t="shared" si="1115"/>
        <v>375</v>
      </c>
      <c r="L1383" s="23">
        <f t="shared" si="1115"/>
        <v>585</v>
      </c>
      <c r="M1383" s="23" t="str">
        <f t="shared" si="1115"/>
        <v>1000</v>
      </c>
      <c r="N1383" s="23">
        <f t="shared" si="1115"/>
        <v>3300</v>
      </c>
      <c r="O1383" s="23">
        <f t="shared" si="1115"/>
        <v>0</v>
      </c>
      <c r="P1383" s="27">
        <f t="shared" si="1115"/>
        <v>0</v>
      </c>
      <c r="Q1383" s="27">
        <f t="shared" si="1115"/>
        <v>2</v>
      </c>
      <c r="R1383" s="21"/>
    </row>
    <row r="1384" spans="1:18" ht="14.25" customHeight="1" x14ac:dyDescent="0.15">
      <c r="A1384" s="19">
        <v>1</v>
      </c>
      <c r="B1384" s="19">
        <v>1.5</v>
      </c>
      <c r="C1384" s="19">
        <f>0.6+0.3</f>
        <v>0.89999999999999991</v>
      </c>
      <c r="D1384" s="19">
        <f>B1384*C1384</f>
        <v>1.3499999999999999</v>
      </c>
      <c r="E1384" s="19"/>
      <c r="F1384" s="67">
        <f t="shared" ref="F1384:F1385" si="1116">F1377</f>
        <v>6</v>
      </c>
      <c r="G1384" s="19"/>
      <c r="H1384" s="19"/>
      <c r="I1384" s="19">
        <f>B1384*0.4</f>
        <v>0.60000000000000009</v>
      </c>
      <c r="J1384" s="19">
        <v>1</v>
      </c>
      <c r="K1384" s="19">
        <f t="shared" ref="K1384:L1384" si="1117">A1384</f>
        <v>1</v>
      </c>
      <c r="L1384" s="19">
        <f t="shared" si="1117"/>
        <v>1.5</v>
      </c>
      <c r="M1384" s="19">
        <f>A1384</f>
        <v>1</v>
      </c>
      <c r="N1384" s="19">
        <f>(1.2*0.4)*2</f>
        <v>0.96</v>
      </c>
      <c r="O1384" s="19"/>
      <c r="P1384" s="24"/>
      <c r="Q1384" s="24"/>
      <c r="R1384" s="19"/>
    </row>
    <row r="1385" spans="1:18" ht="14.25" customHeight="1" x14ac:dyDescent="0.2">
      <c r="A1385" s="19"/>
      <c r="B1385" s="19"/>
      <c r="C1385" s="19"/>
      <c r="D1385" s="26" t="str">
        <f>D1378</f>
        <v>16250</v>
      </c>
      <c r="E1385" s="45">
        <v>0</v>
      </c>
      <c r="F1385" s="67">
        <f t="shared" si="1116"/>
        <v>2.5</v>
      </c>
      <c r="G1385" s="45">
        <v>2</v>
      </c>
      <c r="H1385" s="19">
        <f>B1384*2</f>
        <v>3</v>
      </c>
      <c r="I1385" s="19"/>
      <c r="J1385" s="19"/>
      <c r="K1385" s="19"/>
      <c r="L1385" s="19"/>
      <c r="M1385" s="19"/>
      <c r="N1385" s="28"/>
      <c r="O1385" s="19"/>
      <c r="P1385" s="24"/>
      <c r="Q1385" s="24"/>
      <c r="R1385" s="19"/>
    </row>
    <row r="1386" spans="1:18" ht="14.25" customHeight="1" x14ac:dyDescent="0.2">
      <c r="A1386" s="19"/>
      <c r="B1386" s="19"/>
      <c r="C1386" s="19"/>
      <c r="D1386" s="19">
        <f>D1384*D1385</f>
        <v>21937.499999999996</v>
      </c>
      <c r="E1386" s="45">
        <f>E1385*E1383</f>
        <v>0</v>
      </c>
      <c r="F1386" s="67">
        <f>F1385*F1384*F1383</f>
        <v>12000</v>
      </c>
      <c r="G1386" s="45">
        <f t="shared" ref="G1386:H1386" si="1118">G1383*G1385</f>
        <v>3600</v>
      </c>
      <c r="H1386" s="19">
        <f t="shared" si="1118"/>
        <v>1140</v>
      </c>
      <c r="I1386" s="19">
        <f t="shared" ref="I1386:N1386" si="1119">I1383*I1384</f>
        <v>0</v>
      </c>
      <c r="J1386" s="19">
        <f t="shared" si="1119"/>
        <v>1000</v>
      </c>
      <c r="K1386" s="19">
        <f t="shared" si="1119"/>
        <v>375</v>
      </c>
      <c r="L1386" s="19">
        <f t="shared" si="1119"/>
        <v>877.5</v>
      </c>
      <c r="M1386" s="19">
        <f t="shared" si="1119"/>
        <v>1000</v>
      </c>
      <c r="N1386" s="19">
        <f t="shared" si="1119"/>
        <v>3168</v>
      </c>
      <c r="O1386" s="19">
        <f>SUM(D1386:N1386)</f>
        <v>45098</v>
      </c>
      <c r="P1386" s="24">
        <f>O1386/A1384</f>
        <v>45098</v>
      </c>
      <c r="Q1386" s="24">
        <f>P1386*Q1383</f>
        <v>90196</v>
      </c>
      <c r="R1386" s="19">
        <f>MROUND(Q1386,100)</f>
        <v>90200</v>
      </c>
    </row>
    <row r="1387" spans="1:18" ht="36" customHeight="1" x14ac:dyDescent="0.3">
      <c r="A1387" s="110"/>
      <c r="B1387" s="87"/>
      <c r="C1387" s="87"/>
      <c r="D1387" s="79"/>
      <c r="E1387" s="79"/>
      <c r="F1387" s="79"/>
      <c r="G1387" s="79"/>
      <c r="H1387" s="79"/>
      <c r="I1387" s="79"/>
      <c r="J1387" s="79"/>
      <c r="K1387" s="79"/>
      <c r="L1387" s="79"/>
      <c r="M1387" s="79"/>
      <c r="N1387" s="79"/>
      <c r="O1387" s="79"/>
      <c r="P1387" s="80"/>
      <c r="Q1387" s="80"/>
      <c r="R1387" s="81"/>
    </row>
  </sheetData>
  <mergeCells count="200">
    <mergeCell ref="A975:C975"/>
    <mergeCell ref="A982:C982"/>
    <mergeCell ref="A989:C989"/>
    <mergeCell ref="A996:C996"/>
    <mergeCell ref="A1003:C1003"/>
    <mergeCell ref="A1010:C1010"/>
    <mergeCell ref="A1017:C1017"/>
    <mergeCell ref="A912:C912"/>
    <mergeCell ref="A919:C919"/>
    <mergeCell ref="A926:C926"/>
    <mergeCell ref="A933:C933"/>
    <mergeCell ref="A940:C940"/>
    <mergeCell ref="A947:C947"/>
    <mergeCell ref="A954:C954"/>
    <mergeCell ref="A961:C961"/>
    <mergeCell ref="A968:C968"/>
    <mergeCell ref="A849:C849"/>
    <mergeCell ref="A856:C856"/>
    <mergeCell ref="A863:C863"/>
    <mergeCell ref="A870:C870"/>
    <mergeCell ref="A877:C877"/>
    <mergeCell ref="A884:C884"/>
    <mergeCell ref="A891:C891"/>
    <mergeCell ref="A898:C898"/>
    <mergeCell ref="A905:C905"/>
    <mergeCell ref="A786:C786"/>
    <mergeCell ref="A793:C793"/>
    <mergeCell ref="A800:C800"/>
    <mergeCell ref="A807:C807"/>
    <mergeCell ref="A814:C814"/>
    <mergeCell ref="A821:C821"/>
    <mergeCell ref="A828:C828"/>
    <mergeCell ref="A835:C835"/>
    <mergeCell ref="A842:C842"/>
    <mergeCell ref="A1283:C1283"/>
    <mergeCell ref="A1290:C1290"/>
    <mergeCell ref="A1297:C1297"/>
    <mergeCell ref="A1304:C1304"/>
    <mergeCell ref="A1311:C1311"/>
    <mergeCell ref="A1367:C1367"/>
    <mergeCell ref="A1374:C1374"/>
    <mergeCell ref="A1381:C1381"/>
    <mergeCell ref="A1387:C1387"/>
    <mergeCell ref="A1318:C1318"/>
    <mergeCell ref="A1325:C1325"/>
    <mergeCell ref="A1332:C1332"/>
    <mergeCell ref="A1339:C1339"/>
    <mergeCell ref="A1346:C1346"/>
    <mergeCell ref="A1353:C1353"/>
    <mergeCell ref="A1360:C1360"/>
    <mergeCell ref="A1220:C1220"/>
    <mergeCell ref="A1227:C1227"/>
    <mergeCell ref="A1234:C1234"/>
    <mergeCell ref="A1241:C1241"/>
    <mergeCell ref="A1248:C1248"/>
    <mergeCell ref="A1255:C1255"/>
    <mergeCell ref="A1262:C1262"/>
    <mergeCell ref="A1269:C1269"/>
    <mergeCell ref="A1276:C1276"/>
    <mergeCell ref="A1157:C1157"/>
    <mergeCell ref="A1164:C1164"/>
    <mergeCell ref="A1171:C1171"/>
    <mergeCell ref="A1178:C1178"/>
    <mergeCell ref="A1185:C1185"/>
    <mergeCell ref="A1192:C1192"/>
    <mergeCell ref="A1199:C1199"/>
    <mergeCell ref="A1206:C1206"/>
    <mergeCell ref="A1213:C1213"/>
    <mergeCell ref="A1094:C1094"/>
    <mergeCell ref="A1101:C1101"/>
    <mergeCell ref="A1108:C1108"/>
    <mergeCell ref="A1115:C1115"/>
    <mergeCell ref="A1122:C1122"/>
    <mergeCell ref="A1129:C1129"/>
    <mergeCell ref="A1136:C1136"/>
    <mergeCell ref="A1143:C1143"/>
    <mergeCell ref="A1150:C1150"/>
    <mergeCell ref="A1031:C1031"/>
    <mergeCell ref="A1038:C1038"/>
    <mergeCell ref="A1045:C1045"/>
    <mergeCell ref="A1052:C1052"/>
    <mergeCell ref="A1059:C1059"/>
    <mergeCell ref="A1066:C1066"/>
    <mergeCell ref="A1073:C1073"/>
    <mergeCell ref="A1080:C1080"/>
    <mergeCell ref="A1087:C1087"/>
    <mergeCell ref="A625:C625"/>
    <mergeCell ref="A632:C632"/>
    <mergeCell ref="A639:C639"/>
    <mergeCell ref="A646:C646"/>
    <mergeCell ref="A653:C653"/>
    <mergeCell ref="A660:C660"/>
    <mergeCell ref="A667:C667"/>
    <mergeCell ref="A674:C674"/>
    <mergeCell ref="A1024:C1024"/>
    <mergeCell ref="A681:C681"/>
    <mergeCell ref="A688:C688"/>
    <mergeCell ref="A695:C695"/>
    <mergeCell ref="A702:C702"/>
    <mergeCell ref="A709:C709"/>
    <mergeCell ref="A716:C716"/>
    <mergeCell ref="A723:C723"/>
    <mergeCell ref="A730:C730"/>
    <mergeCell ref="A737:C737"/>
    <mergeCell ref="A744:C744"/>
    <mergeCell ref="A751:C751"/>
    <mergeCell ref="A758:C758"/>
    <mergeCell ref="A765:C765"/>
    <mergeCell ref="A772:C772"/>
    <mergeCell ref="A779:C779"/>
    <mergeCell ref="A562:C562"/>
    <mergeCell ref="A569:C569"/>
    <mergeCell ref="A576:C576"/>
    <mergeCell ref="A583:C583"/>
    <mergeCell ref="A590:C590"/>
    <mergeCell ref="A597:C597"/>
    <mergeCell ref="A604:C604"/>
    <mergeCell ref="A611:C611"/>
    <mergeCell ref="A618:C618"/>
    <mergeCell ref="A499:C499"/>
    <mergeCell ref="A506:C506"/>
    <mergeCell ref="A513:C513"/>
    <mergeCell ref="A520:C520"/>
    <mergeCell ref="A527:C527"/>
    <mergeCell ref="A534:C534"/>
    <mergeCell ref="A541:C541"/>
    <mergeCell ref="A548:C548"/>
    <mergeCell ref="A555:C555"/>
    <mergeCell ref="A436:C436"/>
    <mergeCell ref="A443:C443"/>
    <mergeCell ref="A450:C450"/>
    <mergeCell ref="A457:C457"/>
    <mergeCell ref="A464:C464"/>
    <mergeCell ref="A471:C471"/>
    <mergeCell ref="A478:C478"/>
    <mergeCell ref="A485:C485"/>
    <mergeCell ref="A492:C492"/>
    <mergeCell ref="A373:C373"/>
    <mergeCell ref="A380:C380"/>
    <mergeCell ref="A387:C387"/>
    <mergeCell ref="A394:C394"/>
    <mergeCell ref="A401:C401"/>
    <mergeCell ref="A408:C408"/>
    <mergeCell ref="A415:C415"/>
    <mergeCell ref="A422:C422"/>
    <mergeCell ref="A429:C429"/>
    <mergeCell ref="A310:C310"/>
    <mergeCell ref="A317:C317"/>
    <mergeCell ref="A324:C324"/>
    <mergeCell ref="A331:C331"/>
    <mergeCell ref="A338:C338"/>
    <mergeCell ref="A345:C345"/>
    <mergeCell ref="A352:C352"/>
    <mergeCell ref="A359:C359"/>
    <mergeCell ref="A366:C366"/>
    <mergeCell ref="A247:C247"/>
    <mergeCell ref="A254:C254"/>
    <mergeCell ref="A261:C261"/>
    <mergeCell ref="A268:C268"/>
    <mergeCell ref="A275:C275"/>
    <mergeCell ref="A282:C282"/>
    <mergeCell ref="A289:C289"/>
    <mergeCell ref="A296:C296"/>
    <mergeCell ref="A303:C303"/>
    <mergeCell ref="A184:C184"/>
    <mergeCell ref="A191:C191"/>
    <mergeCell ref="A198:C198"/>
    <mergeCell ref="A205:C205"/>
    <mergeCell ref="A212:C212"/>
    <mergeCell ref="A219:C219"/>
    <mergeCell ref="A226:C226"/>
    <mergeCell ref="A233:C233"/>
    <mergeCell ref="A240:C240"/>
    <mergeCell ref="A121:C121"/>
    <mergeCell ref="A128:C128"/>
    <mergeCell ref="A135:C135"/>
    <mergeCell ref="A142:C142"/>
    <mergeCell ref="A149:C149"/>
    <mergeCell ref="A156:C156"/>
    <mergeCell ref="A163:C163"/>
    <mergeCell ref="A170:C170"/>
    <mergeCell ref="A177:C177"/>
    <mergeCell ref="A58:C58"/>
    <mergeCell ref="A65:C65"/>
    <mergeCell ref="A72:C72"/>
    <mergeCell ref="A79:C79"/>
    <mergeCell ref="A86:C86"/>
    <mergeCell ref="A93:C93"/>
    <mergeCell ref="A100:C100"/>
    <mergeCell ref="A107:C107"/>
    <mergeCell ref="A114:C114"/>
    <mergeCell ref="A1:R1"/>
    <mergeCell ref="A2:C2"/>
    <mergeCell ref="A9:C9"/>
    <mergeCell ref="A16:C16"/>
    <mergeCell ref="A23:C23"/>
    <mergeCell ref="A30:C30"/>
    <mergeCell ref="A37:C37"/>
    <mergeCell ref="A44:C44"/>
    <mergeCell ref="A51:C5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86"/>
  <sheetViews>
    <sheetView workbookViewId="0"/>
  </sheetViews>
  <sheetFormatPr baseColWidth="10" defaultColWidth="12.6640625" defaultRowHeight="15.75" customHeight="1" x14ac:dyDescent="0.15"/>
  <cols>
    <col min="1" max="18" width="17" customWidth="1"/>
  </cols>
  <sheetData>
    <row r="1" spans="1:18" ht="30" customHeight="1" x14ac:dyDescent="0.15">
      <c r="A1" s="108" t="s">
        <v>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</row>
    <row r="2" spans="1:18" ht="14.25" customHeight="1" x14ac:dyDescent="0.3">
      <c r="A2" s="109" t="str">
        <f>PRICELIST!I216</f>
        <v>WSTK-LNR-SH-PB-900-F</v>
      </c>
      <c r="B2" s="87"/>
      <c r="C2" s="87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7"/>
    </row>
    <row r="3" spans="1:18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>
        <v>1200</v>
      </c>
      <c r="F3" s="19">
        <v>900</v>
      </c>
      <c r="G3" s="19">
        <v>600</v>
      </c>
      <c r="H3" s="19" t="s">
        <v>67</v>
      </c>
      <c r="I3" s="19" t="s">
        <v>68</v>
      </c>
      <c r="J3" s="19" t="s">
        <v>69</v>
      </c>
      <c r="K3" s="19" t="s">
        <v>71</v>
      </c>
      <c r="L3" s="19" t="s">
        <v>72</v>
      </c>
      <c r="M3" s="19" t="s">
        <v>73</v>
      </c>
      <c r="N3" s="19" t="s">
        <v>75</v>
      </c>
      <c r="O3" s="19" t="s">
        <v>76</v>
      </c>
      <c r="P3" s="19" t="s">
        <v>78</v>
      </c>
      <c r="Q3" s="19" t="s">
        <v>79</v>
      </c>
      <c r="R3" s="19" t="s">
        <v>81</v>
      </c>
    </row>
    <row r="4" spans="1:18" ht="14.25" customHeight="1" x14ac:dyDescent="0.15">
      <c r="A4" s="21"/>
      <c r="B4" s="21"/>
      <c r="C4" s="21"/>
      <c r="D4" s="21"/>
      <c r="E4" s="23" t="str">
        <f>'MASTER DATA'!E8</f>
        <v>4200</v>
      </c>
      <c r="F4" s="23" t="str">
        <f>'MASTER DATA'!E7</f>
        <v>4000</v>
      </c>
      <c r="G4" s="23" t="str">
        <f>'MASTER DATA'!E6</f>
        <v>3800</v>
      </c>
      <c r="H4" s="21">
        <v>380</v>
      </c>
      <c r="I4" s="23" t="str">
        <f>'MASTER DATA'!K3</f>
        <v>4800</v>
      </c>
      <c r="J4" s="23" t="str">
        <f>'MASTER DATA'!I3</f>
        <v>1000</v>
      </c>
      <c r="K4" s="21">
        <v>375</v>
      </c>
      <c r="L4" s="21">
        <v>585</v>
      </c>
      <c r="M4" s="23" t="str">
        <f>'MASTER DATA'!G4</f>
        <v>1000</v>
      </c>
      <c r="N4" s="21">
        <v>3300</v>
      </c>
      <c r="O4" s="21"/>
      <c r="P4" s="21"/>
      <c r="Q4" s="21">
        <f>'MASTER DATA'!C16</f>
        <v>2</v>
      </c>
      <c r="R4" s="21"/>
    </row>
    <row r="5" spans="1:18" ht="14.25" customHeight="1" x14ac:dyDescent="0.15">
      <c r="A5" s="19">
        <v>6</v>
      </c>
      <c r="B5" s="19">
        <f>0.9*3</f>
        <v>2.7</v>
      </c>
      <c r="C5" s="19">
        <v>1.2</v>
      </c>
      <c r="D5" s="19">
        <f>B5*C5</f>
        <v>3.24</v>
      </c>
      <c r="E5" s="19"/>
      <c r="F5" s="19"/>
      <c r="G5" s="19"/>
      <c r="H5" s="19"/>
      <c r="I5" s="19">
        <f>B5*0.4</f>
        <v>1.08</v>
      </c>
      <c r="J5" s="19">
        <v>2</v>
      </c>
      <c r="K5" s="19">
        <f t="shared" ref="K5:L5" si="0">A5</f>
        <v>6</v>
      </c>
      <c r="L5" s="19">
        <f t="shared" si="0"/>
        <v>2.7</v>
      </c>
      <c r="M5" s="19">
        <f>A5</f>
        <v>6</v>
      </c>
      <c r="N5" s="19">
        <f>(1.2*0.4)*2</f>
        <v>0.96</v>
      </c>
      <c r="O5" s="19"/>
      <c r="P5" s="19"/>
      <c r="Q5" s="19"/>
      <c r="R5" s="19"/>
    </row>
    <row r="6" spans="1:18" ht="14.25" customHeight="1" x14ac:dyDescent="0.15">
      <c r="A6" s="19"/>
      <c r="B6" s="19"/>
      <c r="C6" s="19"/>
      <c r="D6" s="26" t="str">
        <f>'MASTER DATA'!C3</f>
        <v>2200</v>
      </c>
      <c r="E6" s="19">
        <v>2</v>
      </c>
      <c r="F6" s="19">
        <v>0</v>
      </c>
      <c r="G6" s="19">
        <v>0</v>
      </c>
      <c r="H6" s="19">
        <f>B5*2</f>
        <v>5.4</v>
      </c>
      <c r="I6" s="19"/>
      <c r="J6" s="19"/>
      <c r="K6" s="19"/>
      <c r="L6" s="19"/>
      <c r="M6" s="19"/>
      <c r="N6" s="28"/>
      <c r="O6" s="19"/>
      <c r="P6" s="19"/>
      <c r="Q6" s="19"/>
      <c r="R6" s="19"/>
    </row>
    <row r="7" spans="1:18" ht="14.25" customHeight="1" x14ac:dyDescent="0.15">
      <c r="A7" s="19"/>
      <c r="B7" s="19"/>
      <c r="C7" s="19"/>
      <c r="D7" s="19">
        <f>D5*D6</f>
        <v>7128.0000000000009</v>
      </c>
      <c r="E7" s="19">
        <f>E6*E4</f>
        <v>8400</v>
      </c>
      <c r="F7" s="19">
        <f t="shared" ref="F7:H7" si="1">F4*F6</f>
        <v>0</v>
      </c>
      <c r="G7" s="19">
        <f t="shared" si="1"/>
        <v>0</v>
      </c>
      <c r="H7" s="19">
        <f t="shared" si="1"/>
        <v>2052</v>
      </c>
      <c r="I7" s="19">
        <f t="shared" ref="I7:N7" si="2">I4*I5</f>
        <v>5184</v>
      </c>
      <c r="J7" s="19">
        <f t="shared" si="2"/>
        <v>2000</v>
      </c>
      <c r="K7" s="19">
        <f t="shared" si="2"/>
        <v>2250</v>
      </c>
      <c r="L7" s="19">
        <f t="shared" si="2"/>
        <v>1579.5</v>
      </c>
      <c r="M7" s="19">
        <f t="shared" si="2"/>
        <v>6000</v>
      </c>
      <c r="N7" s="19">
        <f t="shared" si="2"/>
        <v>3168</v>
      </c>
      <c r="O7" s="19">
        <f>SUM(D7:N7)</f>
        <v>37761.5</v>
      </c>
      <c r="P7" s="19">
        <f>O7/A5</f>
        <v>6293.583333333333</v>
      </c>
      <c r="Q7" s="19">
        <f>P7*Q4</f>
        <v>12587.166666666666</v>
      </c>
      <c r="R7" s="19">
        <f>MROUND(Q7,100)</f>
        <v>12600</v>
      </c>
    </row>
    <row r="8" spans="1:18" ht="14.25" customHeight="1" x14ac:dyDescent="0.1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</row>
    <row r="9" spans="1:18" ht="14.25" customHeight="1" x14ac:dyDescent="0.3">
      <c r="A9" s="109" t="str">
        <f>PRICELIST!I217</f>
        <v>WSTK-LNR-SH-PB-900-G</v>
      </c>
      <c r="B9" s="87"/>
      <c r="C9" s="87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7"/>
    </row>
    <row r="10" spans="1:18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>
        <v>1200</v>
      </c>
      <c r="F10" s="19">
        <v>900</v>
      </c>
      <c r="G10" s="19">
        <v>600</v>
      </c>
      <c r="H10" s="19" t="s">
        <v>67</v>
      </c>
      <c r="I10" s="19" t="s">
        <v>68</v>
      </c>
      <c r="J10" s="19" t="s">
        <v>69</v>
      </c>
      <c r="K10" s="19" t="s">
        <v>71</v>
      </c>
      <c r="L10" s="19" t="s">
        <v>72</v>
      </c>
      <c r="M10" s="19" t="s">
        <v>73</v>
      </c>
      <c r="N10" s="19" t="s">
        <v>75</v>
      </c>
      <c r="O10" s="19" t="s">
        <v>76</v>
      </c>
      <c r="P10" s="19" t="s">
        <v>78</v>
      </c>
      <c r="Q10" s="19" t="s">
        <v>79</v>
      </c>
      <c r="R10" s="19" t="s">
        <v>81</v>
      </c>
    </row>
    <row r="11" spans="1:18" ht="14.25" customHeight="1" x14ac:dyDescent="0.15">
      <c r="A11" s="21"/>
      <c r="B11" s="21"/>
      <c r="C11" s="21"/>
      <c r="D11" s="21"/>
      <c r="E11" s="23" t="str">
        <f t="shared" ref="E11:H11" si="3">E4</f>
        <v>4200</v>
      </c>
      <c r="F11" s="23" t="str">
        <f t="shared" si="3"/>
        <v>4000</v>
      </c>
      <c r="G11" s="23" t="str">
        <f t="shared" si="3"/>
        <v>3800</v>
      </c>
      <c r="H11" s="23">
        <f t="shared" si="3"/>
        <v>380</v>
      </c>
      <c r="I11" s="23" t="str">
        <f>'MASTER DATA'!K4</f>
        <v>5500</v>
      </c>
      <c r="J11" s="23" t="str">
        <f t="shared" ref="J11:R11" si="4">J4</f>
        <v>1000</v>
      </c>
      <c r="K11" s="23">
        <f t="shared" si="4"/>
        <v>375</v>
      </c>
      <c r="L11" s="23">
        <f t="shared" si="4"/>
        <v>585</v>
      </c>
      <c r="M11" s="23" t="str">
        <f t="shared" si="4"/>
        <v>1000</v>
      </c>
      <c r="N11" s="23">
        <f t="shared" si="4"/>
        <v>3300</v>
      </c>
      <c r="O11" s="23">
        <f t="shared" si="4"/>
        <v>0</v>
      </c>
      <c r="P11" s="23">
        <f t="shared" si="4"/>
        <v>0</v>
      </c>
      <c r="Q11" s="23">
        <f t="shared" si="4"/>
        <v>2</v>
      </c>
      <c r="R11" s="23">
        <f t="shared" si="4"/>
        <v>0</v>
      </c>
    </row>
    <row r="12" spans="1:18" ht="14.25" customHeight="1" x14ac:dyDescent="0.15">
      <c r="A12" s="19">
        <v>6</v>
      </c>
      <c r="B12" s="19">
        <f>0.9*3</f>
        <v>2.7</v>
      </c>
      <c r="C12" s="19">
        <v>1.2</v>
      </c>
      <c r="D12" s="19">
        <f>B12*C12</f>
        <v>3.24</v>
      </c>
      <c r="E12" s="19"/>
      <c r="F12" s="19"/>
      <c r="G12" s="19"/>
      <c r="H12" s="19"/>
      <c r="I12" s="19">
        <f>B12*0.4</f>
        <v>1.08</v>
      </c>
      <c r="J12" s="19">
        <v>2</v>
      </c>
      <c r="K12" s="19">
        <f t="shared" ref="K12:L12" si="5">A12</f>
        <v>6</v>
      </c>
      <c r="L12" s="19">
        <f t="shared" si="5"/>
        <v>2.7</v>
      </c>
      <c r="M12" s="19">
        <f>A12</f>
        <v>6</v>
      </c>
      <c r="N12" s="19">
        <f>(1.2*0.4)*2</f>
        <v>0.96</v>
      </c>
      <c r="O12" s="19"/>
      <c r="P12" s="19"/>
      <c r="Q12" s="19"/>
      <c r="R12" s="19"/>
    </row>
    <row r="13" spans="1:18" ht="14.25" customHeight="1" x14ac:dyDescent="0.15">
      <c r="A13" s="19"/>
      <c r="B13" s="19"/>
      <c r="C13" s="19"/>
      <c r="D13" s="26" t="str">
        <f>D6</f>
        <v>2200</v>
      </c>
      <c r="E13" s="19">
        <v>2</v>
      </c>
      <c r="F13" s="19">
        <v>0</v>
      </c>
      <c r="G13" s="19">
        <v>0</v>
      </c>
      <c r="H13" s="19">
        <f>B12*2</f>
        <v>5.4</v>
      </c>
      <c r="I13" s="19"/>
      <c r="J13" s="19"/>
      <c r="K13" s="19"/>
      <c r="L13" s="19"/>
      <c r="M13" s="19"/>
      <c r="N13" s="28"/>
      <c r="O13" s="19"/>
      <c r="P13" s="19"/>
      <c r="Q13" s="19"/>
      <c r="R13" s="19"/>
    </row>
    <row r="14" spans="1:18" ht="14.25" customHeight="1" x14ac:dyDescent="0.15">
      <c r="A14" s="19"/>
      <c r="B14" s="19"/>
      <c r="C14" s="19"/>
      <c r="D14" s="19">
        <f>D12*D13</f>
        <v>7128.0000000000009</v>
      </c>
      <c r="E14" s="19">
        <f>E13*E11</f>
        <v>8400</v>
      </c>
      <c r="F14" s="19">
        <f t="shared" ref="F14:H14" si="6">F11*F13</f>
        <v>0</v>
      </c>
      <c r="G14" s="19">
        <f t="shared" si="6"/>
        <v>0</v>
      </c>
      <c r="H14" s="19">
        <f t="shared" si="6"/>
        <v>2052</v>
      </c>
      <c r="I14" s="19">
        <f t="shared" ref="I14:N14" si="7">I11*I12</f>
        <v>5940</v>
      </c>
      <c r="J14" s="19">
        <f t="shared" si="7"/>
        <v>2000</v>
      </c>
      <c r="K14" s="19">
        <f t="shared" si="7"/>
        <v>2250</v>
      </c>
      <c r="L14" s="19">
        <f t="shared" si="7"/>
        <v>1579.5</v>
      </c>
      <c r="M14" s="19">
        <f t="shared" si="7"/>
        <v>6000</v>
      </c>
      <c r="N14" s="19">
        <f t="shared" si="7"/>
        <v>3168</v>
      </c>
      <c r="O14" s="19">
        <f>SUM(D14:N14)</f>
        <v>38517.5</v>
      </c>
      <c r="P14" s="19">
        <f>O14/A12</f>
        <v>6419.583333333333</v>
      </c>
      <c r="Q14" s="19">
        <f>P14*Q11</f>
        <v>12839.166666666666</v>
      </c>
      <c r="R14" s="19">
        <f>MROUND(Q14,100)</f>
        <v>12800</v>
      </c>
    </row>
    <row r="15" spans="1:18" ht="14.25" customHeight="1" x14ac:dyDescent="0.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23">
        <f>Q8</f>
        <v>0</v>
      </c>
    </row>
    <row r="16" spans="1:18" ht="14.25" customHeight="1" x14ac:dyDescent="0.3">
      <c r="A16" s="109" t="str">
        <f>PRICELIST!I218</f>
        <v>WSTK-LNR-SH-PB-900-X</v>
      </c>
      <c r="B16" s="87"/>
      <c r="C16" s="87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7"/>
    </row>
    <row r="17" spans="1:18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>
        <v>1200</v>
      </c>
      <c r="F17" s="19">
        <v>900</v>
      </c>
      <c r="G17" s="19">
        <v>600</v>
      </c>
      <c r="H17" s="19" t="s">
        <v>67</v>
      </c>
      <c r="I17" s="19" t="s">
        <v>68</v>
      </c>
      <c r="J17" s="19" t="s">
        <v>69</v>
      </c>
      <c r="K17" s="19" t="s">
        <v>71</v>
      </c>
      <c r="L17" s="19" t="s">
        <v>72</v>
      </c>
      <c r="M17" s="19" t="s">
        <v>73</v>
      </c>
      <c r="N17" s="19" t="s">
        <v>75</v>
      </c>
      <c r="O17" s="19" t="s">
        <v>76</v>
      </c>
      <c r="P17" s="19" t="s">
        <v>78</v>
      </c>
      <c r="Q17" s="19" t="s">
        <v>79</v>
      </c>
      <c r="R17" s="19" t="s">
        <v>81</v>
      </c>
    </row>
    <row r="18" spans="1:18" ht="14.25" customHeight="1" x14ac:dyDescent="0.15">
      <c r="A18" s="21">
        <f t="shared" ref="A18:H18" si="8">A11</f>
        <v>0</v>
      </c>
      <c r="B18" s="21">
        <f t="shared" si="8"/>
        <v>0</v>
      </c>
      <c r="C18" s="21">
        <f t="shared" si="8"/>
        <v>0</v>
      </c>
      <c r="D18" s="21">
        <f t="shared" si="8"/>
        <v>0</v>
      </c>
      <c r="E18" s="23" t="str">
        <f t="shared" si="8"/>
        <v>4200</v>
      </c>
      <c r="F18" s="23" t="str">
        <f t="shared" si="8"/>
        <v>4000</v>
      </c>
      <c r="G18" s="23" t="str">
        <f t="shared" si="8"/>
        <v>3800</v>
      </c>
      <c r="H18" s="23">
        <f t="shared" si="8"/>
        <v>380</v>
      </c>
      <c r="I18" s="23" t="str">
        <f>'MASTER DATA'!K5</f>
        <v>0</v>
      </c>
      <c r="J18" s="23" t="str">
        <f t="shared" ref="J18:Q18" si="9">J11</f>
        <v>1000</v>
      </c>
      <c r="K18" s="23">
        <f t="shared" si="9"/>
        <v>375</v>
      </c>
      <c r="L18" s="23">
        <f t="shared" si="9"/>
        <v>585</v>
      </c>
      <c r="M18" s="23" t="str">
        <f t="shared" si="9"/>
        <v>1000</v>
      </c>
      <c r="N18" s="23">
        <f t="shared" si="9"/>
        <v>3300</v>
      </c>
      <c r="O18" s="23">
        <f t="shared" si="9"/>
        <v>0</v>
      </c>
      <c r="P18" s="23">
        <f t="shared" si="9"/>
        <v>0</v>
      </c>
      <c r="Q18" s="23">
        <f t="shared" si="9"/>
        <v>2</v>
      </c>
      <c r="R18" s="21"/>
    </row>
    <row r="19" spans="1:18" ht="14.25" customHeight="1" x14ac:dyDescent="0.15">
      <c r="A19" s="19">
        <v>6</v>
      </c>
      <c r="B19" s="19">
        <f>0.9*3</f>
        <v>2.7</v>
      </c>
      <c r="C19" s="19">
        <v>1.2</v>
      </c>
      <c r="D19" s="19">
        <f>B19*C19</f>
        <v>3.24</v>
      </c>
      <c r="E19" s="19"/>
      <c r="F19" s="19"/>
      <c r="G19" s="19"/>
      <c r="H19" s="19"/>
      <c r="I19" s="19">
        <f>B19*0.4</f>
        <v>1.08</v>
      </c>
      <c r="J19" s="19">
        <v>2</v>
      </c>
      <c r="K19" s="19">
        <f t="shared" ref="K19:L19" si="10">A19</f>
        <v>6</v>
      </c>
      <c r="L19" s="19">
        <f t="shared" si="10"/>
        <v>2.7</v>
      </c>
      <c r="M19" s="19">
        <f>A19</f>
        <v>6</v>
      </c>
      <c r="N19" s="19">
        <f>(1.2*0.4)*2</f>
        <v>0.96</v>
      </c>
      <c r="O19" s="19"/>
      <c r="P19" s="19"/>
      <c r="Q19" s="19"/>
      <c r="R19" s="19"/>
    </row>
    <row r="20" spans="1:18" ht="14.25" customHeight="1" x14ac:dyDescent="0.15">
      <c r="A20" s="19"/>
      <c r="B20" s="19"/>
      <c r="C20" s="19"/>
      <c r="D20" s="26" t="str">
        <f>D13</f>
        <v>2200</v>
      </c>
      <c r="E20" s="19">
        <v>2</v>
      </c>
      <c r="F20" s="19">
        <v>0</v>
      </c>
      <c r="G20" s="19">
        <v>0</v>
      </c>
      <c r="H20" s="19">
        <f>B19*2</f>
        <v>5.4</v>
      </c>
      <c r="I20" s="19"/>
      <c r="J20" s="19"/>
      <c r="K20" s="19"/>
      <c r="L20" s="19"/>
      <c r="M20" s="19"/>
      <c r="N20" s="28"/>
      <c r="O20" s="19"/>
      <c r="P20" s="19"/>
      <c r="Q20" s="19"/>
      <c r="R20" s="19"/>
    </row>
    <row r="21" spans="1:18" ht="14.25" customHeight="1" x14ac:dyDescent="0.15">
      <c r="A21" s="19"/>
      <c r="B21" s="19"/>
      <c r="C21" s="19"/>
      <c r="D21" s="19">
        <f>D19*D20</f>
        <v>7128.0000000000009</v>
      </c>
      <c r="E21" s="19">
        <f>E20*E18</f>
        <v>8400</v>
      </c>
      <c r="F21" s="19">
        <f t="shared" ref="F21:H21" si="11">F18*F20</f>
        <v>0</v>
      </c>
      <c r="G21" s="19">
        <f t="shared" si="11"/>
        <v>0</v>
      </c>
      <c r="H21" s="19">
        <f t="shared" si="11"/>
        <v>2052</v>
      </c>
      <c r="I21" s="19">
        <f t="shared" ref="I21:N21" si="12">I18*I19</f>
        <v>0</v>
      </c>
      <c r="J21" s="19">
        <f t="shared" si="12"/>
        <v>2000</v>
      </c>
      <c r="K21" s="19">
        <f t="shared" si="12"/>
        <v>2250</v>
      </c>
      <c r="L21" s="19">
        <f t="shared" si="12"/>
        <v>1579.5</v>
      </c>
      <c r="M21" s="19">
        <f t="shared" si="12"/>
        <v>6000</v>
      </c>
      <c r="N21" s="19">
        <f t="shared" si="12"/>
        <v>3168</v>
      </c>
      <c r="O21" s="19">
        <f>SUM(D21:N21)</f>
        <v>32577.5</v>
      </c>
      <c r="P21" s="19">
        <f>O21/A19</f>
        <v>5429.583333333333</v>
      </c>
      <c r="Q21" s="19">
        <f>P21*Q18</f>
        <v>10859.166666666666</v>
      </c>
      <c r="R21" s="19">
        <f>MROUND(Q21,100)</f>
        <v>10900</v>
      </c>
    </row>
    <row r="22" spans="1:18" ht="14.25" customHeight="1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</row>
    <row r="23" spans="1:18" ht="14.25" customHeight="1" x14ac:dyDescent="0.3">
      <c r="A23" s="109" t="str">
        <f>PRICELIST!I219</f>
        <v>WSTK-LNR-SH-PLM-900-F</v>
      </c>
      <c r="B23" s="87"/>
      <c r="C23" s="87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7"/>
    </row>
    <row r="24" spans="1:18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>
        <v>1200</v>
      </c>
      <c r="F24" s="19">
        <v>900</v>
      </c>
      <c r="G24" s="19">
        <v>600</v>
      </c>
      <c r="H24" s="19" t="s">
        <v>67</v>
      </c>
      <c r="I24" s="19" t="s">
        <v>68</v>
      </c>
      <c r="J24" s="19" t="s">
        <v>69</v>
      </c>
      <c r="K24" s="19" t="s">
        <v>71</v>
      </c>
      <c r="L24" s="19" t="s">
        <v>72</v>
      </c>
      <c r="M24" s="19" t="s">
        <v>73</v>
      </c>
      <c r="N24" s="19" t="s">
        <v>75</v>
      </c>
      <c r="O24" s="19" t="s">
        <v>76</v>
      </c>
      <c r="P24" s="19" t="s">
        <v>78</v>
      </c>
      <c r="Q24" s="19" t="s">
        <v>79</v>
      </c>
      <c r="R24" s="19" t="s">
        <v>81</v>
      </c>
    </row>
    <row r="25" spans="1:18" ht="14.25" customHeight="1" x14ac:dyDescent="0.15">
      <c r="A25" s="21">
        <f t="shared" ref="A25:H25" si="13">A18</f>
        <v>0</v>
      </c>
      <c r="B25" s="21">
        <f t="shared" si="13"/>
        <v>0</v>
      </c>
      <c r="C25" s="21">
        <f t="shared" si="13"/>
        <v>0</v>
      </c>
      <c r="D25" s="21">
        <f t="shared" si="13"/>
        <v>0</v>
      </c>
      <c r="E25" s="23" t="str">
        <f t="shared" si="13"/>
        <v>4200</v>
      </c>
      <c r="F25" s="23" t="str">
        <f t="shared" si="13"/>
        <v>4000</v>
      </c>
      <c r="G25" s="23" t="str">
        <f t="shared" si="13"/>
        <v>3800</v>
      </c>
      <c r="H25" s="23">
        <f t="shared" si="13"/>
        <v>380</v>
      </c>
      <c r="I25" s="23" t="str">
        <f>I4</f>
        <v>4800</v>
      </c>
      <c r="J25" s="23" t="str">
        <f t="shared" ref="J25:Q25" si="14">J18</f>
        <v>1000</v>
      </c>
      <c r="K25" s="23">
        <f t="shared" si="14"/>
        <v>375</v>
      </c>
      <c r="L25" s="23">
        <f t="shared" si="14"/>
        <v>585</v>
      </c>
      <c r="M25" s="23" t="str">
        <f t="shared" si="14"/>
        <v>1000</v>
      </c>
      <c r="N25" s="23">
        <f t="shared" si="14"/>
        <v>3300</v>
      </c>
      <c r="O25" s="23">
        <f t="shared" si="14"/>
        <v>0</v>
      </c>
      <c r="P25" s="23">
        <f t="shared" si="14"/>
        <v>0</v>
      </c>
      <c r="Q25" s="23">
        <f t="shared" si="14"/>
        <v>2</v>
      </c>
      <c r="R25" s="21"/>
    </row>
    <row r="26" spans="1:18" ht="14.25" customHeight="1" x14ac:dyDescent="0.15">
      <c r="A26" s="19">
        <v>6</v>
      </c>
      <c r="B26" s="19">
        <f>0.9*3</f>
        <v>2.7</v>
      </c>
      <c r="C26" s="19">
        <v>1.2</v>
      </c>
      <c r="D26" s="19">
        <f>B26*C26</f>
        <v>3.24</v>
      </c>
      <c r="E26" s="19"/>
      <c r="F26" s="19"/>
      <c r="G26" s="19"/>
      <c r="H26" s="19"/>
      <c r="I26" s="19">
        <f>B26*0.4</f>
        <v>1.08</v>
      </c>
      <c r="J26" s="19">
        <v>2</v>
      </c>
      <c r="K26" s="19">
        <f t="shared" ref="K26:L26" si="15">A26</f>
        <v>6</v>
      </c>
      <c r="L26" s="19">
        <f t="shared" si="15"/>
        <v>2.7</v>
      </c>
      <c r="M26" s="19">
        <f>A26</f>
        <v>6</v>
      </c>
      <c r="N26" s="19">
        <f>(1.2*0.4)*2</f>
        <v>0.96</v>
      </c>
      <c r="O26" s="19"/>
      <c r="P26" s="19"/>
      <c r="Q26" s="19"/>
      <c r="R26" s="19"/>
    </row>
    <row r="27" spans="1:18" ht="14.25" customHeight="1" x14ac:dyDescent="0.15">
      <c r="A27" s="19"/>
      <c r="B27" s="19"/>
      <c r="C27" s="19"/>
      <c r="D27" s="26" t="str">
        <f>'MASTER DATA'!C4</f>
        <v>3000</v>
      </c>
      <c r="E27" s="19">
        <v>2</v>
      </c>
      <c r="F27" s="19">
        <v>0</v>
      </c>
      <c r="G27" s="19">
        <v>0</v>
      </c>
      <c r="H27" s="19">
        <f>B26*2</f>
        <v>5.4</v>
      </c>
      <c r="I27" s="19"/>
      <c r="J27" s="19"/>
      <c r="K27" s="19"/>
      <c r="L27" s="19"/>
      <c r="M27" s="19"/>
      <c r="N27" s="28"/>
      <c r="O27" s="19"/>
      <c r="P27" s="19"/>
      <c r="Q27" s="19"/>
      <c r="R27" s="19"/>
    </row>
    <row r="28" spans="1:18" ht="14.25" customHeight="1" x14ac:dyDescent="0.15">
      <c r="A28" s="19"/>
      <c r="B28" s="19"/>
      <c r="C28" s="19"/>
      <c r="D28" s="19">
        <f>D26*D27</f>
        <v>9720</v>
      </c>
      <c r="E28" s="19">
        <f>E27*E25</f>
        <v>8400</v>
      </c>
      <c r="F28" s="19">
        <f t="shared" ref="F28:H28" si="16">F25*F27</f>
        <v>0</v>
      </c>
      <c r="G28" s="19">
        <f t="shared" si="16"/>
        <v>0</v>
      </c>
      <c r="H28" s="19">
        <f t="shared" si="16"/>
        <v>2052</v>
      </c>
      <c r="I28" s="19">
        <f t="shared" ref="I28:N28" si="17">I25*I26</f>
        <v>5184</v>
      </c>
      <c r="J28" s="19">
        <f t="shared" si="17"/>
        <v>2000</v>
      </c>
      <c r="K28" s="19">
        <f t="shared" si="17"/>
        <v>2250</v>
      </c>
      <c r="L28" s="19">
        <f t="shared" si="17"/>
        <v>1579.5</v>
      </c>
      <c r="M28" s="19">
        <f t="shared" si="17"/>
        <v>6000</v>
      </c>
      <c r="N28" s="19">
        <f t="shared" si="17"/>
        <v>3168</v>
      </c>
      <c r="O28" s="19">
        <f>SUM(D28:N28)</f>
        <v>40353.5</v>
      </c>
      <c r="P28" s="19">
        <f>O28/A26</f>
        <v>6725.583333333333</v>
      </c>
      <c r="Q28" s="19">
        <f>P28*Q25</f>
        <v>13451.166666666666</v>
      </c>
      <c r="R28" s="19">
        <f>MROUND(Q28,100)</f>
        <v>13500</v>
      </c>
    </row>
    <row r="29" spans="1:18" ht="14.25" customHeight="1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</row>
    <row r="30" spans="1:18" ht="14.25" customHeight="1" x14ac:dyDescent="0.3">
      <c r="A30" s="109" t="str">
        <f>PRICELIST!I220</f>
        <v>WSTK-LNR-SH-PLM-900-G</v>
      </c>
      <c r="B30" s="87"/>
      <c r="C30" s="87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7"/>
    </row>
    <row r="31" spans="1:18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>
        <v>1200</v>
      </c>
      <c r="F31" s="19">
        <v>900</v>
      </c>
      <c r="G31" s="19">
        <v>600</v>
      </c>
      <c r="H31" s="19" t="s">
        <v>67</v>
      </c>
      <c r="I31" s="19" t="s">
        <v>68</v>
      </c>
      <c r="J31" s="19" t="s">
        <v>69</v>
      </c>
      <c r="K31" s="19" t="s">
        <v>71</v>
      </c>
      <c r="L31" s="19" t="s">
        <v>72</v>
      </c>
      <c r="M31" s="19" t="s">
        <v>73</v>
      </c>
      <c r="N31" s="19" t="s">
        <v>75</v>
      </c>
      <c r="O31" s="19" t="s">
        <v>76</v>
      </c>
      <c r="P31" s="19" t="s">
        <v>78</v>
      </c>
      <c r="Q31" s="19" t="s">
        <v>79</v>
      </c>
      <c r="R31" s="19" t="s">
        <v>81</v>
      </c>
    </row>
    <row r="32" spans="1:18" ht="14.25" customHeight="1" x14ac:dyDescent="0.15">
      <c r="A32" s="21">
        <f t="shared" ref="A32:H32" si="18">A25</f>
        <v>0</v>
      </c>
      <c r="B32" s="21">
        <f t="shared" si="18"/>
        <v>0</v>
      </c>
      <c r="C32" s="21">
        <f t="shared" si="18"/>
        <v>0</v>
      </c>
      <c r="D32" s="21">
        <f t="shared" si="18"/>
        <v>0</v>
      </c>
      <c r="E32" s="23" t="str">
        <f t="shared" si="18"/>
        <v>4200</v>
      </c>
      <c r="F32" s="23" t="str">
        <f t="shared" si="18"/>
        <v>4000</v>
      </c>
      <c r="G32" s="23" t="str">
        <f t="shared" si="18"/>
        <v>3800</v>
      </c>
      <c r="H32" s="23">
        <f t="shared" si="18"/>
        <v>380</v>
      </c>
      <c r="I32" s="23" t="str">
        <f>I11</f>
        <v>5500</v>
      </c>
      <c r="J32" s="23" t="str">
        <f t="shared" ref="J32:Q32" si="19">J25</f>
        <v>1000</v>
      </c>
      <c r="K32" s="23">
        <f t="shared" si="19"/>
        <v>375</v>
      </c>
      <c r="L32" s="23">
        <f t="shared" si="19"/>
        <v>585</v>
      </c>
      <c r="M32" s="23" t="str">
        <f t="shared" si="19"/>
        <v>1000</v>
      </c>
      <c r="N32" s="23">
        <f t="shared" si="19"/>
        <v>3300</v>
      </c>
      <c r="O32" s="23">
        <f t="shared" si="19"/>
        <v>0</v>
      </c>
      <c r="P32" s="23">
        <f t="shared" si="19"/>
        <v>0</v>
      </c>
      <c r="Q32" s="23">
        <f t="shared" si="19"/>
        <v>2</v>
      </c>
      <c r="R32" s="21"/>
    </row>
    <row r="33" spans="1:18" ht="14.25" customHeight="1" x14ac:dyDescent="0.15">
      <c r="A33" s="19">
        <v>6</v>
      </c>
      <c r="B33" s="19">
        <f>0.9*3</f>
        <v>2.7</v>
      </c>
      <c r="C33" s="19">
        <v>1.2</v>
      </c>
      <c r="D33" s="19">
        <f>B33*C33</f>
        <v>3.24</v>
      </c>
      <c r="E33" s="19"/>
      <c r="F33" s="19"/>
      <c r="G33" s="19"/>
      <c r="H33" s="19"/>
      <c r="I33" s="19">
        <f>B33*0.4</f>
        <v>1.08</v>
      </c>
      <c r="J33" s="19">
        <v>2</v>
      </c>
      <c r="K33" s="19">
        <f t="shared" ref="K33:L33" si="20">A33</f>
        <v>6</v>
      </c>
      <c r="L33" s="19">
        <f t="shared" si="20"/>
        <v>2.7</v>
      </c>
      <c r="M33" s="19">
        <f>A33</f>
        <v>6</v>
      </c>
      <c r="N33" s="19">
        <f>(1.2*0.4)*2</f>
        <v>0.96</v>
      </c>
      <c r="O33" s="19"/>
      <c r="P33" s="19"/>
      <c r="Q33" s="19"/>
      <c r="R33" s="19"/>
    </row>
    <row r="34" spans="1:18" ht="14.25" customHeight="1" x14ac:dyDescent="0.15">
      <c r="A34" s="19"/>
      <c r="B34" s="19"/>
      <c r="C34" s="19"/>
      <c r="D34" s="26" t="str">
        <f>D27</f>
        <v>3000</v>
      </c>
      <c r="E34" s="19">
        <v>2</v>
      </c>
      <c r="F34" s="19">
        <v>0</v>
      </c>
      <c r="G34" s="19">
        <v>0</v>
      </c>
      <c r="H34" s="19">
        <f>B33*2</f>
        <v>5.4</v>
      </c>
      <c r="I34" s="19"/>
      <c r="J34" s="19"/>
      <c r="K34" s="19"/>
      <c r="L34" s="19"/>
      <c r="M34" s="19"/>
      <c r="N34" s="28"/>
      <c r="O34" s="19"/>
      <c r="P34" s="19"/>
      <c r="Q34" s="19"/>
      <c r="R34" s="19"/>
    </row>
    <row r="35" spans="1:18" ht="14.25" customHeight="1" x14ac:dyDescent="0.15">
      <c r="A35" s="19"/>
      <c r="B35" s="19"/>
      <c r="C35" s="19"/>
      <c r="D35" s="19">
        <f>D33*D34</f>
        <v>9720</v>
      </c>
      <c r="E35" s="19">
        <f>E34*E32</f>
        <v>8400</v>
      </c>
      <c r="F35" s="19">
        <f t="shared" ref="F35:H35" si="21">F32*F34</f>
        <v>0</v>
      </c>
      <c r="G35" s="19">
        <f t="shared" si="21"/>
        <v>0</v>
      </c>
      <c r="H35" s="19">
        <f t="shared" si="21"/>
        <v>2052</v>
      </c>
      <c r="I35" s="19">
        <f t="shared" ref="I35:N35" si="22">I32*I33</f>
        <v>5940</v>
      </c>
      <c r="J35" s="19">
        <f t="shared" si="22"/>
        <v>2000</v>
      </c>
      <c r="K35" s="19">
        <f t="shared" si="22"/>
        <v>2250</v>
      </c>
      <c r="L35" s="19">
        <f t="shared" si="22"/>
        <v>1579.5</v>
      </c>
      <c r="M35" s="19">
        <f t="shared" si="22"/>
        <v>6000</v>
      </c>
      <c r="N35" s="19">
        <f t="shared" si="22"/>
        <v>3168</v>
      </c>
      <c r="O35" s="19">
        <f>SUM(D35:N35)</f>
        <v>41109.5</v>
      </c>
      <c r="P35" s="19">
        <f>O35/A33</f>
        <v>6851.583333333333</v>
      </c>
      <c r="Q35" s="19">
        <f>P35*Q32</f>
        <v>13703.166666666666</v>
      </c>
      <c r="R35" s="19">
        <f>MROUND(Q35,100)</f>
        <v>13700</v>
      </c>
    </row>
    <row r="36" spans="1:18" ht="14.2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</row>
    <row r="37" spans="1:18" ht="14.25" customHeight="1" x14ac:dyDescent="0.3">
      <c r="A37" s="109" t="str">
        <f>PRICELIST!I221</f>
        <v>WSTK-LNR-SH-PLM-900-X</v>
      </c>
      <c r="B37" s="87"/>
      <c r="C37" s="87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7"/>
    </row>
    <row r="38" spans="1:18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>
        <v>1200</v>
      </c>
      <c r="F38" s="19">
        <v>900</v>
      </c>
      <c r="G38" s="19">
        <v>600</v>
      </c>
      <c r="H38" s="19" t="s">
        <v>67</v>
      </c>
      <c r="I38" s="19" t="s">
        <v>68</v>
      </c>
      <c r="J38" s="19" t="s">
        <v>69</v>
      </c>
      <c r="K38" s="19" t="s">
        <v>71</v>
      </c>
      <c r="L38" s="19" t="s">
        <v>72</v>
      </c>
      <c r="M38" s="19" t="s">
        <v>73</v>
      </c>
      <c r="N38" s="19" t="s">
        <v>75</v>
      </c>
      <c r="O38" s="19" t="s">
        <v>76</v>
      </c>
      <c r="P38" s="19" t="s">
        <v>78</v>
      </c>
      <c r="Q38" s="19" t="s">
        <v>79</v>
      </c>
      <c r="R38" s="19" t="s">
        <v>81</v>
      </c>
    </row>
    <row r="39" spans="1:18" ht="14.25" customHeight="1" x14ac:dyDescent="0.15">
      <c r="A39" s="21">
        <f t="shared" ref="A39:H39" si="23">A32</f>
        <v>0</v>
      </c>
      <c r="B39" s="21">
        <f t="shared" si="23"/>
        <v>0</v>
      </c>
      <c r="C39" s="21">
        <f t="shared" si="23"/>
        <v>0</v>
      </c>
      <c r="D39" s="21">
        <f t="shared" si="23"/>
        <v>0</v>
      </c>
      <c r="E39" s="23" t="str">
        <f t="shared" si="23"/>
        <v>4200</v>
      </c>
      <c r="F39" s="23" t="str">
        <f t="shared" si="23"/>
        <v>4000</v>
      </c>
      <c r="G39" s="23" t="str">
        <f t="shared" si="23"/>
        <v>3800</v>
      </c>
      <c r="H39" s="23">
        <f t="shared" si="23"/>
        <v>380</v>
      </c>
      <c r="I39" s="23" t="str">
        <f>I18</f>
        <v>0</v>
      </c>
      <c r="J39" s="23" t="str">
        <f t="shared" ref="J39:Q39" si="24">J32</f>
        <v>1000</v>
      </c>
      <c r="K39" s="23">
        <f t="shared" si="24"/>
        <v>375</v>
      </c>
      <c r="L39" s="23">
        <f t="shared" si="24"/>
        <v>585</v>
      </c>
      <c r="M39" s="23" t="str">
        <f t="shared" si="24"/>
        <v>1000</v>
      </c>
      <c r="N39" s="23">
        <f t="shared" si="24"/>
        <v>3300</v>
      </c>
      <c r="O39" s="23">
        <f t="shared" si="24"/>
        <v>0</v>
      </c>
      <c r="P39" s="23">
        <f t="shared" si="24"/>
        <v>0</v>
      </c>
      <c r="Q39" s="23">
        <f t="shared" si="24"/>
        <v>2</v>
      </c>
      <c r="R39" s="21"/>
    </row>
    <row r="40" spans="1:18" ht="14.25" customHeight="1" x14ac:dyDescent="0.15">
      <c r="A40" s="19">
        <v>6</v>
      </c>
      <c r="B40" s="19">
        <f>0.9*3</f>
        <v>2.7</v>
      </c>
      <c r="C40" s="19">
        <v>1.2</v>
      </c>
      <c r="D40" s="19">
        <f>B40*C40</f>
        <v>3.24</v>
      </c>
      <c r="E40" s="19"/>
      <c r="F40" s="19"/>
      <c r="G40" s="19"/>
      <c r="H40" s="19"/>
      <c r="I40" s="19">
        <f>B40*0.4</f>
        <v>1.08</v>
      </c>
      <c r="J40" s="19">
        <v>2</v>
      </c>
      <c r="K40" s="19">
        <f t="shared" ref="K40:L40" si="25">A40</f>
        <v>6</v>
      </c>
      <c r="L40" s="19">
        <f t="shared" si="25"/>
        <v>2.7</v>
      </c>
      <c r="M40" s="19">
        <f>A40</f>
        <v>6</v>
      </c>
      <c r="N40" s="19">
        <f>(1.2*0.4)*2</f>
        <v>0.96</v>
      </c>
      <c r="O40" s="19"/>
      <c r="P40" s="19"/>
      <c r="Q40" s="19"/>
      <c r="R40" s="19"/>
    </row>
    <row r="41" spans="1:18" ht="14.25" customHeight="1" x14ac:dyDescent="0.15">
      <c r="A41" s="19"/>
      <c r="B41" s="19"/>
      <c r="C41" s="19"/>
      <c r="D41" s="26" t="str">
        <f>D34</f>
        <v>3000</v>
      </c>
      <c r="E41" s="19">
        <v>2</v>
      </c>
      <c r="F41" s="19">
        <v>0</v>
      </c>
      <c r="G41" s="19">
        <v>0</v>
      </c>
      <c r="H41" s="19">
        <f>B40*2</f>
        <v>5.4</v>
      </c>
      <c r="I41" s="19"/>
      <c r="J41" s="19"/>
      <c r="K41" s="19"/>
      <c r="L41" s="19"/>
      <c r="M41" s="19"/>
      <c r="N41" s="28"/>
      <c r="O41" s="19"/>
      <c r="P41" s="19"/>
      <c r="Q41" s="19"/>
      <c r="R41" s="19"/>
    </row>
    <row r="42" spans="1:18" ht="14.25" customHeight="1" x14ac:dyDescent="0.15">
      <c r="A42" s="19"/>
      <c r="B42" s="19"/>
      <c r="C42" s="19"/>
      <c r="D42" s="19">
        <f>D40*D41</f>
        <v>9720</v>
      </c>
      <c r="E42" s="19">
        <f>E41*E39</f>
        <v>8400</v>
      </c>
      <c r="F42" s="19">
        <f t="shared" ref="F42:H42" si="26">F39*F41</f>
        <v>0</v>
      </c>
      <c r="G42" s="19">
        <f t="shared" si="26"/>
        <v>0</v>
      </c>
      <c r="H42" s="19">
        <f t="shared" si="26"/>
        <v>2052</v>
      </c>
      <c r="I42" s="19">
        <f t="shared" ref="I42:N42" si="27">I39*I40</f>
        <v>0</v>
      </c>
      <c r="J42" s="19">
        <f t="shared" si="27"/>
        <v>2000</v>
      </c>
      <c r="K42" s="19">
        <f t="shared" si="27"/>
        <v>2250</v>
      </c>
      <c r="L42" s="19">
        <f t="shared" si="27"/>
        <v>1579.5</v>
      </c>
      <c r="M42" s="19">
        <f t="shared" si="27"/>
        <v>6000</v>
      </c>
      <c r="N42" s="19">
        <f t="shared" si="27"/>
        <v>3168</v>
      </c>
      <c r="O42" s="19">
        <f>SUM(D42:N42)</f>
        <v>35169.5</v>
      </c>
      <c r="P42" s="19">
        <f>O42/A40</f>
        <v>5861.583333333333</v>
      </c>
      <c r="Q42" s="19">
        <f>P42*Q39</f>
        <v>11723.166666666666</v>
      </c>
      <c r="R42" s="19">
        <f>MROUND(Q42,100)</f>
        <v>11700</v>
      </c>
    </row>
    <row r="43" spans="1:18" ht="14.25" customHeight="1" x14ac:dyDescent="0.1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</row>
    <row r="44" spans="1:18" ht="14.25" customHeight="1" x14ac:dyDescent="0.3">
      <c r="A44" s="109" t="str">
        <f>PRICELIST!I222</f>
        <v>WSTK-LNR-SH-PoLM-900-F</v>
      </c>
      <c r="B44" s="87"/>
      <c r="C44" s="87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7"/>
    </row>
    <row r="45" spans="1:18" ht="14.25" customHeight="1" x14ac:dyDescent="0.15">
      <c r="A45" s="19" t="s">
        <v>57</v>
      </c>
      <c r="B45" s="19" t="s">
        <v>59</v>
      </c>
      <c r="C45" s="19" t="s">
        <v>62</v>
      </c>
      <c r="D45" s="19" t="s">
        <v>64</v>
      </c>
      <c r="E45" s="19">
        <v>1200</v>
      </c>
      <c r="F45" s="19">
        <v>900</v>
      </c>
      <c r="G45" s="19">
        <v>600</v>
      </c>
      <c r="H45" s="19" t="s">
        <v>67</v>
      </c>
      <c r="I45" s="19" t="s">
        <v>68</v>
      </c>
      <c r="J45" s="19" t="s">
        <v>69</v>
      </c>
      <c r="K45" s="19" t="s">
        <v>71</v>
      </c>
      <c r="L45" s="19" t="s">
        <v>72</v>
      </c>
      <c r="M45" s="19" t="s">
        <v>73</v>
      </c>
      <c r="N45" s="19" t="s">
        <v>75</v>
      </c>
      <c r="O45" s="19" t="s">
        <v>76</v>
      </c>
      <c r="P45" s="19" t="s">
        <v>78</v>
      </c>
      <c r="Q45" s="19" t="s">
        <v>79</v>
      </c>
      <c r="R45" s="19" t="s">
        <v>81</v>
      </c>
    </row>
    <row r="46" spans="1:18" ht="14.25" customHeight="1" x14ac:dyDescent="0.15">
      <c r="A46" s="21">
        <f t="shared" ref="A46:H46" si="28">A39</f>
        <v>0</v>
      </c>
      <c r="B46" s="21">
        <f t="shared" si="28"/>
        <v>0</v>
      </c>
      <c r="C46" s="21">
        <f t="shared" si="28"/>
        <v>0</v>
      </c>
      <c r="D46" s="21">
        <f t="shared" si="28"/>
        <v>0</v>
      </c>
      <c r="E46" s="23" t="str">
        <f t="shared" si="28"/>
        <v>4200</v>
      </c>
      <c r="F46" s="23" t="str">
        <f t="shared" si="28"/>
        <v>4000</v>
      </c>
      <c r="G46" s="23" t="str">
        <f t="shared" si="28"/>
        <v>3800</v>
      </c>
      <c r="H46" s="23">
        <f t="shared" si="28"/>
        <v>380</v>
      </c>
      <c r="I46" s="23" t="str">
        <f>I25</f>
        <v>4800</v>
      </c>
      <c r="J46" s="23" t="str">
        <f t="shared" ref="J46:Q46" si="29">J39</f>
        <v>1000</v>
      </c>
      <c r="K46" s="23">
        <f t="shared" si="29"/>
        <v>375</v>
      </c>
      <c r="L46" s="23">
        <f t="shared" si="29"/>
        <v>585</v>
      </c>
      <c r="M46" s="23" t="str">
        <f t="shared" si="29"/>
        <v>1000</v>
      </c>
      <c r="N46" s="23">
        <f t="shared" si="29"/>
        <v>3300</v>
      </c>
      <c r="O46" s="23">
        <f t="shared" si="29"/>
        <v>0</v>
      </c>
      <c r="P46" s="23">
        <f t="shared" si="29"/>
        <v>0</v>
      </c>
      <c r="Q46" s="23">
        <f t="shared" si="29"/>
        <v>2</v>
      </c>
      <c r="R46" s="21"/>
    </row>
    <row r="47" spans="1:18" ht="14.25" customHeight="1" x14ac:dyDescent="0.15">
      <c r="A47" s="19">
        <v>6</v>
      </c>
      <c r="B47" s="19">
        <f>0.9*3</f>
        <v>2.7</v>
      </c>
      <c r="C47" s="19">
        <v>1.2</v>
      </c>
      <c r="D47" s="19">
        <f>B47*C47</f>
        <v>3.24</v>
      </c>
      <c r="E47" s="19"/>
      <c r="F47" s="19"/>
      <c r="G47" s="19"/>
      <c r="H47" s="19"/>
      <c r="I47" s="19">
        <f>B47*0.4</f>
        <v>1.08</v>
      </c>
      <c r="J47" s="19">
        <v>2</v>
      </c>
      <c r="K47" s="19">
        <f t="shared" ref="K47:L47" si="30">A47</f>
        <v>6</v>
      </c>
      <c r="L47" s="19">
        <f t="shared" si="30"/>
        <v>2.7</v>
      </c>
      <c r="M47" s="19">
        <f>A47</f>
        <v>6</v>
      </c>
      <c r="N47" s="19">
        <f>(1.2*0.4)*2</f>
        <v>0.96</v>
      </c>
      <c r="O47" s="19"/>
      <c r="P47" s="19"/>
      <c r="Q47" s="19"/>
      <c r="R47" s="19"/>
    </row>
    <row r="48" spans="1:18" ht="14.25" customHeight="1" x14ac:dyDescent="0.15">
      <c r="A48" s="19"/>
      <c r="B48" s="19"/>
      <c r="C48" s="19"/>
      <c r="D48" s="26" t="str">
        <f>'MASTER DATA'!C5</f>
        <v>7500</v>
      </c>
      <c r="E48" s="19">
        <v>2</v>
      </c>
      <c r="F48" s="19">
        <v>0</v>
      </c>
      <c r="G48" s="19">
        <v>0</v>
      </c>
      <c r="H48" s="19">
        <f>B47*2</f>
        <v>5.4</v>
      </c>
      <c r="I48" s="19"/>
      <c r="J48" s="19"/>
      <c r="K48" s="19"/>
      <c r="L48" s="19"/>
      <c r="M48" s="19"/>
      <c r="N48" s="28"/>
      <c r="O48" s="19"/>
      <c r="P48" s="19"/>
      <c r="Q48" s="19"/>
      <c r="R48" s="19"/>
    </row>
    <row r="49" spans="1:18" ht="14.25" customHeight="1" x14ac:dyDescent="0.15">
      <c r="A49" s="19"/>
      <c r="B49" s="19"/>
      <c r="C49" s="19"/>
      <c r="D49" s="19">
        <f>D47*D48</f>
        <v>24300</v>
      </c>
      <c r="E49" s="19">
        <f>E48*E46</f>
        <v>8400</v>
      </c>
      <c r="F49" s="19">
        <f t="shared" ref="F49:H49" si="31">F46*F48</f>
        <v>0</v>
      </c>
      <c r="G49" s="19">
        <f t="shared" si="31"/>
        <v>0</v>
      </c>
      <c r="H49" s="19">
        <f t="shared" si="31"/>
        <v>2052</v>
      </c>
      <c r="I49" s="19">
        <f t="shared" ref="I49:N49" si="32">I46*I47</f>
        <v>5184</v>
      </c>
      <c r="J49" s="19">
        <f t="shared" si="32"/>
        <v>2000</v>
      </c>
      <c r="K49" s="19">
        <f t="shared" si="32"/>
        <v>2250</v>
      </c>
      <c r="L49" s="19">
        <f t="shared" si="32"/>
        <v>1579.5</v>
      </c>
      <c r="M49" s="19">
        <f t="shared" si="32"/>
        <v>6000</v>
      </c>
      <c r="N49" s="19">
        <f t="shared" si="32"/>
        <v>3168</v>
      </c>
      <c r="O49" s="19">
        <f>SUM(D49:N49)</f>
        <v>54933.5</v>
      </c>
      <c r="P49" s="19">
        <f>O49/A47</f>
        <v>9155.5833333333339</v>
      </c>
      <c r="Q49" s="19">
        <f>P49*Q46</f>
        <v>18311.166666666668</v>
      </c>
      <c r="R49" s="19">
        <f>MROUND(Q49,100)</f>
        <v>18300</v>
      </c>
    </row>
    <row r="50" spans="1:18" ht="14.25" customHeight="1" x14ac:dyDescent="0.1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</row>
    <row r="51" spans="1:18" ht="14.25" customHeight="1" x14ac:dyDescent="0.3">
      <c r="A51" s="109" t="str">
        <f>PRICELIST!I223</f>
        <v>WSTK-LNR-SH-PoLM-900-G</v>
      </c>
      <c r="B51" s="87"/>
      <c r="C51" s="87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7"/>
    </row>
    <row r="52" spans="1:18" ht="14.25" customHeight="1" x14ac:dyDescent="0.15">
      <c r="A52" s="19" t="s">
        <v>57</v>
      </c>
      <c r="B52" s="19" t="s">
        <v>59</v>
      </c>
      <c r="C52" s="19" t="s">
        <v>62</v>
      </c>
      <c r="D52" s="19" t="s">
        <v>64</v>
      </c>
      <c r="E52" s="19">
        <v>1200</v>
      </c>
      <c r="F52" s="19">
        <v>900</v>
      </c>
      <c r="G52" s="19">
        <v>600</v>
      </c>
      <c r="H52" s="19" t="s">
        <v>67</v>
      </c>
      <c r="I52" s="19" t="s">
        <v>68</v>
      </c>
      <c r="J52" s="19" t="s">
        <v>69</v>
      </c>
      <c r="K52" s="19" t="s">
        <v>71</v>
      </c>
      <c r="L52" s="19" t="s">
        <v>72</v>
      </c>
      <c r="M52" s="19" t="s">
        <v>73</v>
      </c>
      <c r="N52" s="19" t="s">
        <v>75</v>
      </c>
      <c r="O52" s="19" t="s">
        <v>76</v>
      </c>
      <c r="P52" s="19" t="s">
        <v>78</v>
      </c>
      <c r="Q52" s="19" t="s">
        <v>79</v>
      </c>
      <c r="R52" s="19" t="s">
        <v>81</v>
      </c>
    </row>
    <row r="53" spans="1:18" ht="14.25" customHeight="1" x14ac:dyDescent="0.15">
      <c r="A53" s="21">
        <f t="shared" ref="A53:H53" si="33">A46</f>
        <v>0</v>
      </c>
      <c r="B53" s="21">
        <f t="shared" si="33"/>
        <v>0</v>
      </c>
      <c r="C53" s="21">
        <f t="shared" si="33"/>
        <v>0</v>
      </c>
      <c r="D53" s="21">
        <f t="shared" si="33"/>
        <v>0</v>
      </c>
      <c r="E53" s="23" t="str">
        <f t="shared" si="33"/>
        <v>4200</v>
      </c>
      <c r="F53" s="23" t="str">
        <f t="shared" si="33"/>
        <v>4000</v>
      </c>
      <c r="G53" s="23" t="str">
        <f t="shared" si="33"/>
        <v>3800</v>
      </c>
      <c r="H53" s="23">
        <f t="shared" si="33"/>
        <v>380</v>
      </c>
      <c r="I53" s="23" t="str">
        <f>I32</f>
        <v>5500</v>
      </c>
      <c r="J53" s="23" t="str">
        <f t="shared" ref="J53:Q53" si="34">J46</f>
        <v>1000</v>
      </c>
      <c r="K53" s="23">
        <f t="shared" si="34"/>
        <v>375</v>
      </c>
      <c r="L53" s="23">
        <f t="shared" si="34"/>
        <v>585</v>
      </c>
      <c r="M53" s="23" t="str">
        <f t="shared" si="34"/>
        <v>1000</v>
      </c>
      <c r="N53" s="23">
        <f t="shared" si="34"/>
        <v>3300</v>
      </c>
      <c r="O53" s="23">
        <f t="shared" si="34"/>
        <v>0</v>
      </c>
      <c r="P53" s="23">
        <f t="shared" si="34"/>
        <v>0</v>
      </c>
      <c r="Q53" s="23">
        <f t="shared" si="34"/>
        <v>2</v>
      </c>
      <c r="R53" s="21"/>
    </row>
    <row r="54" spans="1:18" ht="14.25" customHeight="1" x14ac:dyDescent="0.15">
      <c r="A54" s="19">
        <v>6</v>
      </c>
      <c r="B54" s="19">
        <f>0.9*3</f>
        <v>2.7</v>
      </c>
      <c r="C54" s="19">
        <v>1.2</v>
      </c>
      <c r="D54" s="19">
        <f>B54*C54</f>
        <v>3.24</v>
      </c>
      <c r="E54" s="19"/>
      <c r="F54" s="19"/>
      <c r="G54" s="19"/>
      <c r="H54" s="19"/>
      <c r="I54" s="19">
        <f>B54*0.4</f>
        <v>1.08</v>
      </c>
      <c r="J54" s="19">
        <v>2</v>
      </c>
      <c r="K54" s="19">
        <f t="shared" ref="K54:L54" si="35">A54</f>
        <v>6</v>
      </c>
      <c r="L54" s="19">
        <f t="shared" si="35"/>
        <v>2.7</v>
      </c>
      <c r="M54" s="19">
        <f>A54</f>
        <v>6</v>
      </c>
      <c r="N54" s="19">
        <f>(1.2*0.4)*2</f>
        <v>0.96</v>
      </c>
      <c r="O54" s="19"/>
      <c r="P54" s="19"/>
      <c r="Q54" s="19"/>
      <c r="R54" s="19"/>
    </row>
    <row r="55" spans="1:18" ht="14.25" customHeight="1" x14ac:dyDescent="0.15">
      <c r="A55" s="19"/>
      <c r="B55" s="19"/>
      <c r="C55" s="19"/>
      <c r="D55" s="26" t="str">
        <f>D48</f>
        <v>7500</v>
      </c>
      <c r="E55" s="19">
        <v>2</v>
      </c>
      <c r="F55" s="19">
        <v>0</v>
      </c>
      <c r="G55" s="19">
        <v>0</v>
      </c>
      <c r="H55" s="19">
        <f>B54*2</f>
        <v>5.4</v>
      </c>
      <c r="I55" s="19"/>
      <c r="J55" s="19"/>
      <c r="K55" s="19"/>
      <c r="L55" s="19"/>
      <c r="M55" s="19"/>
      <c r="N55" s="28"/>
      <c r="O55" s="19"/>
      <c r="P55" s="19"/>
      <c r="Q55" s="19"/>
      <c r="R55" s="19"/>
    </row>
    <row r="56" spans="1:18" ht="14.25" customHeight="1" x14ac:dyDescent="0.15">
      <c r="A56" s="19"/>
      <c r="B56" s="19"/>
      <c r="C56" s="19"/>
      <c r="D56" s="19">
        <f>D54*D55</f>
        <v>24300</v>
      </c>
      <c r="E56" s="19">
        <f>E55*E53</f>
        <v>8400</v>
      </c>
      <c r="F56" s="19">
        <f t="shared" ref="F56:H56" si="36">F53*F55</f>
        <v>0</v>
      </c>
      <c r="G56" s="19">
        <f t="shared" si="36"/>
        <v>0</v>
      </c>
      <c r="H56" s="19">
        <f t="shared" si="36"/>
        <v>2052</v>
      </c>
      <c r="I56" s="19">
        <f t="shared" ref="I56:N56" si="37">I53*I54</f>
        <v>5940</v>
      </c>
      <c r="J56" s="19">
        <f t="shared" si="37"/>
        <v>2000</v>
      </c>
      <c r="K56" s="19">
        <f t="shared" si="37"/>
        <v>2250</v>
      </c>
      <c r="L56" s="19">
        <f t="shared" si="37"/>
        <v>1579.5</v>
      </c>
      <c r="M56" s="19">
        <f t="shared" si="37"/>
        <v>6000</v>
      </c>
      <c r="N56" s="19">
        <f t="shared" si="37"/>
        <v>3168</v>
      </c>
      <c r="O56" s="19">
        <f>SUM(D56:N56)</f>
        <v>55689.5</v>
      </c>
      <c r="P56" s="19">
        <f>O56/A54</f>
        <v>9281.5833333333339</v>
      </c>
      <c r="Q56" s="19">
        <f>P56*Q53</f>
        <v>18563.166666666668</v>
      </c>
      <c r="R56" s="19">
        <f>MROUND(Q56,100)</f>
        <v>18600</v>
      </c>
    </row>
    <row r="57" spans="1:18" ht="14.25" customHeight="1" x14ac:dyDescent="0.1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</row>
    <row r="58" spans="1:18" ht="14.25" customHeight="1" x14ac:dyDescent="0.3">
      <c r="A58" s="109" t="str">
        <f>PRICELIST!I224</f>
        <v>WSTK-LNR-SH-PoLM-900-X</v>
      </c>
      <c r="B58" s="87"/>
      <c r="C58" s="87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7"/>
    </row>
    <row r="59" spans="1:18" ht="14.25" customHeight="1" x14ac:dyDescent="0.15">
      <c r="A59" s="19" t="s">
        <v>57</v>
      </c>
      <c r="B59" s="19" t="s">
        <v>59</v>
      </c>
      <c r="C59" s="19" t="s">
        <v>62</v>
      </c>
      <c r="D59" s="19" t="s">
        <v>64</v>
      </c>
      <c r="E59" s="19">
        <v>1200</v>
      </c>
      <c r="F59" s="19">
        <v>900</v>
      </c>
      <c r="G59" s="19">
        <v>600</v>
      </c>
      <c r="H59" s="19" t="s">
        <v>67</v>
      </c>
      <c r="I59" s="19" t="s">
        <v>68</v>
      </c>
      <c r="J59" s="19" t="s">
        <v>69</v>
      </c>
      <c r="K59" s="19" t="s">
        <v>71</v>
      </c>
      <c r="L59" s="19" t="s">
        <v>72</v>
      </c>
      <c r="M59" s="19" t="s">
        <v>73</v>
      </c>
      <c r="N59" s="19" t="s">
        <v>75</v>
      </c>
      <c r="O59" s="19" t="s">
        <v>76</v>
      </c>
      <c r="P59" s="19" t="s">
        <v>78</v>
      </c>
      <c r="Q59" s="19" t="s">
        <v>79</v>
      </c>
      <c r="R59" s="19" t="s">
        <v>81</v>
      </c>
    </row>
    <row r="60" spans="1:18" ht="14.25" customHeight="1" x14ac:dyDescent="0.15">
      <c r="A60" s="21">
        <f t="shared" ref="A60:H60" si="38">A53</f>
        <v>0</v>
      </c>
      <c r="B60" s="21">
        <f t="shared" si="38"/>
        <v>0</v>
      </c>
      <c r="C60" s="21">
        <f t="shared" si="38"/>
        <v>0</v>
      </c>
      <c r="D60" s="21">
        <f t="shared" si="38"/>
        <v>0</v>
      </c>
      <c r="E60" s="23" t="str">
        <f t="shared" si="38"/>
        <v>4200</v>
      </c>
      <c r="F60" s="23" t="str">
        <f t="shared" si="38"/>
        <v>4000</v>
      </c>
      <c r="G60" s="23" t="str">
        <f t="shared" si="38"/>
        <v>3800</v>
      </c>
      <c r="H60" s="23">
        <f t="shared" si="38"/>
        <v>380</v>
      </c>
      <c r="I60" s="23" t="str">
        <f>I39</f>
        <v>0</v>
      </c>
      <c r="J60" s="23" t="str">
        <f t="shared" ref="J60:Q60" si="39">J53</f>
        <v>1000</v>
      </c>
      <c r="K60" s="23">
        <f t="shared" si="39"/>
        <v>375</v>
      </c>
      <c r="L60" s="23">
        <f t="shared" si="39"/>
        <v>585</v>
      </c>
      <c r="M60" s="23" t="str">
        <f t="shared" si="39"/>
        <v>1000</v>
      </c>
      <c r="N60" s="23">
        <f t="shared" si="39"/>
        <v>3300</v>
      </c>
      <c r="O60" s="23">
        <f t="shared" si="39"/>
        <v>0</v>
      </c>
      <c r="P60" s="23">
        <f t="shared" si="39"/>
        <v>0</v>
      </c>
      <c r="Q60" s="23">
        <f t="shared" si="39"/>
        <v>2</v>
      </c>
      <c r="R60" s="21"/>
    </row>
    <row r="61" spans="1:18" ht="14.25" customHeight="1" x14ac:dyDescent="0.15">
      <c r="A61" s="19">
        <v>6</v>
      </c>
      <c r="B61" s="19">
        <f>0.9*3</f>
        <v>2.7</v>
      </c>
      <c r="C61" s="19">
        <v>1.2</v>
      </c>
      <c r="D61" s="19">
        <f>B61*C61</f>
        <v>3.24</v>
      </c>
      <c r="E61" s="19"/>
      <c r="F61" s="19"/>
      <c r="G61" s="19"/>
      <c r="H61" s="19"/>
      <c r="I61" s="19">
        <f>B61*0.4</f>
        <v>1.08</v>
      </c>
      <c r="J61" s="19">
        <v>2</v>
      </c>
      <c r="K61" s="19">
        <f t="shared" ref="K61:L61" si="40">A61</f>
        <v>6</v>
      </c>
      <c r="L61" s="19">
        <f t="shared" si="40"/>
        <v>2.7</v>
      </c>
      <c r="M61" s="19">
        <f>A61</f>
        <v>6</v>
      </c>
      <c r="N61" s="19">
        <f>(1.2*0.4)*2</f>
        <v>0.96</v>
      </c>
      <c r="O61" s="19"/>
      <c r="P61" s="19"/>
      <c r="Q61" s="19"/>
      <c r="R61" s="19"/>
    </row>
    <row r="62" spans="1:18" ht="14.25" customHeight="1" x14ac:dyDescent="0.15">
      <c r="A62" s="19"/>
      <c r="B62" s="19"/>
      <c r="C62" s="19"/>
      <c r="D62" s="26" t="str">
        <f>D55</f>
        <v>7500</v>
      </c>
      <c r="E62" s="19">
        <v>2</v>
      </c>
      <c r="F62" s="19">
        <v>0</v>
      </c>
      <c r="G62" s="19">
        <v>0</v>
      </c>
      <c r="H62" s="19">
        <f>B61*2</f>
        <v>5.4</v>
      </c>
      <c r="I62" s="19"/>
      <c r="J62" s="19"/>
      <c r="K62" s="19"/>
      <c r="L62" s="19"/>
      <c r="M62" s="19"/>
      <c r="N62" s="28"/>
      <c r="O62" s="19"/>
      <c r="P62" s="19"/>
      <c r="Q62" s="19"/>
      <c r="R62" s="19"/>
    </row>
    <row r="63" spans="1:18" ht="14.25" customHeight="1" x14ac:dyDescent="0.15">
      <c r="A63" s="19"/>
      <c r="B63" s="19"/>
      <c r="C63" s="19"/>
      <c r="D63" s="19">
        <f>D61*D62</f>
        <v>24300</v>
      </c>
      <c r="E63" s="19">
        <f>E62*E60</f>
        <v>8400</v>
      </c>
      <c r="F63" s="19">
        <f t="shared" ref="F63:H63" si="41">F60*F62</f>
        <v>0</v>
      </c>
      <c r="G63" s="19">
        <f t="shared" si="41"/>
        <v>0</v>
      </c>
      <c r="H63" s="19">
        <f t="shared" si="41"/>
        <v>2052</v>
      </c>
      <c r="I63" s="19">
        <f t="shared" ref="I63:N63" si="42">I60*I61</f>
        <v>0</v>
      </c>
      <c r="J63" s="19">
        <f t="shared" si="42"/>
        <v>2000</v>
      </c>
      <c r="K63" s="19">
        <f t="shared" si="42"/>
        <v>2250</v>
      </c>
      <c r="L63" s="19">
        <f t="shared" si="42"/>
        <v>1579.5</v>
      </c>
      <c r="M63" s="19">
        <f t="shared" si="42"/>
        <v>6000</v>
      </c>
      <c r="N63" s="19">
        <f t="shared" si="42"/>
        <v>3168</v>
      </c>
      <c r="O63" s="19">
        <f>SUM(D63:N63)</f>
        <v>49749.5</v>
      </c>
      <c r="P63" s="19">
        <f>O63/A61</f>
        <v>8291.5833333333339</v>
      </c>
      <c r="Q63" s="19">
        <f>P63*Q60</f>
        <v>16583.166666666668</v>
      </c>
      <c r="R63" s="19">
        <f>MROUND(Q63,100)</f>
        <v>16600</v>
      </c>
    </row>
    <row r="64" spans="1:18" ht="14.25" customHeight="1" x14ac:dyDescent="0.1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</row>
    <row r="65" spans="1:18" ht="14.25" customHeight="1" x14ac:dyDescent="0.3">
      <c r="A65" s="109" t="str">
        <f>PRICELIST!I225</f>
        <v>WSTK-LNR-SH-LVM-900-F</v>
      </c>
      <c r="B65" s="87"/>
      <c r="C65" s="87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7"/>
    </row>
    <row r="66" spans="1:18" ht="14.25" customHeight="1" x14ac:dyDescent="0.15">
      <c r="A66" s="19" t="s">
        <v>57</v>
      </c>
      <c r="B66" s="19" t="s">
        <v>59</v>
      </c>
      <c r="C66" s="19" t="s">
        <v>62</v>
      </c>
      <c r="D66" s="19" t="s">
        <v>64</v>
      </c>
      <c r="E66" s="19">
        <v>1200</v>
      </c>
      <c r="F66" s="19">
        <v>900</v>
      </c>
      <c r="G66" s="19">
        <v>600</v>
      </c>
      <c r="H66" s="19" t="s">
        <v>67</v>
      </c>
      <c r="I66" s="19" t="s">
        <v>68</v>
      </c>
      <c r="J66" s="19" t="s">
        <v>69</v>
      </c>
      <c r="K66" s="19" t="s">
        <v>71</v>
      </c>
      <c r="L66" s="19" t="s">
        <v>72</v>
      </c>
      <c r="M66" s="19" t="s">
        <v>73</v>
      </c>
      <c r="N66" s="19" t="s">
        <v>75</v>
      </c>
      <c r="O66" s="19" t="s">
        <v>76</v>
      </c>
      <c r="P66" s="19" t="s">
        <v>78</v>
      </c>
      <c r="Q66" s="19" t="s">
        <v>79</v>
      </c>
      <c r="R66" s="19" t="s">
        <v>81</v>
      </c>
    </row>
    <row r="67" spans="1:18" ht="14.25" customHeight="1" x14ac:dyDescent="0.15">
      <c r="A67" s="21">
        <f t="shared" ref="A67:H67" si="43">A60</f>
        <v>0</v>
      </c>
      <c r="B67" s="21">
        <f t="shared" si="43"/>
        <v>0</v>
      </c>
      <c r="C67" s="21">
        <f t="shared" si="43"/>
        <v>0</v>
      </c>
      <c r="D67" s="21">
        <f t="shared" si="43"/>
        <v>0</v>
      </c>
      <c r="E67" s="23" t="str">
        <f t="shared" si="43"/>
        <v>4200</v>
      </c>
      <c r="F67" s="23" t="str">
        <f t="shared" si="43"/>
        <v>4000</v>
      </c>
      <c r="G67" s="23" t="str">
        <f t="shared" si="43"/>
        <v>3800</v>
      </c>
      <c r="H67" s="23">
        <f t="shared" si="43"/>
        <v>380</v>
      </c>
      <c r="I67" s="23" t="str">
        <f>I46</f>
        <v>4800</v>
      </c>
      <c r="J67" s="23" t="str">
        <f t="shared" ref="J67:Q67" si="44">J60</f>
        <v>1000</v>
      </c>
      <c r="K67" s="23">
        <f t="shared" si="44"/>
        <v>375</v>
      </c>
      <c r="L67" s="23">
        <f t="shared" si="44"/>
        <v>585</v>
      </c>
      <c r="M67" s="23" t="str">
        <f t="shared" si="44"/>
        <v>1000</v>
      </c>
      <c r="N67" s="23">
        <f t="shared" si="44"/>
        <v>3300</v>
      </c>
      <c r="O67" s="23">
        <f t="shared" si="44"/>
        <v>0</v>
      </c>
      <c r="P67" s="23">
        <f t="shared" si="44"/>
        <v>0</v>
      </c>
      <c r="Q67" s="23">
        <f t="shared" si="44"/>
        <v>2</v>
      </c>
      <c r="R67" s="21"/>
    </row>
    <row r="68" spans="1:18" ht="14.25" customHeight="1" x14ac:dyDescent="0.15">
      <c r="A68" s="19">
        <v>6</v>
      </c>
      <c r="B68" s="19">
        <f>0.9*3</f>
        <v>2.7</v>
      </c>
      <c r="C68" s="19">
        <v>1.2</v>
      </c>
      <c r="D68" s="19">
        <f>B68*C68</f>
        <v>3.24</v>
      </c>
      <c r="E68" s="19"/>
      <c r="F68" s="19"/>
      <c r="G68" s="19"/>
      <c r="H68" s="19"/>
      <c r="I68" s="19">
        <f>B68*0.4</f>
        <v>1.08</v>
      </c>
      <c r="J68" s="19">
        <v>2</v>
      </c>
      <c r="K68" s="19">
        <f t="shared" ref="K68:L68" si="45">A68</f>
        <v>6</v>
      </c>
      <c r="L68" s="19">
        <f t="shared" si="45"/>
        <v>2.7</v>
      </c>
      <c r="M68" s="19">
        <f>A68</f>
        <v>6</v>
      </c>
      <c r="N68" s="19">
        <f>(1.2*0.4)*2</f>
        <v>0.96</v>
      </c>
      <c r="O68" s="19"/>
      <c r="P68" s="19"/>
      <c r="Q68" s="19"/>
      <c r="R68" s="19"/>
    </row>
    <row r="69" spans="1:18" ht="14.25" customHeight="1" x14ac:dyDescent="0.15">
      <c r="A69" s="19"/>
      <c r="B69" s="19"/>
      <c r="C69" s="19"/>
      <c r="D69" s="26" t="str">
        <f>'MASTER DATA'!C6</f>
        <v>9500</v>
      </c>
      <c r="E69" s="19">
        <v>2</v>
      </c>
      <c r="F69" s="19">
        <v>0</v>
      </c>
      <c r="G69" s="19">
        <v>0</v>
      </c>
      <c r="H69" s="19">
        <f>B68*2</f>
        <v>5.4</v>
      </c>
      <c r="I69" s="19"/>
      <c r="J69" s="19"/>
      <c r="K69" s="19"/>
      <c r="L69" s="19"/>
      <c r="M69" s="19"/>
      <c r="N69" s="28"/>
      <c r="O69" s="19"/>
      <c r="P69" s="19"/>
      <c r="Q69" s="19"/>
      <c r="R69" s="19"/>
    </row>
    <row r="70" spans="1:18" ht="14.25" customHeight="1" x14ac:dyDescent="0.15">
      <c r="A70" s="19"/>
      <c r="B70" s="19"/>
      <c r="C70" s="19"/>
      <c r="D70" s="19">
        <f>D68*D69</f>
        <v>30780.000000000004</v>
      </c>
      <c r="E70" s="19">
        <f>E69*E67</f>
        <v>8400</v>
      </c>
      <c r="F70" s="19">
        <f t="shared" ref="F70:H70" si="46">F67*F69</f>
        <v>0</v>
      </c>
      <c r="G70" s="19">
        <f t="shared" si="46"/>
        <v>0</v>
      </c>
      <c r="H70" s="19">
        <f t="shared" si="46"/>
        <v>2052</v>
      </c>
      <c r="I70" s="19">
        <f t="shared" ref="I70:N70" si="47">I67*I68</f>
        <v>5184</v>
      </c>
      <c r="J70" s="19">
        <f t="shared" si="47"/>
        <v>2000</v>
      </c>
      <c r="K70" s="19">
        <f t="shared" si="47"/>
        <v>2250</v>
      </c>
      <c r="L70" s="19">
        <f t="shared" si="47"/>
        <v>1579.5</v>
      </c>
      <c r="M70" s="19">
        <f t="shared" si="47"/>
        <v>6000</v>
      </c>
      <c r="N70" s="19">
        <f t="shared" si="47"/>
        <v>3168</v>
      </c>
      <c r="O70" s="19">
        <f>SUM(D70:N70)</f>
        <v>61413.5</v>
      </c>
      <c r="P70" s="19">
        <f>O70/A68</f>
        <v>10235.583333333334</v>
      </c>
      <c r="Q70" s="19">
        <f>P70*Q67</f>
        <v>20471.166666666668</v>
      </c>
      <c r="R70" s="19">
        <f>MROUND(Q70,100)</f>
        <v>20500</v>
      </c>
    </row>
    <row r="71" spans="1:18" ht="14.25" customHeight="1" x14ac:dyDescent="0.1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</row>
    <row r="72" spans="1:18" ht="14.25" customHeight="1" x14ac:dyDescent="0.3">
      <c r="A72" s="109" t="str">
        <f>PRICELIST!I226</f>
        <v>WSTK-LNR-SH-LVM-900-G</v>
      </c>
      <c r="B72" s="87"/>
      <c r="C72" s="87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7"/>
    </row>
    <row r="73" spans="1:18" ht="14.25" customHeight="1" x14ac:dyDescent="0.15">
      <c r="A73" s="19" t="s">
        <v>57</v>
      </c>
      <c r="B73" s="19" t="s">
        <v>59</v>
      </c>
      <c r="C73" s="19" t="s">
        <v>62</v>
      </c>
      <c r="D73" s="19" t="s">
        <v>64</v>
      </c>
      <c r="E73" s="19">
        <v>1200</v>
      </c>
      <c r="F73" s="19">
        <v>900</v>
      </c>
      <c r="G73" s="19">
        <v>600</v>
      </c>
      <c r="H73" s="19" t="s">
        <v>67</v>
      </c>
      <c r="I73" s="19" t="s">
        <v>68</v>
      </c>
      <c r="J73" s="19" t="s">
        <v>69</v>
      </c>
      <c r="K73" s="19" t="s">
        <v>71</v>
      </c>
      <c r="L73" s="19" t="s">
        <v>72</v>
      </c>
      <c r="M73" s="19" t="s">
        <v>73</v>
      </c>
      <c r="N73" s="19" t="s">
        <v>75</v>
      </c>
      <c r="O73" s="19" t="s">
        <v>76</v>
      </c>
      <c r="P73" s="19" t="s">
        <v>78</v>
      </c>
      <c r="Q73" s="19" t="s">
        <v>79</v>
      </c>
      <c r="R73" s="19" t="s">
        <v>81</v>
      </c>
    </row>
    <row r="74" spans="1:18" ht="14.25" customHeight="1" x14ac:dyDescent="0.15">
      <c r="A74" s="21">
        <f t="shared" ref="A74:H74" si="48">A67</f>
        <v>0</v>
      </c>
      <c r="B74" s="21">
        <f t="shared" si="48"/>
        <v>0</v>
      </c>
      <c r="C74" s="21">
        <f t="shared" si="48"/>
        <v>0</v>
      </c>
      <c r="D74" s="21">
        <f t="shared" si="48"/>
        <v>0</v>
      </c>
      <c r="E74" s="23" t="str">
        <f t="shared" si="48"/>
        <v>4200</v>
      </c>
      <c r="F74" s="23" t="str">
        <f t="shared" si="48"/>
        <v>4000</v>
      </c>
      <c r="G74" s="23" t="str">
        <f t="shared" si="48"/>
        <v>3800</v>
      </c>
      <c r="H74" s="23">
        <f t="shared" si="48"/>
        <v>380</v>
      </c>
      <c r="I74" s="23" t="str">
        <f>I53</f>
        <v>5500</v>
      </c>
      <c r="J74" s="23" t="str">
        <f t="shared" ref="J74:Q74" si="49">J67</f>
        <v>1000</v>
      </c>
      <c r="K74" s="23">
        <f t="shared" si="49"/>
        <v>375</v>
      </c>
      <c r="L74" s="23">
        <f t="shared" si="49"/>
        <v>585</v>
      </c>
      <c r="M74" s="23" t="str">
        <f t="shared" si="49"/>
        <v>1000</v>
      </c>
      <c r="N74" s="23">
        <f t="shared" si="49"/>
        <v>3300</v>
      </c>
      <c r="O74" s="23">
        <f t="shared" si="49"/>
        <v>0</v>
      </c>
      <c r="P74" s="23">
        <f t="shared" si="49"/>
        <v>0</v>
      </c>
      <c r="Q74" s="23">
        <f t="shared" si="49"/>
        <v>2</v>
      </c>
      <c r="R74" s="21"/>
    </row>
    <row r="75" spans="1:18" ht="14.25" customHeight="1" x14ac:dyDescent="0.15">
      <c r="A75" s="19">
        <v>6</v>
      </c>
      <c r="B75" s="19">
        <f>0.9*3</f>
        <v>2.7</v>
      </c>
      <c r="C75" s="19">
        <v>1.2</v>
      </c>
      <c r="D75" s="19">
        <f>B75*C75</f>
        <v>3.24</v>
      </c>
      <c r="E75" s="19"/>
      <c r="F75" s="19"/>
      <c r="G75" s="19"/>
      <c r="H75" s="19"/>
      <c r="I75" s="19">
        <f>B75*0.4</f>
        <v>1.08</v>
      </c>
      <c r="J75" s="19">
        <v>2</v>
      </c>
      <c r="K75" s="19">
        <f t="shared" ref="K75:L75" si="50">A75</f>
        <v>6</v>
      </c>
      <c r="L75" s="19">
        <f t="shared" si="50"/>
        <v>2.7</v>
      </c>
      <c r="M75" s="19">
        <f>A75</f>
        <v>6</v>
      </c>
      <c r="N75" s="19">
        <f>(1.2*0.4)*2</f>
        <v>0.96</v>
      </c>
      <c r="O75" s="19"/>
      <c r="P75" s="19"/>
      <c r="Q75" s="19"/>
      <c r="R75" s="19"/>
    </row>
    <row r="76" spans="1:18" ht="14.25" customHeight="1" x14ac:dyDescent="0.15">
      <c r="A76" s="19"/>
      <c r="B76" s="19"/>
      <c r="C76" s="19"/>
      <c r="D76" s="26" t="str">
        <f>D69</f>
        <v>9500</v>
      </c>
      <c r="E76" s="19">
        <v>2</v>
      </c>
      <c r="F76" s="19">
        <v>0</v>
      </c>
      <c r="G76" s="19">
        <v>0</v>
      </c>
      <c r="H76" s="19">
        <f>B75*2</f>
        <v>5.4</v>
      </c>
      <c r="I76" s="19"/>
      <c r="J76" s="19"/>
      <c r="K76" s="19"/>
      <c r="L76" s="19"/>
      <c r="M76" s="19"/>
      <c r="N76" s="28"/>
      <c r="O76" s="19"/>
      <c r="P76" s="19"/>
      <c r="Q76" s="19"/>
      <c r="R76" s="19"/>
    </row>
    <row r="77" spans="1:18" ht="14.25" customHeight="1" x14ac:dyDescent="0.15">
      <c r="A77" s="19"/>
      <c r="B77" s="19"/>
      <c r="C77" s="19"/>
      <c r="D77" s="19">
        <f>D75*D76</f>
        <v>30780.000000000004</v>
      </c>
      <c r="E77" s="19">
        <f>E76*E74</f>
        <v>8400</v>
      </c>
      <c r="F77" s="19">
        <f t="shared" ref="F77:H77" si="51">F74*F76</f>
        <v>0</v>
      </c>
      <c r="G77" s="19">
        <f t="shared" si="51"/>
        <v>0</v>
      </c>
      <c r="H77" s="19">
        <f t="shared" si="51"/>
        <v>2052</v>
      </c>
      <c r="I77" s="19">
        <f t="shared" ref="I77:N77" si="52">I74*I75</f>
        <v>5940</v>
      </c>
      <c r="J77" s="19">
        <f t="shared" si="52"/>
        <v>2000</v>
      </c>
      <c r="K77" s="19">
        <f t="shared" si="52"/>
        <v>2250</v>
      </c>
      <c r="L77" s="19">
        <f t="shared" si="52"/>
        <v>1579.5</v>
      </c>
      <c r="M77" s="19">
        <f t="shared" si="52"/>
        <v>6000</v>
      </c>
      <c r="N77" s="19">
        <f t="shared" si="52"/>
        <v>3168</v>
      </c>
      <c r="O77" s="19">
        <f>SUM(D77:N77)</f>
        <v>62169.5</v>
      </c>
      <c r="P77" s="19">
        <f>O77/A75</f>
        <v>10361.583333333334</v>
      </c>
      <c r="Q77" s="19">
        <f>P77*Q74</f>
        <v>20723.166666666668</v>
      </c>
      <c r="R77" s="19">
        <f>MROUND(Q77,100)</f>
        <v>20700</v>
      </c>
    </row>
    <row r="78" spans="1:18" ht="14.25" customHeight="1" x14ac:dyDescent="0.1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</row>
    <row r="79" spans="1:18" ht="14.25" customHeight="1" x14ac:dyDescent="0.3">
      <c r="A79" s="109" t="str">
        <f>PRICELIST!I227</f>
        <v>WSTK-LNR-SH-LVM-900-X</v>
      </c>
      <c r="B79" s="87"/>
      <c r="C79" s="87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7"/>
    </row>
    <row r="80" spans="1:18" ht="14.25" customHeight="1" x14ac:dyDescent="0.15">
      <c r="A80" s="19" t="s">
        <v>57</v>
      </c>
      <c r="B80" s="19" t="s">
        <v>59</v>
      </c>
      <c r="C80" s="19" t="s">
        <v>62</v>
      </c>
      <c r="D80" s="19" t="s">
        <v>64</v>
      </c>
      <c r="E80" s="19">
        <v>1200</v>
      </c>
      <c r="F80" s="19">
        <v>900</v>
      </c>
      <c r="G80" s="19">
        <v>600</v>
      </c>
      <c r="H80" s="19" t="s">
        <v>67</v>
      </c>
      <c r="I80" s="19" t="s">
        <v>68</v>
      </c>
      <c r="J80" s="19" t="s">
        <v>69</v>
      </c>
      <c r="K80" s="19" t="s">
        <v>71</v>
      </c>
      <c r="L80" s="19" t="s">
        <v>72</v>
      </c>
      <c r="M80" s="19" t="s">
        <v>73</v>
      </c>
      <c r="N80" s="19" t="s">
        <v>75</v>
      </c>
      <c r="O80" s="19" t="s">
        <v>76</v>
      </c>
      <c r="P80" s="19" t="s">
        <v>78</v>
      </c>
      <c r="Q80" s="19" t="s">
        <v>79</v>
      </c>
      <c r="R80" s="19" t="s">
        <v>81</v>
      </c>
    </row>
    <row r="81" spans="1:18" ht="14.25" customHeight="1" x14ac:dyDescent="0.15">
      <c r="A81" s="21">
        <f t="shared" ref="A81:H81" si="53">A74</f>
        <v>0</v>
      </c>
      <c r="B81" s="21">
        <f t="shared" si="53"/>
        <v>0</v>
      </c>
      <c r="C81" s="21">
        <f t="shared" si="53"/>
        <v>0</v>
      </c>
      <c r="D81" s="21">
        <f t="shared" si="53"/>
        <v>0</v>
      </c>
      <c r="E81" s="23" t="str">
        <f t="shared" si="53"/>
        <v>4200</v>
      </c>
      <c r="F81" s="23" t="str">
        <f t="shared" si="53"/>
        <v>4000</v>
      </c>
      <c r="G81" s="23" t="str">
        <f t="shared" si="53"/>
        <v>3800</v>
      </c>
      <c r="H81" s="23">
        <f t="shared" si="53"/>
        <v>380</v>
      </c>
      <c r="I81" s="23" t="str">
        <f>I60</f>
        <v>0</v>
      </c>
      <c r="J81" s="23" t="str">
        <f t="shared" ref="J81:Q81" si="54">J74</f>
        <v>1000</v>
      </c>
      <c r="K81" s="23">
        <f t="shared" si="54"/>
        <v>375</v>
      </c>
      <c r="L81" s="23">
        <f t="shared" si="54"/>
        <v>585</v>
      </c>
      <c r="M81" s="23" t="str">
        <f t="shared" si="54"/>
        <v>1000</v>
      </c>
      <c r="N81" s="23">
        <f t="shared" si="54"/>
        <v>3300</v>
      </c>
      <c r="O81" s="23">
        <f t="shared" si="54"/>
        <v>0</v>
      </c>
      <c r="P81" s="23">
        <f t="shared" si="54"/>
        <v>0</v>
      </c>
      <c r="Q81" s="23">
        <f t="shared" si="54"/>
        <v>2</v>
      </c>
      <c r="R81" s="21"/>
    </row>
    <row r="82" spans="1:18" ht="14.25" customHeight="1" x14ac:dyDescent="0.15">
      <c r="A82" s="19">
        <v>6</v>
      </c>
      <c r="B82" s="19">
        <f>0.9*3</f>
        <v>2.7</v>
      </c>
      <c r="C82" s="19">
        <v>1.2</v>
      </c>
      <c r="D82" s="19">
        <f>B82*C82</f>
        <v>3.24</v>
      </c>
      <c r="E82" s="19"/>
      <c r="F82" s="19"/>
      <c r="G82" s="19"/>
      <c r="H82" s="19"/>
      <c r="I82" s="19">
        <f>B82*0.4</f>
        <v>1.08</v>
      </c>
      <c r="J82" s="19">
        <v>2</v>
      </c>
      <c r="K82" s="19">
        <f t="shared" ref="K82:L82" si="55">A82</f>
        <v>6</v>
      </c>
      <c r="L82" s="19">
        <f t="shared" si="55"/>
        <v>2.7</v>
      </c>
      <c r="M82" s="19">
        <f>A82</f>
        <v>6</v>
      </c>
      <c r="N82" s="19">
        <f>(1.2*0.4)*2</f>
        <v>0.96</v>
      </c>
      <c r="O82" s="19"/>
      <c r="P82" s="19"/>
      <c r="Q82" s="19"/>
      <c r="R82" s="19"/>
    </row>
    <row r="83" spans="1:18" ht="14.25" customHeight="1" x14ac:dyDescent="0.15">
      <c r="A83" s="19"/>
      <c r="B83" s="19"/>
      <c r="C83" s="19"/>
      <c r="D83" s="26" t="str">
        <f>D76</f>
        <v>9500</v>
      </c>
      <c r="E83" s="19">
        <v>2</v>
      </c>
      <c r="F83" s="19">
        <v>0</v>
      </c>
      <c r="G83" s="19">
        <v>0</v>
      </c>
      <c r="H83" s="19">
        <f>B82*2</f>
        <v>5.4</v>
      </c>
      <c r="I83" s="19"/>
      <c r="J83" s="19"/>
      <c r="K83" s="19"/>
      <c r="L83" s="19"/>
      <c r="M83" s="19"/>
      <c r="N83" s="28"/>
      <c r="O83" s="19"/>
      <c r="P83" s="19"/>
      <c r="Q83" s="19"/>
      <c r="R83" s="19"/>
    </row>
    <row r="84" spans="1:18" ht="14.25" customHeight="1" x14ac:dyDescent="0.15">
      <c r="A84" s="19"/>
      <c r="B84" s="19"/>
      <c r="C84" s="19"/>
      <c r="D84" s="19">
        <f>D82*D83</f>
        <v>30780.000000000004</v>
      </c>
      <c r="E84" s="19">
        <f>E83*E81</f>
        <v>8400</v>
      </c>
      <c r="F84" s="19">
        <f t="shared" ref="F84:H84" si="56">F81*F83</f>
        <v>0</v>
      </c>
      <c r="G84" s="19">
        <f t="shared" si="56"/>
        <v>0</v>
      </c>
      <c r="H84" s="19">
        <f t="shared" si="56"/>
        <v>2052</v>
      </c>
      <c r="I84" s="19">
        <f t="shared" ref="I84:N84" si="57">I81*I82</f>
        <v>0</v>
      </c>
      <c r="J84" s="19">
        <f t="shared" si="57"/>
        <v>2000</v>
      </c>
      <c r="K84" s="19">
        <f t="shared" si="57"/>
        <v>2250</v>
      </c>
      <c r="L84" s="19">
        <f t="shared" si="57"/>
        <v>1579.5</v>
      </c>
      <c r="M84" s="19">
        <f t="shared" si="57"/>
        <v>6000</v>
      </c>
      <c r="N84" s="19">
        <f t="shared" si="57"/>
        <v>3168</v>
      </c>
      <c r="O84" s="19">
        <f>SUM(D84:N84)</f>
        <v>56229.5</v>
      </c>
      <c r="P84" s="19">
        <f>O84/A82</f>
        <v>9371.5833333333339</v>
      </c>
      <c r="Q84" s="19">
        <f>P84*Q81</f>
        <v>18743.166666666668</v>
      </c>
      <c r="R84" s="19">
        <f>MROUND(Q84,100)</f>
        <v>18700</v>
      </c>
    </row>
    <row r="85" spans="1:18" ht="14.25" customHeight="1" x14ac:dyDescent="0.1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</row>
    <row r="86" spans="1:18" ht="14.25" customHeight="1" x14ac:dyDescent="0.3">
      <c r="A86" s="109" t="str">
        <f>PRICELIST!I228</f>
        <v>WSTK-LNR-SH-LVP-900-F</v>
      </c>
      <c r="B86" s="87"/>
      <c r="C86" s="87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7"/>
    </row>
    <row r="87" spans="1:18" ht="14.25" customHeight="1" x14ac:dyDescent="0.15">
      <c r="A87" s="19" t="s">
        <v>57</v>
      </c>
      <c r="B87" s="19" t="s">
        <v>59</v>
      </c>
      <c r="C87" s="19" t="s">
        <v>62</v>
      </c>
      <c r="D87" s="19" t="s">
        <v>64</v>
      </c>
      <c r="E87" s="19">
        <v>1200</v>
      </c>
      <c r="F87" s="19">
        <v>900</v>
      </c>
      <c r="G87" s="19">
        <v>600</v>
      </c>
      <c r="H87" s="19" t="s">
        <v>67</v>
      </c>
      <c r="I87" s="19" t="s">
        <v>68</v>
      </c>
      <c r="J87" s="19" t="s">
        <v>69</v>
      </c>
      <c r="K87" s="19" t="s">
        <v>71</v>
      </c>
      <c r="L87" s="19" t="s">
        <v>72</v>
      </c>
      <c r="M87" s="19" t="s">
        <v>73</v>
      </c>
      <c r="N87" s="19" t="s">
        <v>75</v>
      </c>
      <c r="O87" s="19" t="s">
        <v>76</v>
      </c>
      <c r="P87" s="19" t="s">
        <v>78</v>
      </c>
      <c r="Q87" s="19" t="s">
        <v>79</v>
      </c>
      <c r="R87" s="19" t="s">
        <v>81</v>
      </c>
    </row>
    <row r="88" spans="1:18" ht="14.25" customHeight="1" x14ac:dyDescent="0.15">
      <c r="A88" s="21">
        <f t="shared" ref="A88:H88" si="58">A81</f>
        <v>0</v>
      </c>
      <c r="B88" s="21">
        <f t="shared" si="58"/>
        <v>0</v>
      </c>
      <c r="C88" s="21">
        <f t="shared" si="58"/>
        <v>0</v>
      </c>
      <c r="D88" s="21">
        <f t="shared" si="58"/>
        <v>0</v>
      </c>
      <c r="E88" s="23" t="str">
        <f t="shared" si="58"/>
        <v>4200</v>
      </c>
      <c r="F88" s="23" t="str">
        <f t="shared" si="58"/>
        <v>4000</v>
      </c>
      <c r="G88" s="23" t="str">
        <f t="shared" si="58"/>
        <v>3800</v>
      </c>
      <c r="H88" s="23">
        <f t="shared" si="58"/>
        <v>380</v>
      </c>
      <c r="I88" s="23" t="str">
        <f>I67</f>
        <v>4800</v>
      </c>
      <c r="J88" s="23" t="str">
        <f t="shared" ref="J88:Q88" si="59">J81</f>
        <v>1000</v>
      </c>
      <c r="K88" s="23">
        <f t="shared" si="59"/>
        <v>375</v>
      </c>
      <c r="L88" s="23">
        <f t="shared" si="59"/>
        <v>585</v>
      </c>
      <c r="M88" s="23" t="str">
        <f t="shared" si="59"/>
        <v>1000</v>
      </c>
      <c r="N88" s="23">
        <f t="shared" si="59"/>
        <v>3300</v>
      </c>
      <c r="O88" s="23">
        <f t="shared" si="59"/>
        <v>0</v>
      </c>
      <c r="P88" s="23">
        <f t="shared" si="59"/>
        <v>0</v>
      </c>
      <c r="Q88" s="23">
        <f t="shared" si="59"/>
        <v>2</v>
      </c>
      <c r="R88" s="21"/>
    </row>
    <row r="89" spans="1:18" ht="14.25" customHeight="1" x14ac:dyDescent="0.15">
      <c r="A89" s="19">
        <v>6</v>
      </c>
      <c r="B89" s="19">
        <f>0.9*3</f>
        <v>2.7</v>
      </c>
      <c r="C89" s="19">
        <v>1.2</v>
      </c>
      <c r="D89" s="19">
        <f>B89*C89</f>
        <v>3.24</v>
      </c>
      <c r="E89" s="19"/>
      <c r="F89" s="19"/>
      <c r="G89" s="19"/>
      <c r="H89" s="19"/>
      <c r="I89" s="19">
        <f>B89*0.4</f>
        <v>1.08</v>
      </c>
      <c r="J89" s="19">
        <v>2</v>
      </c>
      <c r="K89" s="19">
        <f t="shared" ref="K89:L89" si="60">A89</f>
        <v>6</v>
      </c>
      <c r="L89" s="19">
        <f t="shared" si="60"/>
        <v>2.7</v>
      </c>
      <c r="M89" s="19">
        <f>A89</f>
        <v>6</v>
      </c>
      <c r="N89" s="19">
        <f>(1.2*0.4)*2</f>
        <v>0.96</v>
      </c>
      <c r="O89" s="19"/>
      <c r="P89" s="19"/>
      <c r="Q89" s="19"/>
      <c r="R89" s="19"/>
    </row>
    <row r="90" spans="1:18" ht="14.25" customHeight="1" x14ac:dyDescent="0.15">
      <c r="A90" s="19"/>
      <c r="B90" s="19"/>
      <c r="C90" s="19"/>
      <c r="D90" s="26" t="str">
        <f>'MASTER DATA'!C7</f>
        <v>10500</v>
      </c>
      <c r="E90" s="19">
        <v>2</v>
      </c>
      <c r="F90" s="19">
        <v>0</v>
      </c>
      <c r="G90" s="19">
        <v>0</v>
      </c>
      <c r="H90" s="19">
        <f>B89*2</f>
        <v>5.4</v>
      </c>
      <c r="I90" s="19"/>
      <c r="J90" s="19"/>
      <c r="K90" s="19"/>
      <c r="L90" s="19"/>
      <c r="M90" s="19"/>
      <c r="N90" s="28"/>
      <c r="O90" s="19"/>
      <c r="P90" s="19"/>
      <c r="Q90" s="19"/>
      <c r="R90" s="19"/>
    </row>
    <row r="91" spans="1:18" ht="14.25" customHeight="1" x14ac:dyDescent="0.15">
      <c r="A91" s="19"/>
      <c r="B91" s="19"/>
      <c r="C91" s="19"/>
      <c r="D91" s="19">
        <f>D89*D90</f>
        <v>34020</v>
      </c>
      <c r="E91" s="19">
        <f>E90*E88</f>
        <v>8400</v>
      </c>
      <c r="F91" s="19">
        <f t="shared" ref="F91:H91" si="61">F88*F90</f>
        <v>0</v>
      </c>
      <c r="G91" s="19">
        <f t="shared" si="61"/>
        <v>0</v>
      </c>
      <c r="H91" s="19">
        <f t="shared" si="61"/>
        <v>2052</v>
      </c>
      <c r="I91" s="19">
        <f t="shared" ref="I91:N91" si="62">I88*I89</f>
        <v>5184</v>
      </c>
      <c r="J91" s="19">
        <f t="shared" si="62"/>
        <v>2000</v>
      </c>
      <c r="K91" s="19">
        <f t="shared" si="62"/>
        <v>2250</v>
      </c>
      <c r="L91" s="19">
        <f t="shared" si="62"/>
        <v>1579.5</v>
      </c>
      <c r="M91" s="19">
        <f t="shared" si="62"/>
        <v>6000</v>
      </c>
      <c r="N91" s="19">
        <f t="shared" si="62"/>
        <v>3168</v>
      </c>
      <c r="O91" s="19">
        <f>SUM(D91:N91)</f>
        <v>64653.5</v>
      </c>
      <c r="P91" s="19">
        <f>O91/A89</f>
        <v>10775.583333333334</v>
      </c>
      <c r="Q91" s="19">
        <f>P91*Q88</f>
        <v>21551.166666666668</v>
      </c>
      <c r="R91" s="19">
        <f>MROUND(Q91,100)</f>
        <v>21600</v>
      </c>
    </row>
    <row r="92" spans="1:18" ht="14.25" customHeight="1" x14ac:dyDescent="0.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</row>
    <row r="93" spans="1:18" ht="14.25" customHeight="1" x14ac:dyDescent="0.3">
      <c r="A93" s="109" t="str">
        <f>PRICELIST!I229</f>
        <v>WSTK-LNR-SH-LVP-900-G</v>
      </c>
      <c r="B93" s="87"/>
      <c r="C93" s="87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7"/>
    </row>
    <row r="94" spans="1:18" ht="14.25" customHeight="1" x14ac:dyDescent="0.15">
      <c r="A94" s="19" t="s">
        <v>57</v>
      </c>
      <c r="B94" s="19" t="s">
        <v>59</v>
      </c>
      <c r="C94" s="19" t="s">
        <v>62</v>
      </c>
      <c r="D94" s="19" t="s">
        <v>64</v>
      </c>
      <c r="E94" s="19">
        <v>1200</v>
      </c>
      <c r="F94" s="19">
        <v>900</v>
      </c>
      <c r="G94" s="19">
        <v>600</v>
      </c>
      <c r="H94" s="19" t="s">
        <v>67</v>
      </c>
      <c r="I94" s="19" t="s">
        <v>68</v>
      </c>
      <c r="J94" s="19" t="s">
        <v>69</v>
      </c>
      <c r="K94" s="19" t="s">
        <v>71</v>
      </c>
      <c r="L94" s="19" t="s">
        <v>72</v>
      </c>
      <c r="M94" s="19" t="s">
        <v>73</v>
      </c>
      <c r="N94" s="19" t="s">
        <v>75</v>
      </c>
      <c r="O94" s="19" t="s">
        <v>76</v>
      </c>
      <c r="P94" s="19" t="s">
        <v>78</v>
      </c>
      <c r="Q94" s="19" t="s">
        <v>79</v>
      </c>
      <c r="R94" s="19" t="s">
        <v>81</v>
      </c>
    </row>
    <row r="95" spans="1:18" ht="14.25" customHeight="1" x14ac:dyDescent="0.15">
      <c r="A95" s="21">
        <f t="shared" ref="A95:H95" si="63">A88</f>
        <v>0</v>
      </c>
      <c r="B95" s="21">
        <f t="shared" si="63"/>
        <v>0</v>
      </c>
      <c r="C95" s="21">
        <f t="shared" si="63"/>
        <v>0</v>
      </c>
      <c r="D95" s="21">
        <f t="shared" si="63"/>
        <v>0</v>
      </c>
      <c r="E95" s="23" t="str">
        <f t="shared" si="63"/>
        <v>4200</v>
      </c>
      <c r="F95" s="23" t="str">
        <f t="shared" si="63"/>
        <v>4000</v>
      </c>
      <c r="G95" s="23" t="str">
        <f t="shared" si="63"/>
        <v>3800</v>
      </c>
      <c r="H95" s="23">
        <f t="shared" si="63"/>
        <v>380</v>
      </c>
      <c r="I95" s="23" t="str">
        <f>I74</f>
        <v>5500</v>
      </c>
      <c r="J95" s="23" t="str">
        <f t="shared" ref="J95:Q95" si="64">J88</f>
        <v>1000</v>
      </c>
      <c r="K95" s="23">
        <f t="shared" si="64"/>
        <v>375</v>
      </c>
      <c r="L95" s="23">
        <f t="shared" si="64"/>
        <v>585</v>
      </c>
      <c r="M95" s="23" t="str">
        <f t="shared" si="64"/>
        <v>1000</v>
      </c>
      <c r="N95" s="23">
        <f t="shared" si="64"/>
        <v>3300</v>
      </c>
      <c r="O95" s="23">
        <f t="shared" si="64"/>
        <v>0</v>
      </c>
      <c r="P95" s="23">
        <f t="shared" si="64"/>
        <v>0</v>
      </c>
      <c r="Q95" s="23">
        <f t="shared" si="64"/>
        <v>2</v>
      </c>
      <c r="R95" s="21"/>
    </row>
    <row r="96" spans="1:18" ht="14.25" customHeight="1" x14ac:dyDescent="0.15">
      <c r="A96" s="19">
        <v>6</v>
      </c>
      <c r="B96" s="19">
        <f>0.9*3</f>
        <v>2.7</v>
      </c>
      <c r="C96" s="19">
        <v>1.2</v>
      </c>
      <c r="D96" s="19">
        <f>B96*C96</f>
        <v>3.24</v>
      </c>
      <c r="E96" s="19"/>
      <c r="F96" s="19"/>
      <c r="G96" s="19"/>
      <c r="H96" s="19"/>
      <c r="I96" s="19">
        <f>B96*0.4</f>
        <v>1.08</v>
      </c>
      <c r="J96" s="19">
        <v>2</v>
      </c>
      <c r="K96" s="19">
        <f t="shared" ref="K96:L96" si="65">A96</f>
        <v>6</v>
      </c>
      <c r="L96" s="19">
        <f t="shared" si="65"/>
        <v>2.7</v>
      </c>
      <c r="M96" s="19">
        <f>A96</f>
        <v>6</v>
      </c>
      <c r="N96" s="19">
        <f>(1.2*0.4)*2</f>
        <v>0.96</v>
      </c>
      <c r="O96" s="19"/>
      <c r="P96" s="19"/>
      <c r="Q96" s="19"/>
      <c r="R96" s="19"/>
    </row>
    <row r="97" spans="1:18" ht="14.25" customHeight="1" x14ac:dyDescent="0.15">
      <c r="A97" s="19"/>
      <c r="B97" s="19"/>
      <c r="C97" s="19"/>
      <c r="D97" s="26" t="str">
        <f>D90</f>
        <v>10500</v>
      </c>
      <c r="E97" s="19">
        <v>2</v>
      </c>
      <c r="F97" s="19">
        <v>0</v>
      </c>
      <c r="G97" s="19">
        <v>0</v>
      </c>
      <c r="H97" s="19">
        <f>B96*2</f>
        <v>5.4</v>
      </c>
      <c r="I97" s="19"/>
      <c r="J97" s="19"/>
      <c r="K97" s="19"/>
      <c r="L97" s="19"/>
      <c r="M97" s="19"/>
      <c r="N97" s="28"/>
      <c r="O97" s="19"/>
      <c r="P97" s="19"/>
      <c r="Q97" s="19"/>
      <c r="R97" s="19"/>
    </row>
    <row r="98" spans="1:18" ht="14.25" customHeight="1" x14ac:dyDescent="0.15">
      <c r="A98" s="19"/>
      <c r="B98" s="19"/>
      <c r="C98" s="19"/>
      <c r="D98" s="19">
        <f>D96*D97</f>
        <v>34020</v>
      </c>
      <c r="E98" s="19">
        <f>E97*E95</f>
        <v>8400</v>
      </c>
      <c r="F98" s="19">
        <f t="shared" ref="F98:H98" si="66">F95*F97</f>
        <v>0</v>
      </c>
      <c r="G98" s="19">
        <f t="shared" si="66"/>
        <v>0</v>
      </c>
      <c r="H98" s="19">
        <f t="shared" si="66"/>
        <v>2052</v>
      </c>
      <c r="I98" s="19">
        <f t="shared" ref="I98:N98" si="67">I95*I96</f>
        <v>5940</v>
      </c>
      <c r="J98" s="19">
        <f t="shared" si="67"/>
        <v>2000</v>
      </c>
      <c r="K98" s="19">
        <f t="shared" si="67"/>
        <v>2250</v>
      </c>
      <c r="L98" s="19">
        <f t="shared" si="67"/>
        <v>1579.5</v>
      </c>
      <c r="M98" s="19">
        <f t="shared" si="67"/>
        <v>6000</v>
      </c>
      <c r="N98" s="19">
        <f t="shared" si="67"/>
        <v>3168</v>
      </c>
      <c r="O98" s="19">
        <f>SUM(D98:N98)</f>
        <v>65409.5</v>
      </c>
      <c r="P98" s="19">
        <f>O98/A96</f>
        <v>10901.583333333334</v>
      </c>
      <c r="Q98" s="19">
        <f>P98*Q95</f>
        <v>21803.166666666668</v>
      </c>
      <c r="R98" s="19">
        <f>MROUND(Q98,100)</f>
        <v>21800</v>
      </c>
    </row>
    <row r="99" spans="1:18" ht="14.25" customHeight="1" x14ac:dyDescent="0.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</row>
    <row r="100" spans="1:18" ht="14.25" customHeight="1" x14ac:dyDescent="0.3">
      <c r="A100" s="109" t="str">
        <f>PRICELIST!I230</f>
        <v>WSTK-LNR-SH-LVP-900-X</v>
      </c>
      <c r="B100" s="87"/>
      <c r="C100" s="87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7"/>
    </row>
    <row r="101" spans="1:18" ht="14.25" customHeight="1" x14ac:dyDescent="0.15">
      <c r="A101" s="19" t="s">
        <v>57</v>
      </c>
      <c r="B101" s="19" t="s">
        <v>59</v>
      </c>
      <c r="C101" s="19" t="s">
        <v>62</v>
      </c>
      <c r="D101" s="19" t="s">
        <v>64</v>
      </c>
      <c r="E101" s="19">
        <v>1200</v>
      </c>
      <c r="F101" s="19">
        <v>900</v>
      </c>
      <c r="G101" s="19">
        <v>600</v>
      </c>
      <c r="H101" s="19" t="s">
        <v>67</v>
      </c>
      <c r="I101" s="19" t="s">
        <v>68</v>
      </c>
      <c r="J101" s="19" t="s">
        <v>69</v>
      </c>
      <c r="K101" s="19" t="s">
        <v>71</v>
      </c>
      <c r="L101" s="19" t="s">
        <v>72</v>
      </c>
      <c r="M101" s="19" t="s">
        <v>73</v>
      </c>
      <c r="N101" s="19" t="s">
        <v>75</v>
      </c>
      <c r="O101" s="19" t="s">
        <v>76</v>
      </c>
      <c r="P101" s="19" t="s">
        <v>78</v>
      </c>
      <c r="Q101" s="19" t="s">
        <v>79</v>
      </c>
      <c r="R101" s="19" t="s">
        <v>81</v>
      </c>
    </row>
    <row r="102" spans="1:18" ht="14.25" customHeight="1" x14ac:dyDescent="0.15">
      <c r="A102" s="21">
        <f t="shared" ref="A102:H102" si="68">A95</f>
        <v>0</v>
      </c>
      <c r="B102" s="21">
        <f t="shared" si="68"/>
        <v>0</v>
      </c>
      <c r="C102" s="21">
        <f t="shared" si="68"/>
        <v>0</v>
      </c>
      <c r="D102" s="21">
        <f t="shared" si="68"/>
        <v>0</v>
      </c>
      <c r="E102" s="23" t="str">
        <f t="shared" si="68"/>
        <v>4200</v>
      </c>
      <c r="F102" s="23" t="str">
        <f t="shared" si="68"/>
        <v>4000</v>
      </c>
      <c r="G102" s="23" t="str">
        <f t="shared" si="68"/>
        <v>3800</v>
      </c>
      <c r="H102" s="23">
        <f t="shared" si="68"/>
        <v>380</v>
      </c>
      <c r="I102" s="23" t="str">
        <f>I81</f>
        <v>0</v>
      </c>
      <c r="J102" s="23" t="str">
        <f t="shared" ref="J102:Q102" si="69">J95</f>
        <v>1000</v>
      </c>
      <c r="K102" s="23">
        <f t="shared" si="69"/>
        <v>375</v>
      </c>
      <c r="L102" s="23">
        <f t="shared" si="69"/>
        <v>585</v>
      </c>
      <c r="M102" s="23" t="str">
        <f t="shared" si="69"/>
        <v>1000</v>
      </c>
      <c r="N102" s="23">
        <f t="shared" si="69"/>
        <v>3300</v>
      </c>
      <c r="O102" s="23">
        <f t="shared" si="69"/>
        <v>0</v>
      </c>
      <c r="P102" s="23">
        <f t="shared" si="69"/>
        <v>0</v>
      </c>
      <c r="Q102" s="23">
        <f t="shared" si="69"/>
        <v>2</v>
      </c>
      <c r="R102" s="21"/>
    </row>
    <row r="103" spans="1:18" ht="14.25" customHeight="1" x14ac:dyDescent="0.15">
      <c r="A103" s="19">
        <v>6</v>
      </c>
      <c r="B103" s="19">
        <f>0.9*3</f>
        <v>2.7</v>
      </c>
      <c r="C103" s="19">
        <v>1.2</v>
      </c>
      <c r="D103" s="19">
        <f>B103*C103</f>
        <v>3.24</v>
      </c>
      <c r="E103" s="19"/>
      <c r="F103" s="19"/>
      <c r="G103" s="19"/>
      <c r="H103" s="19"/>
      <c r="I103" s="19">
        <f>B103*0.4</f>
        <v>1.08</v>
      </c>
      <c r="J103" s="19">
        <v>2</v>
      </c>
      <c r="K103" s="19">
        <f t="shared" ref="K103:L103" si="70">A103</f>
        <v>6</v>
      </c>
      <c r="L103" s="19">
        <f t="shared" si="70"/>
        <v>2.7</v>
      </c>
      <c r="M103" s="19">
        <f>A103</f>
        <v>6</v>
      </c>
      <c r="N103" s="19">
        <f>(1.2*0.4)*2</f>
        <v>0.96</v>
      </c>
      <c r="O103" s="19"/>
      <c r="P103" s="19"/>
      <c r="Q103" s="19"/>
      <c r="R103" s="19"/>
    </row>
    <row r="104" spans="1:18" ht="14.25" customHeight="1" x14ac:dyDescent="0.15">
      <c r="A104" s="19"/>
      <c r="B104" s="19"/>
      <c r="C104" s="19"/>
      <c r="D104" s="26" t="str">
        <f>D97</f>
        <v>10500</v>
      </c>
      <c r="E104" s="19">
        <v>2</v>
      </c>
      <c r="F104" s="19">
        <v>0</v>
      </c>
      <c r="G104" s="19">
        <v>0</v>
      </c>
      <c r="H104" s="19">
        <f>B103*2</f>
        <v>5.4</v>
      </c>
      <c r="I104" s="19"/>
      <c r="J104" s="19"/>
      <c r="K104" s="19"/>
      <c r="L104" s="19"/>
      <c r="M104" s="19"/>
      <c r="N104" s="28"/>
      <c r="O104" s="19"/>
      <c r="P104" s="19"/>
      <c r="Q104" s="19"/>
      <c r="R104" s="19"/>
    </row>
    <row r="105" spans="1:18" ht="14.25" customHeight="1" x14ac:dyDescent="0.15">
      <c r="A105" s="19"/>
      <c r="B105" s="19"/>
      <c r="C105" s="19"/>
      <c r="D105" s="19">
        <f>D103*D104</f>
        <v>34020</v>
      </c>
      <c r="E105" s="19">
        <f>E104*E102</f>
        <v>8400</v>
      </c>
      <c r="F105" s="19">
        <f t="shared" ref="F105:H105" si="71">F102*F104</f>
        <v>0</v>
      </c>
      <c r="G105" s="19">
        <f t="shared" si="71"/>
        <v>0</v>
      </c>
      <c r="H105" s="19">
        <f t="shared" si="71"/>
        <v>2052</v>
      </c>
      <c r="I105" s="19">
        <f t="shared" ref="I105:N105" si="72">I102*I103</f>
        <v>0</v>
      </c>
      <c r="J105" s="19">
        <f t="shared" si="72"/>
        <v>2000</v>
      </c>
      <c r="K105" s="19">
        <f t="shared" si="72"/>
        <v>2250</v>
      </c>
      <c r="L105" s="19">
        <f t="shared" si="72"/>
        <v>1579.5</v>
      </c>
      <c r="M105" s="19">
        <f t="shared" si="72"/>
        <v>6000</v>
      </c>
      <c r="N105" s="19">
        <f t="shared" si="72"/>
        <v>3168</v>
      </c>
      <c r="O105" s="19">
        <f>SUM(D105:N105)</f>
        <v>59469.5</v>
      </c>
      <c r="P105" s="19">
        <f>O105/A103</f>
        <v>9911.5833333333339</v>
      </c>
      <c r="Q105" s="19">
        <f>P105*Q102</f>
        <v>19823.166666666668</v>
      </c>
      <c r="R105" s="19">
        <f>MROUND(Q105,100)</f>
        <v>19800</v>
      </c>
    </row>
    <row r="106" spans="1:18" ht="14.25" customHeight="1" x14ac:dyDescent="0.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</row>
    <row r="107" spans="1:18" ht="14.25" customHeight="1" x14ac:dyDescent="0.3">
      <c r="A107" s="109" t="str">
        <f>PRICELIST!I231</f>
        <v>WSTK-LNR-SH-MB-900-F</v>
      </c>
      <c r="B107" s="87"/>
      <c r="C107" s="87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7"/>
    </row>
    <row r="108" spans="1:18" ht="14.25" customHeight="1" x14ac:dyDescent="0.15">
      <c r="A108" s="19" t="s">
        <v>57</v>
      </c>
      <c r="B108" s="19" t="s">
        <v>59</v>
      </c>
      <c r="C108" s="19" t="s">
        <v>62</v>
      </c>
      <c r="D108" s="19" t="s">
        <v>64</v>
      </c>
      <c r="E108" s="19">
        <v>1200</v>
      </c>
      <c r="F108" s="19">
        <v>900</v>
      </c>
      <c r="G108" s="19">
        <v>600</v>
      </c>
      <c r="H108" s="19" t="s">
        <v>67</v>
      </c>
      <c r="I108" s="19" t="s">
        <v>68</v>
      </c>
      <c r="J108" s="19" t="s">
        <v>69</v>
      </c>
      <c r="K108" s="19" t="s">
        <v>71</v>
      </c>
      <c r="L108" s="19" t="s">
        <v>72</v>
      </c>
      <c r="M108" s="19" t="s">
        <v>73</v>
      </c>
      <c r="N108" s="19" t="s">
        <v>75</v>
      </c>
      <c r="O108" s="19" t="s">
        <v>76</v>
      </c>
      <c r="P108" s="19" t="s">
        <v>78</v>
      </c>
      <c r="Q108" s="19" t="s">
        <v>79</v>
      </c>
      <c r="R108" s="19" t="s">
        <v>81</v>
      </c>
    </row>
    <row r="109" spans="1:18" ht="14.25" customHeight="1" x14ac:dyDescent="0.15">
      <c r="A109" s="21">
        <f t="shared" ref="A109:H109" si="73">A102</f>
        <v>0</v>
      </c>
      <c r="B109" s="21">
        <f t="shared" si="73"/>
        <v>0</v>
      </c>
      <c r="C109" s="21">
        <f t="shared" si="73"/>
        <v>0</v>
      </c>
      <c r="D109" s="21">
        <f t="shared" si="73"/>
        <v>0</v>
      </c>
      <c r="E109" s="23" t="str">
        <f t="shared" si="73"/>
        <v>4200</v>
      </c>
      <c r="F109" s="23" t="str">
        <f t="shared" si="73"/>
        <v>4000</v>
      </c>
      <c r="G109" s="23" t="str">
        <f t="shared" si="73"/>
        <v>3800</v>
      </c>
      <c r="H109" s="23">
        <f t="shared" si="73"/>
        <v>380</v>
      </c>
      <c r="I109" s="23" t="str">
        <f>I88</f>
        <v>4800</v>
      </c>
      <c r="J109" s="23" t="str">
        <f t="shared" ref="J109:Q109" si="74">J102</f>
        <v>1000</v>
      </c>
      <c r="K109" s="23">
        <f t="shared" si="74"/>
        <v>375</v>
      </c>
      <c r="L109" s="23">
        <f t="shared" si="74"/>
        <v>585</v>
      </c>
      <c r="M109" s="23" t="str">
        <f t="shared" si="74"/>
        <v>1000</v>
      </c>
      <c r="N109" s="23">
        <f t="shared" si="74"/>
        <v>3300</v>
      </c>
      <c r="O109" s="23">
        <f t="shared" si="74"/>
        <v>0</v>
      </c>
      <c r="P109" s="23">
        <f t="shared" si="74"/>
        <v>0</v>
      </c>
      <c r="Q109" s="23">
        <f t="shared" si="74"/>
        <v>2</v>
      </c>
      <c r="R109" s="21"/>
    </row>
    <row r="110" spans="1:18" ht="14.25" customHeight="1" x14ac:dyDescent="0.15">
      <c r="A110" s="19">
        <v>6</v>
      </c>
      <c r="B110" s="19">
        <f>0.9*3</f>
        <v>2.7</v>
      </c>
      <c r="C110" s="19">
        <v>1.2</v>
      </c>
      <c r="D110" s="19">
        <f>B110*C110</f>
        <v>3.24</v>
      </c>
      <c r="E110" s="19"/>
      <c r="F110" s="19"/>
      <c r="G110" s="19"/>
      <c r="H110" s="19"/>
      <c r="I110" s="19">
        <f>B110*0.4</f>
        <v>1.08</v>
      </c>
      <c r="J110" s="19">
        <v>2</v>
      </c>
      <c r="K110" s="19">
        <f t="shared" ref="K110:L110" si="75">A110</f>
        <v>6</v>
      </c>
      <c r="L110" s="19">
        <f t="shared" si="75"/>
        <v>2.7</v>
      </c>
      <c r="M110" s="19">
        <f>A110</f>
        <v>6</v>
      </c>
      <c r="N110" s="19">
        <f>(1.2*0.4)*2</f>
        <v>0.96</v>
      </c>
      <c r="O110" s="19"/>
      <c r="P110" s="19"/>
      <c r="Q110" s="19"/>
      <c r="R110" s="19"/>
    </row>
    <row r="111" spans="1:18" ht="14.25" customHeight="1" x14ac:dyDescent="0.15">
      <c r="A111" s="19"/>
      <c r="B111" s="19"/>
      <c r="C111" s="19"/>
      <c r="D111" s="26" t="str">
        <f>'MASTER DATA'!C10</f>
        <v>16250</v>
      </c>
      <c r="E111" s="19">
        <v>2</v>
      </c>
      <c r="F111" s="19">
        <v>0</v>
      </c>
      <c r="G111" s="19">
        <v>0</v>
      </c>
      <c r="H111" s="19">
        <f>B110*2</f>
        <v>5.4</v>
      </c>
      <c r="I111" s="19"/>
      <c r="J111" s="19"/>
      <c r="K111" s="19"/>
      <c r="L111" s="19"/>
      <c r="M111" s="19"/>
      <c r="N111" s="28"/>
      <c r="O111" s="19"/>
      <c r="P111" s="19"/>
      <c r="Q111" s="19"/>
      <c r="R111" s="19"/>
    </row>
    <row r="112" spans="1:18" ht="14.25" customHeight="1" x14ac:dyDescent="0.15">
      <c r="A112" s="19"/>
      <c r="B112" s="19"/>
      <c r="C112" s="19"/>
      <c r="D112" s="19">
        <f>D110*D111</f>
        <v>52650</v>
      </c>
      <c r="E112" s="19">
        <f>E111*E109</f>
        <v>8400</v>
      </c>
      <c r="F112" s="19">
        <f t="shared" ref="F112:H112" si="76">F109*F111</f>
        <v>0</v>
      </c>
      <c r="G112" s="19">
        <f t="shared" si="76"/>
        <v>0</v>
      </c>
      <c r="H112" s="19">
        <f t="shared" si="76"/>
        <v>2052</v>
      </c>
      <c r="I112" s="19">
        <f t="shared" ref="I112:N112" si="77">I109*I110</f>
        <v>5184</v>
      </c>
      <c r="J112" s="19">
        <f t="shared" si="77"/>
        <v>2000</v>
      </c>
      <c r="K112" s="19">
        <f t="shared" si="77"/>
        <v>2250</v>
      </c>
      <c r="L112" s="19">
        <f t="shared" si="77"/>
        <v>1579.5</v>
      </c>
      <c r="M112" s="19">
        <f t="shared" si="77"/>
        <v>6000</v>
      </c>
      <c r="N112" s="19">
        <f t="shared" si="77"/>
        <v>3168</v>
      </c>
      <c r="O112" s="19">
        <f>SUM(D112:N112)</f>
        <v>83283.5</v>
      </c>
      <c r="P112" s="19">
        <f>O112/A110</f>
        <v>13880.583333333334</v>
      </c>
      <c r="Q112" s="19">
        <f>P112*Q109</f>
        <v>27761.166666666668</v>
      </c>
      <c r="R112" s="19">
        <f>MROUND(Q112,100)</f>
        <v>27800</v>
      </c>
    </row>
    <row r="113" spans="1:18" ht="14.25" customHeight="1" x14ac:dyDescent="0.1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</row>
    <row r="114" spans="1:18" ht="14.25" customHeight="1" x14ac:dyDescent="0.3">
      <c r="A114" s="109" t="str">
        <f>PRICELIST!I232</f>
        <v>WSTK-LNR-SH-MB-900-G</v>
      </c>
      <c r="B114" s="87"/>
      <c r="C114" s="87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7"/>
    </row>
    <row r="115" spans="1:18" ht="14.25" customHeight="1" x14ac:dyDescent="0.15">
      <c r="A115" s="19" t="s">
        <v>57</v>
      </c>
      <c r="B115" s="19" t="s">
        <v>59</v>
      </c>
      <c r="C115" s="19" t="s">
        <v>62</v>
      </c>
      <c r="D115" s="19" t="s">
        <v>64</v>
      </c>
      <c r="E115" s="19">
        <v>1200</v>
      </c>
      <c r="F115" s="19">
        <v>900</v>
      </c>
      <c r="G115" s="19">
        <v>600</v>
      </c>
      <c r="H115" s="19" t="s">
        <v>67</v>
      </c>
      <c r="I115" s="19" t="s">
        <v>68</v>
      </c>
      <c r="J115" s="19" t="s">
        <v>69</v>
      </c>
      <c r="K115" s="19" t="s">
        <v>71</v>
      </c>
      <c r="L115" s="19" t="s">
        <v>72</v>
      </c>
      <c r="M115" s="19" t="s">
        <v>73</v>
      </c>
      <c r="N115" s="19" t="s">
        <v>75</v>
      </c>
      <c r="O115" s="19" t="s">
        <v>76</v>
      </c>
      <c r="P115" s="19" t="s">
        <v>78</v>
      </c>
      <c r="Q115" s="19" t="s">
        <v>79</v>
      </c>
      <c r="R115" s="19" t="s">
        <v>81</v>
      </c>
    </row>
    <row r="116" spans="1:18" ht="14.25" customHeight="1" x14ac:dyDescent="0.15">
      <c r="A116" s="21">
        <f t="shared" ref="A116:H116" si="78">A109</f>
        <v>0</v>
      </c>
      <c r="B116" s="21">
        <f t="shared" si="78"/>
        <v>0</v>
      </c>
      <c r="C116" s="21">
        <f t="shared" si="78"/>
        <v>0</v>
      </c>
      <c r="D116" s="21">
        <f t="shared" si="78"/>
        <v>0</v>
      </c>
      <c r="E116" s="23" t="str">
        <f t="shared" si="78"/>
        <v>4200</v>
      </c>
      <c r="F116" s="23" t="str">
        <f t="shared" si="78"/>
        <v>4000</v>
      </c>
      <c r="G116" s="23" t="str">
        <f t="shared" si="78"/>
        <v>3800</v>
      </c>
      <c r="H116" s="23">
        <f t="shared" si="78"/>
        <v>380</v>
      </c>
      <c r="I116" s="23" t="str">
        <f>I95</f>
        <v>5500</v>
      </c>
      <c r="J116" s="23" t="str">
        <f t="shared" ref="J116:Q116" si="79">J109</f>
        <v>1000</v>
      </c>
      <c r="K116" s="23">
        <f t="shared" si="79"/>
        <v>375</v>
      </c>
      <c r="L116" s="23">
        <f t="shared" si="79"/>
        <v>585</v>
      </c>
      <c r="M116" s="23" t="str">
        <f t="shared" si="79"/>
        <v>1000</v>
      </c>
      <c r="N116" s="23">
        <f t="shared" si="79"/>
        <v>3300</v>
      </c>
      <c r="O116" s="23">
        <f t="shared" si="79"/>
        <v>0</v>
      </c>
      <c r="P116" s="23">
        <f t="shared" si="79"/>
        <v>0</v>
      </c>
      <c r="Q116" s="23">
        <f t="shared" si="79"/>
        <v>2</v>
      </c>
      <c r="R116" s="21"/>
    </row>
    <row r="117" spans="1:18" ht="14.25" customHeight="1" x14ac:dyDescent="0.15">
      <c r="A117" s="19">
        <v>6</v>
      </c>
      <c r="B117" s="19">
        <f>0.9*3</f>
        <v>2.7</v>
      </c>
      <c r="C117" s="19">
        <v>1.2</v>
      </c>
      <c r="D117" s="19">
        <f>B117*C117</f>
        <v>3.24</v>
      </c>
      <c r="E117" s="19"/>
      <c r="F117" s="19"/>
      <c r="G117" s="19"/>
      <c r="H117" s="19"/>
      <c r="I117" s="19">
        <f>B117*0.4</f>
        <v>1.08</v>
      </c>
      <c r="J117" s="19">
        <v>2</v>
      </c>
      <c r="K117" s="19">
        <f t="shared" ref="K117:L117" si="80">A117</f>
        <v>6</v>
      </c>
      <c r="L117" s="19">
        <f t="shared" si="80"/>
        <v>2.7</v>
      </c>
      <c r="M117" s="19">
        <f>A117</f>
        <v>6</v>
      </c>
      <c r="N117" s="19">
        <f>(1.2*0.4)*2</f>
        <v>0.96</v>
      </c>
      <c r="O117" s="19"/>
      <c r="P117" s="19"/>
      <c r="Q117" s="19"/>
      <c r="R117" s="19"/>
    </row>
    <row r="118" spans="1:18" ht="14.25" customHeight="1" x14ac:dyDescent="0.15">
      <c r="A118" s="19"/>
      <c r="B118" s="19"/>
      <c r="C118" s="19"/>
      <c r="D118" s="26" t="str">
        <f>D111</f>
        <v>16250</v>
      </c>
      <c r="E118" s="19">
        <v>2</v>
      </c>
      <c r="F118" s="19">
        <v>0</v>
      </c>
      <c r="G118" s="19">
        <v>0</v>
      </c>
      <c r="H118" s="19">
        <f>B117*2</f>
        <v>5.4</v>
      </c>
      <c r="I118" s="19"/>
      <c r="J118" s="19"/>
      <c r="K118" s="19"/>
      <c r="L118" s="19"/>
      <c r="M118" s="19"/>
      <c r="N118" s="28"/>
      <c r="O118" s="19"/>
      <c r="P118" s="19"/>
      <c r="Q118" s="19"/>
      <c r="R118" s="19"/>
    </row>
    <row r="119" spans="1:18" ht="14.25" customHeight="1" x14ac:dyDescent="0.15">
      <c r="A119" s="19"/>
      <c r="B119" s="19"/>
      <c r="C119" s="19"/>
      <c r="D119" s="19">
        <f>D117*D118</f>
        <v>52650</v>
      </c>
      <c r="E119" s="19">
        <f>E118*E116</f>
        <v>8400</v>
      </c>
      <c r="F119" s="19">
        <f t="shared" ref="F119:H119" si="81">F116*F118</f>
        <v>0</v>
      </c>
      <c r="G119" s="19">
        <f t="shared" si="81"/>
        <v>0</v>
      </c>
      <c r="H119" s="19">
        <f t="shared" si="81"/>
        <v>2052</v>
      </c>
      <c r="I119" s="19">
        <f t="shared" ref="I119:N119" si="82">I116*I117</f>
        <v>5940</v>
      </c>
      <c r="J119" s="19">
        <f t="shared" si="82"/>
        <v>2000</v>
      </c>
      <c r="K119" s="19">
        <f t="shared" si="82"/>
        <v>2250</v>
      </c>
      <c r="L119" s="19">
        <f t="shared" si="82"/>
        <v>1579.5</v>
      </c>
      <c r="M119" s="19">
        <f t="shared" si="82"/>
        <v>6000</v>
      </c>
      <c r="N119" s="19">
        <f t="shared" si="82"/>
        <v>3168</v>
      </c>
      <c r="O119" s="19">
        <f>SUM(D119:N119)</f>
        <v>84039.5</v>
      </c>
      <c r="P119" s="19">
        <f>O119/A117</f>
        <v>14006.583333333334</v>
      </c>
      <c r="Q119" s="19">
        <f>P119*Q116</f>
        <v>28013.166666666668</v>
      </c>
      <c r="R119" s="19">
        <f>MROUND(Q119,100)</f>
        <v>28000</v>
      </c>
    </row>
    <row r="120" spans="1:18" ht="14.25" customHeight="1" x14ac:dyDescent="0.1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</row>
    <row r="121" spans="1:18" ht="14.25" customHeight="1" x14ac:dyDescent="0.3">
      <c r="A121" s="109" t="str">
        <f>PRICELIST!I233</f>
        <v>WSTK-LNR-SH-MB-900-X</v>
      </c>
      <c r="B121" s="87"/>
      <c r="C121" s="87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7"/>
    </row>
    <row r="122" spans="1:18" ht="14.25" customHeight="1" x14ac:dyDescent="0.15">
      <c r="A122" s="19" t="s">
        <v>57</v>
      </c>
      <c r="B122" s="19" t="s">
        <v>59</v>
      </c>
      <c r="C122" s="19" t="s">
        <v>62</v>
      </c>
      <c r="D122" s="19" t="s">
        <v>64</v>
      </c>
      <c r="E122" s="19">
        <v>1200</v>
      </c>
      <c r="F122" s="19">
        <v>900</v>
      </c>
      <c r="G122" s="19">
        <v>600</v>
      </c>
      <c r="H122" s="19" t="s">
        <v>67</v>
      </c>
      <c r="I122" s="19" t="s">
        <v>68</v>
      </c>
      <c r="J122" s="19" t="s">
        <v>69</v>
      </c>
      <c r="K122" s="19" t="s">
        <v>71</v>
      </c>
      <c r="L122" s="19" t="s">
        <v>72</v>
      </c>
      <c r="M122" s="19" t="s">
        <v>73</v>
      </c>
      <c r="N122" s="19" t="s">
        <v>75</v>
      </c>
      <c r="O122" s="19" t="s">
        <v>76</v>
      </c>
      <c r="P122" s="19" t="s">
        <v>78</v>
      </c>
      <c r="Q122" s="19" t="s">
        <v>79</v>
      </c>
      <c r="R122" s="19" t="s">
        <v>81</v>
      </c>
    </row>
    <row r="123" spans="1:18" ht="14.25" customHeight="1" x14ac:dyDescent="0.15">
      <c r="A123" s="21">
        <f t="shared" ref="A123:H123" si="83">A116</f>
        <v>0</v>
      </c>
      <c r="B123" s="21">
        <f t="shared" si="83"/>
        <v>0</v>
      </c>
      <c r="C123" s="21">
        <f t="shared" si="83"/>
        <v>0</v>
      </c>
      <c r="D123" s="21">
        <f t="shared" si="83"/>
        <v>0</v>
      </c>
      <c r="E123" s="23" t="str">
        <f t="shared" si="83"/>
        <v>4200</v>
      </c>
      <c r="F123" s="23" t="str">
        <f t="shared" si="83"/>
        <v>4000</v>
      </c>
      <c r="G123" s="23" t="str">
        <f t="shared" si="83"/>
        <v>3800</v>
      </c>
      <c r="H123" s="23">
        <f t="shared" si="83"/>
        <v>380</v>
      </c>
      <c r="I123" s="23" t="str">
        <f>I102</f>
        <v>0</v>
      </c>
      <c r="J123" s="23" t="str">
        <f t="shared" ref="J123:Q123" si="84">J116</f>
        <v>1000</v>
      </c>
      <c r="K123" s="23">
        <f t="shared" si="84"/>
        <v>375</v>
      </c>
      <c r="L123" s="23">
        <f t="shared" si="84"/>
        <v>585</v>
      </c>
      <c r="M123" s="23" t="str">
        <f t="shared" si="84"/>
        <v>1000</v>
      </c>
      <c r="N123" s="23">
        <f t="shared" si="84"/>
        <v>3300</v>
      </c>
      <c r="O123" s="23">
        <f t="shared" si="84"/>
        <v>0</v>
      </c>
      <c r="P123" s="23">
        <f t="shared" si="84"/>
        <v>0</v>
      </c>
      <c r="Q123" s="23">
        <f t="shared" si="84"/>
        <v>2</v>
      </c>
      <c r="R123" s="21"/>
    </row>
    <row r="124" spans="1:18" ht="14.25" customHeight="1" x14ac:dyDescent="0.15">
      <c r="A124" s="19">
        <v>6</v>
      </c>
      <c r="B124" s="19">
        <f>0.9*3</f>
        <v>2.7</v>
      </c>
      <c r="C124" s="19">
        <v>1.2</v>
      </c>
      <c r="D124" s="19">
        <f>B124*C124</f>
        <v>3.24</v>
      </c>
      <c r="E124" s="19"/>
      <c r="F124" s="19"/>
      <c r="G124" s="19"/>
      <c r="H124" s="19"/>
      <c r="I124" s="19">
        <f>B124*0.4</f>
        <v>1.08</v>
      </c>
      <c r="J124" s="19">
        <v>2</v>
      </c>
      <c r="K124" s="19">
        <f t="shared" ref="K124:L124" si="85">A124</f>
        <v>6</v>
      </c>
      <c r="L124" s="19">
        <f t="shared" si="85"/>
        <v>2.7</v>
      </c>
      <c r="M124" s="19">
        <f>A124</f>
        <v>6</v>
      </c>
      <c r="N124" s="19">
        <f>(1.2*0.4)*2</f>
        <v>0.96</v>
      </c>
      <c r="O124" s="19"/>
      <c r="P124" s="19"/>
      <c r="Q124" s="19"/>
      <c r="R124" s="19"/>
    </row>
    <row r="125" spans="1:18" ht="14.25" customHeight="1" x14ac:dyDescent="0.15">
      <c r="A125" s="19"/>
      <c r="B125" s="19"/>
      <c r="C125" s="19"/>
      <c r="D125" s="26" t="str">
        <f>D118</f>
        <v>16250</v>
      </c>
      <c r="E125" s="19">
        <v>2</v>
      </c>
      <c r="F125" s="19">
        <v>0</v>
      </c>
      <c r="G125" s="19">
        <v>0</v>
      </c>
      <c r="H125" s="19">
        <f>B124*2</f>
        <v>5.4</v>
      </c>
      <c r="I125" s="19"/>
      <c r="J125" s="19"/>
      <c r="K125" s="19"/>
      <c r="L125" s="19"/>
      <c r="M125" s="19"/>
      <c r="N125" s="28"/>
      <c r="O125" s="19"/>
      <c r="P125" s="19"/>
      <c r="Q125" s="19"/>
      <c r="R125" s="19"/>
    </row>
    <row r="126" spans="1:18" ht="14.25" customHeight="1" x14ac:dyDescent="0.15">
      <c r="A126" s="19"/>
      <c r="B126" s="19"/>
      <c r="C126" s="19"/>
      <c r="D126" s="19">
        <f>D124*D125</f>
        <v>52650</v>
      </c>
      <c r="E126" s="19">
        <f>E125*E123</f>
        <v>8400</v>
      </c>
      <c r="F126" s="19">
        <f t="shared" ref="F126:H126" si="86">F123*F125</f>
        <v>0</v>
      </c>
      <c r="G126" s="19">
        <f t="shared" si="86"/>
        <v>0</v>
      </c>
      <c r="H126" s="19">
        <f t="shared" si="86"/>
        <v>2052</v>
      </c>
      <c r="I126" s="19">
        <f t="shared" ref="I126:N126" si="87">I123*I124</f>
        <v>0</v>
      </c>
      <c r="J126" s="19">
        <f t="shared" si="87"/>
        <v>2000</v>
      </c>
      <c r="K126" s="19">
        <f t="shared" si="87"/>
        <v>2250</v>
      </c>
      <c r="L126" s="19">
        <f t="shared" si="87"/>
        <v>1579.5</v>
      </c>
      <c r="M126" s="19">
        <f t="shared" si="87"/>
        <v>6000</v>
      </c>
      <c r="N126" s="19">
        <f t="shared" si="87"/>
        <v>3168</v>
      </c>
      <c r="O126" s="19">
        <f>SUM(D126:N126)</f>
        <v>78099.5</v>
      </c>
      <c r="P126" s="19">
        <f>O126/A124</f>
        <v>13016.583333333334</v>
      </c>
      <c r="Q126" s="19">
        <f>P126*Q123</f>
        <v>26033.166666666668</v>
      </c>
      <c r="R126" s="19">
        <f>MROUND(Q126,100)</f>
        <v>26000</v>
      </c>
    </row>
    <row r="127" spans="1:18" ht="14.25" customHeight="1" x14ac:dyDescent="0.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</row>
    <row r="128" spans="1:18" ht="14.25" customHeight="1" x14ac:dyDescent="0.3">
      <c r="A128" s="109" t="str">
        <f>PRICELIST!I234</f>
        <v>WSTK-LNR-SH-PB-1200-F</v>
      </c>
      <c r="B128" s="87"/>
      <c r="C128" s="87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7"/>
    </row>
    <row r="129" spans="1:18" ht="14.25" customHeight="1" x14ac:dyDescent="0.15">
      <c r="A129" s="19" t="s">
        <v>57</v>
      </c>
      <c r="B129" s="19" t="s">
        <v>59</v>
      </c>
      <c r="C129" s="19" t="s">
        <v>62</v>
      </c>
      <c r="D129" s="19" t="s">
        <v>64</v>
      </c>
      <c r="E129" s="19">
        <v>1200</v>
      </c>
      <c r="F129" s="19">
        <v>900</v>
      </c>
      <c r="G129" s="19">
        <v>600</v>
      </c>
      <c r="H129" s="19" t="s">
        <v>67</v>
      </c>
      <c r="I129" s="19" t="s">
        <v>68</v>
      </c>
      <c r="J129" s="19" t="s">
        <v>69</v>
      </c>
      <c r="K129" s="19" t="s">
        <v>71</v>
      </c>
      <c r="L129" s="19" t="s">
        <v>72</v>
      </c>
      <c r="M129" s="19" t="s">
        <v>73</v>
      </c>
      <c r="N129" s="19" t="s">
        <v>75</v>
      </c>
      <c r="O129" s="19" t="s">
        <v>76</v>
      </c>
      <c r="P129" s="19" t="s">
        <v>78</v>
      </c>
      <c r="Q129" s="19" t="s">
        <v>79</v>
      </c>
      <c r="R129" s="19" t="s">
        <v>81</v>
      </c>
    </row>
    <row r="130" spans="1:18" ht="14.25" customHeight="1" x14ac:dyDescent="0.15">
      <c r="A130" s="21"/>
      <c r="B130" s="21"/>
      <c r="C130" s="21"/>
      <c r="D130" s="21"/>
      <c r="E130" s="23" t="str">
        <f t="shared" ref="E130:G130" si="88">E123</f>
        <v>4200</v>
      </c>
      <c r="F130" s="23" t="str">
        <f t="shared" si="88"/>
        <v>4000</v>
      </c>
      <c r="G130" s="23" t="str">
        <f t="shared" si="88"/>
        <v>3800</v>
      </c>
      <c r="H130" s="21">
        <v>380</v>
      </c>
      <c r="I130" s="23" t="str">
        <f>I109</f>
        <v>4800</v>
      </c>
      <c r="J130" s="23" t="str">
        <f>J123</f>
        <v>1000</v>
      </c>
      <c r="K130" s="21">
        <v>375</v>
      </c>
      <c r="L130" s="21">
        <v>585</v>
      </c>
      <c r="M130" s="23" t="str">
        <f>M123</f>
        <v>1000</v>
      </c>
      <c r="N130" s="21">
        <v>3300</v>
      </c>
      <c r="O130" s="21"/>
      <c r="P130" s="21"/>
      <c r="Q130" s="23">
        <f>Q123</f>
        <v>2</v>
      </c>
      <c r="R130" s="21"/>
    </row>
    <row r="131" spans="1:18" ht="14.25" customHeight="1" x14ac:dyDescent="0.15">
      <c r="A131" s="19">
        <v>6</v>
      </c>
      <c r="B131" s="19">
        <f>1.2*3</f>
        <v>3.5999999999999996</v>
      </c>
      <c r="C131" s="19">
        <v>1.2</v>
      </c>
      <c r="D131" s="19">
        <f>B131*C131</f>
        <v>4.3199999999999994</v>
      </c>
      <c r="E131" s="19"/>
      <c r="F131" s="19"/>
      <c r="G131" s="19"/>
      <c r="H131" s="19"/>
      <c r="I131" s="19">
        <f>B131*0.4</f>
        <v>1.44</v>
      </c>
      <c r="J131" s="19">
        <v>2</v>
      </c>
      <c r="K131" s="19">
        <f t="shared" ref="K131:L131" si="89">A131</f>
        <v>6</v>
      </c>
      <c r="L131" s="19">
        <f t="shared" si="89"/>
        <v>3.5999999999999996</v>
      </c>
      <c r="M131" s="19">
        <f>A131</f>
        <v>6</v>
      </c>
      <c r="N131" s="19">
        <f>(1.2*0.4)*2</f>
        <v>0.96</v>
      </c>
      <c r="O131" s="19"/>
      <c r="P131" s="19"/>
      <c r="Q131" s="19"/>
      <c r="R131" s="19"/>
    </row>
    <row r="132" spans="1:18" ht="14.25" customHeight="1" x14ac:dyDescent="0.15">
      <c r="A132" s="19"/>
      <c r="B132" s="19"/>
      <c r="C132" s="19"/>
      <c r="D132" s="26" t="str">
        <f>D6</f>
        <v>2200</v>
      </c>
      <c r="E132" s="19">
        <v>2</v>
      </c>
      <c r="F132" s="19">
        <v>0</v>
      </c>
      <c r="G132" s="19">
        <v>0</v>
      </c>
      <c r="H132" s="19">
        <f>B131*2</f>
        <v>7.1999999999999993</v>
      </c>
      <c r="I132" s="19"/>
      <c r="J132" s="19"/>
      <c r="K132" s="19"/>
      <c r="L132" s="19"/>
      <c r="M132" s="19"/>
      <c r="N132" s="28"/>
      <c r="O132" s="19"/>
      <c r="P132" s="19"/>
      <c r="Q132" s="19"/>
      <c r="R132" s="19"/>
    </row>
    <row r="133" spans="1:18" ht="14.25" customHeight="1" x14ac:dyDescent="0.15">
      <c r="A133" s="19"/>
      <c r="B133" s="19"/>
      <c r="C133" s="19"/>
      <c r="D133" s="19">
        <f>D131*D132</f>
        <v>9503.9999999999982</v>
      </c>
      <c r="E133" s="19">
        <f>E132*E130</f>
        <v>8400</v>
      </c>
      <c r="F133" s="19">
        <f t="shared" ref="F133:H133" si="90">F130*F132</f>
        <v>0</v>
      </c>
      <c r="G133" s="19">
        <f t="shared" si="90"/>
        <v>0</v>
      </c>
      <c r="H133" s="19">
        <f t="shared" si="90"/>
        <v>2735.9999999999995</v>
      </c>
      <c r="I133" s="19">
        <f t="shared" ref="I133:N133" si="91">I130*I131</f>
        <v>6912</v>
      </c>
      <c r="J133" s="19">
        <f t="shared" si="91"/>
        <v>2000</v>
      </c>
      <c r="K133" s="19">
        <f t="shared" si="91"/>
        <v>2250</v>
      </c>
      <c r="L133" s="19">
        <f t="shared" si="91"/>
        <v>2106</v>
      </c>
      <c r="M133" s="19">
        <f t="shared" si="91"/>
        <v>6000</v>
      </c>
      <c r="N133" s="19">
        <f t="shared" si="91"/>
        <v>3168</v>
      </c>
      <c r="O133" s="19">
        <f>SUM(D133:N133)</f>
        <v>43076</v>
      </c>
      <c r="P133" s="19">
        <f>O133/A131</f>
        <v>7179.333333333333</v>
      </c>
      <c r="Q133" s="19">
        <f>P133*Q130</f>
        <v>14358.666666666666</v>
      </c>
      <c r="R133" s="19">
        <f>MROUND(Q133,100)</f>
        <v>14400</v>
      </c>
    </row>
    <row r="134" spans="1:18" ht="14.25" customHeight="1" x14ac:dyDescent="0.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</row>
    <row r="135" spans="1:18" ht="14.25" customHeight="1" x14ac:dyDescent="0.3">
      <c r="A135" s="109" t="str">
        <f>PRICELIST!I235</f>
        <v>WSTK-LNR-SH-PB-1200-G</v>
      </c>
      <c r="B135" s="87"/>
      <c r="C135" s="87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7"/>
    </row>
    <row r="136" spans="1:18" ht="14.25" customHeight="1" x14ac:dyDescent="0.15">
      <c r="A136" s="19" t="s">
        <v>57</v>
      </c>
      <c r="B136" s="19" t="s">
        <v>59</v>
      </c>
      <c r="C136" s="19" t="s">
        <v>62</v>
      </c>
      <c r="D136" s="19" t="s">
        <v>64</v>
      </c>
      <c r="E136" s="19">
        <v>1200</v>
      </c>
      <c r="F136" s="19">
        <v>900</v>
      </c>
      <c r="G136" s="19">
        <v>600</v>
      </c>
      <c r="H136" s="19" t="s">
        <v>67</v>
      </c>
      <c r="I136" s="19" t="s">
        <v>68</v>
      </c>
      <c r="J136" s="19" t="s">
        <v>69</v>
      </c>
      <c r="K136" s="19" t="s">
        <v>71</v>
      </c>
      <c r="L136" s="19" t="s">
        <v>72</v>
      </c>
      <c r="M136" s="19" t="s">
        <v>73</v>
      </c>
      <c r="N136" s="19" t="s">
        <v>75</v>
      </c>
      <c r="O136" s="19" t="s">
        <v>76</v>
      </c>
      <c r="P136" s="19" t="s">
        <v>78</v>
      </c>
      <c r="Q136" s="19" t="s">
        <v>79</v>
      </c>
      <c r="R136" s="19" t="s">
        <v>81</v>
      </c>
    </row>
    <row r="137" spans="1:18" ht="14.25" customHeight="1" x14ac:dyDescent="0.15">
      <c r="A137" s="21"/>
      <c r="B137" s="21"/>
      <c r="C137" s="21"/>
      <c r="D137" s="21"/>
      <c r="E137" s="23" t="str">
        <f t="shared" ref="E137:H137" si="92">E130</f>
        <v>4200</v>
      </c>
      <c r="F137" s="23" t="str">
        <f t="shared" si="92"/>
        <v>4000</v>
      </c>
      <c r="G137" s="23" t="str">
        <f t="shared" si="92"/>
        <v>3800</v>
      </c>
      <c r="H137" s="23">
        <f t="shared" si="92"/>
        <v>380</v>
      </c>
      <c r="I137" s="23" t="str">
        <f>I116</f>
        <v>5500</v>
      </c>
      <c r="J137" s="23" t="str">
        <f t="shared" ref="J137:R137" si="93">J130</f>
        <v>1000</v>
      </c>
      <c r="K137" s="23">
        <f t="shared" si="93"/>
        <v>375</v>
      </c>
      <c r="L137" s="23">
        <f t="shared" si="93"/>
        <v>585</v>
      </c>
      <c r="M137" s="23" t="str">
        <f t="shared" si="93"/>
        <v>1000</v>
      </c>
      <c r="N137" s="23">
        <f t="shared" si="93"/>
        <v>3300</v>
      </c>
      <c r="O137" s="23">
        <f t="shared" si="93"/>
        <v>0</v>
      </c>
      <c r="P137" s="23">
        <f t="shared" si="93"/>
        <v>0</v>
      </c>
      <c r="Q137" s="23">
        <f t="shared" si="93"/>
        <v>2</v>
      </c>
      <c r="R137" s="23">
        <f t="shared" si="93"/>
        <v>0</v>
      </c>
    </row>
    <row r="138" spans="1:18" ht="14.25" customHeight="1" x14ac:dyDescent="0.15">
      <c r="A138" s="19">
        <v>6</v>
      </c>
      <c r="B138" s="19">
        <f>1.2*3</f>
        <v>3.5999999999999996</v>
      </c>
      <c r="C138" s="19">
        <v>1.2</v>
      </c>
      <c r="D138" s="19">
        <f>B138*C138</f>
        <v>4.3199999999999994</v>
      </c>
      <c r="E138" s="19"/>
      <c r="F138" s="19"/>
      <c r="G138" s="19"/>
      <c r="H138" s="19"/>
      <c r="I138" s="19">
        <f>B138*0.4</f>
        <v>1.44</v>
      </c>
      <c r="J138" s="19">
        <v>2</v>
      </c>
      <c r="K138" s="19">
        <f t="shared" ref="K138:L138" si="94">A138</f>
        <v>6</v>
      </c>
      <c r="L138" s="19">
        <f t="shared" si="94"/>
        <v>3.5999999999999996</v>
      </c>
      <c r="M138" s="19">
        <f>A138</f>
        <v>6</v>
      </c>
      <c r="N138" s="19">
        <f>(1.2*0.4)*2</f>
        <v>0.96</v>
      </c>
      <c r="O138" s="19"/>
      <c r="P138" s="19"/>
      <c r="Q138" s="19"/>
      <c r="R138" s="19"/>
    </row>
    <row r="139" spans="1:18" ht="14.25" customHeight="1" x14ac:dyDescent="0.15">
      <c r="A139" s="19"/>
      <c r="B139" s="19"/>
      <c r="C139" s="19"/>
      <c r="D139" s="26" t="str">
        <f>D132</f>
        <v>2200</v>
      </c>
      <c r="E139" s="19">
        <v>2</v>
      </c>
      <c r="F139" s="19">
        <v>0</v>
      </c>
      <c r="G139" s="19">
        <v>0</v>
      </c>
      <c r="H139" s="19">
        <f>B138*2</f>
        <v>7.1999999999999993</v>
      </c>
      <c r="I139" s="19"/>
      <c r="J139" s="19"/>
      <c r="K139" s="19"/>
      <c r="L139" s="19"/>
      <c r="M139" s="19"/>
      <c r="N139" s="28"/>
      <c r="O139" s="19"/>
      <c r="P139" s="19"/>
      <c r="Q139" s="19"/>
      <c r="R139" s="19"/>
    </row>
    <row r="140" spans="1:18" ht="14.25" customHeight="1" x14ac:dyDescent="0.15">
      <c r="A140" s="19"/>
      <c r="B140" s="19"/>
      <c r="C140" s="19"/>
      <c r="D140" s="19">
        <f>D138*D139</f>
        <v>9503.9999999999982</v>
      </c>
      <c r="E140" s="19">
        <f>E139*E137</f>
        <v>8400</v>
      </c>
      <c r="F140" s="19">
        <f t="shared" ref="F140:H140" si="95">F137*F139</f>
        <v>0</v>
      </c>
      <c r="G140" s="19">
        <f t="shared" si="95"/>
        <v>0</v>
      </c>
      <c r="H140" s="19">
        <f t="shared" si="95"/>
        <v>2735.9999999999995</v>
      </c>
      <c r="I140" s="19">
        <f t="shared" ref="I140:N140" si="96">I137*I138</f>
        <v>7920</v>
      </c>
      <c r="J140" s="19">
        <f t="shared" si="96"/>
        <v>2000</v>
      </c>
      <c r="K140" s="19">
        <f t="shared" si="96"/>
        <v>2250</v>
      </c>
      <c r="L140" s="19">
        <f t="shared" si="96"/>
        <v>2106</v>
      </c>
      <c r="M140" s="19">
        <f t="shared" si="96"/>
        <v>6000</v>
      </c>
      <c r="N140" s="19">
        <f t="shared" si="96"/>
        <v>3168</v>
      </c>
      <c r="O140" s="19">
        <f>SUM(D140:N140)</f>
        <v>44084</v>
      </c>
      <c r="P140" s="19">
        <f>O140/A138</f>
        <v>7347.333333333333</v>
      </c>
      <c r="Q140" s="19">
        <f>P140*Q137</f>
        <v>14694.666666666666</v>
      </c>
      <c r="R140" s="19">
        <f>MROUND(Q140,100)</f>
        <v>14700</v>
      </c>
    </row>
    <row r="141" spans="1:18" ht="14.25" customHeight="1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</row>
    <row r="142" spans="1:18" ht="14.25" customHeight="1" x14ac:dyDescent="0.3">
      <c r="A142" s="109" t="str">
        <f>PRICELIST!I236</f>
        <v>WSTK-LNR-SH-PB-1200-X</v>
      </c>
      <c r="B142" s="87"/>
      <c r="C142" s="87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7"/>
    </row>
    <row r="143" spans="1:18" ht="14.25" customHeight="1" x14ac:dyDescent="0.15">
      <c r="A143" s="19" t="s">
        <v>57</v>
      </c>
      <c r="B143" s="19" t="s">
        <v>59</v>
      </c>
      <c r="C143" s="19" t="s">
        <v>62</v>
      </c>
      <c r="D143" s="19" t="s">
        <v>64</v>
      </c>
      <c r="E143" s="19">
        <v>1200</v>
      </c>
      <c r="F143" s="19">
        <v>900</v>
      </c>
      <c r="G143" s="19">
        <v>600</v>
      </c>
      <c r="H143" s="19" t="s">
        <v>67</v>
      </c>
      <c r="I143" s="19" t="s">
        <v>68</v>
      </c>
      <c r="J143" s="19" t="s">
        <v>69</v>
      </c>
      <c r="K143" s="19" t="s">
        <v>71</v>
      </c>
      <c r="L143" s="19" t="s">
        <v>72</v>
      </c>
      <c r="M143" s="19" t="s">
        <v>73</v>
      </c>
      <c r="N143" s="19" t="s">
        <v>75</v>
      </c>
      <c r="O143" s="19" t="s">
        <v>76</v>
      </c>
      <c r="P143" s="19" t="s">
        <v>78</v>
      </c>
      <c r="Q143" s="19" t="s">
        <v>79</v>
      </c>
      <c r="R143" s="19" t="s">
        <v>81</v>
      </c>
    </row>
    <row r="144" spans="1:18" ht="14.25" customHeight="1" x14ac:dyDescent="0.15">
      <c r="A144" s="21">
        <f t="shared" ref="A144:H144" si="97">A137</f>
        <v>0</v>
      </c>
      <c r="B144" s="21">
        <f t="shared" si="97"/>
        <v>0</v>
      </c>
      <c r="C144" s="21">
        <f t="shared" si="97"/>
        <v>0</v>
      </c>
      <c r="D144" s="21">
        <f t="shared" si="97"/>
        <v>0</v>
      </c>
      <c r="E144" s="23" t="str">
        <f t="shared" si="97"/>
        <v>4200</v>
      </c>
      <c r="F144" s="23" t="str">
        <f t="shared" si="97"/>
        <v>4000</v>
      </c>
      <c r="G144" s="23" t="str">
        <f t="shared" si="97"/>
        <v>3800</v>
      </c>
      <c r="H144" s="23">
        <f t="shared" si="97"/>
        <v>380</v>
      </c>
      <c r="I144" s="23" t="str">
        <f>I123</f>
        <v>0</v>
      </c>
      <c r="J144" s="23" t="str">
        <f t="shared" ref="J144:Q144" si="98">J137</f>
        <v>1000</v>
      </c>
      <c r="K144" s="23">
        <f t="shared" si="98"/>
        <v>375</v>
      </c>
      <c r="L144" s="23">
        <f t="shared" si="98"/>
        <v>585</v>
      </c>
      <c r="M144" s="23" t="str">
        <f t="shared" si="98"/>
        <v>1000</v>
      </c>
      <c r="N144" s="23">
        <f t="shared" si="98"/>
        <v>3300</v>
      </c>
      <c r="O144" s="23">
        <f t="shared" si="98"/>
        <v>0</v>
      </c>
      <c r="P144" s="23">
        <f t="shared" si="98"/>
        <v>0</v>
      </c>
      <c r="Q144" s="23">
        <f t="shared" si="98"/>
        <v>2</v>
      </c>
      <c r="R144" s="21"/>
    </row>
    <row r="145" spans="1:18" ht="14.25" customHeight="1" x14ac:dyDescent="0.15">
      <c r="A145" s="19">
        <v>6</v>
      </c>
      <c r="B145" s="19">
        <f>1.2*3</f>
        <v>3.5999999999999996</v>
      </c>
      <c r="C145" s="19">
        <v>1.2</v>
      </c>
      <c r="D145" s="19">
        <f>B145*C145</f>
        <v>4.3199999999999994</v>
      </c>
      <c r="E145" s="19"/>
      <c r="F145" s="19"/>
      <c r="G145" s="19"/>
      <c r="H145" s="19"/>
      <c r="I145" s="19">
        <f>B145*0.4</f>
        <v>1.44</v>
      </c>
      <c r="J145" s="19">
        <v>2</v>
      </c>
      <c r="K145" s="19">
        <f t="shared" ref="K145:L145" si="99">A145</f>
        <v>6</v>
      </c>
      <c r="L145" s="19">
        <f t="shared" si="99"/>
        <v>3.5999999999999996</v>
      </c>
      <c r="M145" s="19">
        <f>A145</f>
        <v>6</v>
      </c>
      <c r="N145" s="19">
        <f>(1.2*0.4)*2</f>
        <v>0.96</v>
      </c>
      <c r="O145" s="19"/>
      <c r="P145" s="19"/>
      <c r="Q145" s="19"/>
      <c r="R145" s="19"/>
    </row>
    <row r="146" spans="1:18" ht="14.25" customHeight="1" x14ac:dyDescent="0.15">
      <c r="A146" s="19"/>
      <c r="B146" s="19"/>
      <c r="C146" s="19"/>
      <c r="D146" s="26" t="str">
        <f>D139</f>
        <v>2200</v>
      </c>
      <c r="E146" s="19">
        <v>2</v>
      </c>
      <c r="F146" s="19">
        <v>0</v>
      </c>
      <c r="G146" s="19">
        <v>0</v>
      </c>
      <c r="H146" s="19">
        <f>B145*2</f>
        <v>7.1999999999999993</v>
      </c>
      <c r="I146" s="19"/>
      <c r="J146" s="19"/>
      <c r="K146" s="19"/>
      <c r="L146" s="19"/>
      <c r="M146" s="19"/>
      <c r="N146" s="28"/>
      <c r="O146" s="19"/>
      <c r="P146" s="19"/>
      <c r="Q146" s="19"/>
      <c r="R146" s="19"/>
    </row>
    <row r="147" spans="1:18" ht="14.25" customHeight="1" x14ac:dyDescent="0.15">
      <c r="A147" s="19"/>
      <c r="B147" s="19"/>
      <c r="C147" s="19"/>
      <c r="D147" s="19">
        <f>D145*D146</f>
        <v>9503.9999999999982</v>
      </c>
      <c r="E147" s="19">
        <f>E146*E144</f>
        <v>8400</v>
      </c>
      <c r="F147" s="19">
        <f t="shared" ref="F147:H147" si="100">F144*F146</f>
        <v>0</v>
      </c>
      <c r="G147" s="19">
        <f t="shared" si="100"/>
        <v>0</v>
      </c>
      <c r="H147" s="19">
        <f t="shared" si="100"/>
        <v>2735.9999999999995</v>
      </c>
      <c r="I147" s="19">
        <f t="shared" ref="I147:N147" si="101">I144*I145</f>
        <v>0</v>
      </c>
      <c r="J147" s="19">
        <f t="shared" si="101"/>
        <v>2000</v>
      </c>
      <c r="K147" s="19">
        <f t="shared" si="101"/>
        <v>2250</v>
      </c>
      <c r="L147" s="19">
        <f t="shared" si="101"/>
        <v>2106</v>
      </c>
      <c r="M147" s="19">
        <f t="shared" si="101"/>
        <v>6000</v>
      </c>
      <c r="N147" s="19">
        <f t="shared" si="101"/>
        <v>3168</v>
      </c>
      <c r="O147" s="19">
        <f>SUM(D147:N147)</f>
        <v>36164</v>
      </c>
      <c r="P147" s="19">
        <f>O147/A145</f>
        <v>6027.333333333333</v>
      </c>
      <c r="Q147" s="19">
        <f>P147*Q144</f>
        <v>12054.666666666666</v>
      </c>
      <c r="R147" s="19">
        <f>MROUND(Q147,100)</f>
        <v>12100</v>
      </c>
    </row>
    <row r="148" spans="1:18" ht="14.25" customHeight="1" x14ac:dyDescent="0.1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</row>
    <row r="149" spans="1:18" ht="14.25" customHeight="1" x14ac:dyDescent="0.3">
      <c r="A149" s="109" t="str">
        <f>PRICELIST!I237</f>
        <v>WSTK-LNR-SH-PLM-1200-F</v>
      </c>
      <c r="B149" s="87"/>
      <c r="C149" s="87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7"/>
    </row>
    <row r="150" spans="1:18" ht="14.25" customHeight="1" x14ac:dyDescent="0.15">
      <c r="A150" s="19" t="s">
        <v>57</v>
      </c>
      <c r="B150" s="19" t="s">
        <v>59</v>
      </c>
      <c r="C150" s="19" t="s">
        <v>62</v>
      </c>
      <c r="D150" s="19" t="s">
        <v>64</v>
      </c>
      <c r="E150" s="19">
        <v>1200</v>
      </c>
      <c r="F150" s="19">
        <v>900</v>
      </c>
      <c r="G150" s="19">
        <v>600</v>
      </c>
      <c r="H150" s="19" t="s">
        <v>67</v>
      </c>
      <c r="I150" s="19" t="s">
        <v>68</v>
      </c>
      <c r="J150" s="19" t="s">
        <v>69</v>
      </c>
      <c r="K150" s="19" t="s">
        <v>71</v>
      </c>
      <c r="L150" s="19" t="s">
        <v>72</v>
      </c>
      <c r="M150" s="19" t="s">
        <v>73</v>
      </c>
      <c r="N150" s="19" t="s">
        <v>75</v>
      </c>
      <c r="O150" s="19" t="s">
        <v>76</v>
      </c>
      <c r="P150" s="19" t="s">
        <v>78</v>
      </c>
      <c r="Q150" s="19" t="s">
        <v>79</v>
      </c>
      <c r="R150" s="19" t="s">
        <v>81</v>
      </c>
    </row>
    <row r="151" spans="1:18" ht="14.25" customHeight="1" x14ac:dyDescent="0.15">
      <c r="A151" s="21">
        <f t="shared" ref="A151:H151" si="102">A144</f>
        <v>0</v>
      </c>
      <c r="B151" s="21">
        <f t="shared" si="102"/>
        <v>0</v>
      </c>
      <c r="C151" s="21">
        <f t="shared" si="102"/>
        <v>0</v>
      </c>
      <c r="D151" s="21">
        <f t="shared" si="102"/>
        <v>0</v>
      </c>
      <c r="E151" s="23" t="str">
        <f t="shared" si="102"/>
        <v>4200</v>
      </c>
      <c r="F151" s="23" t="str">
        <f t="shared" si="102"/>
        <v>4000</v>
      </c>
      <c r="G151" s="23" t="str">
        <f t="shared" si="102"/>
        <v>3800</v>
      </c>
      <c r="H151" s="23">
        <f t="shared" si="102"/>
        <v>380</v>
      </c>
      <c r="I151" s="23" t="str">
        <f>I130</f>
        <v>4800</v>
      </c>
      <c r="J151" s="23" t="str">
        <f t="shared" ref="J151:Q151" si="103">J144</f>
        <v>1000</v>
      </c>
      <c r="K151" s="23">
        <f t="shared" si="103"/>
        <v>375</v>
      </c>
      <c r="L151" s="23">
        <f t="shared" si="103"/>
        <v>585</v>
      </c>
      <c r="M151" s="23" t="str">
        <f t="shared" si="103"/>
        <v>1000</v>
      </c>
      <c r="N151" s="23">
        <f t="shared" si="103"/>
        <v>3300</v>
      </c>
      <c r="O151" s="23">
        <f t="shared" si="103"/>
        <v>0</v>
      </c>
      <c r="P151" s="23">
        <f t="shared" si="103"/>
        <v>0</v>
      </c>
      <c r="Q151" s="23">
        <f t="shared" si="103"/>
        <v>2</v>
      </c>
      <c r="R151" s="21"/>
    </row>
    <row r="152" spans="1:18" ht="14.25" customHeight="1" x14ac:dyDescent="0.15">
      <c r="A152" s="19">
        <v>6</v>
      </c>
      <c r="B152" s="19">
        <f>1.2*3</f>
        <v>3.5999999999999996</v>
      </c>
      <c r="C152" s="19">
        <v>1.2</v>
      </c>
      <c r="D152" s="19">
        <f>B152*C152</f>
        <v>4.3199999999999994</v>
      </c>
      <c r="E152" s="19"/>
      <c r="F152" s="19"/>
      <c r="G152" s="19"/>
      <c r="H152" s="19"/>
      <c r="I152" s="19">
        <f>B152*0.4</f>
        <v>1.44</v>
      </c>
      <c r="J152" s="19">
        <v>2</v>
      </c>
      <c r="K152" s="19">
        <f t="shared" ref="K152:L152" si="104">A152</f>
        <v>6</v>
      </c>
      <c r="L152" s="19">
        <f t="shared" si="104"/>
        <v>3.5999999999999996</v>
      </c>
      <c r="M152" s="19">
        <f>A152</f>
        <v>6</v>
      </c>
      <c r="N152" s="19">
        <f>(1.2*0.4)*2</f>
        <v>0.96</v>
      </c>
      <c r="O152" s="19"/>
      <c r="P152" s="19"/>
      <c r="Q152" s="19"/>
      <c r="R152" s="19"/>
    </row>
    <row r="153" spans="1:18" ht="14.25" customHeight="1" x14ac:dyDescent="0.15">
      <c r="A153" s="19"/>
      <c r="B153" s="19"/>
      <c r="C153" s="19"/>
      <c r="D153" s="26" t="str">
        <f>D27</f>
        <v>3000</v>
      </c>
      <c r="E153" s="19">
        <v>2</v>
      </c>
      <c r="F153" s="19">
        <v>0</v>
      </c>
      <c r="G153" s="19">
        <v>0</v>
      </c>
      <c r="H153" s="19">
        <f>B152*2</f>
        <v>7.1999999999999993</v>
      </c>
      <c r="I153" s="19"/>
      <c r="J153" s="19"/>
      <c r="K153" s="19"/>
      <c r="L153" s="19"/>
      <c r="M153" s="19"/>
      <c r="N153" s="28"/>
      <c r="O153" s="19"/>
      <c r="P153" s="19"/>
      <c r="Q153" s="19"/>
      <c r="R153" s="19"/>
    </row>
    <row r="154" spans="1:18" ht="14.25" customHeight="1" x14ac:dyDescent="0.15">
      <c r="A154" s="19"/>
      <c r="B154" s="19"/>
      <c r="C154" s="19"/>
      <c r="D154" s="19">
        <f>D152*D153</f>
        <v>12959.999999999998</v>
      </c>
      <c r="E154" s="19">
        <f>E153*E151</f>
        <v>8400</v>
      </c>
      <c r="F154" s="19">
        <f t="shared" ref="F154:H154" si="105">F151*F153</f>
        <v>0</v>
      </c>
      <c r="G154" s="19">
        <f t="shared" si="105"/>
        <v>0</v>
      </c>
      <c r="H154" s="19">
        <f t="shared" si="105"/>
        <v>2735.9999999999995</v>
      </c>
      <c r="I154" s="19">
        <f t="shared" ref="I154:N154" si="106">I151*I152</f>
        <v>6912</v>
      </c>
      <c r="J154" s="19">
        <f t="shared" si="106"/>
        <v>2000</v>
      </c>
      <c r="K154" s="19">
        <f t="shared" si="106"/>
        <v>2250</v>
      </c>
      <c r="L154" s="19">
        <f t="shared" si="106"/>
        <v>2106</v>
      </c>
      <c r="M154" s="19">
        <f t="shared" si="106"/>
        <v>6000</v>
      </c>
      <c r="N154" s="19">
        <f t="shared" si="106"/>
        <v>3168</v>
      </c>
      <c r="O154" s="19">
        <f>SUM(D154:N154)</f>
        <v>46532</v>
      </c>
      <c r="P154" s="19">
        <f>O154/A152</f>
        <v>7755.333333333333</v>
      </c>
      <c r="Q154" s="19">
        <f>P154*Q151</f>
        <v>15510.666666666666</v>
      </c>
      <c r="R154" s="19">
        <f>MROUND(Q154,100)</f>
        <v>15500</v>
      </c>
    </row>
    <row r="155" spans="1:18" ht="14.25" customHeight="1" x14ac:dyDescent="0.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</row>
    <row r="156" spans="1:18" ht="14.25" customHeight="1" x14ac:dyDescent="0.3">
      <c r="A156" s="109" t="str">
        <f>PRICELIST!I238</f>
        <v>WSTK-LNR-SH-PLM-1200-G</v>
      </c>
      <c r="B156" s="87"/>
      <c r="C156" s="87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7"/>
    </row>
    <row r="157" spans="1:18" ht="14.25" customHeight="1" x14ac:dyDescent="0.15">
      <c r="A157" s="19" t="s">
        <v>57</v>
      </c>
      <c r="B157" s="19" t="s">
        <v>59</v>
      </c>
      <c r="C157" s="19" t="s">
        <v>62</v>
      </c>
      <c r="D157" s="19" t="s">
        <v>64</v>
      </c>
      <c r="E157" s="19">
        <v>1200</v>
      </c>
      <c r="F157" s="19">
        <v>900</v>
      </c>
      <c r="G157" s="19">
        <v>600</v>
      </c>
      <c r="H157" s="19" t="s">
        <v>67</v>
      </c>
      <c r="I157" s="19" t="s">
        <v>68</v>
      </c>
      <c r="J157" s="19" t="s">
        <v>69</v>
      </c>
      <c r="K157" s="19" t="s">
        <v>71</v>
      </c>
      <c r="L157" s="19" t="s">
        <v>72</v>
      </c>
      <c r="M157" s="19" t="s">
        <v>73</v>
      </c>
      <c r="N157" s="19" t="s">
        <v>75</v>
      </c>
      <c r="O157" s="19" t="s">
        <v>76</v>
      </c>
      <c r="P157" s="19" t="s">
        <v>78</v>
      </c>
      <c r="Q157" s="19" t="s">
        <v>79</v>
      </c>
      <c r="R157" s="19" t="s">
        <v>81</v>
      </c>
    </row>
    <row r="158" spans="1:18" ht="14.25" customHeight="1" x14ac:dyDescent="0.15">
      <c r="A158" s="21">
        <f t="shared" ref="A158:H158" si="107">A151</f>
        <v>0</v>
      </c>
      <c r="B158" s="21">
        <f t="shared" si="107"/>
        <v>0</v>
      </c>
      <c r="C158" s="21">
        <f t="shared" si="107"/>
        <v>0</v>
      </c>
      <c r="D158" s="21">
        <f t="shared" si="107"/>
        <v>0</v>
      </c>
      <c r="E158" s="23" t="str">
        <f t="shared" si="107"/>
        <v>4200</v>
      </c>
      <c r="F158" s="23" t="str">
        <f t="shared" si="107"/>
        <v>4000</v>
      </c>
      <c r="G158" s="23" t="str">
        <f t="shared" si="107"/>
        <v>3800</v>
      </c>
      <c r="H158" s="23">
        <f t="shared" si="107"/>
        <v>380</v>
      </c>
      <c r="I158" s="23" t="str">
        <f>I137</f>
        <v>5500</v>
      </c>
      <c r="J158" s="23" t="str">
        <f t="shared" ref="J158:Q158" si="108">J151</f>
        <v>1000</v>
      </c>
      <c r="K158" s="23">
        <f t="shared" si="108"/>
        <v>375</v>
      </c>
      <c r="L158" s="23">
        <f t="shared" si="108"/>
        <v>585</v>
      </c>
      <c r="M158" s="23" t="str">
        <f t="shared" si="108"/>
        <v>1000</v>
      </c>
      <c r="N158" s="23">
        <f t="shared" si="108"/>
        <v>3300</v>
      </c>
      <c r="O158" s="23">
        <f t="shared" si="108"/>
        <v>0</v>
      </c>
      <c r="P158" s="23">
        <f t="shared" si="108"/>
        <v>0</v>
      </c>
      <c r="Q158" s="23">
        <f t="shared" si="108"/>
        <v>2</v>
      </c>
      <c r="R158" s="21"/>
    </row>
    <row r="159" spans="1:18" ht="14.25" customHeight="1" x14ac:dyDescent="0.15">
      <c r="A159" s="19">
        <v>6</v>
      </c>
      <c r="B159" s="19">
        <f>1.2*3</f>
        <v>3.5999999999999996</v>
      </c>
      <c r="C159" s="19">
        <v>1.2</v>
      </c>
      <c r="D159" s="19">
        <f>B159*C159</f>
        <v>4.3199999999999994</v>
      </c>
      <c r="E159" s="19"/>
      <c r="F159" s="19"/>
      <c r="G159" s="19"/>
      <c r="H159" s="19"/>
      <c r="I159" s="19">
        <f>B159*0.4</f>
        <v>1.44</v>
      </c>
      <c r="J159" s="19">
        <v>2</v>
      </c>
      <c r="K159" s="19">
        <f t="shared" ref="K159:L159" si="109">A159</f>
        <v>6</v>
      </c>
      <c r="L159" s="19">
        <f t="shared" si="109"/>
        <v>3.5999999999999996</v>
      </c>
      <c r="M159" s="19">
        <f>A159</f>
        <v>6</v>
      </c>
      <c r="N159" s="19">
        <f>(1.2*0.4)*2</f>
        <v>0.96</v>
      </c>
      <c r="O159" s="19"/>
      <c r="P159" s="19"/>
      <c r="Q159" s="19"/>
      <c r="R159" s="19"/>
    </row>
    <row r="160" spans="1:18" ht="14.25" customHeight="1" x14ac:dyDescent="0.15">
      <c r="A160" s="19"/>
      <c r="B160" s="19"/>
      <c r="C160" s="19"/>
      <c r="D160" s="26" t="str">
        <f>D153</f>
        <v>3000</v>
      </c>
      <c r="E160" s="19">
        <v>2</v>
      </c>
      <c r="F160" s="19">
        <v>0</v>
      </c>
      <c r="G160" s="19">
        <v>0</v>
      </c>
      <c r="H160" s="19">
        <f>B159*2</f>
        <v>7.1999999999999993</v>
      </c>
      <c r="I160" s="19"/>
      <c r="J160" s="19"/>
      <c r="K160" s="19"/>
      <c r="L160" s="19"/>
      <c r="M160" s="19"/>
      <c r="N160" s="28"/>
      <c r="O160" s="19"/>
      <c r="P160" s="19"/>
      <c r="Q160" s="19"/>
      <c r="R160" s="19"/>
    </row>
    <row r="161" spans="1:18" ht="14.25" customHeight="1" x14ac:dyDescent="0.15">
      <c r="A161" s="19"/>
      <c r="B161" s="19"/>
      <c r="C161" s="19"/>
      <c r="D161" s="19">
        <f>D159*D160</f>
        <v>12959.999999999998</v>
      </c>
      <c r="E161" s="19">
        <f>E160*E158</f>
        <v>8400</v>
      </c>
      <c r="F161" s="19">
        <f t="shared" ref="F161:H161" si="110">F158*F160</f>
        <v>0</v>
      </c>
      <c r="G161" s="19">
        <f t="shared" si="110"/>
        <v>0</v>
      </c>
      <c r="H161" s="19">
        <f t="shared" si="110"/>
        <v>2735.9999999999995</v>
      </c>
      <c r="I161" s="19">
        <f t="shared" ref="I161:N161" si="111">I158*I159</f>
        <v>7920</v>
      </c>
      <c r="J161" s="19">
        <f t="shared" si="111"/>
        <v>2000</v>
      </c>
      <c r="K161" s="19">
        <f t="shared" si="111"/>
        <v>2250</v>
      </c>
      <c r="L161" s="19">
        <f t="shared" si="111"/>
        <v>2106</v>
      </c>
      <c r="M161" s="19">
        <f t="shared" si="111"/>
        <v>6000</v>
      </c>
      <c r="N161" s="19">
        <f t="shared" si="111"/>
        <v>3168</v>
      </c>
      <c r="O161" s="19">
        <f>SUM(D161:N161)</f>
        <v>47540</v>
      </c>
      <c r="P161" s="19">
        <f>O161/A159</f>
        <v>7923.333333333333</v>
      </c>
      <c r="Q161" s="19">
        <f>P161*Q158</f>
        <v>15846.666666666666</v>
      </c>
      <c r="R161" s="19">
        <f>MROUND(Q161,100)</f>
        <v>15800</v>
      </c>
    </row>
    <row r="162" spans="1:18" ht="14.25" customHeight="1" x14ac:dyDescent="0.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</row>
    <row r="163" spans="1:18" ht="14.25" customHeight="1" x14ac:dyDescent="0.3">
      <c r="A163" s="109" t="str">
        <f>PRICELIST!I239</f>
        <v>WSTK-LNR-SH-PLM-1200-X</v>
      </c>
      <c r="B163" s="87"/>
      <c r="C163" s="87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7"/>
    </row>
    <row r="164" spans="1:18" ht="14.25" customHeight="1" x14ac:dyDescent="0.15">
      <c r="A164" s="19" t="s">
        <v>57</v>
      </c>
      <c r="B164" s="19" t="s">
        <v>59</v>
      </c>
      <c r="C164" s="19" t="s">
        <v>62</v>
      </c>
      <c r="D164" s="19" t="s">
        <v>64</v>
      </c>
      <c r="E164" s="19">
        <v>1200</v>
      </c>
      <c r="F164" s="19">
        <v>900</v>
      </c>
      <c r="G164" s="19">
        <v>600</v>
      </c>
      <c r="H164" s="19" t="s">
        <v>67</v>
      </c>
      <c r="I164" s="19" t="s">
        <v>68</v>
      </c>
      <c r="J164" s="19" t="s">
        <v>69</v>
      </c>
      <c r="K164" s="19" t="s">
        <v>71</v>
      </c>
      <c r="L164" s="19" t="s">
        <v>72</v>
      </c>
      <c r="M164" s="19" t="s">
        <v>73</v>
      </c>
      <c r="N164" s="19" t="s">
        <v>75</v>
      </c>
      <c r="O164" s="19" t="s">
        <v>76</v>
      </c>
      <c r="P164" s="19" t="s">
        <v>78</v>
      </c>
      <c r="Q164" s="19" t="s">
        <v>79</v>
      </c>
      <c r="R164" s="19" t="s">
        <v>81</v>
      </c>
    </row>
    <row r="165" spans="1:18" ht="14.25" customHeight="1" x14ac:dyDescent="0.15">
      <c r="A165" s="21">
        <f t="shared" ref="A165:H165" si="112">A158</f>
        <v>0</v>
      </c>
      <c r="B165" s="21">
        <f t="shared" si="112"/>
        <v>0</v>
      </c>
      <c r="C165" s="21">
        <f t="shared" si="112"/>
        <v>0</v>
      </c>
      <c r="D165" s="21">
        <f t="shared" si="112"/>
        <v>0</v>
      </c>
      <c r="E165" s="23" t="str">
        <f t="shared" si="112"/>
        <v>4200</v>
      </c>
      <c r="F165" s="23" t="str">
        <f t="shared" si="112"/>
        <v>4000</v>
      </c>
      <c r="G165" s="23" t="str">
        <f t="shared" si="112"/>
        <v>3800</v>
      </c>
      <c r="H165" s="23">
        <f t="shared" si="112"/>
        <v>380</v>
      </c>
      <c r="I165" s="23" t="str">
        <f>I144</f>
        <v>0</v>
      </c>
      <c r="J165" s="23" t="str">
        <f t="shared" ref="J165:Q165" si="113">J158</f>
        <v>1000</v>
      </c>
      <c r="K165" s="23">
        <f t="shared" si="113"/>
        <v>375</v>
      </c>
      <c r="L165" s="23">
        <f t="shared" si="113"/>
        <v>585</v>
      </c>
      <c r="M165" s="23" t="str">
        <f t="shared" si="113"/>
        <v>1000</v>
      </c>
      <c r="N165" s="23">
        <f t="shared" si="113"/>
        <v>3300</v>
      </c>
      <c r="O165" s="23">
        <f t="shared" si="113"/>
        <v>0</v>
      </c>
      <c r="P165" s="23">
        <f t="shared" si="113"/>
        <v>0</v>
      </c>
      <c r="Q165" s="23">
        <f t="shared" si="113"/>
        <v>2</v>
      </c>
      <c r="R165" s="21"/>
    </row>
    <row r="166" spans="1:18" ht="14.25" customHeight="1" x14ac:dyDescent="0.15">
      <c r="A166" s="19">
        <v>6</v>
      </c>
      <c r="B166" s="19">
        <f>1.2*3</f>
        <v>3.5999999999999996</v>
      </c>
      <c r="C166" s="19">
        <v>1.2</v>
      </c>
      <c r="D166" s="19">
        <f>B166*C166</f>
        <v>4.3199999999999994</v>
      </c>
      <c r="E166" s="19"/>
      <c r="F166" s="19"/>
      <c r="G166" s="19"/>
      <c r="H166" s="19"/>
      <c r="I166" s="19">
        <f>B166*0.4</f>
        <v>1.44</v>
      </c>
      <c r="J166" s="19">
        <v>2</v>
      </c>
      <c r="K166" s="19">
        <f t="shared" ref="K166:L166" si="114">A166</f>
        <v>6</v>
      </c>
      <c r="L166" s="19">
        <f t="shared" si="114"/>
        <v>3.5999999999999996</v>
      </c>
      <c r="M166" s="19">
        <f>A166</f>
        <v>6</v>
      </c>
      <c r="N166" s="19">
        <f>(1.2*0.4)*2</f>
        <v>0.96</v>
      </c>
      <c r="O166" s="19"/>
      <c r="P166" s="19"/>
      <c r="Q166" s="19"/>
      <c r="R166" s="19"/>
    </row>
    <row r="167" spans="1:18" ht="14.25" customHeight="1" x14ac:dyDescent="0.15">
      <c r="A167" s="19"/>
      <c r="B167" s="19"/>
      <c r="C167" s="19"/>
      <c r="D167" s="26" t="str">
        <f>D160</f>
        <v>3000</v>
      </c>
      <c r="E167" s="19">
        <v>2</v>
      </c>
      <c r="F167" s="19">
        <v>0</v>
      </c>
      <c r="G167" s="19">
        <v>0</v>
      </c>
      <c r="H167" s="19">
        <f>B166*2</f>
        <v>7.1999999999999993</v>
      </c>
      <c r="I167" s="19"/>
      <c r="J167" s="19"/>
      <c r="K167" s="19"/>
      <c r="L167" s="19"/>
      <c r="M167" s="19"/>
      <c r="N167" s="28"/>
      <c r="O167" s="19"/>
      <c r="P167" s="19"/>
      <c r="Q167" s="19"/>
      <c r="R167" s="19"/>
    </row>
    <row r="168" spans="1:18" ht="14.25" customHeight="1" x14ac:dyDescent="0.15">
      <c r="A168" s="19"/>
      <c r="B168" s="19"/>
      <c r="C168" s="19"/>
      <c r="D168" s="19">
        <f>D166*D167</f>
        <v>12959.999999999998</v>
      </c>
      <c r="E168" s="19">
        <f>E167*E165</f>
        <v>8400</v>
      </c>
      <c r="F168" s="19">
        <f t="shared" ref="F168:H168" si="115">F165*F167</f>
        <v>0</v>
      </c>
      <c r="G168" s="19">
        <f t="shared" si="115"/>
        <v>0</v>
      </c>
      <c r="H168" s="19">
        <f t="shared" si="115"/>
        <v>2735.9999999999995</v>
      </c>
      <c r="I168" s="19">
        <f t="shared" ref="I168:N168" si="116">I165*I166</f>
        <v>0</v>
      </c>
      <c r="J168" s="19">
        <f t="shared" si="116"/>
        <v>2000</v>
      </c>
      <c r="K168" s="19">
        <f t="shared" si="116"/>
        <v>2250</v>
      </c>
      <c r="L168" s="19">
        <f t="shared" si="116"/>
        <v>2106</v>
      </c>
      <c r="M168" s="19">
        <f t="shared" si="116"/>
        <v>6000</v>
      </c>
      <c r="N168" s="19">
        <f t="shared" si="116"/>
        <v>3168</v>
      </c>
      <c r="O168" s="19">
        <f>SUM(D168:N168)</f>
        <v>39620</v>
      </c>
      <c r="P168" s="19">
        <f>O168/A166</f>
        <v>6603.333333333333</v>
      </c>
      <c r="Q168" s="19">
        <f>P168*Q165</f>
        <v>13206.666666666666</v>
      </c>
      <c r="R168" s="19">
        <f>MROUND(Q168,100)</f>
        <v>13200</v>
      </c>
    </row>
    <row r="169" spans="1:18" ht="14.25" customHeight="1" x14ac:dyDescent="0.1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</row>
    <row r="170" spans="1:18" ht="14.25" customHeight="1" x14ac:dyDescent="0.3">
      <c r="A170" s="109" t="str">
        <f>PRICELIST!I240</f>
        <v>WSTK-LNR-SH-PoLM-1200-F</v>
      </c>
      <c r="B170" s="87"/>
      <c r="C170" s="8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7"/>
    </row>
    <row r="171" spans="1:18" ht="14.25" customHeight="1" x14ac:dyDescent="0.15">
      <c r="A171" s="19" t="s">
        <v>57</v>
      </c>
      <c r="B171" s="19" t="s">
        <v>59</v>
      </c>
      <c r="C171" s="19" t="s">
        <v>62</v>
      </c>
      <c r="D171" s="19" t="s">
        <v>64</v>
      </c>
      <c r="E171" s="19">
        <v>1200</v>
      </c>
      <c r="F171" s="19">
        <v>900</v>
      </c>
      <c r="G171" s="19">
        <v>600</v>
      </c>
      <c r="H171" s="19" t="s">
        <v>67</v>
      </c>
      <c r="I171" s="19" t="s">
        <v>68</v>
      </c>
      <c r="J171" s="19" t="s">
        <v>69</v>
      </c>
      <c r="K171" s="19" t="s">
        <v>71</v>
      </c>
      <c r="L171" s="19" t="s">
        <v>72</v>
      </c>
      <c r="M171" s="19" t="s">
        <v>73</v>
      </c>
      <c r="N171" s="19" t="s">
        <v>75</v>
      </c>
      <c r="O171" s="19" t="s">
        <v>76</v>
      </c>
      <c r="P171" s="19" t="s">
        <v>78</v>
      </c>
      <c r="Q171" s="19" t="s">
        <v>79</v>
      </c>
      <c r="R171" s="19" t="s">
        <v>81</v>
      </c>
    </row>
    <row r="172" spans="1:18" ht="14.25" customHeight="1" x14ac:dyDescent="0.15">
      <c r="A172" s="21">
        <f t="shared" ref="A172:H172" si="117">A165</f>
        <v>0</v>
      </c>
      <c r="B172" s="21">
        <f t="shared" si="117"/>
        <v>0</v>
      </c>
      <c r="C172" s="21">
        <f t="shared" si="117"/>
        <v>0</v>
      </c>
      <c r="D172" s="21">
        <f t="shared" si="117"/>
        <v>0</v>
      </c>
      <c r="E172" s="23" t="str">
        <f t="shared" si="117"/>
        <v>4200</v>
      </c>
      <c r="F172" s="23" t="str">
        <f t="shared" si="117"/>
        <v>4000</v>
      </c>
      <c r="G172" s="23" t="str">
        <f t="shared" si="117"/>
        <v>3800</v>
      </c>
      <c r="H172" s="23">
        <f t="shared" si="117"/>
        <v>380</v>
      </c>
      <c r="I172" s="23" t="str">
        <f>I151</f>
        <v>4800</v>
      </c>
      <c r="J172" s="23" t="str">
        <f t="shared" ref="J172:Q172" si="118">J165</f>
        <v>1000</v>
      </c>
      <c r="K172" s="23">
        <f t="shared" si="118"/>
        <v>375</v>
      </c>
      <c r="L172" s="23">
        <f t="shared" si="118"/>
        <v>585</v>
      </c>
      <c r="M172" s="23" t="str">
        <f t="shared" si="118"/>
        <v>1000</v>
      </c>
      <c r="N172" s="23">
        <f t="shared" si="118"/>
        <v>3300</v>
      </c>
      <c r="O172" s="23">
        <f t="shared" si="118"/>
        <v>0</v>
      </c>
      <c r="P172" s="23">
        <f t="shared" si="118"/>
        <v>0</v>
      </c>
      <c r="Q172" s="23">
        <f t="shared" si="118"/>
        <v>2</v>
      </c>
      <c r="R172" s="21"/>
    </row>
    <row r="173" spans="1:18" ht="14.25" customHeight="1" x14ac:dyDescent="0.15">
      <c r="A173" s="19">
        <v>6</v>
      </c>
      <c r="B173" s="19">
        <f>1.2*3</f>
        <v>3.5999999999999996</v>
      </c>
      <c r="C173" s="19">
        <v>1.2</v>
      </c>
      <c r="D173" s="19">
        <f>B173*C173</f>
        <v>4.3199999999999994</v>
      </c>
      <c r="E173" s="19"/>
      <c r="F173" s="19"/>
      <c r="G173" s="19"/>
      <c r="H173" s="19"/>
      <c r="I173" s="19">
        <f>B173*0.4</f>
        <v>1.44</v>
      </c>
      <c r="J173" s="19">
        <v>2</v>
      </c>
      <c r="K173" s="19">
        <f t="shared" ref="K173:L173" si="119">A173</f>
        <v>6</v>
      </c>
      <c r="L173" s="19">
        <f t="shared" si="119"/>
        <v>3.5999999999999996</v>
      </c>
      <c r="M173" s="19">
        <f>A173</f>
        <v>6</v>
      </c>
      <c r="N173" s="19">
        <f>(1.2*0.4)*2</f>
        <v>0.96</v>
      </c>
      <c r="O173" s="19"/>
      <c r="P173" s="19"/>
      <c r="Q173" s="19"/>
      <c r="R173" s="19"/>
    </row>
    <row r="174" spans="1:18" ht="14.25" customHeight="1" x14ac:dyDescent="0.15">
      <c r="A174" s="19"/>
      <c r="B174" s="19"/>
      <c r="C174" s="19"/>
      <c r="D174" s="26" t="str">
        <f>D55</f>
        <v>7500</v>
      </c>
      <c r="E174" s="19">
        <v>2</v>
      </c>
      <c r="F174" s="19">
        <v>0</v>
      </c>
      <c r="G174" s="19">
        <v>0</v>
      </c>
      <c r="H174" s="19">
        <f>B173*2</f>
        <v>7.1999999999999993</v>
      </c>
      <c r="I174" s="19"/>
      <c r="J174" s="19"/>
      <c r="K174" s="19"/>
      <c r="L174" s="19"/>
      <c r="M174" s="19"/>
      <c r="N174" s="28"/>
      <c r="O174" s="19"/>
      <c r="P174" s="19"/>
      <c r="Q174" s="19"/>
      <c r="R174" s="19"/>
    </row>
    <row r="175" spans="1:18" ht="14.25" customHeight="1" x14ac:dyDescent="0.15">
      <c r="A175" s="19"/>
      <c r="B175" s="19"/>
      <c r="C175" s="19"/>
      <c r="D175" s="19">
        <f>D173*D174</f>
        <v>32399.999999999996</v>
      </c>
      <c r="E175" s="19">
        <f>E174*E172</f>
        <v>8400</v>
      </c>
      <c r="F175" s="19">
        <f t="shared" ref="F175:H175" si="120">F172*F174</f>
        <v>0</v>
      </c>
      <c r="G175" s="19">
        <f t="shared" si="120"/>
        <v>0</v>
      </c>
      <c r="H175" s="19">
        <f t="shared" si="120"/>
        <v>2735.9999999999995</v>
      </c>
      <c r="I175" s="19">
        <f t="shared" ref="I175:N175" si="121">I172*I173</f>
        <v>6912</v>
      </c>
      <c r="J175" s="19">
        <f t="shared" si="121"/>
        <v>2000</v>
      </c>
      <c r="K175" s="19">
        <f t="shared" si="121"/>
        <v>2250</v>
      </c>
      <c r="L175" s="19">
        <f t="shared" si="121"/>
        <v>2106</v>
      </c>
      <c r="M175" s="19">
        <f t="shared" si="121"/>
        <v>6000</v>
      </c>
      <c r="N175" s="19">
        <f t="shared" si="121"/>
        <v>3168</v>
      </c>
      <c r="O175" s="19">
        <f>SUM(D175:N175)</f>
        <v>65972</v>
      </c>
      <c r="P175" s="19">
        <f>O175/A173</f>
        <v>10995.333333333334</v>
      </c>
      <c r="Q175" s="19">
        <f>P175*Q172</f>
        <v>21990.666666666668</v>
      </c>
      <c r="R175" s="19">
        <f>MROUND(Q175,100)</f>
        <v>22000</v>
      </c>
    </row>
    <row r="176" spans="1:18" ht="14.25" customHeight="1" x14ac:dyDescent="0.1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</row>
    <row r="177" spans="1:18" ht="14.25" customHeight="1" x14ac:dyDescent="0.3">
      <c r="A177" s="109" t="str">
        <f>PRICELIST!I241</f>
        <v>WSTK-LNR-SH-PoLM-1200-G</v>
      </c>
      <c r="B177" s="87"/>
      <c r="C177" s="87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7"/>
    </row>
    <row r="178" spans="1:18" ht="14.25" customHeight="1" x14ac:dyDescent="0.15">
      <c r="A178" s="19" t="s">
        <v>57</v>
      </c>
      <c r="B178" s="19" t="s">
        <v>59</v>
      </c>
      <c r="C178" s="19" t="s">
        <v>62</v>
      </c>
      <c r="D178" s="19" t="s">
        <v>64</v>
      </c>
      <c r="E178" s="19">
        <v>1200</v>
      </c>
      <c r="F178" s="19">
        <v>900</v>
      </c>
      <c r="G178" s="19">
        <v>600</v>
      </c>
      <c r="H178" s="19" t="s">
        <v>67</v>
      </c>
      <c r="I178" s="19" t="s">
        <v>68</v>
      </c>
      <c r="J178" s="19" t="s">
        <v>69</v>
      </c>
      <c r="K178" s="19" t="s">
        <v>71</v>
      </c>
      <c r="L178" s="19" t="s">
        <v>72</v>
      </c>
      <c r="M178" s="19" t="s">
        <v>73</v>
      </c>
      <c r="N178" s="19" t="s">
        <v>75</v>
      </c>
      <c r="O178" s="19" t="s">
        <v>76</v>
      </c>
      <c r="P178" s="19" t="s">
        <v>78</v>
      </c>
      <c r="Q178" s="19" t="s">
        <v>79</v>
      </c>
      <c r="R178" s="19" t="s">
        <v>81</v>
      </c>
    </row>
    <row r="179" spans="1:18" ht="14.25" customHeight="1" x14ac:dyDescent="0.15">
      <c r="A179" s="21">
        <f t="shared" ref="A179:H179" si="122">A172</f>
        <v>0</v>
      </c>
      <c r="B179" s="21">
        <f t="shared" si="122"/>
        <v>0</v>
      </c>
      <c r="C179" s="21">
        <f t="shared" si="122"/>
        <v>0</v>
      </c>
      <c r="D179" s="21">
        <f t="shared" si="122"/>
        <v>0</v>
      </c>
      <c r="E179" s="23" t="str">
        <f t="shared" si="122"/>
        <v>4200</v>
      </c>
      <c r="F179" s="23" t="str">
        <f t="shared" si="122"/>
        <v>4000</v>
      </c>
      <c r="G179" s="23" t="str">
        <f t="shared" si="122"/>
        <v>3800</v>
      </c>
      <c r="H179" s="23">
        <f t="shared" si="122"/>
        <v>380</v>
      </c>
      <c r="I179" s="23" t="str">
        <f>I158</f>
        <v>5500</v>
      </c>
      <c r="J179" s="23" t="str">
        <f t="shared" ref="J179:Q179" si="123">J172</f>
        <v>1000</v>
      </c>
      <c r="K179" s="23">
        <f t="shared" si="123"/>
        <v>375</v>
      </c>
      <c r="L179" s="23">
        <f t="shared" si="123"/>
        <v>585</v>
      </c>
      <c r="M179" s="23" t="str">
        <f t="shared" si="123"/>
        <v>1000</v>
      </c>
      <c r="N179" s="23">
        <f t="shared" si="123"/>
        <v>3300</v>
      </c>
      <c r="O179" s="23">
        <f t="shared" si="123"/>
        <v>0</v>
      </c>
      <c r="P179" s="23">
        <f t="shared" si="123"/>
        <v>0</v>
      </c>
      <c r="Q179" s="23">
        <f t="shared" si="123"/>
        <v>2</v>
      </c>
      <c r="R179" s="21"/>
    </row>
    <row r="180" spans="1:18" ht="14.25" customHeight="1" x14ac:dyDescent="0.15">
      <c r="A180" s="19">
        <v>6</v>
      </c>
      <c r="B180" s="19">
        <f>1.2*3</f>
        <v>3.5999999999999996</v>
      </c>
      <c r="C180" s="19">
        <v>1.2</v>
      </c>
      <c r="D180" s="19">
        <f>B180*C180</f>
        <v>4.3199999999999994</v>
      </c>
      <c r="E180" s="19"/>
      <c r="F180" s="19"/>
      <c r="G180" s="19"/>
      <c r="H180" s="19"/>
      <c r="I180" s="19">
        <f>B180*0.4</f>
        <v>1.44</v>
      </c>
      <c r="J180" s="19">
        <v>2</v>
      </c>
      <c r="K180" s="19">
        <f t="shared" ref="K180:L180" si="124">A180</f>
        <v>6</v>
      </c>
      <c r="L180" s="19">
        <f t="shared" si="124"/>
        <v>3.5999999999999996</v>
      </c>
      <c r="M180" s="19">
        <f>A180</f>
        <v>6</v>
      </c>
      <c r="N180" s="19">
        <f>(1.2*0.4)*2</f>
        <v>0.96</v>
      </c>
      <c r="O180" s="19"/>
      <c r="P180" s="19"/>
      <c r="Q180" s="19"/>
      <c r="R180" s="19"/>
    </row>
    <row r="181" spans="1:18" ht="14.25" customHeight="1" x14ac:dyDescent="0.15">
      <c r="A181" s="19"/>
      <c r="B181" s="19"/>
      <c r="C181" s="19"/>
      <c r="D181" s="26" t="str">
        <f>D174</f>
        <v>7500</v>
      </c>
      <c r="E181" s="19">
        <v>2</v>
      </c>
      <c r="F181" s="19">
        <v>0</v>
      </c>
      <c r="G181" s="19">
        <v>0</v>
      </c>
      <c r="H181" s="19">
        <f>B180*2</f>
        <v>7.1999999999999993</v>
      </c>
      <c r="I181" s="19"/>
      <c r="J181" s="19"/>
      <c r="K181" s="19"/>
      <c r="L181" s="19"/>
      <c r="M181" s="19"/>
      <c r="N181" s="28"/>
      <c r="O181" s="19"/>
      <c r="P181" s="19"/>
      <c r="Q181" s="19"/>
      <c r="R181" s="19"/>
    </row>
    <row r="182" spans="1:18" ht="14.25" customHeight="1" x14ac:dyDescent="0.15">
      <c r="A182" s="19"/>
      <c r="B182" s="19"/>
      <c r="C182" s="19"/>
      <c r="D182" s="19">
        <f>D180*D181</f>
        <v>32399.999999999996</v>
      </c>
      <c r="E182" s="19">
        <f>E181*E179</f>
        <v>8400</v>
      </c>
      <c r="F182" s="19">
        <f t="shared" ref="F182:H182" si="125">F179*F181</f>
        <v>0</v>
      </c>
      <c r="G182" s="19">
        <f t="shared" si="125"/>
        <v>0</v>
      </c>
      <c r="H182" s="19">
        <f t="shared" si="125"/>
        <v>2735.9999999999995</v>
      </c>
      <c r="I182" s="19">
        <f t="shared" ref="I182:N182" si="126">I179*I180</f>
        <v>7920</v>
      </c>
      <c r="J182" s="19">
        <f t="shared" si="126"/>
        <v>2000</v>
      </c>
      <c r="K182" s="19">
        <f t="shared" si="126"/>
        <v>2250</v>
      </c>
      <c r="L182" s="19">
        <f t="shared" si="126"/>
        <v>2106</v>
      </c>
      <c r="M182" s="19">
        <f t="shared" si="126"/>
        <v>6000</v>
      </c>
      <c r="N182" s="19">
        <f t="shared" si="126"/>
        <v>3168</v>
      </c>
      <c r="O182" s="19">
        <f>SUM(D182:N182)</f>
        <v>66980</v>
      </c>
      <c r="P182" s="19">
        <f>O182/A180</f>
        <v>11163.333333333334</v>
      </c>
      <c r="Q182" s="19">
        <f>P182*Q179</f>
        <v>22326.666666666668</v>
      </c>
      <c r="R182" s="19">
        <f>MROUND(Q182,100)</f>
        <v>22300</v>
      </c>
    </row>
    <row r="183" spans="1:18" ht="14.25" customHeight="1" x14ac:dyDescent="0.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</row>
    <row r="184" spans="1:18" ht="14.25" customHeight="1" x14ac:dyDescent="0.3">
      <c r="A184" s="109" t="str">
        <f>PRICELIST!I242</f>
        <v>WSTK-LNR-SH-PoLM-1200-X</v>
      </c>
      <c r="B184" s="87"/>
      <c r="C184" s="87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7"/>
    </row>
    <row r="185" spans="1:18" ht="14.25" customHeight="1" x14ac:dyDescent="0.15">
      <c r="A185" s="19" t="s">
        <v>57</v>
      </c>
      <c r="B185" s="19" t="s">
        <v>59</v>
      </c>
      <c r="C185" s="19" t="s">
        <v>62</v>
      </c>
      <c r="D185" s="19" t="s">
        <v>64</v>
      </c>
      <c r="E185" s="19">
        <v>1200</v>
      </c>
      <c r="F185" s="19">
        <v>900</v>
      </c>
      <c r="G185" s="19">
        <v>600</v>
      </c>
      <c r="H185" s="19" t="s">
        <v>67</v>
      </c>
      <c r="I185" s="19" t="s">
        <v>68</v>
      </c>
      <c r="J185" s="19" t="s">
        <v>69</v>
      </c>
      <c r="K185" s="19" t="s">
        <v>71</v>
      </c>
      <c r="L185" s="19" t="s">
        <v>72</v>
      </c>
      <c r="M185" s="19" t="s">
        <v>73</v>
      </c>
      <c r="N185" s="19" t="s">
        <v>75</v>
      </c>
      <c r="O185" s="19" t="s">
        <v>76</v>
      </c>
      <c r="P185" s="19" t="s">
        <v>78</v>
      </c>
      <c r="Q185" s="19" t="s">
        <v>79</v>
      </c>
      <c r="R185" s="19" t="s">
        <v>81</v>
      </c>
    </row>
    <row r="186" spans="1:18" ht="14.25" customHeight="1" x14ac:dyDescent="0.15">
      <c r="A186" s="21">
        <f t="shared" ref="A186:H186" si="127">A179</f>
        <v>0</v>
      </c>
      <c r="B186" s="21">
        <f t="shared" si="127"/>
        <v>0</v>
      </c>
      <c r="C186" s="21">
        <f t="shared" si="127"/>
        <v>0</v>
      </c>
      <c r="D186" s="21">
        <f t="shared" si="127"/>
        <v>0</v>
      </c>
      <c r="E186" s="23" t="str">
        <f t="shared" si="127"/>
        <v>4200</v>
      </c>
      <c r="F186" s="23" t="str">
        <f t="shared" si="127"/>
        <v>4000</v>
      </c>
      <c r="G186" s="23" t="str">
        <f t="shared" si="127"/>
        <v>3800</v>
      </c>
      <c r="H186" s="23">
        <f t="shared" si="127"/>
        <v>380</v>
      </c>
      <c r="I186" s="23" t="str">
        <f>I165</f>
        <v>0</v>
      </c>
      <c r="J186" s="23" t="str">
        <f t="shared" ref="J186:Q186" si="128">J179</f>
        <v>1000</v>
      </c>
      <c r="K186" s="23">
        <f t="shared" si="128"/>
        <v>375</v>
      </c>
      <c r="L186" s="23">
        <f t="shared" si="128"/>
        <v>585</v>
      </c>
      <c r="M186" s="23" t="str">
        <f t="shared" si="128"/>
        <v>1000</v>
      </c>
      <c r="N186" s="23">
        <f t="shared" si="128"/>
        <v>3300</v>
      </c>
      <c r="O186" s="23">
        <f t="shared" si="128"/>
        <v>0</v>
      </c>
      <c r="P186" s="23">
        <f t="shared" si="128"/>
        <v>0</v>
      </c>
      <c r="Q186" s="23">
        <f t="shared" si="128"/>
        <v>2</v>
      </c>
      <c r="R186" s="21"/>
    </row>
    <row r="187" spans="1:18" ht="14.25" customHeight="1" x14ac:dyDescent="0.15">
      <c r="A187" s="19">
        <v>6</v>
      </c>
      <c r="B187" s="19">
        <f>1.2*3</f>
        <v>3.5999999999999996</v>
      </c>
      <c r="C187" s="19">
        <v>1.2</v>
      </c>
      <c r="D187" s="19">
        <f>B187*C187</f>
        <v>4.3199999999999994</v>
      </c>
      <c r="E187" s="19"/>
      <c r="F187" s="19"/>
      <c r="G187" s="19"/>
      <c r="H187" s="19"/>
      <c r="I187" s="19">
        <f>B187*0.4</f>
        <v>1.44</v>
      </c>
      <c r="J187" s="19">
        <v>2</v>
      </c>
      <c r="K187" s="19">
        <f t="shared" ref="K187:L187" si="129">A187</f>
        <v>6</v>
      </c>
      <c r="L187" s="19">
        <f t="shared" si="129"/>
        <v>3.5999999999999996</v>
      </c>
      <c r="M187" s="19">
        <f>A187</f>
        <v>6</v>
      </c>
      <c r="N187" s="19">
        <f>(1.2*0.4)*2</f>
        <v>0.96</v>
      </c>
      <c r="O187" s="19"/>
      <c r="P187" s="19"/>
      <c r="Q187" s="19"/>
      <c r="R187" s="19"/>
    </row>
    <row r="188" spans="1:18" ht="14.25" customHeight="1" x14ac:dyDescent="0.15">
      <c r="A188" s="19"/>
      <c r="B188" s="19"/>
      <c r="C188" s="19"/>
      <c r="D188" s="26" t="str">
        <f>D181</f>
        <v>7500</v>
      </c>
      <c r="E188" s="19">
        <v>2</v>
      </c>
      <c r="F188" s="19">
        <v>0</v>
      </c>
      <c r="G188" s="19">
        <v>0</v>
      </c>
      <c r="H188" s="19">
        <f>B187*2</f>
        <v>7.1999999999999993</v>
      </c>
      <c r="I188" s="19"/>
      <c r="J188" s="19"/>
      <c r="K188" s="19"/>
      <c r="L188" s="19"/>
      <c r="M188" s="19"/>
      <c r="N188" s="28"/>
      <c r="O188" s="19"/>
      <c r="P188" s="19"/>
      <c r="Q188" s="19"/>
      <c r="R188" s="19"/>
    </row>
    <row r="189" spans="1:18" ht="14.25" customHeight="1" x14ac:dyDescent="0.15">
      <c r="A189" s="19"/>
      <c r="B189" s="19"/>
      <c r="C189" s="19"/>
      <c r="D189" s="19">
        <f>D187*D188</f>
        <v>32399.999999999996</v>
      </c>
      <c r="E189" s="19">
        <f>E188*E186</f>
        <v>8400</v>
      </c>
      <c r="F189" s="19">
        <f t="shared" ref="F189:H189" si="130">F186*F188</f>
        <v>0</v>
      </c>
      <c r="G189" s="19">
        <f t="shared" si="130"/>
        <v>0</v>
      </c>
      <c r="H189" s="19">
        <f t="shared" si="130"/>
        <v>2735.9999999999995</v>
      </c>
      <c r="I189" s="19">
        <f t="shared" ref="I189:N189" si="131">I186*I187</f>
        <v>0</v>
      </c>
      <c r="J189" s="19">
        <f t="shared" si="131"/>
        <v>2000</v>
      </c>
      <c r="K189" s="19">
        <f t="shared" si="131"/>
        <v>2250</v>
      </c>
      <c r="L189" s="19">
        <f t="shared" si="131"/>
        <v>2106</v>
      </c>
      <c r="M189" s="19">
        <f t="shared" si="131"/>
        <v>6000</v>
      </c>
      <c r="N189" s="19">
        <f t="shared" si="131"/>
        <v>3168</v>
      </c>
      <c r="O189" s="19">
        <f>SUM(D189:N189)</f>
        <v>59060</v>
      </c>
      <c r="P189" s="19">
        <f>O189/A187</f>
        <v>9843.3333333333339</v>
      </c>
      <c r="Q189" s="19">
        <f>P189*Q186</f>
        <v>19686.666666666668</v>
      </c>
      <c r="R189" s="19">
        <f>MROUND(Q189,100)</f>
        <v>19700</v>
      </c>
    </row>
    <row r="190" spans="1:18" ht="14.25" customHeight="1" x14ac:dyDescent="0.1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</row>
    <row r="191" spans="1:18" ht="14.25" customHeight="1" x14ac:dyDescent="0.3">
      <c r="A191" s="109" t="str">
        <f>PRICELIST!I243</f>
        <v>WSTK-LNR-SH-LVM-1200-F</v>
      </c>
      <c r="B191" s="87"/>
      <c r="C191" s="87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7"/>
    </row>
    <row r="192" spans="1:18" ht="14.25" customHeight="1" x14ac:dyDescent="0.15">
      <c r="A192" s="19" t="s">
        <v>57</v>
      </c>
      <c r="B192" s="19" t="s">
        <v>59</v>
      </c>
      <c r="C192" s="19" t="s">
        <v>62</v>
      </c>
      <c r="D192" s="19" t="s">
        <v>64</v>
      </c>
      <c r="E192" s="19">
        <v>1200</v>
      </c>
      <c r="F192" s="19">
        <v>900</v>
      </c>
      <c r="G192" s="19">
        <v>600</v>
      </c>
      <c r="H192" s="19" t="s">
        <v>67</v>
      </c>
      <c r="I192" s="19" t="s">
        <v>68</v>
      </c>
      <c r="J192" s="19" t="s">
        <v>69</v>
      </c>
      <c r="K192" s="19" t="s">
        <v>71</v>
      </c>
      <c r="L192" s="19" t="s">
        <v>72</v>
      </c>
      <c r="M192" s="19" t="s">
        <v>73</v>
      </c>
      <c r="N192" s="19" t="s">
        <v>75</v>
      </c>
      <c r="O192" s="19" t="s">
        <v>76</v>
      </c>
      <c r="P192" s="19" t="s">
        <v>78</v>
      </c>
      <c r="Q192" s="19" t="s">
        <v>79</v>
      </c>
      <c r="R192" s="19" t="s">
        <v>81</v>
      </c>
    </row>
    <row r="193" spans="1:18" ht="14.25" customHeight="1" x14ac:dyDescent="0.15">
      <c r="A193" s="21">
        <f t="shared" ref="A193:H193" si="132">A186</f>
        <v>0</v>
      </c>
      <c r="B193" s="21">
        <f t="shared" si="132"/>
        <v>0</v>
      </c>
      <c r="C193" s="21">
        <f t="shared" si="132"/>
        <v>0</v>
      </c>
      <c r="D193" s="21">
        <f t="shared" si="132"/>
        <v>0</v>
      </c>
      <c r="E193" s="23" t="str">
        <f t="shared" si="132"/>
        <v>4200</v>
      </c>
      <c r="F193" s="23" t="str">
        <f t="shared" si="132"/>
        <v>4000</v>
      </c>
      <c r="G193" s="23" t="str">
        <f t="shared" si="132"/>
        <v>3800</v>
      </c>
      <c r="H193" s="23">
        <f t="shared" si="132"/>
        <v>380</v>
      </c>
      <c r="I193" s="23" t="str">
        <f>I172</f>
        <v>4800</v>
      </c>
      <c r="J193" s="23" t="str">
        <f t="shared" ref="J193:Q193" si="133">J186</f>
        <v>1000</v>
      </c>
      <c r="K193" s="23">
        <f t="shared" si="133"/>
        <v>375</v>
      </c>
      <c r="L193" s="23">
        <f t="shared" si="133"/>
        <v>585</v>
      </c>
      <c r="M193" s="23" t="str">
        <f t="shared" si="133"/>
        <v>1000</v>
      </c>
      <c r="N193" s="23">
        <f t="shared" si="133"/>
        <v>3300</v>
      </c>
      <c r="O193" s="23">
        <f t="shared" si="133"/>
        <v>0</v>
      </c>
      <c r="P193" s="23">
        <f t="shared" si="133"/>
        <v>0</v>
      </c>
      <c r="Q193" s="23">
        <f t="shared" si="133"/>
        <v>2</v>
      </c>
      <c r="R193" s="21"/>
    </row>
    <row r="194" spans="1:18" ht="14.25" customHeight="1" x14ac:dyDescent="0.15">
      <c r="A194" s="19">
        <v>6</v>
      </c>
      <c r="B194" s="19">
        <f>1.2*3</f>
        <v>3.5999999999999996</v>
      </c>
      <c r="C194" s="19">
        <v>1.2</v>
      </c>
      <c r="D194" s="19">
        <f>B194*C194</f>
        <v>4.3199999999999994</v>
      </c>
      <c r="E194" s="19"/>
      <c r="F194" s="19"/>
      <c r="G194" s="19"/>
      <c r="H194" s="19"/>
      <c r="I194" s="19">
        <f>B194*0.4</f>
        <v>1.44</v>
      </c>
      <c r="J194" s="19">
        <v>2</v>
      </c>
      <c r="K194" s="19">
        <f t="shared" ref="K194:L194" si="134">A194</f>
        <v>6</v>
      </c>
      <c r="L194" s="19">
        <f t="shared" si="134"/>
        <v>3.5999999999999996</v>
      </c>
      <c r="M194" s="19">
        <f>A194</f>
        <v>6</v>
      </c>
      <c r="N194" s="19">
        <f>(1.2*0.4)*2</f>
        <v>0.96</v>
      </c>
      <c r="O194" s="19"/>
      <c r="P194" s="19"/>
      <c r="Q194" s="19"/>
      <c r="R194" s="19"/>
    </row>
    <row r="195" spans="1:18" ht="14.25" customHeight="1" x14ac:dyDescent="0.15">
      <c r="A195" s="19"/>
      <c r="B195" s="19"/>
      <c r="C195" s="19"/>
      <c r="D195" s="26" t="str">
        <f>D83</f>
        <v>9500</v>
      </c>
      <c r="E195" s="19">
        <v>2</v>
      </c>
      <c r="F195" s="19">
        <v>0</v>
      </c>
      <c r="G195" s="19">
        <v>0</v>
      </c>
      <c r="H195" s="19">
        <f>B194*2</f>
        <v>7.1999999999999993</v>
      </c>
      <c r="I195" s="19"/>
      <c r="J195" s="19"/>
      <c r="K195" s="19"/>
      <c r="L195" s="19"/>
      <c r="M195" s="19"/>
      <c r="N195" s="28"/>
      <c r="O195" s="19"/>
      <c r="P195" s="19"/>
      <c r="Q195" s="19"/>
      <c r="R195" s="19"/>
    </row>
    <row r="196" spans="1:18" ht="14.25" customHeight="1" x14ac:dyDescent="0.15">
      <c r="A196" s="19"/>
      <c r="B196" s="19"/>
      <c r="C196" s="19"/>
      <c r="D196" s="19">
        <f>D194*D195</f>
        <v>41039.999999999993</v>
      </c>
      <c r="E196" s="19">
        <f>E195*E193</f>
        <v>8400</v>
      </c>
      <c r="F196" s="19">
        <f t="shared" ref="F196:H196" si="135">F193*F195</f>
        <v>0</v>
      </c>
      <c r="G196" s="19">
        <f t="shared" si="135"/>
        <v>0</v>
      </c>
      <c r="H196" s="19">
        <f t="shared" si="135"/>
        <v>2735.9999999999995</v>
      </c>
      <c r="I196" s="19">
        <f t="shared" ref="I196:N196" si="136">I193*I194</f>
        <v>6912</v>
      </c>
      <c r="J196" s="19">
        <f t="shared" si="136"/>
        <v>2000</v>
      </c>
      <c r="K196" s="19">
        <f t="shared" si="136"/>
        <v>2250</v>
      </c>
      <c r="L196" s="19">
        <f t="shared" si="136"/>
        <v>2106</v>
      </c>
      <c r="M196" s="19">
        <f t="shared" si="136"/>
        <v>6000</v>
      </c>
      <c r="N196" s="19">
        <f t="shared" si="136"/>
        <v>3168</v>
      </c>
      <c r="O196" s="19">
        <f>SUM(D196:N196)</f>
        <v>74612</v>
      </c>
      <c r="P196" s="19">
        <f>O196/A194</f>
        <v>12435.333333333334</v>
      </c>
      <c r="Q196" s="19">
        <f>P196*Q193</f>
        <v>24870.666666666668</v>
      </c>
      <c r="R196" s="19">
        <f>MROUND(Q196,100)</f>
        <v>24900</v>
      </c>
    </row>
    <row r="197" spans="1:18" ht="14.25" customHeight="1" x14ac:dyDescent="0.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</row>
    <row r="198" spans="1:18" ht="14.25" customHeight="1" x14ac:dyDescent="0.3">
      <c r="A198" s="109" t="str">
        <f>PRICELIST!I244</f>
        <v>WSTK-LNR-SH-LVM-1200-G</v>
      </c>
      <c r="B198" s="87"/>
      <c r="C198" s="87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7"/>
    </row>
    <row r="199" spans="1:18" ht="14.25" customHeight="1" x14ac:dyDescent="0.15">
      <c r="A199" s="19" t="s">
        <v>57</v>
      </c>
      <c r="B199" s="19" t="s">
        <v>59</v>
      </c>
      <c r="C199" s="19" t="s">
        <v>62</v>
      </c>
      <c r="D199" s="19" t="s">
        <v>64</v>
      </c>
      <c r="E199" s="19">
        <v>1200</v>
      </c>
      <c r="F199" s="19">
        <v>900</v>
      </c>
      <c r="G199" s="19">
        <v>600</v>
      </c>
      <c r="H199" s="19" t="s">
        <v>67</v>
      </c>
      <c r="I199" s="19" t="s">
        <v>68</v>
      </c>
      <c r="J199" s="19" t="s">
        <v>69</v>
      </c>
      <c r="K199" s="19" t="s">
        <v>71</v>
      </c>
      <c r="L199" s="19" t="s">
        <v>72</v>
      </c>
      <c r="M199" s="19" t="s">
        <v>73</v>
      </c>
      <c r="N199" s="19" t="s">
        <v>75</v>
      </c>
      <c r="O199" s="19" t="s">
        <v>76</v>
      </c>
      <c r="P199" s="19" t="s">
        <v>78</v>
      </c>
      <c r="Q199" s="19" t="s">
        <v>79</v>
      </c>
      <c r="R199" s="19" t="s">
        <v>81</v>
      </c>
    </row>
    <row r="200" spans="1:18" ht="14.25" customHeight="1" x14ac:dyDescent="0.15">
      <c r="A200" s="21">
        <f t="shared" ref="A200:H200" si="137">A193</f>
        <v>0</v>
      </c>
      <c r="B200" s="21">
        <f t="shared" si="137"/>
        <v>0</v>
      </c>
      <c r="C200" s="21">
        <f t="shared" si="137"/>
        <v>0</v>
      </c>
      <c r="D200" s="21">
        <f t="shared" si="137"/>
        <v>0</v>
      </c>
      <c r="E200" s="23" t="str">
        <f t="shared" si="137"/>
        <v>4200</v>
      </c>
      <c r="F200" s="23" t="str">
        <f t="shared" si="137"/>
        <v>4000</v>
      </c>
      <c r="G200" s="23" t="str">
        <f t="shared" si="137"/>
        <v>3800</v>
      </c>
      <c r="H200" s="23">
        <f t="shared" si="137"/>
        <v>380</v>
      </c>
      <c r="I200" s="23" t="str">
        <f>I179</f>
        <v>5500</v>
      </c>
      <c r="J200" s="23" t="str">
        <f t="shared" ref="J200:Q200" si="138">J193</f>
        <v>1000</v>
      </c>
      <c r="K200" s="23">
        <f t="shared" si="138"/>
        <v>375</v>
      </c>
      <c r="L200" s="23">
        <f t="shared" si="138"/>
        <v>585</v>
      </c>
      <c r="M200" s="23" t="str">
        <f t="shared" si="138"/>
        <v>1000</v>
      </c>
      <c r="N200" s="23">
        <f t="shared" si="138"/>
        <v>3300</v>
      </c>
      <c r="O200" s="23">
        <f t="shared" si="138"/>
        <v>0</v>
      </c>
      <c r="P200" s="23">
        <f t="shared" si="138"/>
        <v>0</v>
      </c>
      <c r="Q200" s="23">
        <f t="shared" si="138"/>
        <v>2</v>
      </c>
      <c r="R200" s="21"/>
    </row>
    <row r="201" spans="1:18" ht="14.25" customHeight="1" x14ac:dyDescent="0.15">
      <c r="A201" s="19">
        <v>6</v>
      </c>
      <c r="B201" s="19">
        <f>1.2*3</f>
        <v>3.5999999999999996</v>
      </c>
      <c r="C201" s="19">
        <v>1.2</v>
      </c>
      <c r="D201" s="19">
        <f>B201*C201</f>
        <v>4.3199999999999994</v>
      </c>
      <c r="E201" s="19"/>
      <c r="F201" s="19"/>
      <c r="G201" s="19"/>
      <c r="H201" s="19"/>
      <c r="I201" s="19">
        <f>B201*0.4</f>
        <v>1.44</v>
      </c>
      <c r="J201" s="19">
        <v>2</v>
      </c>
      <c r="K201" s="19">
        <f t="shared" ref="K201:L201" si="139">A201</f>
        <v>6</v>
      </c>
      <c r="L201" s="19">
        <f t="shared" si="139"/>
        <v>3.5999999999999996</v>
      </c>
      <c r="M201" s="19">
        <f>A201</f>
        <v>6</v>
      </c>
      <c r="N201" s="19">
        <f>(1.2*0.4)*2</f>
        <v>0.96</v>
      </c>
      <c r="O201" s="19"/>
      <c r="P201" s="19"/>
      <c r="Q201" s="19"/>
      <c r="R201" s="19"/>
    </row>
    <row r="202" spans="1:18" ht="14.25" customHeight="1" x14ac:dyDescent="0.15">
      <c r="A202" s="19"/>
      <c r="B202" s="19"/>
      <c r="C202" s="19"/>
      <c r="D202" s="26" t="str">
        <f>D195</f>
        <v>9500</v>
      </c>
      <c r="E202" s="19">
        <v>2</v>
      </c>
      <c r="F202" s="19">
        <v>0</v>
      </c>
      <c r="G202" s="19">
        <v>0</v>
      </c>
      <c r="H202" s="19">
        <f>B201*2</f>
        <v>7.1999999999999993</v>
      </c>
      <c r="I202" s="19"/>
      <c r="J202" s="19"/>
      <c r="K202" s="19"/>
      <c r="L202" s="19"/>
      <c r="M202" s="19"/>
      <c r="N202" s="28"/>
      <c r="O202" s="19"/>
      <c r="P202" s="19"/>
      <c r="Q202" s="19"/>
      <c r="R202" s="19"/>
    </row>
    <row r="203" spans="1:18" ht="14.25" customHeight="1" x14ac:dyDescent="0.15">
      <c r="A203" s="19"/>
      <c r="B203" s="19"/>
      <c r="C203" s="19"/>
      <c r="D203" s="19">
        <f>D201*D202</f>
        <v>41039.999999999993</v>
      </c>
      <c r="E203" s="19">
        <f>E202*E200</f>
        <v>8400</v>
      </c>
      <c r="F203" s="19">
        <f t="shared" ref="F203:H203" si="140">F200*F202</f>
        <v>0</v>
      </c>
      <c r="G203" s="19">
        <f t="shared" si="140"/>
        <v>0</v>
      </c>
      <c r="H203" s="19">
        <f t="shared" si="140"/>
        <v>2735.9999999999995</v>
      </c>
      <c r="I203" s="19">
        <f t="shared" ref="I203:N203" si="141">I200*I201</f>
        <v>7920</v>
      </c>
      <c r="J203" s="19">
        <f t="shared" si="141"/>
        <v>2000</v>
      </c>
      <c r="K203" s="19">
        <f t="shared" si="141"/>
        <v>2250</v>
      </c>
      <c r="L203" s="19">
        <f t="shared" si="141"/>
        <v>2106</v>
      </c>
      <c r="M203" s="19">
        <f t="shared" si="141"/>
        <v>6000</v>
      </c>
      <c r="N203" s="19">
        <f t="shared" si="141"/>
        <v>3168</v>
      </c>
      <c r="O203" s="19">
        <f>SUM(D203:N203)</f>
        <v>75620</v>
      </c>
      <c r="P203" s="19">
        <f>O203/A201</f>
        <v>12603.333333333334</v>
      </c>
      <c r="Q203" s="19">
        <f>P203*Q200</f>
        <v>25206.666666666668</v>
      </c>
      <c r="R203" s="19">
        <f>MROUND(Q203,100)</f>
        <v>25200</v>
      </c>
    </row>
    <row r="204" spans="1:18" ht="14.25" customHeight="1" x14ac:dyDescent="0.1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</row>
    <row r="205" spans="1:18" ht="14.25" customHeight="1" x14ac:dyDescent="0.3">
      <c r="A205" s="109" t="str">
        <f>PRICELIST!I245</f>
        <v>WSTK-LNR-SH-LVM-1200-X</v>
      </c>
      <c r="B205" s="87"/>
      <c r="C205" s="87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7"/>
    </row>
    <row r="206" spans="1:18" ht="14.25" customHeight="1" x14ac:dyDescent="0.15">
      <c r="A206" s="19" t="s">
        <v>57</v>
      </c>
      <c r="B206" s="19" t="s">
        <v>59</v>
      </c>
      <c r="C206" s="19" t="s">
        <v>62</v>
      </c>
      <c r="D206" s="19" t="s">
        <v>64</v>
      </c>
      <c r="E206" s="19">
        <v>1200</v>
      </c>
      <c r="F206" s="19">
        <v>900</v>
      </c>
      <c r="G206" s="19">
        <v>600</v>
      </c>
      <c r="H206" s="19" t="s">
        <v>67</v>
      </c>
      <c r="I206" s="19" t="s">
        <v>68</v>
      </c>
      <c r="J206" s="19" t="s">
        <v>69</v>
      </c>
      <c r="K206" s="19" t="s">
        <v>71</v>
      </c>
      <c r="L206" s="19" t="s">
        <v>72</v>
      </c>
      <c r="M206" s="19" t="s">
        <v>73</v>
      </c>
      <c r="N206" s="19" t="s">
        <v>75</v>
      </c>
      <c r="O206" s="19" t="s">
        <v>76</v>
      </c>
      <c r="P206" s="19" t="s">
        <v>78</v>
      </c>
      <c r="Q206" s="19" t="s">
        <v>79</v>
      </c>
      <c r="R206" s="19" t="s">
        <v>81</v>
      </c>
    </row>
    <row r="207" spans="1:18" ht="14.25" customHeight="1" x14ac:dyDescent="0.15">
      <c r="A207" s="21">
        <f t="shared" ref="A207:H207" si="142">A200</f>
        <v>0</v>
      </c>
      <c r="B207" s="21">
        <f t="shared" si="142"/>
        <v>0</v>
      </c>
      <c r="C207" s="21">
        <f t="shared" si="142"/>
        <v>0</v>
      </c>
      <c r="D207" s="21">
        <f t="shared" si="142"/>
        <v>0</v>
      </c>
      <c r="E207" s="23" t="str">
        <f t="shared" si="142"/>
        <v>4200</v>
      </c>
      <c r="F207" s="23" t="str">
        <f t="shared" si="142"/>
        <v>4000</v>
      </c>
      <c r="G207" s="23" t="str">
        <f t="shared" si="142"/>
        <v>3800</v>
      </c>
      <c r="H207" s="23">
        <f t="shared" si="142"/>
        <v>380</v>
      </c>
      <c r="I207" s="23" t="str">
        <f>I186</f>
        <v>0</v>
      </c>
      <c r="J207" s="23" t="str">
        <f t="shared" ref="J207:Q207" si="143">J200</f>
        <v>1000</v>
      </c>
      <c r="K207" s="23">
        <f t="shared" si="143"/>
        <v>375</v>
      </c>
      <c r="L207" s="23">
        <f t="shared" si="143"/>
        <v>585</v>
      </c>
      <c r="M207" s="23" t="str">
        <f t="shared" si="143"/>
        <v>1000</v>
      </c>
      <c r="N207" s="23">
        <f t="shared" si="143"/>
        <v>3300</v>
      </c>
      <c r="O207" s="23">
        <f t="shared" si="143"/>
        <v>0</v>
      </c>
      <c r="P207" s="23">
        <f t="shared" si="143"/>
        <v>0</v>
      </c>
      <c r="Q207" s="23">
        <f t="shared" si="143"/>
        <v>2</v>
      </c>
      <c r="R207" s="21"/>
    </row>
    <row r="208" spans="1:18" ht="14.25" customHeight="1" x14ac:dyDescent="0.15">
      <c r="A208" s="19">
        <v>6</v>
      </c>
      <c r="B208" s="19">
        <f>1.2*3</f>
        <v>3.5999999999999996</v>
      </c>
      <c r="C208" s="19">
        <v>1.2</v>
      </c>
      <c r="D208" s="19">
        <f>B208*C208</f>
        <v>4.3199999999999994</v>
      </c>
      <c r="E208" s="19"/>
      <c r="F208" s="19"/>
      <c r="G208" s="19"/>
      <c r="H208" s="19"/>
      <c r="I208" s="19">
        <f>B208*0.4</f>
        <v>1.44</v>
      </c>
      <c r="J208" s="19">
        <v>2</v>
      </c>
      <c r="K208" s="19">
        <f t="shared" ref="K208:L208" si="144">A208</f>
        <v>6</v>
      </c>
      <c r="L208" s="19">
        <f t="shared" si="144"/>
        <v>3.5999999999999996</v>
      </c>
      <c r="M208" s="19">
        <f>A208</f>
        <v>6</v>
      </c>
      <c r="N208" s="19">
        <f>(1.2*0.4)*2</f>
        <v>0.96</v>
      </c>
      <c r="O208" s="19"/>
      <c r="P208" s="19"/>
      <c r="Q208" s="19"/>
      <c r="R208" s="19"/>
    </row>
    <row r="209" spans="1:18" ht="14.25" customHeight="1" x14ac:dyDescent="0.15">
      <c r="A209" s="19"/>
      <c r="B209" s="19"/>
      <c r="C209" s="19"/>
      <c r="D209" s="26" t="str">
        <f>D202</f>
        <v>9500</v>
      </c>
      <c r="E209" s="19">
        <v>2</v>
      </c>
      <c r="F209" s="19">
        <v>0</v>
      </c>
      <c r="G209" s="19">
        <v>0</v>
      </c>
      <c r="H209" s="19">
        <f>B208*2</f>
        <v>7.1999999999999993</v>
      </c>
      <c r="I209" s="19"/>
      <c r="J209" s="19"/>
      <c r="K209" s="19"/>
      <c r="L209" s="19"/>
      <c r="M209" s="19"/>
      <c r="N209" s="28"/>
      <c r="O209" s="19"/>
      <c r="P209" s="19"/>
      <c r="Q209" s="19"/>
      <c r="R209" s="19"/>
    </row>
    <row r="210" spans="1:18" ht="14.25" customHeight="1" x14ac:dyDescent="0.15">
      <c r="A210" s="19"/>
      <c r="B210" s="19"/>
      <c r="C210" s="19"/>
      <c r="D210" s="19">
        <f>D208*D209</f>
        <v>41039.999999999993</v>
      </c>
      <c r="E210" s="19">
        <f>E209*E207</f>
        <v>8400</v>
      </c>
      <c r="F210" s="19">
        <f t="shared" ref="F210:H210" si="145">F207*F209</f>
        <v>0</v>
      </c>
      <c r="G210" s="19">
        <f t="shared" si="145"/>
        <v>0</v>
      </c>
      <c r="H210" s="19">
        <f t="shared" si="145"/>
        <v>2735.9999999999995</v>
      </c>
      <c r="I210" s="19">
        <f t="shared" ref="I210:N210" si="146">I207*I208</f>
        <v>0</v>
      </c>
      <c r="J210" s="19">
        <f t="shared" si="146"/>
        <v>2000</v>
      </c>
      <c r="K210" s="19">
        <f t="shared" si="146"/>
        <v>2250</v>
      </c>
      <c r="L210" s="19">
        <f t="shared" si="146"/>
        <v>2106</v>
      </c>
      <c r="M210" s="19">
        <f t="shared" si="146"/>
        <v>6000</v>
      </c>
      <c r="N210" s="19">
        <f t="shared" si="146"/>
        <v>3168</v>
      </c>
      <c r="O210" s="19">
        <f>SUM(D210:N210)</f>
        <v>67700</v>
      </c>
      <c r="P210" s="19">
        <f>O210/A208</f>
        <v>11283.333333333334</v>
      </c>
      <c r="Q210" s="19">
        <f>P210*Q207</f>
        <v>22566.666666666668</v>
      </c>
      <c r="R210" s="19">
        <f>MROUND(Q210,100)</f>
        <v>22600</v>
      </c>
    </row>
    <row r="211" spans="1:18" ht="14.25" customHeight="1" x14ac:dyDescent="0.1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</row>
    <row r="212" spans="1:18" ht="14.25" customHeight="1" x14ac:dyDescent="0.3">
      <c r="A212" s="109" t="str">
        <f>PRICELIST!I246</f>
        <v>WSTK-LNR-SH-LVP-1200-F</v>
      </c>
      <c r="B212" s="87"/>
      <c r="C212" s="87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7"/>
    </row>
    <row r="213" spans="1:18" ht="14.25" customHeight="1" x14ac:dyDescent="0.15">
      <c r="A213" s="19" t="s">
        <v>57</v>
      </c>
      <c r="B213" s="19" t="s">
        <v>59</v>
      </c>
      <c r="C213" s="19" t="s">
        <v>62</v>
      </c>
      <c r="D213" s="19" t="s">
        <v>64</v>
      </c>
      <c r="E213" s="19">
        <v>1200</v>
      </c>
      <c r="F213" s="19">
        <v>900</v>
      </c>
      <c r="G213" s="19">
        <v>600</v>
      </c>
      <c r="H213" s="19" t="s">
        <v>67</v>
      </c>
      <c r="I213" s="19" t="s">
        <v>68</v>
      </c>
      <c r="J213" s="19" t="s">
        <v>69</v>
      </c>
      <c r="K213" s="19" t="s">
        <v>71</v>
      </c>
      <c r="L213" s="19" t="s">
        <v>72</v>
      </c>
      <c r="M213" s="19" t="s">
        <v>73</v>
      </c>
      <c r="N213" s="19" t="s">
        <v>75</v>
      </c>
      <c r="O213" s="19" t="s">
        <v>76</v>
      </c>
      <c r="P213" s="19" t="s">
        <v>78</v>
      </c>
      <c r="Q213" s="19" t="s">
        <v>79</v>
      </c>
      <c r="R213" s="19" t="s">
        <v>81</v>
      </c>
    </row>
    <row r="214" spans="1:18" ht="14.25" customHeight="1" x14ac:dyDescent="0.15">
      <c r="A214" s="21">
        <f t="shared" ref="A214:H214" si="147">A207</f>
        <v>0</v>
      </c>
      <c r="B214" s="21">
        <f t="shared" si="147"/>
        <v>0</v>
      </c>
      <c r="C214" s="21">
        <f t="shared" si="147"/>
        <v>0</v>
      </c>
      <c r="D214" s="21">
        <f t="shared" si="147"/>
        <v>0</v>
      </c>
      <c r="E214" s="23" t="str">
        <f t="shared" si="147"/>
        <v>4200</v>
      </c>
      <c r="F214" s="23" t="str">
        <f t="shared" si="147"/>
        <v>4000</v>
      </c>
      <c r="G214" s="23" t="str">
        <f t="shared" si="147"/>
        <v>3800</v>
      </c>
      <c r="H214" s="23">
        <f t="shared" si="147"/>
        <v>380</v>
      </c>
      <c r="I214" s="23" t="str">
        <f>I193</f>
        <v>4800</v>
      </c>
      <c r="J214" s="23" t="str">
        <f t="shared" ref="J214:Q214" si="148">J207</f>
        <v>1000</v>
      </c>
      <c r="K214" s="23">
        <f t="shared" si="148"/>
        <v>375</v>
      </c>
      <c r="L214" s="23">
        <f t="shared" si="148"/>
        <v>585</v>
      </c>
      <c r="M214" s="23" t="str">
        <f t="shared" si="148"/>
        <v>1000</v>
      </c>
      <c r="N214" s="23">
        <f t="shared" si="148"/>
        <v>3300</v>
      </c>
      <c r="O214" s="23">
        <f t="shared" si="148"/>
        <v>0</v>
      </c>
      <c r="P214" s="23">
        <f t="shared" si="148"/>
        <v>0</v>
      </c>
      <c r="Q214" s="23">
        <f t="shared" si="148"/>
        <v>2</v>
      </c>
      <c r="R214" s="21"/>
    </row>
    <row r="215" spans="1:18" ht="14.25" customHeight="1" x14ac:dyDescent="0.15">
      <c r="A215" s="19">
        <v>6</v>
      </c>
      <c r="B215" s="19">
        <f>1.2*3</f>
        <v>3.5999999999999996</v>
      </c>
      <c r="C215" s="19">
        <v>1.2</v>
      </c>
      <c r="D215" s="19">
        <f>B215*C215</f>
        <v>4.3199999999999994</v>
      </c>
      <c r="E215" s="19"/>
      <c r="F215" s="19"/>
      <c r="G215" s="19"/>
      <c r="H215" s="19"/>
      <c r="I215" s="19">
        <f>B215*0.4</f>
        <v>1.44</v>
      </c>
      <c r="J215" s="19">
        <v>2</v>
      </c>
      <c r="K215" s="19">
        <f t="shared" ref="K215:L215" si="149">A215</f>
        <v>6</v>
      </c>
      <c r="L215" s="19">
        <f t="shared" si="149"/>
        <v>3.5999999999999996</v>
      </c>
      <c r="M215" s="19">
        <f>A215</f>
        <v>6</v>
      </c>
      <c r="N215" s="19">
        <f>(1.2*0.4)*2</f>
        <v>0.96</v>
      </c>
      <c r="O215" s="19"/>
      <c r="P215" s="19"/>
      <c r="Q215" s="19"/>
      <c r="R215" s="19"/>
    </row>
    <row r="216" spans="1:18" ht="14.25" customHeight="1" x14ac:dyDescent="0.15">
      <c r="A216" s="19"/>
      <c r="B216" s="19"/>
      <c r="C216" s="19"/>
      <c r="D216" s="26" t="str">
        <f>D97</f>
        <v>10500</v>
      </c>
      <c r="E216" s="19">
        <v>2</v>
      </c>
      <c r="F216" s="19">
        <v>0</v>
      </c>
      <c r="G216" s="19">
        <v>0</v>
      </c>
      <c r="H216" s="19">
        <f>B215*2</f>
        <v>7.1999999999999993</v>
      </c>
      <c r="I216" s="19"/>
      <c r="J216" s="19"/>
      <c r="K216" s="19"/>
      <c r="L216" s="19"/>
      <c r="M216" s="19"/>
      <c r="N216" s="28"/>
      <c r="O216" s="19"/>
      <c r="P216" s="19"/>
      <c r="Q216" s="19"/>
      <c r="R216" s="19"/>
    </row>
    <row r="217" spans="1:18" ht="14.25" customHeight="1" x14ac:dyDescent="0.15">
      <c r="A217" s="19"/>
      <c r="B217" s="19"/>
      <c r="C217" s="19"/>
      <c r="D217" s="19">
        <f>D215*D216</f>
        <v>45359.999999999993</v>
      </c>
      <c r="E217" s="19">
        <f>E216*E214</f>
        <v>8400</v>
      </c>
      <c r="F217" s="19">
        <f t="shared" ref="F217:H217" si="150">F214*F216</f>
        <v>0</v>
      </c>
      <c r="G217" s="19">
        <f t="shared" si="150"/>
        <v>0</v>
      </c>
      <c r="H217" s="19">
        <f t="shared" si="150"/>
        <v>2735.9999999999995</v>
      </c>
      <c r="I217" s="19">
        <f t="shared" ref="I217:N217" si="151">I214*I215</f>
        <v>6912</v>
      </c>
      <c r="J217" s="19">
        <f t="shared" si="151"/>
        <v>2000</v>
      </c>
      <c r="K217" s="19">
        <f t="shared" si="151"/>
        <v>2250</v>
      </c>
      <c r="L217" s="19">
        <f t="shared" si="151"/>
        <v>2106</v>
      </c>
      <c r="M217" s="19">
        <f t="shared" si="151"/>
        <v>6000</v>
      </c>
      <c r="N217" s="19">
        <f t="shared" si="151"/>
        <v>3168</v>
      </c>
      <c r="O217" s="19">
        <f>SUM(D217:N217)</f>
        <v>78932</v>
      </c>
      <c r="P217" s="19">
        <f>O217/A215</f>
        <v>13155.333333333334</v>
      </c>
      <c r="Q217" s="19">
        <f>P217*Q214</f>
        <v>26310.666666666668</v>
      </c>
      <c r="R217" s="19">
        <f>MROUND(Q217,100)</f>
        <v>26300</v>
      </c>
    </row>
    <row r="218" spans="1:18" ht="14.25" customHeight="1" x14ac:dyDescent="0.1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</row>
    <row r="219" spans="1:18" ht="14.25" customHeight="1" x14ac:dyDescent="0.3">
      <c r="A219" s="109" t="str">
        <f>PRICELIST!I247</f>
        <v>WSTK-LNR-SH-LVP-1200-G</v>
      </c>
      <c r="B219" s="87"/>
      <c r="C219" s="87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7"/>
    </row>
    <row r="220" spans="1:18" ht="14.25" customHeight="1" x14ac:dyDescent="0.15">
      <c r="A220" s="19" t="s">
        <v>57</v>
      </c>
      <c r="B220" s="19" t="s">
        <v>59</v>
      </c>
      <c r="C220" s="19" t="s">
        <v>62</v>
      </c>
      <c r="D220" s="19" t="s">
        <v>64</v>
      </c>
      <c r="E220" s="19">
        <v>1200</v>
      </c>
      <c r="F220" s="19">
        <v>900</v>
      </c>
      <c r="G220" s="19">
        <v>600</v>
      </c>
      <c r="H220" s="19" t="s">
        <v>67</v>
      </c>
      <c r="I220" s="19" t="s">
        <v>68</v>
      </c>
      <c r="J220" s="19" t="s">
        <v>69</v>
      </c>
      <c r="K220" s="19" t="s">
        <v>71</v>
      </c>
      <c r="L220" s="19" t="s">
        <v>72</v>
      </c>
      <c r="M220" s="19" t="s">
        <v>73</v>
      </c>
      <c r="N220" s="19" t="s">
        <v>75</v>
      </c>
      <c r="O220" s="19" t="s">
        <v>76</v>
      </c>
      <c r="P220" s="19" t="s">
        <v>78</v>
      </c>
      <c r="Q220" s="19" t="s">
        <v>79</v>
      </c>
      <c r="R220" s="19" t="s">
        <v>81</v>
      </c>
    </row>
    <row r="221" spans="1:18" ht="14.25" customHeight="1" x14ac:dyDescent="0.15">
      <c r="A221" s="21">
        <f t="shared" ref="A221:H221" si="152">A214</f>
        <v>0</v>
      </c>
      <c r="B221" s="21">
        <f t="shared" si="152"/>
        <v>0</v>
      </c>
      <c r="C221" s="21">
        <f t="shared" si="152"/>
        <v>0</v>
      </c>
      <c r="D221" s="21">
        <f t="shared" si="152"/>
        <v>0</v>
      </c>
      <c r="E221" s="23" t="str">
        <f t="shared" si="152"/>
        <v>4200</v>
      </c>
      <c r="F221" s="23" t="str">
        <f t="shared" si="152"/>
        <v>4000</v>
      </c>
      <c r="G221" s="23" t="str">
        <f t="shared" si="152"/>
        <v>3800</v>
      </c>
      <c r="H221" s="23">
        <f t="shared" si="152"/>
        <v>380</v>
      </c>
      <c r="I221" s="23" t="str">
        <f>I200</f>
        <v>5500</v>
      </c>
      <c r="J221" s="23" t="str">
        <f t="shared" ref="J221:Q221" si="153">J214</f>
        <v>1000</v>
      </c>
      <c r="K221" s="23">
        <f t="shared" si="153"/>
        <v>375</v>
      </c>
      <c r="L221" s="23">
        <f t="shared" si="153"/>
        <v>585</v>
      </c>
      <c r="M221" s="23" t="str">
        <f t="shared" si="153"/>
        <v>1000</v>
      </c>
      <c r="N221" s="23">
        <f t="shared" si="153"/>
        <v>3300</v>
      </c>
      <c r="O221" s="23">
        <f t="shared" si="153"/>
        <v>0</v>
      </c>
      <c r="P221" s="23">
        <f t="shared" si="153"/>
        <v>0</v>
      </c>
      <c r="Q221" s="23">
        <f t="shared" si="153"/>
        <v>2</v>
      </c>
      <c r="R221" s="21"/>
    </row>
    <row r="222" spans="1:18" ht="14.25" customHeight="1" x14ac:dyDescent="0.15">
      <c r="A222" s="19">
        <v>6</v>
      </c>
      <c r="B222" s="19">
        <f>1.2*3</f>
        <v>3.5999999999999996</v>
      </c>
      <c r="C222" s="19">
        <v>1.2</v>
      </c>
      <c r="D222" s="19">
        <f>B222*C222</f>
        <v>4.3199999999999994</v>
      </c>
      <c r="E222" s="19"/>
      <c r="F222" s="19"/>
      <c r="G222" s="19"/>
      <c r="H222" s="19"/>
      <c r="I222" s="19">
        <f>B222*0.4</f>
        <v>1.44</v>
      </c>
      <c r="J222" s="19">
        <v>2</v>
      </c>
      <c r="K222" s="19">
        <f t="shared" ref="K222:L222" si="154">A222</f>
        <v>6</v>
      </c>
      <c r="L222" s="19">
        <f t="shared" si="154"/>
        <v>3.5999999999999996</v>
      </c>
      <c r="M222" s="19">
        <f>A222</f>
        <v>6</v>
      </c>
      <c r="N222" s="19">
        <f>(1.2*0.4)*2</f>
        <v>0.96</v>
      </c>
      <c r="O222" s="19"/>
      <c r="P222" s="19"/>
      <c r="Q222" s="19"/>
      <c r="R222" s="19"/>
    </row>
    <row r="223" spans="1:18" ht="14.25" customHeight="1" x14ac:dyDescent="0.15">
      <c r="A223" s="19"/>
      <c r="B223" s="19"/>
      <c r="C223" s="19"/>
      <c r="D223" s="26" t="str">
        <f>D216</f>
        <v>10500</v>
      </c>
      <c r="E223" s="19">
        <v>2</v>
      </c>
      <c r="F223" s="19">
        <v>0</v>
      </c>
      <c r="G223" s="19">
        <v>0</v>
      </c>
      <c r="H223" s="19">
        <f>B222*2</f>
        <v>7.1999999999999993</v>
      </c>
      <c r="I223" s="19"/>
      <c r="J223" s="19"/>
      <c r="K223" s="19"/>
      <c r="L223" s="19"/>
      <c r="M223" s="19"/>
      <c r="N223" s="28"/>
      <c r="O223" s="19"/>
      <c r="P223" s="19"/>
      <c r="Q223" s="19"/>
      <c r="R223" s="19"/>
    </row>
    <row r="224" spans="1:18" ht="14.25" customHeight="1" x14ac:dyDescent="0.15">
      <c r="A224" s="19"/>
      <c r="B224" s="19"/>
      <c r="C224" s="19"/>
      <c r="D224" s="19">
        <f>D222*D223</f>
        <v>45359.999999999993</v>
      </c>
      <c r="E224" s="19">
        <f>E223*E221</f>
        <v>8400</v>
      </c>
      <c r="F224" s="19">
        <f t="shared" ref="F224:H224" si="155">F221*F223</f>
        <v>0</v>
      </c>
      <c r="G224" s="19">
        <f t="shared" si="155"/>
        <v>0</v>
      </c>
      <c r="H224" s="19">
        <f t="shared" si="155"/>
        <v>2735.9999999999995</v>
      </c>
      <c r="I224" s="19">
        <f t="shared" ref="I224:N224" si="156">I221*I222</f>
        <v>7920</v>
      </c>
      <c r="J224" s="19">
        <f t="shared" si="156"/>
        <v>2000</v>
      </c>
      <c r="K224" s="19">
        <f t="shared" si="156"/>
        <v>2250</v>
      </c>
      <c r="L224" s="19">
        <f t="shared" si="156"/>
        <v>2106</v>
      </c>
      <c r="M224" s="19">
        <f t="shared" si="156"/>
        <v>6000</v>
      </c>
      <c r="N224" s="19">
        <f t="shared" si="156"/>
        <v>3168</v>
      </c>
      <c r="O224" s="19">
        <f>SUM(D224:N224)</f>
        <v>79940</v>
      </c>
      <c r="P224" s="19">
        <f>O224/A222</f>
        <v>13323.333333333334</v>
      </c>
      <c r="Q224" s="19">
        <f>P224*Q221</f>
        <v>26646.666666666668</v>
      </c>
      <c r="R224" s="19">
        <f>MROUND(Q224,100)</f>
        <v>26600</v>
      </c>
    </row>
    <row r="225" spans="1:18" ht="14.25" customHeight="1" x14ac:dyDescent="0.1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</row>
    <row r="226" spans="1:18" ht="14.25" customHeight="1" x14ac:dyDescent="0.3">
      <c r="A226" s="109" t="str">
        <f>PRICELIST!I248</f>
        <v>WSTK-LNR-SH-LVP-1200-X</v>
      </c>
      <c r="B226" s="87"/>
      <c r="C226" s="87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7"/>
    </row>
    <row r="227" spans="1:18" ht="14.25" customHeight="1" x14ac:dyDescent="0.15">
      <c r="A227" s="19" t="s">
        <v>57</v>
      </c>
      <c r="B227" s="19" t="s">
        <v>59</v>
      </c>
      <c r="C227" s="19" t="s">
        <v>62</v>
      </c>
      <c r="D227" s="19" t="s">
        <v>64</v>
      </c>
      <c r="E227" s="19">
        <v>1200</v>
      </c>
      <c r="F227" s="19">
        <v>900</v>
      </c>
      <c r="G227" s="19">
        <v>600</v>
      </c>
      <c r="H227" s="19" t="s">
        <v>67</v>
      </c>
      <c r="I227" s="19" t="s">
        <v>68</v>
      </c>
      <c r="J227" s="19" t="s">
        <v>69</v>
      </c>
      <c r="K227" s="19" t="s">
        <v>71</v>
      </c>
      <c r="L227" s="19" t="s">
        <v>72</v>
      </c>
      <c r="M227" s="19" t="s">
        <v>73</v>
      </c>
      <c r="N227" s="19" t="s">
        <v>75</v>
      </c>
      <c r="O227" s="19" t="s">
        <v>76</v>
      </c>
      <c r="P227" s="19" t="s">
        <v>78</v>
      </c>
      <c r="Q227" s="19" t="s">
        <v>79</v>
      </c>
      <c r="R227" s="19" t="s">
        <v>81</v>
      </c>
    </row>
    <row r="228" spans="1:18" ht="14.25" customHeight="1" x14ac:dyDescent="0.15">
      <c r="A228" s="21">
        <f t="shared" ref="A228:H228" si="157">A221</f>
        <v>0</v>
      </c>
      <c r="B228" s="21">
        <f t="shared" si="157"/>
        <v>0</v>
      </c>
      <c r="C228" s="21">
        <f t="shared" si="157"/>
        <v>0</v>
      </c>
      <c r="D228" s="21">
        <f t="shared" si="157"/>
        <v>0</v>
      </c>
      <c r="E228" s="23" t="str">
        <f t="shared" si="157"/>
        <v>4200</v>
      </c>
      <c r="F228" s="23" t="str">
        <f t="shared" si="157"/>
        <v>4000</v>
      </c>
      <c r="G228" s="23" t="str">
        <f t="shared" si="157"/>
        <v>3800</v>
      </c>
      <c r="H228" s="23">
        <f t="shared" si="157"/>
        <v>380</v>
      </c>
      <c r="I228" s="23" t="str">
        <f>I207</f>
        <v>0</v>
      </c>
      <c r="J228" s="23" t="str">
        <f t="shared" ref="J228:Q228" si="158">J221</f>
        <v>1000</v>
      </c>
      <c r="K228" s="23">
        <f t="shared" si="158"/>
        <v>375</v>
      </c>
      <c r="L228" s="23">
        <f t="shared" si="158"/>
        <v>585</v>
      </c>
      <c r="M228" s="23" t="str">
        <f t="shared" si="158"/>
        <v>1000</v>
      </c>
      <c r="N228" s="23">
        <f t="shared" si="158"/>
        <v>3300</v>
      </c>
      <c r="O228" s="23">
        <f t="shared" si="158"/>
        <v>0</v>
      </c>
      <c r="P228" s="23">
        <f t="shared" si="158"/>
        <v>0</v>
      </c>
      <c r="Q228" s="23">
        <f t="shared" si="158"/>
        <v>2</v>
      </c>
      <c r="R228" s="21"/>
    </row>
    <row r="229" spans="1:18" ht="14.25" customHeight="1" x14ac:dyDescent="0.15">
      <c r="A229" s="19">
        <v>6</v>
      </c>
      <c r="B229" s="19">
        <f>1.2*3</f>
        <v>3.5999999999999996</v>
      </c>
      <c r="C229" s="19">
        <v>1.2</v>
      </c>
      <c r="D229" s="19">
        <f>B229*C229</f>
        <v>4.3199999999999994</v>
      </c>
      <c r="E229" s="19"/>
      <c r="F229" s="19"/>
      <c r="G229" s="19"/>
      <c r="H229" s="19"/>
      <c r="I229" s="19">
        <f>B229*0.4</f>
        <v>1.44</v>
      </c>
      <c r="J229" s="19">
        <v>2</v>
      </c>
      <c r="K229" s="19">
        <f t="shared" ref="K229:L229" si="159">A229</f>
        <v>6</v>
      </c>
      <c r="L229" s="19">
        <f t="shared" si="159"/>
        <v>3.5999999999999996</v>
      </c>
      <c r="M229" s="19">
        <f>A229</f>
        <v>6</v>
      </c>
      <c r="N229" s="19">
        <f>(1.2*0.4)*2</f>
        <v>0.96</v>
      </c>
      <c r="O229" s="19"/>
      <c r="P229" s="19"/>
      <c r="Q229" s="19"/>
      <c r="R229" s="19"/>
    </row>
    <row r="230" spans="1:18" ht="14.25" customHeight="1" x14ac:dyDescent="0.15">
      <c r="A230" s="19"/>
      <c r="B230" s="19"/>
      <c r="C230" s="19"/>
      <c r="D230" s="26" t="str">
        <f>D223</f>
        <v>10500</v>
      </c>
      <c r="E230" s="19">
        <v>2</v>
      </c>
      <c r="F230" s="19">
        <v>0</v>
      </c>
      <c r="G230" s="19">
        <v>0</v>
      </c>
      <c r="H230" s="19">
        <f>B229*2</f>
        <v>7.1999999999999993</v>
      </c>
      <c r="I230" s="19"/>
      <c r="J230" s="19"/>
      <c r="K230" s="19"/>
      <c r="L230" s="19"/>
      <c r="M230" s="19"/>
      <c r="N230" s="28"/>
      <c r="O230" s="19"/>
      <c r="P230" s="19"/>
      <c r="Q230" s="19"/>
      <c r="R230" s="19"/>
    </row>
    <row r="231" spans="1:18" ht="14.25" customHeight="1" x14ac:dyDescent="0.15">
      <c r="A231" s="19"/>
      <c r="B231" s="19"/>
      <c r="C231" s="19"/>
      <c r="D231" s="19">
        <f>D229*D230</f>
        <v>45359.999999999993</v>
      </c>
      <c r="E231" s="19">
        <f>E230*E228</f>
        <v>8400</v>
      </c>
      <c r="F231" s="19">
        <f t="shared" ref="F231:H231" si="160">F228*F230</f>
        <v>0</v>
      </c>
      <c r="G231" s="19">
        <f t="shared" si="160"/>
        <v>0</v>
      </c>
      <c r="H231" s="19">
        <f t="shared" si="160"/>
        <v>2735.9999999999995</v>
      </c>
      <c r="I231" s="19">
        <f t="shared" ref="I231:N231" si="161">I228*I229</f>
        <v>0</v>
      </c>
      <c r="J231" s="19">
        <f t="shared" si="161"/>
        <v>2000</v>
      </c>
      <c r="K231" s="19">
        <f t="shared" si="161"/>
        <v>2250</v>
      </c>
      <c r="L231" s="19">
        <f t="shared" si="161"/>
        <v>2106</v>
      </c>
      <c r="M231" s="19">
        <f t="shared" si="161"/>
        <v>6000</v>
      </c>
      <c r="N231" s="19">
        <f t="shared" si="161"/>
        <v>3168</v>
      </c>
      <c r="O231" s="19">
        <f>SUM(D231:N231)</f>
        <v>72020</v>
      </c>
      <c r="P231" s="19">
        <f>O231/A229</f>
        <v>12003.333333333334</v>
      </c>
      <c r="Q231" s="19">
        <f>P231*Q228</f>
        <v>24006.666666666668</v>
      </c>
      <c r="R231" s="19">
        <f>MROUND(Q231,100)</f>
        <v>24000</v>
      </c>
    </row>
    <row r="232" spans="1:18" ht="14.25" customHeight="1" x14ac:dyDescent="0.1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</row>
    <row r="233" spans="1:18" ht="14.25" customHeight="1" x14ac:dyDescent="0.3">
      <c r="A233" s="109" t="str">
        <f>PRICELIST!I249</f>
        <v>WSTK-LNR-SH-MB-1200-F</v>
      </c>
      <c r="B233" s="87"/>
      <c r="C233" s="87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7"/>
    </row>
    <row r="234" spans="1:18" ht="14.25" customHeight="1" x14ac:dyDescent="0.15">
      <c r="A234" s="19" t="s">
        <v>57</v>
      </c>
      <c r="B234" s="19" t="s">
        <v>59</v>
      </c>
      <c r="C234" s="19" t="s">
        <v>62</v>
      </c>
      <c r="D234" s="19" t="s">
        <v>64</v>
      </c>
      <c r="E234" s="19">
        <v>1200</v>
      </c>
      <c r="F234" s="19">
        <v>900</v>
      </c>
      <c r="G234" s="19">
        <v>600</v>
      </c>
      <c r="H234" s="19" t="s">
        <v>67</v>
      </c>
      <c r="I234" s="19" t="s">
        <v>68</v>
      </c>
      <c r="J234" s="19" t="s">
        <v>69</v>
      </c>
      <c r="K234" s="19" t="s">
        <v>71</v>
      </c>
      <c r="L234" s="19" t="s">
        <v>72</v>
      </c>
      <c r="M234" s="19" t="s">
        <v>73</v>
      </c>
      <c r="N234" s="19" t="s">
        <v>75</v>
      </c>
      <c r="O234" s="19" t="s">
        <v>76</v>
      </c>
      <c r="P234" s="19" t="s">
        <v>78</v>
      </c>
      <c r="Q234" s="19" t="s">
        <v>79</v>
      </c>
      <c r="R234" s="19" t="s">
        <v>81</v>
      </c>
    </row>
    <row r="235" spans="1:18" ht="14.25" customHeight="1" x14ac:dyDescent="0.15">
      <c r="A235" s="21">
        <f t="shared" ref="A235:H235" si="162">A228</f>
        <v>0</v>
      </c>
      <c r="B235" s="21">
        <f t="shared" si="162"/>
        <v>0</v>
      </c>
      <c r="C235" s="21">
        <f t="shared" si="162"/>
        <v>0</v>
      </c>
      <c r="D235" s="21">
        <f t="shared" si="162"/>
        <v>0</v>
      </c>
      <c r="E235" s="23" t="str">
        <f t="shared" si="162"/>
        <v>4200</v>
      </c>
      <c r="F235" s="23" t="str">
        <f t="shared" si="162"/>
        <v>4000</v>
      </c>
      <c r="G235" s="23" t="str">
        <f t="shared" si="162"/>
        <v>3800</v>
      </c>
      <c r="H235" s="23">
        <f t="shared" si="162"/>
        <v>380</v>
      </c>
      <c r="I235" s="23" t="str">
        <f>I214</f>
        <v>4800</v>
      </c>
      <c r="J235" s="23" t="str">
        <f t="shared" ref="J235:Q235" si="163">J228</f>
        <v>1000</v>
      </c>
      <c r="K235" s="23">
        <f t="shared" si="163"/>
        <v>375</v>
      </c>
      <c r="L235" s="23">
        <f t="shared" si="163"/>
        <v>585</v>
      </c>
      <c r="M235" s="23" t="str">
        <f t="shared" si="163"/>
        <v>1000</v>
      </c>
      <c r="N235" s="23">
        <f t="shared" si="163"/>
        <v>3300</v>
      </c>
      <c r="O235" s="23">
        <f t="shared" si="163"/>
        <v>0</v>
      </c>
      <c r="P235" s="23">
        <f t="shared" si="163"/>
        <v>0</v>
      </c>
      <c r="Q235" s="23">
        <f t="shared" si="163"/>
        <v>2</v>
      </c>
      <c r="R235" s="21"/>
    </row>
    <row r="236" spans="1:18" ht="14.25" customHeight="1" x14ac:dyDescent="0.15">
      <c r="A236" s="19">
        <v>6</v>
      </c>
      <c r="B236" s="19">
        <f>1.2*3</f>
        <v>3.5999999999999996</v>
      </c>
      <c r="C236" s="19">
        <v>1.2</v>
      </c>
      <c r="D236" s="19">
        <f>B236*C236</f>
        <v>4.3199999999999994</v>
      </c>
      <c r="E236" s="19"/>
      <c r="F236" s="19"/>
      <c r="G236" s="19"/>
      <c r="H236" s="19"/>
      <c r="I236" s="19">
        <f>B236*0.4</f>
        <v>1.44</v>
      </c>
      <c r="J236" s="19">
        <v>2</v>
      </c>
      <c r="K236" s="19">
        <f t="shared" ref="K236:L236" si="164">A236</f>
        <v>6</v>
      </c>
      <c r="L236" s="19">
        <f t="shared" si="164"/>
        <v>3.5999999999999996</v>
      </c>
      <c r="M236" s="19">
        <f>A236</f>
        <v>6</v>
      </c>
      <c r="N236" s="19">
        <f>(1.2*0.4)*2</f>
        <v>0.96</v>
      </c>
      <c r="O236" s="19"/>
      <c r="P236" s="19"/>
      <c r="Q236" s="19"/>
      <c r="R236" s="19"/>
    </row>
    <row r="237" spans="1:18" ht="14.25" customHeight="1" x14ac:dyDescent="0.15">
      <c r="A237" s="19"/>
      <c r="B237" s="19"/>
      <c r="C237" s="19"/>
      <c r="D237" s="26" t="str">
        <f>D111</f>
        <v>16250</v>
      </c>
      <c r="E237" s="19">
        <v>2</v>
      </c>
      <c r="F237" s="19">
        <v>0</v>
      </c>
      <c r="G237" s="19">
        <v>0</v>
      </c>
      <c r="H237" s="19">
        <f>B236*2</f>
        <v>7.1999999999999993</v>
      </c>
      <c r="I237" s="19"/>
      <c r="J237" s="19"/>
      <c r="K237" s="19"/>
      <c r="L237" s="19"/>
      <c r="M237" s="19"/>
      <c r="N237" s="28"/>
      <c r="O237" s="19"/>
      <c r="P237" s="19"/>
      <c r="Q237" s="19"/>
      <c r="R237" s="19"/>
    </row>
    <row r="238" spans="1:18" ht="14.25" customHeight="1" x14ac:dyDescent="0.15">
      <c r="A238" s="19"/>
      <c r="B238" s="19"/>
      <c r="C238" s="19"/>
      <c r="D238" s="19">
        <f>D236*D237</f>
        <v>70199.999999999985</v>
      </c>
      <c r="E238" s="19">
        <f>E237*E235</f>
        <v>8400</v>
      </c>
      <c r="F238" s="19">
        <f t="shared" ref="F238:H238" si="165">F235*F237</f>
        <v>0</v>
      </c>
      <c r="G238" s="19">
        <f t="shared" si="165"/>
        <v>0</v>
      </c>
      <c r="H238" s="19">
        <f t="shared" si="165"/>
        <v>2735.9999999999995</v>
      </c>
      <c r="I238" s="19">
        <f t="shared" ref="I238:N238" si="166">I235*I236</f>
        <v>6912</v>
      </c>
      <c r="J238" s="19">
        <f t="shared" si="166"/>
        <v>2000</v>
      </c>
      <c r="K238" s="19">
        <f t="shared" si="166"/>
        <v>2250</v>
      </c>
      <c r="L238" s="19">
        <f t="shared" si="166"/>
        <v>2106</v>
      </c>
      <c r="M238" s="19">
        <f t="shared" si="166"/>
        <v>6000</v>
      </c>
      <c r="N238" s="19">
        <f t="shared" si="166"/>
        <v>3168</v>
      </c>
      <c r="O238" s="19">
        <f>SUM(D238:N238)</f>
        <v>103771.99999999999</v>
      </c>
      <c r="P238" s="19">
        <f>O238/A236</f>
        <v>17295.333333333332</v>
      </c>
      <c r="Q238" s="19">
        <f>P238*Q235</f>
        <v>34590.666666666664</v>
      </c>
      <c r="R238" s="19">
        <f>MROUND(Q238,100)</f>
        <v>34600</v>
      </c>
    </row>
    <row r="239" spans="1:18" ht="14.25" customHeight="1" x14ac:dyDescent="0.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</row>
    <row r="240" spans="1:18" ht="14.25" customHeight="1" x14ac:dyDescent="0.3">
      <c r="A240" s="109" t="str">
        <f>PRICELIST!I250</f>
        <v>WSTK-LNR-SH-MB-1200-G</v>
      </c>
      <c r="B240" s="87"/>
      <c r="C240" s="87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7"/>
    </row>
    <row r="241" spans="1:18" ht="14.25" customHeight="1" x14ac:dyDescent="0.15">
      <c r="A241" s="19" t="s">
        <v>57</v>
      </c>
      <c r="B241" s="19" t="s">
        <v>59</v>
      </c>
      <c r="C241" s="19" t="s">
        <v>62</v>
      </c>
      <c r="D241" s="19" t="s">
        <v>64</v>
      </c>
      <c r="E241" s="19">
        <v>1200</v>
      </c>
      <c r="F241" s="19">
        <v>900</v>
      </c>
      <c r="G241" s="19">
        <v>600</v>
      </c>
      <c r="H241" s="19" t="s">
        <v>67</v>
      </c>
      <c r="I241" s="19" t="s">
        <v>68</v>
      </c>
      <c r="J241" s="19" t="s">
        <v>69</v>
      </c>
      <c r="K241" s="19" t="s">
        <v>71</v>
      </c>
      <c r="L241" s="19" t="s">
        <v>72</v>
      </c>
      <c r="M241" s="19" t="s">
        <v>73</v>
      </c>
      <c r="N241" s="19" t="s">
        <v>75</v>
      </c>
      <c r="O241" s="19" t="s">
        <v>76</v>
      </c>
      <c r="P241" s="19" t="s">
        <v>78</v>
      </c>
      <c r="Q241" s="19" t="s">
        <v>79</v>
      </c>
      <c r="R241" s="19" t="s">
        <v>81</v>
      </c>
    </row>
    <row r="242" spans="1:18" ht="14.25" customHeight="1" x14ac:dyDescent="0.15">
      <c r="A242" s="21">
        <f t="shared" ref="A242:H242" si="167">A235</f>
        <v>0</v>
      </c>
      <c r="B242" s="21">
        <f t="shared" si="167"/>
        <v>0</v>
      </c>
      <c r="C242" s="21">
        <f t="shared" si="167"/>
        <v>0</v>
      </c>
      <c r="D242" s="21">
        <f t="shared" si="167"/>
        <v>0</v>
      </c>
      <c r="E242" s="23" t="str">
        <f t="shared" si="167"/>
        <v>4200</v>
      </c>
      <c r="F242" s="23" t="str">
        <f t="shared" si="167"/>
        <v>4000</v>
      </c>
      <c r="G242" s="23" t="str">
        <f t="shared" si="167"/>
        <v>3800</v>
      </c>
      <c r="H242" s="23">
        <f t="shared" si="167"/>
        <v>380</v>
      </c>
      <c r="I242" s="23" t="str">
        <f>I221</f>
        <v>5500</v>
      </c>
      <c r="J242" s="23" t="str">
        <f t="shared" ref="J242:Q242" si="168">J235</f>
        <v>1000</v>
      </c>
      <c r="K242" s="23">
        <f t="shared" si="168"/>
        <v>375</v>
      </c>
      <c r="L242" s="23">
        <f t="shared" si="168"/>
        <v>585</v>
      </c>
      <c r="M242" s="23" t="str">
        <f t="shared" si="168"/>
        <v>1000</v>
      </c>
      <c r="N242" s="23">
        <f t="shared" si="168"/>
        <v>3300</v>
      </c>
      <c r="O242" s="23">
        <f t="shared" si="168"/>
        <v>0</v>
      </c>
      <c r="P242" s="23">
        <f t="shared" si="168"/>
        <v>0</v>
      </c>
      <c r="Q242" s="23">
        <f t="shared" si="168"/>
        <v>2</v>
      </c>
      <c r="R242" s="21"/>
    </row>
    <row r="243" spans="1:18" ht="14.25" customHeight="1" x14ac:dyDescent="0.15">
      <c r="A243" s="19">
        <v>6</v>
      </c>
      <c r="B243" s="19">
        <f>1.2*3</f>
        <v>3.5999999999999996</v>
      </c>
      <c r="C243" s="19">
        <v>1.2</v>
      </c>
      <c r="D243" s="19">
        <f>B243*C243</f>
        <v>4.3199999999999994</v>
      </c>
      <c r="E243" s="19"/>
      <c r="F243" s="19"/>
      <c r="G243" s="19"/>
      <c r="H243" s="19"/>
      <c r="I243" s="19">
        <f>B243*0.4</f>
        <v>1.44</v>
      </c>
      <c r="J243" s="19">
        <v>2</v>
      </c>
      <c r="K243" s="19">
        <f t="shared" ref="K243:L243" si="169">A243</f>
        <v>6</v>
      </c>
      <c r="L243" s="19">
        <f t="shared" si="169"/>
        <v>3.5999999999999996</v>
      </c>
      <c r="M243" s="19">
        <f>A243</f>
        <v>6</v>
      </c>
      <c r="N243" s="19">
        <f>(1.2*0.4)*2</f>
        <v>0.96</v>
      </c>
      <c r="O243" s="19"/>
      <c r="P243" s="19"/>
      <c r="Q243" s="19"/>
      <c r="R243" s="19"/>
    </row>
    <row r="244" spans="1:18" ht="14.25" customHeight="1" x14ac:dyDescent="0.15">
      <c r="A244" s="19"/>
      <c r="B244" s="19"/>
      <c r="C244" s="19"/>
      <c r="D244" s="26" t="str">
        <f>D237</f>
        <v>16250</v>
      </c>
      <c r="E244" s="19">
        <v>2</v>
      </c>
      <c r="F244" s="19">
        <v>0</v>
      </c>
      <c r="G244" s="19">
        <v>0</v>
      </c>
      <c r="H244" s="19">
        <f>B243*2</f>
        <v>7.1999999999999993</v>
      </c>
      <c r="I244" s="19"/>
      <c r="J244" s="19"/>
      <c r="K244" s="19"/>
      <c r="L244" s="19"/>
      <c r="M244" s="19"/>
      <c r="N244" s="28"/>
      <c r="O244" s="19"/>
      <c r="P244" s="19"/>
      <c r="Q244" s="19"/>
      <c r="R244" s="19"/>
    </row>
    <row r="245" spans="1:18" ht="14.25" customHeight="1" x14ac:dyDescent="0.15">
      <c r="A245" s="19"/>
      <c r="B245" s="19"/>
      <c r="C245" s="19"/>
      <c r="D245" s="19">
        <f>D243*D244</f>
        <v>70199.999999999985</v>
      </c>
      <c r="E245" s="19">
        <f>E244*E242</f>
        <v>8400</v>
      </c>
      <c r="F245" s="19">
        <f t="shared" ref="F245:H245" si="170">F242*F244</f>
        <v>0</v>
      </c>
      <c r="G245" s="19">
        <f t="shared" si="170"/>
        <v>0</v>
      </c>
      <c r="H245" s="19">
        <f t="shared" si="170"/>
        <v>2735.9999999999995</v>
      </c>
      <c r="I245" s="19">
        <f t="shared" ref="I245:N245" si="171">I242*I243</f>
        <v>7920</v>
      </c>
      <c r="J245" s="19">
        <f t="shared" si="171"/>
        <v>2000</v>
      </c>
      <c r="K245" s="19">
        <f t="shared" si="171"/>
        <v>2250</v>
      </c>
      <c r="L245" s="19">
        <f t="shared" si="171"/>
        <v>2106</v>
      </c>
      <c r="M245" s="19">
        <f t="shared" si="171"/>
        <v>6000</v>
      </c>
      <c r="N245" s="19">
        <f t="shared" si="171"/>
        <v>3168</v>
      </c>
      <c r="O245" s="19">
        <f>SUM(D245:N245)</f>
        <v>104779.99999999999</v>
      </c>
      <c r="P245" s="19">
        <f>O245/A243</f>
        <v>17463.333333333332</v>
      </c>
      <c r="Q245" s="19">
        <f>P245*Q242</f>
        <v>34926.666666666664</v>
      </c>
      <c r="R245" s="19">
        <f>MROUND(Q245,100)</f>
        <v>34900</v>
      </c>
    </row>
    <row r="246" spans="1:18" ht="14.25" customHeight="1" x14ac:dyDescent="0.1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</row>
    <row r="247" spans="1:18" ht="14.25" customHeight="1" x14ac:dyDescent="0.3">
      <c r="A247" s="109" t="str">
        <f>PRICELIST!I251</f>
        <v>WSTK-LNR-SH-MB-1200-X</v>
      </c>
      <c r="B247" s="87"/>
      <c r="C247" s="87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7"/>
    </row>
    <row r="248" spans="1:18" ht="14.25" customHeight="1" x14ac:dyDescent="0.15">
      <c r="A248" s="19" t="s">
        <v>57</v>
      </c>
      <c r="B248" s="19" t="s">
        <v>59</v>
      </c>
      <c r="C248" s="19" t="s">
        <v>62</v>
      </c>
      <c r="D248" s="19" t="s">
        <v>64</v>
      </c>
      <c r="E248" s="19">
        <v>1200</v>
      </c>
      <c r="F248" s="19">
        <v>900</v>
      </c>
      <c r="G248" s="19">
        <v>600</v>
      </c>
      <c r="H248" s="19" t="s">
        <v>67</v>
      </c>
      <c r="I248" s="19" t="s">
        <v>68</v>
      </c>
      <c r="J248" s="19" t="s">
        <v>69</v>
      </c>
      <c r="K248" s="19" t="s">
        <v>71</v>
      </c>
      <c r="L248" s="19" t="s">
        <v>72</v>
      </c>
      <c r="M248" s="19" t="s">
        <v>73</v>
      </c>
      <c r="N248" s="19" t="s">
        <v>75</v>
      </c>
      <c r="O248" s="19" t="s">
        <v>76</v>
      </c>
      <c r="P248" s="19" t="s">
        <v>78</v>
      </c>
      <c r="Q248" s="19" t="s">
        <v>79</v>
      </c>
      <c r="R248" s="19" t="s">
        <v>81</v>
      </c>
    </row>
    <row r="249" spans="1:18" ht="14.25" customHeight="1" x14ac:dyDescent="0.15">
      <c r="A249" s="21">
        <f t="shared" ref="A249:H249" si="172">A242</f>
        <v>0</v>
      </c>
      <c r="B249" s="21">
        <f t="shared" si="172"/>
        <v>0</v>
      </c>
      <c r="C249" s="21">
        <f t="shared" si="172"/>
        <v>0</v>
      </c>
      <c r="D249" s="21">
        <f t="shared" si="172"/>
        <v>0</v>
      </c>
      <c r="E249" s="23" t="str">
        <f t="shared" si="172"/>
        <v>4200</v>
      </c>
      <c r="F249" s="23" t="str">
        <f t="shared" si="172"/>
        <v>4000</v>
      </c>
      <c r="G249" s="23" t="str">
        <f t="shared" si="172"/>
        <v>3800</v>
      </c>
      <c r="H249" s="23">
        <f t="shared" si="172"/>
        <v>380</v>
      </c>
      <c r="I249" s="23" t="str">
        <f>I228</f>
        <v>0</v>
      </c>
      <c r="J249" s="23" t="str">
        <f t="shared" ref="J249:Q249" si="173">J242</f>
        <v>1000</v>
      </c>
      <c r="K249" s="23">
        <f t="shared" si="173"/>
        <v>375</v>
      </c>
      <c r="L249" s="23">
        <f t="shared" si="173"/>
        <v>585</v>
      </c>
      <c r="M249" s="23" t="str">
        <f t="shared" si="173"/>
        <v>1000</v>
      </c>
      <c r="N249" s="23">
        <f t="shared" si="173"/>
        <v>3300</v>
      </c>
      <c r="O249" s="23">
        <f t="shared" si="173"/>
        <v>0</v>
      </c>
      <c r="P249" s="23">
        <f t="shared" si="173"/>
        <v>0</v>
      </c>
      <c r="Q249" s="23">
        <f t="shared" si="173"/>
        <v>2</v>
      </c>
      <c r="R249" s="21"/>
    </row>
    <row r="250" spans="1:18" ht="14.25" customHeight="1" x14ac:dyDescent="0.15">
      <c r="A250" s="19">
        <v>6</v>
      </c>
      <c r="B250" s="19">
        <f>1.2*3</f>
        <v>3.5999999999999996</v>
      </c>
      <c r="C250" s="19">
        <v>1.2</v>
      </c>
      <c r="D250" s="19">
        <f>B250*C250</f>
        <v>4.3199999999999994</v>
      </c>
      <c r="E250" s="19"/>
      <c r="F250" s="19"/>
      <c r="G250" s="19"/>
      <c r="H250" s="19"/>
      <c r="I250" s="19">
        <f>B250*0.4</f>
        <v>1.44</v>
      </c>
      <c r="J250" s="19">
        <v>2</v>
      </c>
      <c r="K250" s="19">
        <f t="shared" ref="K250:L250" si="174">A250</f>
        <v>6</v>
      </c>
      <c r="L250" s="19">
        <f t="shared" si="174"/>
        <v>3.5999999999999996</v>
      </c>
      <c r="M250" s="19">
        <f>A250</f>
        <v>6</v>
      </c>
      <c r="N250" s="19">
        <f>(1.2*0.4)*2</f>
        <v>0.96</v>
      </c>
      <c r="O250" s="19"/>
      <c r="P250" s="19"/>
      <c r="Q250" s="19"/>
      <c r="R250" s="19"/>
    </row>
    <row r="251" spans="1:18" ht="14.25" customHeight="1" x14ac:dyDescent="0.15">
      <c r="A251" s="19"/>
      <c r="B251" s="19"/>
      <c r="C251" s="19"/>
      <c r="D251" s="26" t="str">
        <f>D244</f>
        <v>16250</v>
      </c>
      <c r="E251" s="19">
        <v>2</v>
      </c>
      <c r="F251" s="19">
        <v>0</v>
      </c>
      <c r="G251" s="19">
        <v>0</v>
      </c>
      <c r="H251" s="19">
        <f>B250*2</f>
        <v>7.1999999999999993</v>
      </c>
      <c r="I251" s="19"/>
      <c r="J251" s="19"/>
      <c r="K251" s="19"/>
      <c r="L251" s="19"/>
      <c r="M251" s="19"/>
      <c r="N251" s="28"/>
      <c r="O251" s="19"/>
      <c r="P251" s="19"/>
      <c r="Q251" s="19"/>
      <c r="R251" s="19"/>
    </row>
    <row r="252" spans="1:18" ht="14.25" customHeight="1" x14ac:dyDescent="0.15">
      <c r="A252" s="19"/>
      <c r="B252" s="19"/>
      <c r="C252" s="19"/>
      <c r="D252" s="19">
        <f>D250*D251</f>
        <v>70199.999999999985</v>
      </c>
      <c r="E252" s="19">
        <f>E251*E249</f>
        <v>8400</v>
      </c>
      <c r="F252" s="19">
        <f t="shared" ref="F252:H252" si="175">F249*F251</f>
        <v>0</v>
      </c>
      <c r="G252" s="19">
        <f t="shared" si="175"/>
        <v>0</v>
      </c>
      <c r="H252" s="19">
        <f t="shared" si="175"/>
        <v>2735.9999999999995</v>
      </c>
      <c r="I252" s="19">
        <f t="shared" ref="I252:N252" si="176">I249*I250</f>
        <v>0</v>
      </c>
      <c r="J252" s="19">
        <f t="shared" si="176"/>
        <v>2000</v>
      </c>
      <c r="K252" s="19">
        <f t="shared" si="176"/>
        <v>2250</v>
      </c>
      <c r="L252" s="19">
        <f t="shared" si="176"/>
        <v>2106</v>
      </c>
      <c r="M252" s="19">
        <f t="shared" si="176"/>
        <v>6000</v>
      </c>
      <c r="N252" s="19">
        <f t="shared" si="176"/>
        <v>3168</v>
      </c>
      <c r="O252" s="19">
        <f>SUM(D252:N252)</f>
        <v>96859.999999999985</v>
      </c>
      <c r="P252" s="19">
        <f>O252/A250</f>
        <v>16143.33333333333</v>
      </c>
      <c r="Q252" s="19">
        <f>P252*Q249</f>
        <v>32286.666666666661</v>
      </c>
      <c r="R252" s="19">
        <f>MROUND(Q252,100)</f>
        <v>32300</v>
      </c>
    </row>
    <row r="253" spans="1:18" ht="14.25" customHeight="1" x14ac:dyDescent="0.1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</row>
    <row r="254" spans="1:18" ht="14.25" customHeight="1" x14ac:dyDescent="0.3">
      <c r="A254" s="109" t="str">
        <f>PRICELIST!I252</f>
        <v>WSTK-LNR-SH-PB-1500-F</v>
      </c>
      <c r="B254" s="87"/>
      <c r="C254" s="87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7"/>
    </row>
    <row r="255" spans="1:18" ht="14.25" customHeight="1" x14ac:dyDescent="0.15">
      <c r="A255" s="19" t="s">
        <v>57</v>
      </c>
      <c r="B255" s="19" t="s">
        <v>59</v>
      </c>
      <c r="C255" s="19" t="s">
        <v>62</v>
      </c>
      <c r="D255" s="19" t="s">
        <v>64</v>
      </c>
      <c r="E255" s="19">
        <v>1200</v>
      </c>
      <c r="F255" s="19">
        <v>900</v>
      </c>
      <c r="G255" s="19">
        <v>600</v>
      </c>
      <c r="H255" s="19" t="s">
        <v>67</v>
      </c>
      <c r="I255" s="19" t="s">
        <v>68</v>
      </c>
      <c r="J255" s="19" t="s">
        <v>69</v>
      </c>
      <c r="K255" s="19" t="s">
        <v>71</v>
      </c>
      <c r="L255" s="19" t="s">
        <v>72</v>
      </c>
      <c r="M255" s="19" t="s">
        <v>73</v>
      </c>
      <c r="N255" s="19" t="s">
        <v>75</v>
      </c>
      <c r="O255" s="19" t="s">
        <v>76</v>
      </c>
      <c r="P255" s="19" t="s">
        <v>78</v>
      </c>
      <c r="Q255" s="19" t="s">
        <v>79</v>
      </c>
      <c r="R255" s="19" t="s">
        <v>81</v>
      </c>
    </row>
    <row r="256" spans="1:18" ht="14.25" customHeight="1" x14ac:dyDescent="0.15">
      <c r="A256" s="21"/>
      <c r="B256" s="21"/>
      <c r="C256" s="21"/>
      <c r="D256" s="21"/>
      <c r="E256" s="23" t="str">
        <f t="shared" ref="E256:G256" si="177">E249</f>
        <v>4200</v>
      </c>
      <c r="F256" s="23" t="str">
        <f t="shared" si="177"/>
        <v>4000</v>
      </c>
      <c r="G256" s="23" t="str">
        <f t="shared" si="177"/>
        <v>3800</v>
      </c>
      <c r="H256" s="21">
        <v>380</v>
      </c>
      <c r="I256" s="23" t="str">
        <f>I235</f>
        <v>4800</v>
      </c>
      <c r="J256" s="23" t="str">
        <f>J249</f>
        <v>1000</v>
      </c>
      <c r="K256" s="21">
        <v>375</v>
      </c>
      <c r="L256" s="21">
        <v>585</v>
      </c>
      <c r="M256" s="23" t="str">
        <f>M249</f>
        <v>1000</v>
      </c>
      <c r="N256" s="21">
        <v>3300</v>
      </c>
      <c r="O256" s="21"/>
      <c r="P256" s="21"/>
      <c r="Q256" s="23">
        <f>Q249</f>
        <v>2</v>
      </c>
      <c r="R256" s="21"/>
    </row>
    <row r="257" spans="1:18" ht="14.25" customHeight="1" x14ac:dyDescent="0.15">
      <c r="A257" s="19">
        <v>6</v>
      </c>
      <c r="B257" s="19">
        <f>1.5*3</f>
        <v>4.5</v>
      </c>
      <c r="C257" s="19">
        <v>1.2</v>
      </c>
      <c r="D257" s="19">
        <f>B257*C257</f>
        <v>5.3999999999999995</v>
      </c>
      <c r="E257" s="19"/>
      <c r="F257" s="19"/>
      <c r="G257" s="19"/>
      <c r="H257" s="19"/>
      <c r="I257" s="19">
        <f>B257*0.4</f>
        <v>1.8</v>
      </c>
      <c r="J257" s="19">
        <v>2</v>
      </c>
      <c r="K257" s="19">
        <f t="shared" ref="K257:L257" si="178">A257</f>
        <v>6</v>
      </c>
      <c r="L257" s="19">
        <f t="shared" si="178"/>
        <v>4.5</v>
      </c>
      <c r="M257" s="19">
        <f>A257</f>
        <v>6</v>
      </c>
      <c r="N257" s="19">
        <f>(1.2*0.4)*2</f>
        <v>0.96</v>
      </c>
      <c r="O257" s="19"/>
      <c r="P257" s="19"/>
      <c r="Q257" s="19"/>
      <c r="R257" s="19"/>
    </row>
    <row r="258" spans="1:18" ht="14.25" customHeight="1" x14ac:dyDescent="0.15">
      <c r="A258" s="19"/>
      <c r="B258" s="19"/>
      <c r="C258" s="19"/>
      <c r="D258" s="26" t="str">
        <f>D132</f>
        <v>2200</v>
      </c>
      <c r="E258" s="19">
        <v>2</v>
      </c>
      <c r="F258" s="19">
        <v>0</v>
      </c>
      <c r="G258" s="19">
        <v>0</v>
      </c>
      <c r="H258" s="19">
        <f>B257*2</f>
        <v>9</v>
      </c>
      <c r="I258" s="19"/>
      <c r="J258" s="19"/>
      <c r="K258" s="19"/>
      <c r="L258" s="19"/>
      <c r="M258" s="19"/>
      <c r="N258" s="28"/>
      <c r="O258" s="19"/>
      <c r="P258" s="19"/>
      <c r="Q258" s="19"/>
      <c r="R258" s="19"/>
    </row>
    <row r="259" spans="1:18" ht="14.25" customHeight="1" x14ac:dyDescent="0.15">
      <c r="A259" s="19"/>
      <c r="B259" s="19"/>
      <c r="C259" s="19"/>
      <c r="D259" s="19">
        <f>D257*D258</f>
        <v>11879.999999999998</v>
      </c>
      <c r="E259" s="19">
        <f>E258*E256</f>
        <v>8400</v>
      </c>
      <c r="F259" s="19">
        <f t="shared" ref="F259:H259" si="179">F256*F258</f>
        <v>0</v>
      </c>
      <c r="G259" s="19">
        <f t="shared" si="179"/>
        <v>0</v>
      </c>
      <c r="H259" s="19">
        <f t="shared" si="179"/>
        <v>3420</v>
      </c>
      <c r="I259" s="19">
        <f t="shared" ref="I259:N259" si="180">I256*I257</f>
        <v>8640</v>
      </c>
      <c r="J259" s="19">
        <f t="shared" si="180"/>
        <v>2000</v>
      </c>
      <c r="K259" s="19">
        <f t="shared" si="180"/>
        <v>2250</v>
      </c>
      <c r="L259" s="19">
        <f t="shared" si="180"/>
        <v>2632.5</v>
      </c>
      <c r="M259" s="19">
        <f t="shared" si="180"/>
        <v>6000</v>
      </c>
      <c r="N259" s="19">
        <f t="shared" si="180"/>
        <v>3168</v>
      </c>
      <c r="O259" s="19">
        <f>SUM(D259:N259)</f>
        <v>48390.5</v>
      </c>
      <c r="P259" s="19">
        <f>O259/A257</f>
        <v>8065.083333333333</v>
      </c>
      <c r="Q259" s="19">
        <f>P259*Q256</f>
        <v>16130.166666666666</v>
      </c>
      <c r="R259" s="19">
        <f>MROUND(Q259,100)</f>
        <v>16100</v>
      </c>
    </row>
    <row r="260" spans="1:18" ht="14.25" customHeight="1" x14ac:dyDescent="0.1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</row>
    <row r="261" spans="1:18" ht="14.25" customHeight="1" x14ac:dyDescent="0.3">
      <c r="A261" s="109" t="str">
        <f>PRICELIST!I253</f>
        <v>WSTK-LNR-SH-PB-1500-G</v>
      </c>
      <c r="B261" s="87"/>
      <c r="C261" s="87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7"/>
    </row>
    <row r="262" spans="1:18" ht="14.25" customHeight="1" x14ac:dyDescent="0.15">
      <c r="A262" s="19" t="s">
        <v>57</v>
      </c>
      <c r="B262" s="19" t="s">
        <v>59</v>
      </c>
      <c r="C262" s="19" t="s">
        <v>62</v>
      </c>
      <c r="D262" s="19" t="s">
        <v>64</v>
      </c>
      <c r="E262" s="19">
        <v>1200</v>
      </c>
      <c r="F262" s="19">
        <v>900</v>
      </c>
      <c r="G262" s="19">
        <v>600</v>
      </c>
      <c r="H262" s="19" t="s">
        <v>67</v>
      </c>
      <c r="I262" s="19" t="s">
        <v>68</v>
      </c>
      <c r="J262" s="19" t="s">
        <v>69</v>
      </c>
      <c r="K262" s="19" t="s">
        <v>71</v>
      </c>
      <c r="L262" s="19" t="s">
        <v>72</v>
      </c>
      <c r="M262" s="19" t="s">
        <v>73</v>
      </c>
      <c r="N262" s="19" t="s">
        <v>75</v>
      </c>
      <c r="O262" s="19" t="s">
        <v>76</v>
      </c>
      <c r="P262" s="19" t="s">
        <v>78</v>
      </c>
      <c r="Q262" s="19" t="s">
        <v>79</v>
      </c>
      <c r="R262" s="19" t="s">
        <v>81</v>
      </c>
    </row>
    <row r="263" spans="1:18" ht="14.25" customHeight="1" x14ac:dyDescent="0.15">
      <c r="A263" s="21"/>
      <c r="B263" s="21"/>
      <c r="C263" s="21"/>
      <c r="D263" s="21"/>
      <c r="E263" s="23" t="str">
        <f t="shared" ref="E263:H263" si="181">E256</f>
        <v>4200</v>
      </c>
      <c r="F263" s="23" t="str">
        <f t="shared" si="181"/>
        <v>4000</v>
      </c>
      <c r="G263" s="23" t="str">
        <f t="shared" si="181"/>
        <v>3800</v>
      </c>
      <c r="H263" s="23">
        <f t="shared" si="181"/>
        <v>380</v>
      </c>
      <c r="I263" s="23" t="str">
        <f>I242</f>
        <v>5500</v>
      </c>
      <c r="J263" s="23" t="str">
        <f t="shared" ref="J263:R263" si="182">J256</f>
        <v>1000</v>
      </c>
      <c r="K263" s="23">
        <f t="shared" si="182"/>
        <v>375</v>
      </c>
      <c r="L263" s="23">
        <f t="shared" si="182"/>
        <v>585</v>
      </c>
      <c r="M263" s="23" t="str">
        <f t="shared" si="182"/>
        <v>1000</v>
      </c>
      <c r="N263" s="23">
        <f t="shared" si="182"/>
        <v>3300</v>
      </c>
      <c r="O263" s="23">
        <f t="shared" si="182"/>
        <v>0</v>
      </c>
      <c r="P263" s="23">
        <f t="shared" si="182"/>
        <v>0</v>
      </c>
      <c r="Q263" s="23">
        <f t="shared" si="182"/>
        <v>2</v>
      </c>
      <c r="R263" s="23">
        <f t="shared" si="182"/>
        <v>0</v>
      </c>
    </row>
    <row r="264" spans="1:18" ht="14.25" customHeight="1" x14ac:dyDescent="0.15">
      <c r="A264" s="19">
        <v>6</v>
      </c>
      <c r="B264" s="19">
        <f>1.5*3</f>
        <v>4.5</v>
      </c>
      <c r="C264" s="19">
        <v>1.2</v>
      </c>
      <c r="D264" s="19">
        <f>B264*C264</f>
        <v>5.3999999999999995</v>
      </c>
      <c r="E264" s="19"/>
      <c r="F264" s="19"/>
      <c r="G264" s="19"/>
      <c r="H264" s="19"/>
      <c r="I264" s="19">
        <f>B264*0.4</f>
        <v>1.8</v>
      </c>
      <c r="J264" s="19">
        <v>2</v>
      </c>
      <c r="K264" s="19">
        <f t="shared" ref="K264:L264" si="183">A264</f>
        <v>6</v>
      </c>
      <c r="L264" s="19">
        <f t="shared" si="183"/>
        <v>4.5</v>
      </c>
      <c r="M264" s="19">
        <f>A264</f>
        <v>6</v>
      </c>
      <c r="N264" s="19">
        <f>(1.2*0.4)*2</f>
        <v>0.96</v>
      </c>
      <c r="O264" s="19"/>
      <c r="P264" s="19"/>
      <c r="Q264" s="19"/>
      <c r="R264" s="19"/>
    </row>
    <row r="265" spans="1:18" ht="14.25" customHeight="1" x14ac:dyDescent="0.15">
      <c r="A265" s="19"/>
      <c r="B265" s="19"/>
      <c r="C265" s="19"/>
      <c r="D265" s="26" t="str">
        <f>D258</f>
        <v>2200</v>
      </c>
      <c r="E265" s="19">
        <v>2</v>
      </c>
      <c r="F265" s="19">
        <v>0</v>
      </c>
      <c r="G265" s="19">
        <v>0</v>
      </c>
      <c r="H265" s="19">
        <f>B264*2</f>
        <v>9</v>
      </c>
      <c r="I265" s="19"/>
      <c r="J265" s="19"/>
      <c r="K265" s="19"/>
      <c r="L265" s="19"/>
      <c r="M265" s="19"/>
      <c r="N265" s="28"/>
      <c r="O265" s="19"/>
      <c r="P265" s="19"/>
      <c r="Q265" s="19"/>
      <c r="R265" s="19"/>
    </row>
    <row r="266" spans="1:18" ht="14.25" customHeight="1" x14ac:dyDescent="0.15">
      <c r="A266" s="19"/>
      <c r="B266" s="19"/>
      <c r="C266" s="19"/>
      <c r="D266" s="19">
        <f>D264*D265</f>
        <v>11879.999999999998</v>
      </c>
      <c r="E266" s="19">
        <f>E265*E263</f>
        <v>8400</v>
      </c>
      <c r="F266" s="19">
        <f t="shared" ref="F266:H266" si="184">F263*F265</f>
        <v>0</v>
      </c>
      <c r="G266" s="19">
        <f t="shared" si="184"/>
        <v>0</v>
      </c>
      <c r="H266" s="19">
        <f t="shared" si="184"/>
        <v>3420</v>
      </c>
      <c r="I266" s="19">
        <f t="shared" ref="I266:N266" si="185">I263*I264</f>
        <v>9900</v>
      </c>
      <c r="J266" s="19">
        <f t="shared" si="185"/>
        <v>2000</v>
      </c>
      <c r="K266" s="19">
        <f t="shared" si="185"/>
        <v>2250</v>
      </c>
      <c r="L266" s="19">
        <f t="shared" si="185"/>
        <v>2632.5</v>
      </c>
      <c r="M266" s="19">
        <f t="shared" si="185"/>
        <v>6000</v>
      </c>
      <c r="N266" s="19">
        <f t="shared" si="185"/>
        <v>3168</v>
      </c>
      <c r="O266" s="19">
        <f>SUM(D266:N266)</f>
        <v>49650.5</v>
      </c>
      <c r="P266" s="19">
        <f>O266/A264</f>
        <v>8275.0833333333339</v>
      </c>
      <c r="Q266" s="19">
        <f>P266*Q263</f>
        <v>16550.166666666668</v>
      </c>
      <c r="R266" s="19">
        <f>MROUND(Q266,100)</f>
        <v>16600</v>
      </c>
    </row>
    <row r="267" spans="1:18" ht="14.25" customHeight="1" x14ac:dyDescent="0.1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</row>
    <row r="268" spans="1:18" ht="14.25" customHeight="1" x14ac:dyDescent="0.3">
      <c r="A268" s="109" t="str">
        <f>PRICELIST!I254</f>
        <v>WSTK-LNR-SH-PB-1500-X</v>
      </c>
      <c r="B268" s="87"/>
      <c r="C268" s="87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7"/>
    </row>
    <row r="269" spans="1:18" ht="14.25" customHeight="1" x14ac:dyDescent="0.15">
      <c r="A269" s="19" t="s">
        <v>57</v>
      </c>
      <c r="B269" s="19" t="s">
        <v>59</v>
      </c>
      <c r="C269" s="19" t="s">
        <v>62</v>
      </c>
      <c r="D269" s="19" t="s">
        <v>64</v>
      </c>
      <c r="E269" s="19">
        <v>1200</v>
      </c>
      <c r="F269" s="19">
        <v>900</v>
      </c>
      <c r="G269" s="19">
        <v>600</v>
      </c>
      <c r="H269" s="19" t="s">
        <v>67</v>
      </c>
      <c r="I269" s="19" t="s">
        <v>68</v>
      </c>
      <c r="J269" s="19" t="s">
        <v>69</v>
      </c>
      <c r="K269" s="19" t="s">
        <v>71</v>
      </c>
      <c r="L269" s="19" t="s">
        <v>72</v>
      </c>
      <c r="M269" s="19" t="s">
        <v>73</v>
      </c>
      <c r="N269" s="19" t="s">
        <v>75</v>
      </c>
      <c r="O269" s="19" t="s">
        <v>76</v>
      </c>
      <c r="P269" s="19" t="s">
        <v>78</v>
      </c>
      <c r="Q269" s="19" t="s">
        <v>79</v>
      </c>
      <c r="R269" s="19" t="s">
        <v>81</v>
      </c>
    </row>
    <row r="270" spans="1:18" ht="14.25" customHeight="1" x14ac:dyDescent="0.15">
      <c r="A270" s="21">
        <f t="shared" ref="A270:H270" si="186">A263</f>
        <v>0</v>
      </c>
      <c r="B270" s="21">
        <f t="shared" si="186"/>
        <v>0</v>
      </c>
      <c r="C270" s="21">
        <f t="shared" si="186"/>
        <v>0</v>
      </c>
      <c r="D270" s="21">
        <f t="shared" si="186"/>
        <v>0</v>
      </c>
      <c r="E270" s="23" t="str">
        <f t="shared" si="186"/>
        <v>4200</v>
      </c>
      <c r="F270" s="23" t="str">
        <f t="shared" si="186"/>
        <v>4000</v>
      </c>
      <c r="G270" s="23" t="str">
        <f t="shared" si="186"/>
        <v>3800</v>
      </c>
      <c r="H270" s="23">
        <f t="shared" si="186"/>
        <v>380</v>
      </c>
      <c r="I270" s="23" t="str">
        <f>I249</f>
        <v>0</v>
      </c>
      <c r="J270" s="23" t="str">
        <f t="shared" ref="J270:Q270" si="187">J263</f>
        <v>1000</v>
      </c>
      <c r="K270" s="23">
        <f t="shared" si="187"/>
        <v>375</v>
      </c>
      <c r="L270" s="23">
        <f t="shared" si="187"/>
        <v>585</v>
      </c>
      <c r="M270" s="23" t="str">
        <f t="shared" si="187"/>
        <v>1000</v>
      </c>
      <c r="N270" s="23">
        <f t="shared" si="187"/>
        <v>3300</v>
      </c>
      <c r="O270" s="23">
        <f t="shared" si="187"/>
        <v>0</v>
      </c>
      <c r="P270" s="23">
        <f t="shared" si="187"/>
        <v>0</v>
      </c>
      <c r="Q270" s="23">
        <f t="shared" si="187"/>
        <v>2</v>
      </c>
      <c r="R270" s="21"/>
    </row>
    <row r="271" spans="1:18" ht="14.25" customHeight="1" x14ac:dyDescent="0.15">
      <c r="A271" s="19">
        <v>6</v>
      </c>
      <c r="B271" s="19">
        <f>1.5*3</f>
        <v>4.5</v>
      </c>
      <c r="C271" s="19">
        <v>1.2</v>
      </c>
      <c r="D271" s="19">
        <f>B271*C271</f>
        <v>5.3999999999999995</v>
      </c>
      <c r="E271" s="19"/>
      <c r="F271" s="19"/>
      <c r="G271" s="19"/>
      <c r="H271" s="19"/>
      <c r="I271" s="19">
        <f>B271*0.4</f>
        <v>1.8</v>
      </c>
      <c r="J271" s="19">
        <v>2</v>
      </c>
      <c r="K271" s="19">
        <f t="shared" ref="K271:L271" si="188">A271</f>
        <v>6</v>
      </c>
      <c r="L271" s="19">
        <f t="shared" si="188"/>
        <v>4.5</v>
      </c>
      <c r="M271" s="19">
        <f>A271</f>
        <v>6</v>
      </c>
      <c r="N271" s="19">
        <f>(1.2*0.4)*2</f>
        <v>0.96</v>
      </c>
      <c r="O271" s="19"/>
      <c r="P271" s="19"/>
      <c r="Q271" s="19"/>
      <c r="R271" s="19"/>
    </row>
    <row r="272" spans="1:18" ht="14.25" customHeight="1" x14ac:dyDescent="0.15">
      <c r="A272" s="19"/>
      <c r="B272" s="19"/>
      <c r="C272" s="19"/>
      <c r="D272" s="26" t="str">
        <f>D265</f>
        <v>2200</v>
      </c>
      <c r="E272" s="19">
        <v>2</v>
      </c>
      <c r="F272" s="19">
        <v>0</v>
      </c>
      <c r="G272" s="19">
        <v>0</v>
      </c>
      <c r="H272" s="19">
        <f>B271*2</f>
        <v>9</v>
      </c>
      <c r="I272" s="19"/>
      <c r="J272" s="19"/>
      <c r="K272" s="19"/>
      <c r="L272" s="19"/>
      <c r="M272" s="19"/>
      <c r="N272" s="28"/>
      <c r="O272" s="19"/>
      <c r="P272" s="19"/>
      <c r="Q272" s="19"/>
      <c r="R272" s="19"/>
    </row>
    <row r="273" spans="1:18" ht="14.25" customHeight="1" x14ac:dyDescent="0.15">
      <c r="A273" s="19"/>
      <c r="B273" s="19"/>
      <c r="C273" s="19"/>
      <c r="D273" s="19">
        <f>D271*D272</f>
        <v>11879.999999999998</v>
      </c>
      <c r="E273" s="19">
        <f>E272*E270</f>
        <v>8400</v>
      </c>
      <c r="F273" s="19">
        <f t="shared" ref="F273:H273" si="189">F270*F272</f>
        <v>0</v>
      </c>
      <c r="G273" s="19">
        <f t="shared" si="189"/>
        <v>0</v>
      </c>
      <c r="H273" s="19">
        <f t="shared" si="189"/>
        <v>3420</v>
      </c>
      <c r="I273" s="19">
        <f t="shared" ref="I273:N273" si="190">I270*I271</f>
        <v>0</v>
      </c>
      <c r="J273" s="19">
        <f t="shared" si="190"/>
        <v>2000</v>
      </c>
      <c r="K273" s="19">
        <f t="shared" si="190"/>
        <v>2250</v>
      </c>
      <c r="L273" s="19">
        <f t="shared" si="190"/>
        <v>2632.5</v>
      </c>
      <c r="M273" s="19">
        <f t="shared" si="190"/>
        <v>6000</v>
      </c>
      <c r="N273" s="19">
        <f t="shared" si="190"/>
        <v>3168</v>
      </c>
      <c r="O273" s="19">
        <f>SUM(D273:N273)</f>
        <v>39750.5</v>
      </c>
      <c r="P273" s="19">
        <f>O273/A271</f>
        <v>6625.083333333333</v>
      </c>
      <c r="Q273" s="19">
        <f>P273*Q270</f>
        <v>13250.166666666666</v>
      </c>
      <c r="R273" s="19">
        <f>MROUND(Q273,100)</f>
        <v>13300</v>
      </c>
    </row>
    <row r="274" spans="1:18" ht="14.25" customHeight="1" x14ac:dyDescent="0.1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</row>
    <row r="275" spans="1:18" ht="14.25" customHeight="1" x14ac:dyDescent="0.3">
      <c r="A275" s="109" t="str">
        <f>PRICELIST!I255</f>
        <v>WSTK-LNR-SH-PLM-1500-F</v>
      </c>
      <c r="B275" s="87"/>
      <c r="C275" s="87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7"/>
    </row>
    <row r="276" spans="1:18" ht="14.25" customHeight="1" x14ac:dyDescent="0.15">
      <c r="A276" s="19" t="s">
        <v>57</v>
      </c>
      <c r="B276" s="19" t="s">
        <v>59</v>
      </c>
      <c r="C276" s="19" t="s">
        <v>62</v>
      </c>
      <c r="D276" s="19" t="s">
        <v>64</v>
      </c>
      <c r="E276" s="19">
        <v>1200</v>
      </c>
      <c r="F276" s="19">
        <v>900</v>
      </c>
      <c r="G276" s="19">
        <v>600</v>
      </c>
      <c r="H276" s="19" t="s">
        <v>67</v>
      </c>
      <c r="I276" s="19" t="s">
        <v>68</v>
      </c>
      <c r="J276" s="19" t="s">
        <v>69</v>
      </c>
      <c r="K276" s="19" t="s">
        <v>71</v>
      </c>
      <c r="L276" s="19" t="s">
        <v>72</v>
      </c>
      <c r="M276" s="19" t="s">
        <v>73</v>
      </c>
      <c r="N276" s="19" t="s">
        <v>75</v>
      </c>
      <c r="O276" s="19" t="s">
        <v>76</v>
      </c>
      <c r="P276" s="19" t="s">
        <v>78</v>
      </c>
      <c r="Q276" s="19" t="s">
        <v>79</v>
      </c>
      <c r="R276" s="19" t="s">
        <v>81</v>
      </c>
    </row>
    <row r="277" spans="1:18" ht="14.25" customHeight="1" x14ac:dyDescent="0.15">
      <c r="A277" s="21">
        <f t="shared" ref="A277:H277" si="191">A270</f>
        <v>0</v>
      </c>
      <c r="B277" s="21">
        <f t="shared" si="191"/>
        <v>0</v>
      </c>
      <c r="C277" s="21">
        <f t="shared" si="191"/>
        <v>0</v>
      </c>
      <c r="D277" s="21">
        <f t="shared" si="191"/>
        <v>0</v>
      </c>
      <c r="E277" s="23" t="str">
        <f t="shared" si="191"/>
        <v>4200</v>
      </c>
      <c r="F277" s="23" t="str">
        <f t="shared" si="191"/>
        <v>4000</v>
      </c>
      <c r="G277" s="23" t="str">
        <f t="shared" si="191"/>
        <v>3800</v>
      </c>
      <c r="H277" s="23">
        <f t="shared" si="191"/>
        <v>380</v>
      </c>
      <c r="I277" s="23" t="str">
        <f>I256</f>
        <v>4800</v>
      </c>
      <c r="J277" s="23" t="str">
        <f t="shared" ref="J277:Q277" si="192">J270</f>
        <v>1000</v>
      </c>
      <c r="K277" s="23">
        <f t="shared" si="192"/>
        <v>375</v>
      </c>
      <c r="L277" s="23">
        <f t="shared" si="192"/>
        <v>585</v>
      </c>
      <c r="M277" s="23" t="str">
        <f t="shared" si="192"/>
        <v>1000</v>
      </c>
      <c r="N277" s="23">
        <f t="shared" si="192"/>
        <v>3300</v>
      </c>
      <c r="O277" s="23">
        <f t="shared" si="192"/>
        <v>0</v>
      </c>
      <c r="P277" s="23">
        <f t="shared" si="192"/>
        <v>0</v>
      </c>
      <c r="Q277" s="23">
        <f t="shared" si="192"/>
        <v>2</v>
      </c>
      <c r="R277" s="21"/>
    </row>
    <row r="278" spans="1:18" ht="14.25" customHeight="1" x14ac:dyDescent="0.15">
      <c r="A278" s="19">
        <v>6</v>
      </c>
      <c r="B278" s="19">
        <f>1.5*3</f>
        <v>4.5</v>
      </c>
      <c r="C278" s="19">
        <v>1.2</v>
      </c>
      <c r="D278" s="19">
        <f>B278*C278</f>
        <v>5.3999999999999995</v>
      </c>
      <c r="E278" s="19"/>
      <c r="F278" s="19"/>
      <c r="G278" s="19"/>
      <c r="H278" s="19"/>
      <c r="I278" s="19">
        <f>B278*0.4</f>
        <v>1.8</v>
      </c>
      <c r="J278" s="19">
        <v>2</v>
      </c>
      <c r="K278" s="19">
        <f t="shared" ref="K278:L278" si="193">A278</f>
        <v>6</v>
      </c>
      <c r="L278" s="19">
        <f t="shared" si="193"/>
        <v>4.5</v>
      </c>
      <c r="M278" s="19">
        <f>A278</f>
        <v>6</v>
      </c>
      <c r="N278" s="19">
        <f>(1.2*0.4)*2</f>
        <v>0.96</v>
      </c>
      <c r="O278" s="19"/>
      <c r="P278" s="19"/>
      <c r="Q278" s="19"/>
      <c r="R278" s="19"/>
    </row>
    <row r="279" spans="1:18" ht="14.25" customHeight="1" x14ac:dyDescent="0.15">
      <c r="A279" s="19"/>
      <c r="B279" s="19"/>
      <c r="C279" s="19"/>
      <c r="D279" s="26" t="str">
        <f>D153</f>
        <v>3000</v>
      </c>
      <c r="E279" s="19">
        <v>2</v>
      </c>
      <c r="F279" s="19">
        <v>0</v>
      </c>
      <c r="G279" s="19">
        <v>0</v>
      </c>
      <c r="H279" s="19">
        <f>B278*2</f>
        <v>9</v>
      </c>
      <c r="I279" s="19"/>
      <c r="J279" s="19"/>
      <c r="K279" s="19"/>
      <c r="L279" s="19"/>
      <c r="M279" s="19"/>
      <c r="N279" s="28"/>
      <c r="O279" s="19"/>
      <c r="P279" s="19"/>
      <c r="Q279" s="19"/>
      <c r="R279" s="19"/>
    </row>
    <row r="280" spans="1:18" ht="14.25" customHeight="1" x14ac:dyDescent="0.15">
      <c r="A280" s="19"/>
      <c r="B280" s="19"/>
      <c r="C280" s="19"/>
      <c r="D280" s="19">
        <f>D278*D279</f>
        <v>16199.999999999998</v>
      </c>
      <c r="E280" s="19">
        <f>E279*E277</f>
        <v>8400</v>
      </c>
      <c r="F280" s="19">
        <f t="shared" ref="F280:H280" si="194">F277*F279</f>
        <v>0</v>
      </c>
      <c r="G280" s="19">
        <f t="shared" si="194"/>
        <v>0</v>
      </c>
      <c r="H280" s="19">
        <f t="shared" si="194"/>
        <v>3420</v>
      </c>
      <c r="I280" s="19">
        <f t="shared" ref="I280:N280" si="195">I277*I278</f>
        <v>8640</v>
      </c>
      <c r="J280" s="19">
        <f t="shared" si="195"/>
        <v>2000</v>
      </c>
      <c r="K280" s="19">
        <f t="shared" si="195"/>
        <v>2250</v>
      </c>
      <c r="L280" s="19">
        <f t="shared" si="195"/>
        <v>2632.5</v>
      </c>
      <c r="M280" s="19">
        <f t="shared" si="195"/>
        <v>6000</v>
      </c>
      <c r="N280" s="19">
        <f t="shared" si="195"/>
        <v>3168</v>
      </c>
      <c r="O280" s="19">
        <f>SUM(D280:N280)</f>
        <v>52710.5</v>
      </c>
      <c r="P280" s="19">
        <f>O280/A278</f>
        <v>8785.0833333333339</v>
      </c>
      <c r="Q280" s="19">
        <f>P280*Q277</f>
        <v>17570.166666666668</v>
      </c>
      <c r="R280" s="19">
        <f>MROUND(Q280,100)</f>
        <v>17600</v>
      </c>
    </row>
    <row r="281" spans="1:18" ht="14.25" customHeight="1" x14ac:dyDescent="0.1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</row>
    <row r="282" spans="1:18" ht="14.25" customHeight="1" x14ac:dyDescent="0.3">
      <c r="A282" s="109" t="str">
        <f>PRICELIST!I256</f>
        <v>WSTK-LNR-SH-PLM-1500-G</v>
      </c>
      <c r="B282" s="87"/>
      <c r="C282" s="87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7"/>
    </row>
    <row r="283" spans="1:18" ht="14.25" customHeight="1" x14ac:dyDescent="0.15">
      <c r="A283" s="19" t="s">
        <v>57</v>
      </c>
      <c r="B283" s="19" t="s">
        <v>59</v>
      </c>
      <c r="C283" s="19" t="s">
        <v>62</v>
      </c>
      <c r="D283" s="19" t="s">
        <v>64</v>
      </c>
      <c r="E283" s="19">
        <v>1200</v>
      </c>
      <c r="F283" s="19">
        <v>900</v>
      </c>
      <c r="G283" s="19">
        <v>600</v>
      </c>
      <c r="H283" s="19" t="s">
        <v>67</v>
      </c>
      <c r="I283" s="19" t="s">
        <v>68</v>
      </c>
      <c r="J283" s="19" t="s">
        <v>69</v>
      </c>
      <c r="K283" s="19" t="s">
        <v>71</v>
      </c>
      <c r="L283" s="19" t="s">
        <v>72</v>
      </c>
      <c r="M283" s="19" t="s">
        <v>73</v>
      </c>
      <c r="N283" s="19" t="s">
        <v>75</v>
      </c>
      <c r="O283" s="19" t="s">
        <v>76</v>
      </c>
      <c r="P283" s="19" t="s">
        <v>78</v>
      </c>
      <c r="Q283" s="19" t="s">
        <v>79</v>
      </c>
      <c r="R283" s="19" t="s">
        <v>81</v>
      </c>
    </row>
    <row r="284" spans="1:18" ht="14.25" customHeight="1" x14ac:dyDescent="0.15">
      <c r="A284" s="21">
        <f t="shared" ref="A284:H284" si="196">A277</f>
        <v>0</v>
      </c>
      <c r="B284" s="21">
        <f t="shared" si="196"/>
        <v>0</v>
      </c>
      <c r="C284" s="21">
        <f t="shared" si="196"/>
        <v>0</v>
      </c>
      <c r="D284" s="21">
        <f t="shared" si="196"/>
        <v>0</v>
      </c>
      <c r="E284" s="23" t="str">
        <f t="shared" si="196"/>
        <v>4200</v>
      </c>
      <c r="F284" s="23" t="str">
        <f t="shared" si="196"/>
        <v>4000</v>
      </c>
      <c r="G284" s="23" t="str">
        <f t="shared" si="196"/>
        <v>3800</v>
      </c>
      <c r="H284" s="23">
        <f t="shared" si="196"/>
        <v>380</v>
      </c>
      <c r="I284" s="23" t="str">
        <f>I263</f>
        <v>5500</v>
      </c>
      <c r="J284" s="23" t="str">
        <f t="shared" ref="J284:Q284" si="197">J277</f>
        <v>1000</v>
      </c>
      <c r="K284" s="23">
        <f t="shared" si="197"/>
        <v>375</v>
      </c>
      <c r="L284" s="23">
        <f t="shared" si="197"/>
        <v>585</v>
      </c>
      <c r="M284" s="23" t="str">
        <f t="shared" si="197"/>
        <v>1000</v>
      </c>
      <c r="N284" s="23">
        <f t="shared" si="197"/>
        <v>3300</v>
      </c>
      <c r="O284" s="23">
        <f t="shared" si="197"/>
        <v>0</v>
      </c>
      <c r="P284" s="23">
        <f t="shared" si="197"/>
        <v>0</v>
      </c>
      <c r="Q284" s="23">
        <f t="shared" si="197"/>
        <v>2</v>
      </c>
      <c r="R284" s="21"/>
    </row>
    <row r="285" spans="1:18" ht="14.25" customHeight="1" x14ac:dyDescent="0.15">
      <c r="A285" s="19">
        <v>6</v>
      </c>
      <c r="B285" s="19">
        <f>1.5*3</f>
        <v>4.5</v>
      </c>
      <c r="C285" s="19">
        <v>1.2</v>
      </c>
      <c r="D285" s="19">
        <f>B285*C285</f>
        <v>5.3999999999999995</v>
      </c>
      <c r="E285" s="19"/>
      <c r="F285" s="19"/>
      <c r="G285" s="19"/>
      <c r="H285" s="19"/>
      <c r="I285" s="19">
        <f>B285*0.4</f>
        <v>1.8</v>
      </c>
      <c r="J285" s="19">
        <v>2</v>
      </c>
      <c r="K285" s="19">
        <f t="shared" ref="K285:L285" si="198">A285</f>
        <v>6</v>
      </c>
      <c r="L285" s="19">
        <f t="shared" si="198"/>
        <v>4.5</v>
      </c>
      <c r="M285" s="19">
        <f>A285</f>
        <v>6</v>
      </c>
      <c r="N285" s="19">
        <f>(1.2*0.4)*2</f>
        <v>0.96</v>
      </c>
      <c r="O285" s="19"/>
      <c r="P285" s="19"/>
      <c r="Q285" s="19"/>
      <c r="R285" s="19"/>
    </row>
    <row r="286" spans="1:18" ht="14.25" customHeight="1" x14ac:dyDescent="0.15">
      <c r="A286" s="19"/>
      <c r="B286" s="19"/>
      <c r="C286" s="19"/>
      <c r="D286" s="26" t="str">
        <f>D279</f>
        <v>3000</v>
      </c>
      <c r="E286" s="19">
        <v>2</v>
      </c>
      <c r="F286" s="19">
        <v>0</v>
      </c>
      <c r="G286" s="19">
        <v>0</v>
      </c>
      <c r="H286" s="19">
        <f>B285*2</f>
        <v>9</v>
      </c>
      <c r="I286" s="19"/>
      <c r="J286" s="19"/>
      <c r="K286" s="19"/>
      <c r="L286" s="19"/>
      <c r="M286" s="19"/>
      <c r="N286" s="28"/>
      <c r="O286" s="19"/>
      <c r="P286" s="19"/>
      <c r="Q286" s="19"/>
      <c r="R286" s="19"/>
    </row>
    <row r="287" spans="1:18" ht="14.25" customHeight="1" x14ac:dyDescent="0.15">
      <c r="A287" s="19"/>
      <c r="B287" s="19"/>
      <c r="C287" s="19"/>
      <c r="D287" s="19">
        <f>D285*D286</f>
        <v>16199.999999999998</v>
      </c>
      <c r="E287" s="19">
        <f>E286*E284</f>
        <v>8400</v>
      </c>
      <c r="F287" s="19">
        <f t="shared" ref="F287:H287" si="199">F284*F286</f>
        <v>0</v>
      </c>
      <c r="G287" s="19">
        <f t="shared" si="199"/>
        <v>0</v>
      </c>
      <c r="H287" s="19">
        <f t="shared" si="199"/>
        <v>3420</v>
      </c>
      <c r="I287" s="19">
        <f t="shared" ref="I287:N287" si="200">I284*I285</f>
        <v>9900</v>
      </c>
      <c r="J287" s="19">
        <f t="shared" si="200"/>
        <v>2000</v>
      </c>
      <c r="K287" s="19">
        <f t="shared" si="200"/>
        <v>2250</v>
      </c>
      <c r="L287" s="19">
        <f t="shared" si="200"/>
        <v>2632.5</v>
      </c>
      <c r="M287" s="19">
        <f t="shared" si="200"/>
        <v>6000</v>
      </c>
      <c r="N287" s="19">
        <f t="shared" si="200"/>
        <v>3168</v>
      </c>
      <c r="O287" s="19">
        <f>SUM(D287:N287)</f>
        <v>53970.5</v>
      </c>
      <c r="P287" s="19">
        <f>O287/A285</f>
        <v>8995.0833333333339</v>
      </c>
      <c r="Q287" s="19">
        <f>P287*Q284</f>
        <v>17990.166666666668</v>
      </c>
      <c r="R287" s="19">
        <f>MROUND(Q287,100)</f>
        <v>18000</v>
      </c>
    </row>
    <row r="288" spans="1:18" ht="14.25" customHeight="1" x14ac:dyDescent="0.1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</row>
    <row r="289" spans="1:18" ht="14.25" customHeight="1" x14ac:dyDescent="0.3">
      <c r="A289" s="109" t="str">
        <f>PRICELIST!I257</f>
        <v>WSTK-LNR-SH-PLM-1500-X</v>
      </c>
      <c r="B289" s="87"/>
      <c r="C289" s="87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7"/>
    </row>
    <row r="290" spans="1:18" ht="14.25" customHeight="1" x14ac:dyDescent="0.15">
      <c r="A290" s="19" t="s">
        <v>57</v>
      </c>
      <c r="B290" s="19" t="s">
        <v>59</v>
      </c>
      <c r="C290" s="19" t="s">
        <v>62</v>
      </c>
      <c r="D290" s="19" t="s">
        <v>64</v>
      </c>
      <c r="E290" s="19">
        <v>1200</v>
      </c>
      <c r="F290" s="19">
        <v>900</v>
      </c>
      <c r="G290" s="19">
        <v>600</v>
      </c>
      <c r="H290" s="19" t="s">
        <v>67</v>
      </c>
      <c r="I290" s="19" t="s">
        <v>68</v>
      </c>
      <c r="J290" s="19" t="s">
        <v>69</v>
      </c>
      <c r="K290" s="19" t="s">
        <v>71</v>
      </c>
      <c r="L290" s="19" t="s">
        <v>72</v>
      </c>
      <c r="M290" s="19" t="s">
        <v>73</v>
      </c>
      <c r="N290" s="19" t="s">
        <v>75</v>
      </c>
      <c r="O290" s="19" t="s">
        <v>76</v>
      </c>
      <c r="P290" s="19" t="s">
        <v>78</v>
      </c>
      <c r="Q290" s="19" t="s">
        <v>79</v>
      </c>
      <c r="R290" s="19" t="s">
        <v>81</v>
      </c>
    </row>
    <row r="291" spans="1:18" ht="14.25" customHeight="1" x14ac:dyDescent="0.15">
      <c r="A291" s="21">
        <f t="shared" ref="A291:H291" si="201">A284</f>
        <v>0</v>
      </c>
      <c r="B291" s="21">
        <f t="shared" si="201"/>
        <v>0</v>
      </c>
      <c r="C291" s="21">
        <f t="shared" si="201"/>
        <v>0</v>
      </c>
      <c r="D291" s="21">
        <f t="shared" si="201"/>
        <v>0</v>
      </c>
      <c r="E291" s="23" t="str">
        <f t="shared" si="201"/>
        <v>4200</v>
      </c>
      <c r="F291" s="23" t="str">
        <f t="shared" si="201"/>
        <v>4000</v>
      </c>
      <c r="G291" s="23" t="str">
        <f t="shared" si="201"/>
        <v>3800</v>
      </c>
      <c r="H291" s="23">
        <f t="shared" si="201"/>
        <v>380</v>
      </c>
      <c r="I291" s="23" t="str">
        <f>I270</f>
        <v>0</v>
      </c>
      <c r="J291" s="23" t="str">
        <f t="shared" ref="J291:Q291" si="202">J284</f>
        <v>1000</v>
      </c>
      <c r="K291" s="23">
        <f t="shared" si="202"/>
        <v>375</v>
      </c>
      <c r="L291" s="23">
        <f t="shared" si="202"/>
        <v>585</v>
      </c>
      <c r="M291" s="23" t="str">
        <f t="shared" si="202"/>
        <v>1000</v>
      </c>
      <c r="N291" s="23">
        <f t="shared" si="202"/>
        <v>3300</v>
      </c>
      <c r="O291" s="23">
        <f t="shared" si="202"/>
        <v>0</v>
      </c>
      <c r="P291" s="23">
        <f t="shared" si="202"/>
        <v>0</v>
      </c>
      <c r="Q291" s="23">
        <f t="shared" si="202"/>
        <v>2</v>
      </c>
      <c r="R291" s="21"/>
    </row>
    <row r="292" spans="1:18" ht="14.25" customHeight="1" x14ac:dyDescent="0.15">
      <c r="A292" s="19">
        <v>6</v>
      </c>
      <c r="B292" s="19">
        <f>1.5*3</f>
        <v>4.5</v>
      </c>
      <c r="C292" s="19">
        <v>1.2</v>
      </c>
      <c r="D292" s="19">
        <f>B292*C292</f>
        <v>5.3999999999999995</v>
      </c>
      <c r="E292" s="19"/>
      <c r="F292" s="19"/>
      <c r="G292" s="19"/>
      <c r="H292" s="19"/>
      <c r="I292" s="19">
        <f>B292*0.4</f>
        <v>1.8</v>
      </c>
      <c r="J292" s="19">
        <v>2</v>
      </c>
      <c r="K292" s="19">
        <f t="shared" ref="K292:L292" si="203">A292</f>
        <v>6</v>
      </c>
      <c r="L292" s="19">
        <f t="shared" si="203"/>
        <v>4.5</v>
      </c>
      <c r="M292" s="19">
        <f>A292</f>
        <v>6</v>
      </c>
      <c r="N292" s="19">
        <f>(1.2*0.4)*2</f>
        <v>0.96</v>
      </c>
      <c r="O292" s="19"/>
      <c r="P292" s="19"/>
      <c r="Q292" s="19"/>
      <c r="R292" s="19"/>
    </row>
    <row r="293" spans="1:18" ht="14.25" customHeight="1" x14ac:dyDescent="0.15">
      <c r="A293" s="19"/>
      <c r="B293" s="19"/>
      <c r="C293" s="19"/>
      <c r="D293" s="26" t="str">
        <f>D286</f>
        <v>3000</v>
      </c>
      <c r="E293" s="19">
        <v>2</v>
      </c>
      <c r="F293" s="19">
        <v>0</v>
      </c>
      <c r="G293" s="19">
        <v>0</v>
      </c>
      <c r="H293" s="19">
        <f>B292*2</f>
        <v>9</v>
      </c>
      <c r="I293" s="19"/>
      <c r="J293" s="19"/>
      <c r="K293" s="19"/>
      <c r="L293" s="19"/>
      <c r="M293" s="19"/>
      <c r="N293" s="28"/>
      <c r="O293" s="19"/>
      <c r="P293" s="19"/>
      <c r="Q293" s="19"/>
      <c r="R293" s="19"/>
    </row>
    <row r="294" spans="1:18" ht="14.25" customHeight="1" x14ac:dyDescent="0.15">
      <c r="A294" s="19"/>
      <c r="B294" s="19"/>
      <c r="C294" s="19"/>
      <c r="D294" s="19">
        <f>D292*D293</f>
        <v>16199.999999999998</v>
      </c>
      <c r="E294" s="19">
        <f>E293*E291</f>
        <v>8400</v>
      </c>
      <c r="F294" s="19">
        <f t="shared" ref="F294:H294" si="204">F291*F293</f>
        <v>0</v>
      </c>
      <c r="G294" s="19">
        <f t="shared" si="204"/>
        <v>0</v>
      </c>
      <c r="H294" s="19">
        <f t="shared" si="204"/>
        <v>3420</v>
      </c>
      <c r="I294" s="19">
        <f t="shared" ref="I294:N294" si="205">I291*I292</f>
        <v>0</v>
      </c>
      <c r="J294" s="19">
        <f t="shared" si="205"/>
        <v>2000</v>
      </c>
      <c r="K294" s="19">
        <f t="shared" si="205"/>
        <v>2250</v>
      </c>
      <c r="L294" s="19">
        <f t="shared" si="205"/>
        <v>2632.5</v>
      </c>
      <c r="M294" s="19">
        <f t="shared" si="205"/>
        <v>6000</v>
      </c>
      <c r="N294" s="19">
        <f t="shared" si="205"/>
        <v>3168</v>
      </c>
      <c r="O294" s="19">
        <f>SUM(D294:N294)</f>
        <v>44070.5</v>
      </c>
      <c r="P294" s="19">
        <f>O294/A292</f>
        <v>7345.083333333333</v>
      </c>
      <c r="Q294" s="19">
        <f>P294*Q291</f>
        <v>14690.166666666666</v>
      </c>
      <c r="R294" s="19">
        <f>MROUND(Q294,100)</f>
        <v>14700</v>
      </c>
    </row>
    <row r="295" spans="1:18" ht="14.25" customHeight="1" x14ac:dyDescent="0.1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</row>
    <row r="296" spans="1:18" ht="14.25" customHeight="1" x14ac:dyDescent="0.3">
      <c r="A296" s="109" t="str">
        <f>PRICELIST!I258</f>
        <v>WSTK-LNR-SH-PoLM-1500-F</v>
      </c>
      <c r="B296" s="87"/>
      <c r="C296" s="87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7"/>
    </row>
    <row r="297" spans="1:18" ht="14.25" customHeight="1" x14ac:dyDescent="0.15">
      <c r="A297" s="19" t="s">
        <v>57</v>
      </c>
      <c r="B297" s="19" t="s">
        <v>59</v>
      </c>
      <c r="C297" s="19" t="s">
        <v>62</v>
      </c>
      <c r="D297" s="19" t="s">
        <v>64</v>
      </c>
      <c r="E297" s="19">
        <v>1200</v>
      </c>
      <c r="F297" s="19">
        <v>900</v>
      </c>
      <c r="G297" s="19">
        <v>600</v>
      </c>
      <c r="H297" s="19" t="s">
        <v>67</v>
      </c>
      <c r="I297" s="19" t="s">
        <v>68</v>
      </c>
      <c r="J297" s="19" t="s">
        <v>69</v>
      </c>
      <c r="K297" s="19" t="s">
        <v>71</v>
      </c>
      <c r="L297" s="19" t="s">
        <v>72</v>
      </c>
      <c r="M297" s="19" t="s">
        <v>73</v>
      </c>
      <c r="N297" s="19" t="s">
        <v>75</v>
      </c>
      <c r="O297" s="19" t="s">
        <v>76</v>
      </c>
      <c r="P297" s="19" t="s">
        <v>78</v>
      </c>
      <c r="Q297" s="19" t="s">
        <v>79</v>
      </c>
      <c r="R297" s="19" t="s">
        <v>81</v>
      </c>
    </row>
    <row r="298" spans="1:18" ht="14.25" customHeight="1" x14ac:dyDescent="0.15">
      <c r="A298" s="21">
        <f t="shared" ref="A298:H298" si="206">A291</f>
        <v>0</v>
      </c>
      <c r="B298" s="21">
        <f t="shared" si="206"/>
        <v>0</v>
      </c>
      <c r="C298" s="21">
        <f t="shared" si="206"/>
        <v>0</v>
      </c>
      <c r="D298" s="21">
        <f t="shared" si="206"/>
        <v>0</v>
      </c>
      <c r="E298" s="23" t="str">
        <f t="shared" si="206"/>
        <v>4200</v>
      </c>
      <c r="F298" s="23" t="str">
        <f t="shared" si="206"/>
        <v>4000</v>
      </c>
      <c r="G298" s="23" t="str">
        <f t="shared" si="206"/>
        <v>3800</v>
      </c>
      <c r="H298" s="23">
        <f t="shared" si="206"/>
        <v>380</v>
      </c>
      <c r="I298" s="23" t="str">
        <f>I277</f>
        <v>4800</v>
      </c>
      <c r="J298" s="23" t="str">
        <f t="shared" ref="J298:Q298" si="207">J291</f>
        <v>1000</v>
      </c>
      <c r="K298" s="23">
        <f t="shared" si="207"/>
        <v>375</v>
      </c>
      <c r="L298" s="23">
        <f t="shared" si="207"/>
        <v>585</v>
      </c>
      <c r="M298" s="23" t="str">
        <f t="shared" si="207"/>
        <v>1000</v>
      </c>
      <c r="N298" s="23">
        <f t="shared" si="207"/>
        <v>3300</v>
      </c>
      <c r="O298" s="23">
        <f t="shared" si="207"/>
        <v>0</v>
      </c>
      <c r="P298" s="23">
        <f t="shared" si="207"/>
        <v>0</v>
      </c>
      <c r="Q298" s="23">
        <f t="shared" si="207"/>
        <v>2</v>
      </c>
      <c r="R298" s="21"/>
    </row>
    <row r="299" spans="1:18" ht="14.25" customHeight="1" x14ac:dyDescent="0.15">
      <c r="A299" s="19">
        <v>6</v>
      </c>
      <c r="B299" s="19">
        <f>1.5*3</f>
        <v>4.5</v>
      </c>
      <c r="C299" s="19">
        <v>1.2</v>
      </c>
      <c r="D299" s="19">
        <f>B299*C299</f>
        <v>5.3999999999999995</v>
      </c>
      <c r="E299" s="19"/>
      <c r="F299" s="19"/>
      <c r="G299" s="19"/>
      <c r="H299" s="19"/>
      <c r="I299" s="19">
        <f>B299*0.4</f>
        <v>1.8</v>
      </c>
      <c r="J299" s="19">
        <v>2</v>
      </c>
      <c r="K299" s="19">
        <f t="shared" ref="K299:L299" si="208">A299</f>
        <v>6</v>
      </c>
      <c r="L299" s="19">
        <f t="shared" si="208"/>
        <v>4.5</v>
      </c>
      <c r="M299" s="19">
        <f>A299</f>
        <v>6</v>
      </c>
      <c r="N299" s="19">
        <f>(1.2*0.4)*2</f>
        <v>0.96</v>
      </c>
      <c r="O299" s="19"/>
      <c r="P299" s="19"/>
      <c r="Q299" s="19"/>
      <c r="R299" s="19"/>
    </row>
    <row r="300" spans="1:18" ht="14.25" customHeight="1" x14ac:dyDescent="0.15">
      <c r="A300" s="19"/>
      <c r="B300" s="19"/>
      <c r="C300" s="19"/>
      <c r="D300" s="26" t="str">
        <f>D181</f>
        <v>7500</v>
      </c>
      <c r="E300" s="19">
        <v>2</v>
      </c>
      <c r="F300" s="19">
        <v>0</v>
      </c>
      <c r="G300" s="19">
        <v>0</v>
      </c>
      <c r="H300" s="19">
        <f>B299*2</f>
        <v>9</v>
      </c>
      <c r="I300" s="19"/>
      <c r="J300" s="19"/>
      <c r="K300" s="19"/>
      <c r="L300" s="19"/>
      <c r="M300" s="19"/>
      <c r="N300" s="28"/>
      <c r="O300" s="19"/>
      <c r="P300" s="19"/>
      <c r="Q300" s="19"/>
      <c r="R300" s="19"/>
    </row>
    <row r="301" spans="1:18" ht="14.25" customHeight="1" x14ac:dyDescent="0.15">
      <c r="A301" s="19"/>
      <c r="B301" s="19"/>
      <c r="C301" s="19"/>
      <c r="D301" s="19">
        <f>D299*D300</f>
        <v>40499.999999999993</v>
      </c>
      <c r="E301" s="19">
        <f>E300*E298</f>
        <v>8400</v>
      </c>
      <c r="F301" s="19">
        <f t="shared" ref="F301:H301" si="209">F298*F300</f>
        <v>0</v>
      </c>
      <c r="G301" s="19">
        <f t="shared" si="209"/>
        <v>0</v>
      </c>
      <c r="H301" s="19">
        <f t="shared" si="209"/>
        <v>3420</v>
      </c>
      <c r="I301" s="19">
        <f t="shared" ref="I301:N301" si="210">I298*I299</f>
        <v>8640</v>
      </c>
      <c r="J301" s="19">
        <f t="shared" si="210"/>
        <v>2000</v>
      </c>
      <c r="K301" s="19">
        <f t="shared" si="210"/>
        <v>2250</v>
      </c>
      <c r="L301" s="19">
        <f t="shared" si="210"/>
        <v>2632.5</v>
      </c>
      <c r="M301" s="19">
        <f t="shared" si="210"/>
        <v>6000</v>
      </c>
      <c r="N301" s="19">
        <f t="shared" si="210"/>
        <v>3168</v>
      </c>
      <c r="O301" s="19">
        <f>SUM(D301:N301)</f>
        <v>77010.5</v>
      </c>
      <c r="P301" s="19">
        <f>O301/A299</f>
        <v>12835.083333333334</v>
      </c>
      <c r="Q301" s="19">
        <f>P301*Q298</f>
        <v>25670.166666666668</v>
      </c>
      <c r="R301" s="19">
        <f>MROUND(Q301,100)</f>
        <v>25700</v>
      </c>
    </row>
    <row r="302" spans="1:18" ht="14.25" customHeight="1" x14ac:dyDescent="0.1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</row>
    <row r="303" spans="1:18" ht="14.25" customHeight="1" x14ac:dyDescent="0.3">
      <c r="A303" s="109" t="str">
        <f>PRICELIST!I259</f>
        <v>WSTK-LNR-SH-PoLM-1500-G</v>
      </c>
      <c r="B303" s="87"/>
      <c r="C303" s="87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7"/>
    </row>
    <row r="304" spans="1:18" ht="14.25" customHeight="1" x14ac:dyDescent="0.15">
      <c r="A304" s="19" t="s">
        <v>57</v>
      </c>
      <c r="B304" s="19" t="s">
        <v>59</v>
      </c>
      <c r="C304" s="19" t="s">
        <v>62</v>
      </c>
      <c r="D304" s="19" t="s">
        <v>64</v>
      </c>
      <c r="E304" s="19">
        <v>1200</v>
      </c>
      <c r="F304" s="19">
        <v>900</v>
      </c>
      <c r="G304" s="19">
        <v>600</v>
      </c>
      <c r="H304" s="19" t="s">
        <v>67</v>
      </c>
      <c r="I304" s="19" t="s">
        <v>68</v>
      </c>
      <c r="J304" s="19" t="s">
        <v>69</v>
      </c>
      <c r="K304" s="19" t="s">
        <v>71</v>
      </c>
      <c r="L304" s="19" t="s">
        <v>72</v>
      </c>
      <c r="M304" s="19" t="s">
        <v>73</v>
      </c>
      <c r="N304" s="19" t="s">
        <v>75</v>
      </c>
      <c r="O304" s="19" t="s">
        <v>76</v>
      </c>
      <c r="P304" s="19" t="s">
        <v>78</v>
      </c>
      <c r="Q304" s="19" t="s">
        <v>79</v>
      </c>
      <c r="R304" s="19" t="s">
        <v>81</v>
      </c>
    </row>
    <row r="305" spans="1:18" ht="14.25" customHeight="1" x14ac:dyDescent="0.15">
      <c r="A305" s="21">
        <f t="shared" ref="A305:H305" si="211">A298</f>
        <v>0</v>
      </c>
      <c r="B305" s="21">
        <f t="shared" si="211"/>
        <v>0</v>
      </c>
      <c r="C305" s="21">
        <f t="shared" si="211"/>
        <v>0</v>
      </c>
      <c r="D305" s="21">
        <f t="shared" si="211"/>
        <v>0</v>
      </c>
      <c r="E305" s="23" t="str">
        <f t="shared" si="211"/>
        <v>4200</v>
      </c>
      <c r="F305" s="23" t="str">
        <f t="shared" si="211"/>
        <v>4000</v>
      </c>
      <c r="G305" s="23" t="str">
        <f t="shared" si="211"/>
        <v>3800</v>
      </c>
      <c r="H305" s="23">
        <f t="shared" si="211"/>
        <v>380</v>
      </c>
      <c r="I305" s="23" t="str">
        <f>I284</f>
        <v>5500</v>
      </c>
      <c r="J305" s="23" t="str">
        <f t="shared" ref="J305:Q305" si="212">J298</f>
        <v>1000</v>
      </c>
      <c r="K305" s="23">
        <f t="shared" si="212"/>
        <v>375</v>
      </c>
      <c r="L305" s="23">
        <f t="shared" si="212"/>
        <v>585</v>
      </c>
      <c r="M305" s="23" t="str">
        <f t="shared" si="212"/>
        <v>1000</v>
      </c>
      <c r="N305" s="23">
        <f t="shared" si="212"/>
        <v>3300</v>
      </c>
      <c r="O305" s="23">
        <f t="shared" si="212"/>
        <v>0</v>
      </c>
      <c r="P305" s="23">
        <f t="shared" si="212"/>
        <v>0</v>
      </c>
      <c r="Q305" s="23">
        <f t="shared" si="212"/>
        <v>2</v>
      </c>
      <c r="R305" s="21"/>
    </row>
    <row r="306" spans="1:18" ht="14.25" customHeight="1" x14ac:dyDescent="0.15">
      <c r="A306" s="19">
        <v>6</v>
      </c>
      <c r="B306" s="19">
        <f>1.5*3</f>
        <v>4.5</v>
      </c>
      <c r="C306" s="19">
        <v>1.2</v>
      </c>
      <c r="D306" s="19">
        <f>B306*C306</f>
        <v>5.3999999999999995</v>
      </c>
      <c r="E306" s="19"/>
      <c r="F306" s="19"/>
      <c r="G306" s="19"/>
      <c r="H306" s="19"/>
      <c r="I306" s="19">
        <f>B306*0.4</f>
        <v>1.8</v>
      </c>
      <c r="J306" s="19">
        <v>2</v>
      </c>
      <c r="K306" s="19">
        <f t="shared" ref="K306:L306" si="213">A306</f>
        <v>6</v>
      </c>
      <c r="L306" s="19">
        <f t="shared" si="213"/>
        <v>4.5</v>
      </c>
      <c r="M306" s="19">
        <f>A306</f>
        <v>6</v>
      </c>
      <c r="N306" s="19">
        <f>(1.2*0.4)*2</f>
        <v>0.96</v>
      </c>
      <c r="O306" s="19"/>
      <c r="P306" s="19"/>
      <c r="Q306" s="19"/>
      <c r="R306" s="19"/>
    </row>
    <row r="307" spans="1:18" ht="14.25" customHeight="1" x14ac:dyDescent="0.15">
      <c r="A307" s="19"/>
      <c r="B307" s="19"/>
      <c r="C307" s="19"/>
      <c r="D307" s="26" t="str">
        <f>D300</f>
        <v>7500</v>
      </c>
      <c r="E307" s="19">
        <v>2</v>
      </c>
      <c r="F307" s="19">
        <v>0</v>
      </c>
      <c r="G307" s="19">
        <v>0</v>
      </c>
      <c r="H307" s="19">
        <f>B306*2</f>
        <v>9</v>
      </c>
      <c r="I307" s="19"/>
      <c r="J307" s="19"/>
      <c r="K307" s="19"/>
      <c r="L307" s="19"/>
      <c r="M307" s="19"/>
      <c r="N307" s="28"/>
      <c r="O307" s="19"/>
      <c r="P307" s="19"/>
      <c r="Q307" s="19"/>
      <c r="R307" s="19"/>
    </row>
    <row r="308" spans="1:18" ht="14.25" customHeight="1" x14ac:dyDescent="0.15">
      <c r="A308" s="19"/>
      <c r="B308" s="19"/>
      <c r="C308" s="19"/>
      <c r="D308" s="19">
        <f>D306*D307</f>
        <v>40499.999999999993</v>
      </c>
      <c r="E308" s="19">
        <f>E307*E305</f>
        <v>8400</v>
      </c>
      <c r="F308" s="19">
        <f t="shared" ref="F308:H308" si="214">F305*F307</f>
        <v>0</v>
      </c>
      <c r="G308" s="19">
        <f t="shared" si="214"/>
        <v>0</v>
      </c>
      <c r="H308" s="19">
        <f t="shared" si="214"/>
        <v>3420</v>
      </c>
      <c r="I308" s="19">
        <f t="shared" ref="I308:N308" si="215">I305*I306</f>
        <v>9900</v>
      </c>
      <c r="J308" s="19">
        <f t="shared" si="215"/>
        <v>2000</v>
      </c>
      <c r="K308" s="19">
        <f t="shared" si="215"/>
        <v>2250</v>
      </c>
      <c r="L308" s="19">
        <f t="shared" si="215"/>
        <v>2632.5</v>
      </c>
      <c r="M308" s="19">
        <f t="shared" si="215"/>
        <v>6000</v>
      </c>
      <c r="N308" s="19">
        <f t="shared" si="215"/>
        <v>3168</v>
      </c>
      <c r="O308" s="19">
        <f>SUM(D308:N308)</f>
        <v>78270.5</v>
      </c>
      <c r="P308" s="19">
        <f>O308/A306</f>
        <v>13045.083333333334</v>
      </c>
      <c r="Q308" s="19">
        <f>P308*Q305</f>
        <v>26090.166666666668</v>
      </c>
      <c r="R308" s="19">
        <f>MROUND(Q308,100)</f>
        <v>26100</v>
      </c>
    </row>
    <row r="309" spans="1:18" ht="14.25" customHeight="1" x14ac:dyDescent="0.1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</row>
    <row r="310" spans="1:18" ht="14.25" customHeight="1" x14ac:dyDescent="0.3">
      <c r="A310" s="109" t="str">
        <f>PRICELIST!I260</f>
        <v>WSTK-LNR-SH-PoLM-1500-X</v>
      </c>
      <c r="B310" s="87"/>
      <c r="C310" s="87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7"/>
    </row>
    <row r="311" spans="1:18" ht="14.25" customHeight="1" x14ac:dyDescent="0.15">
      <c r="A311" s="19" t="s">
        <v>57</v>
      </c>
      <c r="B311" s="19" t="s">
        <v>59</v>
      </c>
      <c r="C311" s="19" t="s">
        <v>62</v>
      </c>
      <c r="D311" s="19" t="s">
        <v>64</v>
      </c>
      <c r="E311" s="19">
        <v>1200</v>
      </c>
      <c r="F311" s="19">
        <v>900</v>
      </c>
      <c r="G311" s="19">
        <v>600</v>
      </c>
      <c r="H311" s="19" t="s">
        <v>67</v>
      </c>
      <c r="I311" s="19" t="s">
        <v>68</v>
      </c>
      <c r="J311" s="19" t="s">
        <v>69</v>
      </c>
      <c r="K311" s="19" t="s">
        <v>71</v>
      </c>
      <c r="L311" s="19" t="s">
        <v>72</v>
      </c>
      <c r="M311" s="19" t="s">
        <v>73</v>
      </c>
      <c r="N311" s="19" t="s">
        <v>75</v>
      </c>
      <c r="O311" s="19" t="s">
        <v>76</v>
      </c>
      <c r="P311" s="19" t="s">
        <v>78</v>
      </c>
      <c r="Q311" s="19" t="s">
        <v>79</v>
      </c>
      <c r="R311" s="19" t="s">
        <v>81</v>
      </c>
    </row>
    <row r="312" spans="1:18" ht="14.25" customHeight="1" x14ac:dyDescent="0.15">
      <c r="A312" s="21">
        <f t="shared" ref="A312:H312" si="216">A305</f>
        <v>0</v>
      </c>
      <c r="B312" s="21">
        <f t="shared" si="216"/>
        <v>0</v>
      </c>
      <c r="C312" s="21">
        <f t="shared" si="216"/>
        <v>0</v>
      </c>
      <c r="D312" s="21">
        <f t="shared" si="216"/>
        <v>0</v>
      </c>
      <c r="E312" s="23" t="str">
        <f t="shared" si="216"/>
        <v>4200</v>
      </c>
      <c r="F312" s="23" t="str">
        <f t="shared" si="216"/>
        <v>4000</v>
      </c>
      <c r="G312" s="23" t="str">
        <f t="shared" si="216"/>
        <v>3800</v>
      </c>
      <c r="H312" s="23">
        <f t="shared" si="216"/>
        <v>380</v>
      </c>
      <c r="I312" s="23" t="str">
        <f>I291</f>
        <v>0</v>
      </c>
      <c r="J312" s="23" t="str">
        <f t="shared" ref="J312:Q312" si="217">J305</f>
        <v>1000</v>
      </c>
      <c r="K312" s="23">
        <f t="shared" si="217"/>
        <v>375</v>
      </c>
      <c r="L312" s="23">
        <f t="shared" si="217"/>
        <v>585</v>
      </c>
      <c r="M312" s="23" t="str">
        <f t="shared" si="217"/>
        <v>1000</v>
      </c>
      <c r="N312" s="23">
        <f t="shared" si="217"/>
        <v>3300</v>
      </c>
      <c r="O312" s="23">
        <f t="shared" si="217"/>
        <v>0</v>
      </c>
      <c r="P312" s="23">
        <f t="shared" si="217"/>
        <v>0</v>
      </c>
      <c r="Q312" s="23">
        <f t="shared" si="217"/>
        <v>2</v>
      </c>
      <c r="R312" s="21"/>
    </row>
    <row r="313" spans="1:18" ht="14.25" customHeight="1" x14ac:dyDescent="0.15">
      <c r="A313" s="19">
        <v>6</v>
      </c>
      <c r="B313" s="19">
        <f>1.5*3</f>
        <v>4.5</v>
      </c>
      <c r="C313" s="19">
        <v>1.2</v>
      </c>
      <c r="D313" s="19">
        <f>B313*C313</f>
        <v>5.3999999999999995</v>
      </c>
      <c r="E313" s="19"/>
      <c r="F313" s="19"/>
      <c r="G313" s="19"/>
      <c r="H313" s="19"/>
      <c r="I313" s="19">
        <f>B313*0.4</f>
        <v>1.8</v>
      </c>
      <c r="J313" s="19">
        <v>2</v>
      </c>
      <c r="K313" s="19">
        <f t="shared" ref="K313:L313" si="218">A313</f>
        <v>6</v>
      </c>
      <c r="L313" s="19">
        <f t="shared" si="218"/>
        <v>4.5</v>
      </c>
      <c r="M313" s="19">
        <f>A313</f>
        <v>6</v>
      </c>
      <c r="N313" s="19">
        <f>(1.2*0.4)*2</f>
        <v>0.96</v>
      </c>
      <c r="O313" s="19"/>
      <c r="P313" s="19"/>
      <c r="Q313" s="19"/>
      <c r="R313" s="19"/>
    </row>
    <row r="314" spans="1:18" ht="14.25" customHeight="1" x14ac:dyDescent="0.15">
      <c r="A314" s="19"/>
      <c r="B314" s="19"/>
      <c r="C314" s="19"/>
      <c r="D314" s="26" t="str">
        <f>D307</f>
        <v>7500</v>
      </c>
      <c r="E314" s="19">
        <v>2</v>
      </c>
      <c r="F314" s="19">
        <v>0</v>
      </c>
      <c r="G314" s="19">
        <v>0</v>
      </c>
      <c r="H314" s="19">
        <f>B313*2</f>
        <v>9</v>
      </c>
      <c r="I314" s="19"/>
      <c r="J314" s="19"/>
      <c r="K314" s="19"/>
      <c r="L314" s="19"/>
      <c r="M314" s="19"/>
      <c r="N314" s="28"/>
      <c r="O314" s="19"/>
      <c r="P314" s="19"/>
      <c r="Q314" s="19"/>
      <c r="R314" s="19"/>
    </row>
    <row r="315" spans="1:18" ht="14.25" customHeight="1" x14ac:dyDescent="0.15">
      <c r="A315" s="19"/>
      <c r="B315" s="19"/>
      <c r="C315" s="19"/>
      <c r="D315" s="19">
        <f>D313*D314</f>
        <v>40499.999999999993</v>
      </c>
      <c r="E315" s="19">
        <f>E314*E312</f>
        <v>8400</v>
      </c>
      <c r="F315" s="19">
        <f t="shared" ref="F315:H315" si="219">F312*F314</f>
        <v>0</v>
      </c>
      <c r="G315" s="19">
        <f t="shared" si="219"/>
        <v>0</v>
      </c>
      <c r="H315" s="19">
        <f t="shared" si="219"/>
        <v>3420</v>
      </c>
      <c r="I315" s="19">
        <f t="shared" ref="I315:N315" si="220">I312*I313</f>
        <v>0</v>
      </c>
      <c r="J315" s="19">
        <f t="shared" si="220"/>
        <v>2000</v>
      </c>
      <c r="K315" s="19">
        <f t="shared" si="220"/>
        <v>2250</v>
      </c>
      <c r="L315" s="19">
        <f t="shared" si="220"/>
        <v>2632.5</v>
      </c>
      <c r="M315" s="19">
        <f t="shared" si="220"/>
        <v>6000</v>
      </c>
      <c r="N315" s="19">
        <f t="shared" si="220"/>
        <v>3168</v>
      </c>
      <c r="O315" s="19">
        <f>SUM(D315:N315)</f>
        <v>68370.5</v>
      </c>
      <c r="P315" s="19">
        <f>O315/A313</f>
        <v>11395.083333333334</v>
      </c>
      <c r="Q315" s="19">
        <f>P315*Q312</f>
        <v>22790.166666666668</v>
      </c>
      <c r="R315" s="19">
        <f>MROUND(Q315,100)</f>
        <v>22800</v>
      </c>
    </row>
    <row r="316" spans="1:18" ht="14.25" customHeight="1" x14ac:dyDescent="0.1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</row>
    <row r="317" spans="1:18" ht="14.25" customHeight="1" x14ac:dyDescent="0.3">
      <c r="A317" s="109" t="str">
        <f>PRICELIST!I261</f>
        <v>WSTK-LNR-SH-LVM-1500-F</v>
      </c>
      <c r="B317" s="87"/>
      <c r="C317" s="87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7"/>
    </row>
    <row r="318" spans="1:18" ht="14.25" customHeight="1" x14ac:dyDescent="0.15">
      <c r="A318" s="19" t="s">
        <v>57</v>
      </c>
      <c r="B318" s="19" t="s">
        <v>59</v>
      </c>
      <c r="C318" s="19" t="s">
        <v>62</v>
      </c>
      <c r="D318" s="19" t="s">
        <v>64</v>
      </c>
      <c r="E318" s="19">
        <v>1200</v>
      </c>
      <c r="F318" s="19">
        <v>900</v>
      </c>
      <c r="G318" s="19">
        <v>600</v>
      </c>
      <c r="H318" s="19" t="s">
        <v>67</v>
      </c>
      <c r="I318" s="19" t="s">
        <v>68</v>
      </c>
      <c r="J318" s="19" t="s">
        <v>69</v>
      </c>
      <c r="K318" s="19" t="s">
        <v>71</v>
      </c>
      <c r="L318" s="19" t="s">
        <v>72</v>
      </c>
      <c r="M318" s="19" t="s">
        <v>73</v>
      </c>
      <c r="N318" s="19" t="s">
        <v>75</v>
      </c>
      <c r="O318" s="19" t="s">
        <v>76</v>
      </c>
      <c r="P318" s="19" t="s">
        <v>78</v>
      </c>
      <c r="Q318" s="19" t="s">
        <v>79</v>
      </c>
      <c r="R318" s="19" t="s">
        <v>81</v>
      </c>
    </row>
    <row r="319" spans="1:18" ht="14.25" customHeight="1" x14ac:dyDescent="0.15">
      <c r="A319" s="21">
        <f t="shared" ref="A319:H319" si="221">A312</f>
        <v>0</v>
      </c>
      <c r="B319" s="21">
        <f t="shared" si="221"/>
        <v>0</v>
      </c>
      <c r="C319" s="21">
        <f t="shared" si="221"/>
        <v>0</v>
      </c>
      <c r="D319" s="21">
        <f t="shared" si="221"/>
        <v>0</v>
      </c>
      <c r="E319" s="23" t="str">
        <f t="shared" si="221"/>
        <v>4200</v>
      </c>
      <c r="F319" s="23" t="str">
        <f t="shared" si="221"/>
        <v>4000</v>
      </c>
      <c r="G319" s="23" t="str">
        <f t="shared" si="221"/>
        <v>3800</v>
      </c>
      <c r="H319" s="23">
        <f t="shared" si="221"/>
        <v>380</v>
      </c>
      <c r="I319" s="23" t="str">
        <f>I298</f>
        <v>4800</v>
      </c>
      <c r="J319" s="23" t="str">
        <f t="shared" ref="J319:Q319" si="222">J312</f>
        <v>1000</v>
      </c>
      <c r="K319" s="23">
        <f t="shared" si="222"/>
        <v>375</v>
      </c>
      <c r="L319" s="23">
        <f t="shared" si="222"/>
        <v>585</v>
      </c>
      <c r="M319" s="23" t="str">
        <f t="shared" si="222"/>
        <v>1000</v>
      </c>
      <c r="N319" s="23">
        <f t="shared" si="222"/>
        <v>3300</v>
      </c>
      <c r="O319" s="23">
        <f t="shared" si="222"/>
        <v>0</v>
      </c>
      <c r="P319" s="23">
        <f t="shared" si="222"/>
        <v>0</v>
      </c>
      <c r="Q319" s="23">
        <f t="shared" si="222"/>
        <v>2</v>
      </c>
      <c r="R319" s="21"/>
    </row>
    <row r="320" spans="1:18" ht="14.25" customHeight="1" x14ac:dyDescent="0.15">
      <c r="A320" s="19">
        <v>6</v>
      </c>
      <c r="B320" s="19">
        <f>1.5*3</f>
        <v>4.5</v>
      </c>
      <c r="C320" s="19">
        <v>1.2</v>
      </c>
      <c r="D320" s="19">
        <f>B320*C320</f>
        <v>5.3999999999999995</v>
      </c>
      <c r="E320" s="19"/>
      <c r="F320" s="19"/>
      <c r="G320" s="19"/>
      <c r="H320" s="19"/>
      <c r="I320" s="19">
        <f>B320*0.4</f>
        <v>1.8</v>
      </c>
      <c r="J320" s="19">
        <v>2</v>
      </c>
      <c r="K320" s="19">
        <f t="shared" ref="K320:L320" si="223">A320</f>
        <v>6</v>
      </c>
      <c r="L320" s="19">
        <f t="shared" si="223"/>
        <v>4.5</v>
      </c>
      <c r="M320" s="19">
        <f>A320</f>
        <v>6</v>
      </c>
      <c r="N320" s="19">
        <f>(1.2*0.4)*2</f>
        <v>0.96</v>
      </c>
      <c r="O320" s="19"/>
      <c r="P320" s="19"/>
      <c r="Q320" s="19"/>
      <c r="R320" s="19"/>
    </row>
    <row r="321" spans="1:18" ht="14.25" customHeight="1" x14ac:dyDescent="0.15">
      <c r="A321" s="19"/>
      <c r="B321" s="19"/>
      <c r="C321" s="19"/>
      <c r="D321" s="26" t="str">
        <f>D209</f>
        <v>9500</v>
      </c>
      <c r="E321" s="19">
        <v>2</v>
      </c>
      <c r="F321" s="19">
        <v>0</v>
      </c>
      <c r="G321" s="19">
        <v>0</v>
      </c>
      <c r="H321" s="19">
        <f>B320*2</f>
        <v>9</v>
      </c>
      <c r="I321" s="19"/>
      <c r="J321" s="19"/>
      <c r="K321" s="19"/>
      <c r="L321" s="19"/>
      <c r="M321" s="19"/>
      <c r="N321" s="28"/>
      <c r="O321" s="19"/>
      <c r="P321" s="19"/>
      <c r="Q321" s="19"/>
      <c r="R321" s="19"/>
    </row>
    <row r="322" spans="1:18" ht="14.25" customHeight="1" x14ac:dyDescent="0.15">
      <c r="A322" s="19"/>
      <c r="B322" s="19"/>
      <c r="C322" s="19"/>
      <c r="D322" s="19">
        <f>D320*D321</f>
        <v>51299.999999999993</v>
      </c>
      <c r="E322" s="19">
        <f>E321*E319</f>
        <v>8400</v>
      </c>
      <c r="F322" s="19">
        <f t="shared" ref="F322:H322" si="224">F319*F321</f>
        <v>0</v>
      </c>
      <c r="G322" s="19">
        <f t="shared" si="224"/>
        <v>0</v>
      </c>
      <c r="H322" s="19">
        <f t="shared" si="224"/>
        <v>3420</v>
      </c>
      <c r="I322" s="19">
        <f t="shared" ref="I322:N322" si="225">I319*I320</f>
        <v>8640</v>
      </c>
      <c r="J322" s="19">
        <f t="shared" si="225"/>
        <v>2000</v>
      </c>
      <c r="K322" s="19">
        <f t="shared" si="225"/>
        <v>2250</v>
      </c>
      <c r="L322" s="19">
        <f t="shared" si="225"/>
        <v>2632.5</v>
      </c>
      <c r="M322" s="19">
        <f t="shared" si="225"/>
        <v>6000</v>
      </c>
      <c r="N322" s="19">
        <f t="shared" si="225"/>
        <v>3168</v>
      </c>
      <c r="O322" s="19">
        <f>SUM(D322:N322)</f>
        <v>87810.5</v>
      </c>
      <c r="P322" s="19">
        <f>O322/A320</f>
        <v>14635.083333333334</v>
      </c>
      <c r="Q322" s="19">
        <f>P322*Q319</f>
        <v>29270.166666666668</v>
      </c>
      <c r="R322" s="19">
        <f>MROUND(Q322,100)</f>
        <v>29300</v>
      </c>
    </row>
    <row r="323" spans="1:18" ht="14.25" customHeight="1" x14ac:dyDescent="0.1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</row>
    <row r="324" spans="1:18" ht="14.25" customHeight="1" x14ac:dyDescent="0.3">
      <c r="A324" s="109" t="str">
        <f>PRICELIST!I262</f>
        <v>WSTK-LNR-SH-LVM-1500-G</v>
      </c>
      <c r="B324" s="87"/>
      <c r="C324" s="87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7"/>
    </row>
    <row r="325" spans="1:18" ht="14.25" customHeight="1" x14ac:dyDescent="0.15">
      <c r="A325" s="19" t="s">
        <v>57</v>
      </c>
      <c r="B325" s="19" t="s">
        <v>59</v>
      </c>
      <c r="C325" s="19" t="s">
        <v>62</v>
      </c>
      <c r="D325" s="19" t="s">
        <v>64</v>
      </c>
      <c r="E325" s="19">
        <v>1200</v>
      </c>
      <c r="F325" s="19">
        <v>900</v>
      </c>
      <c r="G325" s="19">
        <v>600</v>
      </c>
      <c r="H325" s="19" t="s">
        <v>67</v>
      </c>
      <c r="I325" s="19" t="s">
        <v>68</v>
      </c>
      <c r="J325" s="19" t="s">
        <v>69</v>
      </c>
      <c r="K325" s="19" t="s">
        <v>71</v>
      </c>
      <c r="L325" s="19" t="s">
        <v>72</v>
      </c>
      <c r="M325" s="19" t="s">
        <v>73</v>
      </c>
      <c r="N325" s="19" t="s">
        <v>75</v>
      </c>
      <c r="O325" s="19" t="s">
        <v>76</v>
      </c>
      <c r="P325" s="19" t="s">
        <v>78</v>
      </c>
      <c r="Q325" s="19" t="s">
        <v>79</v>
      </c>
      <c r="R325" s="19" t="s">
        <v>81</v>
      </c>
    </row>
    <row r="326" spans="1:18" ht="14.25" customHeight="1" x14ac:dyDescent="0.15">
      <c r="A326" s="21">
        <f t="shared" ref="A326:H326" si="226">A319</f>
        <v>0</v>
      </c>
      <c r="B326" s="21">
        <f t="shared" si="226"/>
        <v>0</v>
      </c>
      <c r="C326" s="21">
        <f t="shared" si="226"/>
        <v>0</v>
      </c>
      <c r="D326" s="21">
        <f t="shared" si="226"/>
        <v>0</v>
      </c>
      <c r="E326" s="23" t="str">
        <f t="shared" si="226"/>
        <v>4200</v>
      </c>
      <c r="F326" s="23" t="str">
        <f t="shared" si="226"/>
        <v>4000</v>
      </c>
      <c r="G326" s="23" t="str">
        <f t="shared" si="226"/>
        <v>3800</v>
      </c>
      <c r="H326" s="23">
        <f t="shared" si="226"/>
        <v>380</v>
      </c>
      <c r="I326" s="23" t="str">
        <f>I305</f>
        <v>5500</v>
      </c>
      <c r="J326" s="23" t="str">
        <f t="shared" ref="J326:Q326" si="227">J319</f>
        <v>1000</v>
      </c>
      <c r="K326" s="23">
        <f t="shared" si="227"/>
        <v>375</v>
      </c>
      <c r="L326" s="23">
        <f t="shared" si="227"/>
        <v>585</v>
      </c>
      <c r="M326" s="23" t="str">
        <f t="shared" si="227"/>
        <v>1000</v>
      </c>
      <c r="N326" s="23">
        <f t="shared" si="227"/>
        <v>3300</v>
      </c>
      <c r="O326" s="23">
        <f t="shared" si="227"/>
        <v>0</v>
      </c>
      <c r="P326" s="23">
        <f t="shared" si="227"/>
        <v>0</v>
      </c>
      <c r="Q326" s="23">
        <f t="shared" si="227"/>
        <v>2</v>
      </c>
      <c r="R326" s="21"/>
    </row>
    <row r="327" spans="1:18" ht="14.25" customHeight="1" x14ac:dyDescent="0.15">
      <c r="A327" s="19">
        <v>6</v>
      </c>
      <c r="B327" s="19">
        <f>1.5*3</f>
        <v>4.5</v>
      </c>
      <c r="C327" s="19">
        <v>1.2</v>
      </c>
      <c r="D327" s="19">
        <f>B327*C327</f>
        <v>5.3999999999999995</v>
      </c>
      <c r="E327" s="19"/>
      <c r="F327" s="19"/>
      <c r="G327" s="19"/>
      <c r="H327" s="19"/>
      <c r="I327" s="19">
        <f>B327*0.4</f>
        <v>1.8</v>
      </c>
      <c r="J327" s="19">
        <v>2</v>
      </c>
      <c r="K327" s="19">
        <f t="shared" ref="K327:L327" si="228">A327</f>
        <v>6</v>
      </c>
      <c r="L327" s="19">
        <f t="shared" si="228"/>
        <v>4.5</v>
      </c>
      <c r="M327" s="19">
        <f>A327</f>
        <v>6</v>
      </c>
      <c r="N327" s="19">
        <f>(1.2*0.4)*2</f>
        <v>0.96</v>
      </c>
      <c r="O327" s="19"/>
      <c r="P327" s="19"/>
      <c r="Q327" s="19"/>
      <c r="R327" s="19"/>
    </row>
    <row r="328" spans="1:18" ht="14.25" customHeight="1" x14ac:dyDescent="0.15">
      <c r="A328" s="19"/>
      <c r="B328" s="19"/>
      <c r="C328" s="19"/>
      <c r="D328" s="26" t="str">
        <f>D321</f>
        <v>9500</v>
      </c>
      <c r="E328" s="19">
        <v>2</v>
      </c>
      <c r="F328" s="19">
        <v>0</v>
      </c>
      <c r="G328" s="19">
        <v>0</v>
      </c>
      <c r="H328" s="19">
        <f>B327*2</f>
        <v>9</v>
      </c>
      <c r="I328" s="19"/>
      <c r="J328" s="19"/>
      <c r="K328" s="19"/>
      <c r="L328" s="19"/>
      <c r="M328" s="19"/>
      <c r="N328" s="28"/>
      <c r="O328" s="19"/>
      <c r="P328" s="19"/>
      <c r="Q328" s="19"/>
      <c r="R328" s="19"/>
    </row>
    <row r="329" spans="1:18" ht="14.25" customHeight="1" x14ac:dyDescent="0.15">
      <c r="A329" s="19"/>
      <c r="B329" s="19"/>
      <c r="C329" s="19"/>
      <c r="D329" s="19">
        <f>D327*D328</f>
        <v>51299.999999999993</v>
      </c>
      <c r="E329" s="19">
        <f>E328*E326</f>
        <v>8400</v>
      </c>
      <c r="F329" s="19">
        <f t="shared" ref="F329:H329" si="229">F326*F328</f>
        <v>0</v>
      </c>
      <c r="G329" s="19">
        <f t="shared" si="229"/>
        <v>0</v>
      </c>
      <c r="H329" s="19">
        <f t="shared" si="229"/>
        <v>3420</v>
      </c>
      <c r="I329" s="19">
        <f t="shared" ref="I329:N329" si="230">I326*I327</f>
        <v>9900</v>
      </c>
      <c r="J329" s="19">
        <f t="shared" si="230"/>
        <v>2000</v>
      </c>
      <c r="K329" s="19">
        <f t="shared" si="230"/>
        <v>2250</v>
      </c>
      <c r="L329" s="19">
        <f t="shared" si="230"/>
        <v>2632.5</v>
      </c>
      <c r="M329" s="19">
        <f t="shared" si="230"/>
        <v>6000</v>
      </c>
      <c r="N329" s="19">
        <f t="shared" si="230"/>
        <v>3168</v>
      </c>
      <c r="O329" s="19">
        <f>SUM(D329:N329)</f>
        <v>89070.5</v>
      </c>
      <c r="P329" s="19">
        <f>O329/A327</f>
        <v>14845.083333333334</v>
      </c>
      <c r="Q329" s="19">
        <f>P329*Q326</f>
        <v>29690.166666666668</v>
      </c>
      <c r="R329" s="19">
        <f>MROUND(Q329,100)</f>
        <v>29700</v>
      </c>
    </row>
    <row r="330" spans="1:18" ht="14.25" customHeight="1" x14ac:dyDescent="0.1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</row>
    <row r="331" spans="1:18" ht="14.25" customHeight="1" x14ac:dyDescent="0.3">
      <c r="A331" s="109" t="str">
        <f>PRICELIST!I263</f>
        <v>WSTK-LNR-SH-LVM-1500-X</v>
      </c>
      <c r="B331" s="87"/>
      <c r="C331" s="87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7"/>
    </row>
    <row r="332" spans="1:18" ht="14.25" customHeight="1" x14ac:dyDescent="0.15">
      <c r="A332" s="19" t="s">
        <v>57</v>
      </c>
      <c r="B332" s="19" t="s">
        <v>59</v>
      </c>
      <c r="C332" s="19" t="s">
        <v>62</v>
      </c>
      <c r="D332" s="19" t="s">
        <v>64</v>
      </c>
      <c r="E332" s="19">
        <v>1200</v>
      </c>
      <c r="F332" s="19">
        <v>900</v>
      </c>
      <c r="G332" s="19">
        <v>600</v>
      </c>
      <c r="H332" s="19" t="s">
        <v>67</v>
      </c>
      <c r="I332" s="19" t="s">
        <v>68</v>
      </c>
      <c r="J332" s="19" t="s">
        <v>69</v>
      </c>
      <c r="K332" s="19" t="s">
        <v>71</v>
      </c>
      <c r="L332" s="19" t="s">
        <v>72</v>
      </c>
      <c r="M332" s="19" t="s">
        <v>73</v>
      </c>
      <c r="N332" s="19" t="s">
        <v>75</v>
      </c>
      <c r="O332" s="19" t="s">
        <v>76</v>
      </c>
      <c r="P332" s="19" t="s">
        <v>78</v>
      </c>
      <c r="Q332" s="19" t="s">
        <v>79</v>
      </c>
      <c r="R332" s="19" t="s">
        <v>81</v>
      </c>
    </row>
    <row r="333" spans="1:18" ht="14.25" customHeight="1" x14ac:dyDescent="0.15">
      <c r="A333" s="21">
        <f t="shared" ref="A333:H333" si="231">A326</f>
        <v>0</v>
      </c>
      <c r="B333" s="21">
        <f t="shared" si="231"/>
        <v>0</v>
      </c>
      <c r="C333" s="21">
        <f t="shared" si="231"/>
        <v>0</v>
      </c>
      <c r="D333" s="21">
        <f t="shared" si="231"/>
        <v>0</v>
      </c>
      <c r="E333" s="23" t="str">
        <f t="shared" si="231"/>
        <v>4200</v>
      </c>
      <c r="F333" s="23" t="str">
        <f t="shared" si="231"/>
        <v>4000</v>
      </c>
      <c r="G333" s="23" t="str">
        <f t="shared" si="231"/>
        <v>3800</v>
      </c>
      <c r="H333" s="23">
        <f t="shared" si="231"/>
        <v>380</v>
      </c>
      <c r="I333" s="23" t="str">
        <f>I312</f>
        <v>0</v>
      </c>
      <c r="J333" s="23" t="str">
        <f t="shared" ref="J333:Q333" si="232">J326</f>
        <v>1000</v>
      </c>
      <c r="K333" s="23">
        <f t="shared" si="232"/>
        <v>375</v>
      </c>
      <c r="L333" s="23">
        <f t="shared" si="232"/>
        <v>585</v>
      </c>
      <c r="M333" s="23" t="str">
        <f t="shared" si="232"/>
        <v>1000</v>
      </c>
      <c r="N333" s="23">
        <f t="shared" si="232"/>
        <v>3300</v>
      </c>
      <c r="O333" s="23">
        <f t="shared" si="232"/>
        <v>0</v>
      </c>
      <c r="P333" s="23">
        <f t="shared" si="232"/>
        <v>0</v>
      </c>
      <c r="Q333" s="23">
        <f t="shared" si="232"/>
        <v>2</v>
      </c>
      <c r="R333" s="21"/>
    </row>
    <row r="334" spans="1:18" ht="14.25" customHeight="1" x14ac:dyDescent="0.15">
      <c r="A334" s="19">
        <v>6</v>
      </c>
      <c r="B334" s="19">
        <f>1.5*3</f>
        <v>4.5</v>
      </c>
      <c r="C334" s="19">
        <v>1.2</v>
      </c>
      <c r="D334" s="19">
        <f>B334*C334</f>
        <v>5.3999999999999995</v>
      </c>
      <c r="E334" s="19"/>
      <c r="F334" s="19"/>
      <c r="G334" s="19"/>
      <c r="H334" s="19"/>
      <c r="I334" s="19">
        <f>B334*0.4</f>
        <v>1.8</v>
      </c>
      <c r="J334" s="19">
        <v>2</v>
      </c>
      <c r="K334" s="19">
        <f t="shared" ref="K334:L334" si="233">A334</f>
        <v>6</v>
      </c>
      <c r="L334" s="19">
        <f t="shared" si="233"/>
        <v>4.5</v>
      </c>
      <c r="M334" s="19">
        <f>A334</f>
        <v>6</v>
      </c>
      <c r="N334" s="19">
        <f>(1.2*0.4)*2</f>
        <v>0.96</v>
      </c>
      <c r="O334" s="19"/>
      <c r="P334" s="19"/>
      <c r="Q334" s="19"/>
      <c r="R334" s="19"/>
    </row>
    <row r="335" spans="1:18" ht="14.25" customHeight="1" x14ac:dyDescent="0.15">
      <c r="A335" s="19"/>
      <c r="B335" s="19"/>
      <c r="C335" s="19"/>
      <c r="D335" s="26" t="str">
        <f>D328</f>
        <v>9500</v>
      </c>
      <c r="E335" s="19">
        <v>2</v>
      </c>
      <c r="F335" s="19">
        <v>0</v>
      </c>
      <c r="G335" s="19">
        <v>0</v>
      </c>
      <c r="H335" s="19">
        <f>B334*2</f>
        <v>9</v>
      </c>
      <c r="I335" s="19"/>
      <c r="J335" s="19"/>
      <c r="K335" s="19"/>
      <c r="L335" s="19"/>
      <c r="M335" s="19"/>
      <c r="N335" s="28"/>
      <c r="O335" s="19"/>
      <c r="P335" s="19"/>
      <c r="Q335" s="19"/>
      <c r="R335" s="19"/>
    </row>
    <row r="336" spans="1:18" ht="14.25" customHeight="1" x14ac:dyDescent="0.15">
      <c r="A336" s="19"/>
      <c r="B336" s="19"/>
      <c r="C336" s="19"/>
      <c r="D336" s="19">
        <f>D334*D335</f>
        <v>51299.999999999993</v>
      </c>
      <c r="E336" s="19">
        <f>E335*E333</f>
        <v>8400</v>
      </c>
      <c r="F336" s="19">
        <f t="shared" ref="F336:H336" si="234">F333*F335</f>
        <v>0</v>
      </c>
      <c r="G336" s="19">
        <f t="shared" si="234"/>
        <v>0</v>
      </c>
      <c r="H336" s="19">
        <f t="shared" si="234"/>
        <v>3420</v>
      </c>
      <c r="I336" s="19">
        <f t="shared" ref="I336:N336" si="235">I333*I334</f>
        <v>0</v>
      </c>
      <c r="J336" s="19">
        <f t="shared" si="235"/>
        <v>2000</v>
      </c>
      <c r="K336" s="19">
        <f t="shared" si="235"/>
        <v>2250</v>
      </c>
      <c r="L336" s="19">
        <f t="shared" si="235"/>
        <v>2632.5</v>
      </c>
      <c r="M336" s="19">
        <f t="shared" si="235"/>
        <v>6000</v>
      </c>
      <c r="N336" s="19">
        <f t="shared" si="235"/>
        <v>3168</v>
      </c>
      <c r="O336" s="19">
        <f>SUM(D336:N336)</f>
        <v>79170.5</v>
      </c>
      <c r="P336" s="19">
        <f>O336/A334</f>
        <v>13195.083333333334</v>
      </c>
      <c r="Q336" s="19">
        <f>P336*Q333</f>
        <v>26390.166666666668</v>
      </c>
      <c r="R336" s="19">
        <f>MROUND(Q336,100)</f>
        <v>26400</v>
      </c>
    </row>
    <row r="337" spans="1:18" ht="14.25" customHeight="1" x14ac:dyDescent="0.1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</row>
    <row r="338" spans="1:18" ht="14.25" customHeight="1" x14ac:dyDescent="0.3">
      <c r="A338" s="109" t="str">
        <f>PRICELIST!I264</f>
        <v>WSTK-LNR-SH-LVP-1500-F</v>
      </c>
      <c r="B338" s="87"/>
      <c r="C338" s="87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7"/>
    </row>
    <row r="339" spans="1:18" ht="14.25" customHeight="1" x14ac:dyDescent="0.15">
      <c r="A339" s="19" t="s">
        <v>57</v>
      </c>
      <c r="B339" s="19" t="s">
        <v>59</v>
      </c>
      <c r="C339" s="19" t="s">
        <v>62</v>
      </c>
      <c r="D339" s="19" t="s">
        <v>64</v>
      </c>
      <c r="E339" s="19">
        <v>1200</v>
      </c>
      <c r="F339" s="19">
        <v>900</v>
      </c>
      <c r="G339" s="19">
        <v>600</v>
      </c>
      <c r="H339" s="19" t="s">
        <v>67</v>
      </c>
      <c r="I339" s="19" t="s">
        <v>68</v>
      </c>
      <c r="J339" s="19" t="s">
        <v>69</v>
      </c>
      <c r="K339" s="19" t="s">
        <v>71</v>
      </c>
      <c r="L339" s="19" t="s">
        <v>72</v>
      </c>
      <c r="M339" s="19" t="s">
        <v>73</v>
      </c>
      <c r="N339" s="19" t="s">
        <v>75</v>
      </c>
      <c r="O339" s="19" t="s">
        <v>76</v>
      </c>
      <c r="P339" s="19" t="s">
        <v>78</v>
      </c>
      <c r="Q339" s="19" t="s">
        <v>79</v>
      </c>
      <c r="R339" s="19" t="s">
        <v>81</v>
      </c>
    </row>
    <row r="340" spans="1:18" ht="14.25" customHeight="1" x14ac:dyDescent="0.15">
      <c r="A340" s="21">
        <f t="shared" ref="A340:H340" si="236">A333</f>
        <v>0</v>
      </c>
      <c r="B340" s="21">
        <f t="shared" si="236"/>
        <v>0</v>
      </c>
      <c r="C340" s="21">
        <f t="shared" si="236"/>
        <v>0</v>
      </c>
      <c r="D340" s="21">
        <f t="shared" si="236"/>
        <v>0</v>
      </c>
      <c r="E340" s="23" t="str">
        <f t="shared" si="236"/>
        <v>4200</v>
      </c>
      <c r="F340" s="23" t="str">
        <f t="shared" si="236"/>
        <v>4000</v>
      </c>
      <c r="G340" s="23" t="str">
        <f t="shared" si="236"/>
        <v>3800</v>
      </c>
      <c r="H340" s="23">
        <f t="shared" si="236"/>
        <v>380</v>
      </c>
      <c r="I340" s="23" t="str">
        <f>I319</f>
        <v>4800</v>
      </c>
      <c r="J340" s="23" t="str">
        <f t="shared" ref="J340:Q340" si="237">J333</f>
        <v>1000</v>
      </c>
      <c r="K340" s="23">
        <f t="shared" si="237"/>
        <v>375</v>
      </c>
      <c r="L340" s="23">
        <f t="shared" si="237"/>
        <v>585</v>
      </c>
      <c r="M340" s="23" t="str">
        <f t="shared" si="237"/>
        <v>1000</v>
      </c>
      <c r="N340" s="23">
        <f t="shared" si="237"/>
        <v>3300</v>
      </c>
      <c r="O340" s="23">
        <f t="shared" si="237"/>
        <v>0</v>
      </c>
      <c r="P340" s="23">
        <f t="shared" si="237"/>
        <v>0</v>
      </c>
      <c r="Q340" s="23">
        <f t="shared" si="237"/>
        <v>2</v>
      </c>
      <c r="R340" s="21"/>
    </row>
    <row r="341" spans="1:18" ht="14.25" customHeight="1" x14ac:dyDescent="0.15">
      <c r="A341" s="19">
        <v>6</v>
      </c>
      <c r="B341" s="19">
        <f>1.5*3</f>
        <v>4.5</v>
      </c>
      <c r="C341" s="19">
        <v>1.2</v>
      </c>
      <c r="D341" s="19">
        <f>B341*C341</f>
        <v>5.3999999999999995</v>
      </c>
      <c r="E341" s="19"/>
      <c r="F341" s="19"/>
      <c r="G341" s="19"/>
      <c r="H341" s="19"/>
      <c r="I341" s="19">
        <f>B341*0.4</f>
        <v>1.8</v>
      </c>
      <c r="J341" s="19">
        <v>2</v>
      </c>
      <c r="K341" s="19">
        <f t="shared" ref="K341:L341" si="238">A341</f>
        <v>6</v>
      </c>
      <c r="L341" s="19">
        <f t="shared" si="238"/>
        <v>4.5</v>
      </c>
      <c r="M341" s="19">
        <f>A341</f>
        <v>6</v>
      </c>
      <c r="N341" s="19">
        <f>(1.2*0.4)*2</f>
        <v>0.96</v>
      </c>
      <c r="O341" s="19"/>
      <c r="P341" s="19"/>
      <c r="Q341" s="19"/>
      <c r="R341" s="19"/>
    </row>
    <row r="342" spans="1:18" ht="14.25" customHeight="1" x14ac:dyDescent="0.15">
      <c r="A342" s="19"/>
      <c r="B342" s="19"/>
      <c r="C342" s="19"/>
      <c r="D342" s="26" t="str">
        <f>D223</f>
        <v>10500</v>
      </c>
      <c r="E342" s="19">
        <v>2</v>
      </c>
      <c r="F342" s="19">
        <v>0</v>
      </c>
      <c r="G342" s="19">
        <v>0</v>
      </c>
      <c r="H342" s="19">
        <f>B341*2</f>
        <v>9</v>
      </c>
      <c r="I342" s="19"/>
      <c r="J342" s="19"/>
      <c r="K342" s="19"/>
      <c r="L342" s="19"/>
      <c r="M342" s="19"/>
      <c r="N342" s="28"/>
      <c r="O342" s="19"/>
      <c r="P342" s="19"/>
      <c r="Q342" s="19"/>
      <c r="R342" s="19"/>
    </row>
    <row r="343" spans="1:18" ht="14.25" customHeight="1" x14ac:dyDescent="0.15">
      <c r="A343" s="19"/>
      <c r="B343" s="19"/>
      <c r="C343" s="19"/>
      <c r="D343" s="19">
        <f>D341*D342</f>
        <v>56699.999999999993</v>
      </c>
      <c r="E343" s="19">
        <f>E342*E340</f>
        <v>8400</v>
      </c>
      <c r="F343" s="19">
        <f t="shared" ref="F343:H343" si="239">F340*F342</f>
        <v>0</v>
      </c>
      <c r="G343" s="19">
        <f t="shared" si="239"/>
        <v>0</v>
      </c>
      <c r="H343" s="19">
        <f t="shared" si="239"/>
        <v>3420</v>
      </c>
      <c r="I343" s="19">
        <f t="shared" ref="I343:N343" si="240">I340*I341</f>
        <v>8640</v>
      </c>
      <c r="J343" s="19">
        <f t="shared" si="240"/>
        <v>2000</v>
      </c>
      <c r="K343" s="19">
        <f t="shared" si="240"/>
        <v>2250</v>
      </c>
      <c r="L343" s="19">
        <f t="shared" si="240"/>
        <v>2632.5</v>
      </c>
      <c r="M343" s="19">
        <f t="shared" si="240"/>
        <v>6000</v>
      </c>
      <c r="N343" s="19">
        <f t="shared" si="240"/>
        <v>3168</v>
      </c>
      <c r="O343" s="19">
        <f>SUM(D343:N343)</f>
        <v>93210.5</v>
      </c>
      <c r="P343" s="19">
        <f>O343/A341</f>
        <v>15535.083333333334</v>
      </c>
      <c r="Q343" s="19">
        <f>P343*Q340</f>
        <v>31070.166666666668</v>
      </c>
      <c r="R343" s="19">
        <f>MROUND(Q343,100)</f>
        <v>31100</v>
      </c>
    </row>
    <row r="344" spans="1:18" ht="14.25" customHeight="1" x14ac:dyDescent="0.1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</row>
    <row r="345" spans="1:18" ht="14.25" customHeight="1" x14ac:dyDescent="0.3">
      <c r="A345" s="109" t="str">
        <f>PRICELIST!I265</f>
        <v>WSTK-LNR-SH-LVP-1500-G</v>
      </c>
      <c r="B345" s="87"/>
      <c r="C345" s="87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7"/>
    </row>
    <row r="346" spans="1:18" ht="14.25" customHeight="1" x14ac:dyDescent="0.15">
      <c r="A346" s="19" t="s">
        <v>57</v>
      </c>
      <c r="B346" s="19" t="s">
        <v>59</v>
      </c>
      <c r="C346" s="19" t="s">
        <v>62</v>
      </c>
      <c r="D346" s="19" t="s">
        <v>64</v>
      </c>
      <c r="E346" s="19">
        <v>1200</v>
      </c>
      <c r="F346" s="19">
        <v>900</v>
      </c>
      <c r="G346" s="19">
        <v>600</v>
      </c>
      <c r="H346" s="19" t="s">
        <v>67</v>
      </c>
      <c r="I346" s="19" t="s">
        <v>68</v>
      </c>
      <c r="J346" s="19" t="s">
        <v>69</v>
      </c>
      <c r="K346" s="19" t="s">
        <v>71</v>
      </c>
      <c r="L346" s="19" t="s">
        <v>72</v>
      </c>
      <c r="M346" s="19" t="s">
        <v>73</v>
      </c>
      <c r="N346" s="19" t="s">
        <v>75</v>
      </c>
      <c r="O346" s="19" t="s">
        <v>76</v>
      </c>
      <c r="P346" s="19" t="s">
        <v>78</v>
      </c>
      <c r="Q346" s="19" t="s">
        <v>79</v>
      </c>
      <c r="R346" s="19" t="s">
        <v>81</v>
      </c>
    </row>
    <row r="347" spans="1:18" ht="14.25" customHeight="1" x14ac:dyDescent="0.15">
      <c r="A347" s="21">
        <f t="shared" ref="A347:H347" si="241">A340</f>
        <v>0</v>
      </c>
      <c r="B347" s="21">
        <f t="shared" si="241"/>
        <v>0</v>
      </c>
      <c r="C347" s="21">
        <f t="shared" si="241"/>
        <v>0</v>
      </c>
      <c r="D347" s="21">
        <f t="shared" si="241"/>
        <v>0</v>
      </c>
      <c r="E347" s="23" t="str">
        <f t="shared" si="241"/>
        <v>4200</v>
      </c>
      <c r="F347" s="23" t="str">
        <f t="shared" si="241"/>
        <v>4000</v>
      </c>
      <c r="G347" s="23" t="str">
        <f t="shared" si="241"/>
        <v>3800</v>
      </c>
      <c r="H347" s="23">
        <f t="shared" si="241"/>
        <v>380</v>
      </c>
      <c r="I347" s="23" t="str">
        <f>I326</f>
        <v>5500</v>
      </c>
      <c r="J347" s="23" t="str">
        <f t="shared" ref="J347:Q347" si="242">J340</f>
        <v>1000</v>
      </c>
      <c r="K347" s="23">
        <f t="shared" si="242"/>
        <v>375</v>
      </c>
      <c r="L347" s="23">
        <f t="shared" si="242"/>
        <v>585</v>
      </c>
      <c r="M347" s="23" t="str">
        <f t="shared" si="242"/>
        <v>1000</v>
      </c>
      <c r="N347" s="23">
        <f t="shared" si="242"/>
        <v>3300</v>
      </c>
      <c r="O347" s="23">
        <f t="shared" si="242"/>
        <v>0</v>
      </c>
      <c r="P347" s="23">
        <f t="shared" si="242"/>
        <v>0</v>
      </c>
      <c r="Q347" s="23">
        <f t="shared" si="242"/>
        <v>2</v>
      </c>
      <c r="R347" s="21"/>
    </row>
    <row r="348" spans="1:18" ht="14.25" customHeight="1" x14ac:dyDescent="0.15">
      <c r="A348" s="19">
        <v>6</v>
      </c>
      <c r="B348" s="19">
        <f>1.5*3</f>
        <v>4.5</v>
      </c>
      <c r="C348" s="19">
        <v>1.2</v>
      </c>
      <c r="D348" s="19">
        <f>B348*C348</f>
        <v>5.3999999999999995</v>
      </c>
      <c r="E348" s="19"/>
      <c r="F348" s="19"/>
      <c r="G348" s="19"/>
      <c r="H348" s="19"/>
      <c r="I348" s="19">
        <f>B348*0.4</f>
        <v>1.8</v>
      </c>
      <c r="J348" s="19">
        <v>2</v>
      </c>
      <c r="K348" s="19">
        <f t="shared" ref="K348:L348" si="243">A348</f>
        <v>6</v>
      </c>
      <c r="L348" s="19">
        <f t="shared" si="243"/>
        <v>4.5</v>
      </c>
      <c r="M348" s="19">
        <f>A348</f>
        <v>6</v>
      </c>
      <c r="N348" s="19">
        <f>(1.2*0.4)*2</f>
        <v>0.96</v>
      </c>
      <c r="O348" s="19"/>
      <c r="P348" s="19"/>
      <c r="Q348" s="19"/>
      <c r="R348" s="19"/>
    </row>
    <row r="349" spans="1:18" ht="14.25" customHeight="1" x14ac:dyDescent="0.15">
      <c r="A349" s="19"/>
      <c r="B349" s="19"/>
      <c r="C349" s="19"/>
      <c r="D349" s="26" t="str">
        <f>D342</f>
        <v>10500</v>
      </c>
      <c r="E349" s="19">
        <v>2</v>
      </c>
      <c r="F349" s="19">
        <v>0</v>
      </c>
      <c r="G349" s="19">
        <v>0</v>
      </c>
      <c r="H349" s="19">
        <f>B348*2</f>
        <v>9</v>
      </c>
      <c r="I349" s="19"/>
      <c r="J349" s="19"/>
      <c r="K349" s="19"/>
      <c r="L349" s="19"/>
      <c r="M349" s="19"/>
      <c r="N349" s="28"/>
      <c r="O349" s="19"/>
      <c r="P349" s="19"/>
      <c r="Q349" s="19"/>
      <c r="R349" s="19"/>
    </row>
    <row r="350" spans="1:18" ht="14.25" customHeight="1" x14ac:dyDescent="0.15">
      <c r="A350" s="19"/>
      <c r="B350" s="19"/>
      <c r="C350" s="19"/>
      <c r="D350" s="19">
        <f>D348*D349</f>
        <v>56699.999999999993</v>
      </c>
      <c r="E350" s="19">
        <f>E349*E347</f>
        <v>8400</v>
      </c>
      <c r="F350" s="19">
        <f t="shared" ref="F350:H350" si="244">F347*F349</f>
        <v>0</v>
      </c>
      <c r="G350" s="19">
        <f t="shared" si="244"/>
        <v>0</v>
      </c>
      <c r="H350" s="19">
        <f t="shared" si="244"/>
        <v>3420</v>
      </c>
      <c r="I350" s="19">
        <f t="shared" ref="I350:N350" si="245">I347*I348</f>
        <v>9900</v>
      </c>
      <c r="J350" s="19">
        <f t="shared" si="245"/>
        <v>2000</v>
      </c>
      <c r="K350" s="19">
        <f t="shared" si="245"/>
        <v>2250</v>
      </c>
      <c r="L350" s="19">
        <f t="shared" si="245"/>
        <v>2632.5</v>
      </c>
      <c r="M350" s="19">
        <f t="shared" si="245"/>
        <v>6000</v>
      </c>
      <c r="N350" s="19">
        <f t="shared" si="245"/>
        <v>3168</v>
      </c>
      <c r="O350" s="19">
        <f>SUM(D350:N350)</f>
        <v>94470.5</v>
      </c>
      <c r="P350" s="19">
        <f>O350/A348</f>
        <v>15745.083333333334</v>
      </c>
      <c r="Q350" s="19">
        <f>P350*Q347</f>
        <v>31490.166666666668</v>
      </c>
      <c r="R350" s="19">
        <f>MROUND(Q350,100)</f>
        <v>31500</v>
      </c>
    </row>
    <row r="351" spans="1:18" ht="14.25" customHeight="1" x14ac:dyDescent="0.1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</row>
    <row r="352" spans="1:18" ht="14.25" customHeight="1" x14ac:dyDescent="0.3">
      <c r="A352" s="109" t="str">
        <f>PRICELIST!I266</f>
        <v>WSTK-LNR-SH-LVP-1500-X</v>
      </c>
      <c r="B352" s="87"/>
      <c r="C352" s="87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7"/>
    </row>
    <row r="353" spans="1:18" ht="14.25" customHeight="1" x14ac:dyDescent="0.15">
      <c r="A353" s="19" t="s">
        <v>57</v>
      </c>
      <c r="B353" s="19" t="s">
        <v>59</v>
      </c>
      <c r="C353" s="19" t="s">
        <v>62</v>
      </c>
      <c r="D353" s="19" t="s">
        <v>64</v>
      </c>
      <c r="E353" s="19">
        <v>1200</v>
      </c>
      <c r="F353" s="19">
        <v>900</v>
      </c>
      <c r="G353" s="19">
        <v>600</v>
      </c>
      <c r="H353" s="19" t="s">
        <v>67</v>
      </c>
      <c r="I353" s="19" t="s">
        <v>68</v>
      </c>
      <c r="J353" s="19" t="s">
        <v>69</v>
      </c>
      <c r="K353" s="19" t="s">
        <v>71</v>
      </c>
      <c r="L353" s="19" t="s">
        <v>72</v>
      </c>
      <c r="M353" s="19" t="s">
        <v>73</v>
      </c>
      <c r="N353" s="19" t="s">
        <v>75</v>
      </c>
      <c r="O353" s="19" t="s">
        <v>76</v>
      </c>
      <c r="P353" s="19" t="s">
        <v>78</v>
      </c>
      <c r="Q353" s="19" t="s">
        <v>79</v>
      </c>
      <c r="R353" s="19" t="s">
        <v>81</v>
      </c>
    </row>
    <row r="354" spans="1:18" ht="14.25" customHeight="1" x14ac:dyDescent="0.15">
      <c r="A354" s="21">
        <f t="shared" ref="A354:H354" si="246">A347</f>
        <v>0</v>
      </c>
      <c r="B354" s="21">
        <f t="shared" si="246"/>
        <v>0</v>
      </c>
      <c r="C354" s="21">
        <f t="shared" si="246"/>
        <v>0</v>
      </c>
      <c r="D354" s="21">
        <f t="shared" si="246"/>
        <v>0</v>
      </c>
      <c r="E354" s="23" t="str">
        <f t="shared" si="246"/>
        <v>4200</v>
      </c>
      <c r="F354" s="23" t="str">
        <f t="shared" si="246"/>
        <v>4000</v>
      </c>
      <c r="G354" s="23" t="str">
        <f t="shared" si="246"/>
        <v>3800</v>
      </c>
      <c r="H354" s="23">
        <f t="shared" si="246"/>
        <v>380</v>
      </c>
      <c r="I354" s="23" t="str">
        <f>I333</f>
        <v>0</v>
      </c>
      <c r="J354" s="23" t="str">
        <f t="shared" ref="J354:Q354" si="247">J347</f>
        <v>1000</v>
      </c>
      <c r="K354" s="23">
        <f t="shared" si="247"/>
        <v>375</v>
      </c>
      <c r="L354" s="23">
        <f t="shared" si="247"/>
        <v>585</v>
      </c>
      <c r="M354" s="23" t="str">
        <f t="shared" si="247"/>
        <v>1000</v>
      </c>
      <c r="N354" s="23">
        <f t="shared" si="247"/>
        <v>3300</v>
      </c>
      <c r="O354" s="23">
        <f t="shared" si="247"/>
        <v>0</v>
      </c>
      <c r="P354" s="23">
        <f t="shared" si="247"/>
        <v>0</v>
      </c>
      <c r="Q354" s="23">
        <f t="shared" si="247"/>
        <v>2</v>
      </c>
      <c r="R354" s="21"/>
    </row>
    <row r="355" spans="1:18" ht="14.25" customHeight="1" x14ac:dyDescent="0.15">
      <c r="A355" s="19">
        <v>6</v>
      </c>
      <c r="B355" s="19">
        <f>1.5*3</f>
        <v>4.5</v>
      </c>
      <c r="C355" s="19">
        <v>1.2</v>
      </c>
      <c r="D355" s="19">
        <f>B355*C355</f>
        <v>5.3999999999999995</v>
      </c>
      <c r="E355" s="19"/>
      <c r="F355" s="19"/>
      <c r="G355" s="19"/>
      <c r="H355" s="19"/>
      <c r="I355" s="19">
        <f>B355*0.4</f>
        <v>1.8</v>
      </c>
      <c r="J355" s="19">
        <v>2</v>
      </c>
      <c r="K355" s="19">
        <f t="shared" ref="K355:L355" si="248">A355</f>
        <v>6</v>
      </c>
      <c r="L355" s="19">
        <f t="shared" si="248"/>
        <v>4.5</v>
      </c>
      <c r="M355" s="19">
        <f>A355</f>
        <v>6</v>
      </c>
      <c r="N355" s="19">
        <f>(1.2*0.4)*2</f>
        <v>0.96</v>
      </c>
      <c r="O355" s="19"/>
      <c r="P355" s="19"/>
      <c r="Q355" s="19"/>
      <c r="R355" s="19"/>
    </row>
    <row r="356" spans="1:18" ht="14.25" customHeight="1" x14ac:dyDescent="0.15">
      <c r="A356" s="19"/>
      <c r="B356" s="19"/>
      <c r="C356" s="19"/>
      <c r="D356" s="26" t="str">
        <f>D349</f>
        <v>10500</v>
      </c>
      <c r="E356" s="19">
        <v>2</v>
      </c>
      <c r="F356" s="19">
        <v>0</v>
      </c>
      <c r="G356" s="19">
        <v>0</v>
      </c>
      <c r="H356" s="19">
        <f>B355*2</f>
        <v>9</v>
      </c>
      <c r="I356" s="19"/>
      <c r="J356" s="19"/>
      <c r="K356" s="19"/>
      <c r="L356" s="19"/>
      <c r="M356" s="19"/>
      <c r="N356" s="28"/>
      <c r="O356" s="19"/>
      <c r="P356" s="19"/>
      <c r="Q356" s="19"/>
      <c r="R356" s="19"/>
    </row>
    <row r="357" spans="1:18" ht="14.25" customHeight="1" x14ac:dyDescent="0.15">
      <c r="A357" s="19"/>
      <c r="B357" s="19"/>
      <c r="C357" s="19"/>
      <c r="D357" s="19">
        <f>D355*D356</f>
        <v>56699.999999999993</v>
      </c>
      <c r="E357" s="19">
        <f>E356*E354</f>
        <v>8400</v>
      </c>
      <c r="F357" s="19">
        <f t="shared" ref="F357:H357" si="249">F354*F356</f>
        <v>0</v>
      </c>
      <c r="G357" s="19">
        <f t="shared" si="249"/>
        <v>0</v>
      </c>
      <c r="H357" s="19">
        <f t="shared" si="249"/>
        <v>3420</v>
      </c>
      <c r="I357" s="19">
        <f t="shared" ref="I357:N357" si="250">I354*I355</f>
        <v>0</v>
      </c>
      <c r="J357" s="19">
        <f t="shared" si="250"/>
        <v>2000</v>
      </c>
      <c r="K357" s="19">
        <f t="shared" si="250"/>
        <v>2250</v>
      </c>
      <c r="L357" s="19">
        <f t="shared" si="250"/>
        <v>2632.5</v>
      </c>
      <c r="M357" s="19">
        <f t="shared" si="250"/>
        <v>6000</v>
      </c>
      <c r="N357" s="19">
        <f t="shared" si="250"/>
        <v>3168</v>
      </c>
      <c r="O357" s="19">
        <f>SUM(D357:N357)</f>
        <v>84570.5</v>
      </c>
      <c r="P357" s="19">
        <f>O357/A355</f>
        <v>14095.083333333334</v>
      </c>
      <c r="Q357" s="19">
        <f>P357*Q354</f>
        <v>28190.166666666668</v>
      </c>
      <c r="R357" s="19">
        <f>MROUND(Q357,100)</f>
        <v>28200</v>
      </c>
    </row>
    <row r="358" spans="1:18" ht="14.25" customHeight="1" x14ac:dyDescent="0.1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</row>
    <row r="359" spans="1:18" ht="14.25" customHeight="1" x14ac:dyDescent="0.3">
      <c r="A359" s="109" t="str">
        <f>PRICELIST!I267</f>
        <v>WSTK-LNR-SH-MB-1500-F</v>
      </c>
      <c r="B359" s="87"/>
      <c r="C359" s="87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7"/>
    </row>
    <row r="360" spans="1:18" ht="14.25" customHeight="1" x14ac:dyDescent="0.15">
      <c r="A360" s="19" t="s">
        <v>57</v>
      </c>
      <c r="B360" s="19" t="s">
        <v>59</v>
      </c>
      <c r="C360" s="19" t="s">
        <v>62</v>
      </c>
      <c r="D360" s="19" t="s">
        <v>64</v>
      </c>
      <c r="E360" s="19">
        <v>1200</v>
      </c>
      <c r="F360" s="19">
        <v>900</v>
      </c>
      <c r="G360" s="19">
        <v>600</v>
      </c>
      <c r="H360" s="19" t="s">
        <v>67</v>
      </c>
      <c r="I360" s="19" t="s">
        <v>68</v>
      </c>
      <c r="J360" s="19" t="s">
        <v>69</v>
      </c>
      <c r="K360" s="19" t="s">
        <v>71</v>
      </c>
      <c r="L360" s="19" t="s">
        <v>72</v>
      </c>
      <c r="M360" s="19" t="s">
        <v>73</v>
      </c>
      <c r="N360" s="19" t="s">
        <v>75</v>
      </c>
      <c r="O360" s="19" t="s">
        <v>76</v>
      </c>
      <c r="P360" s="19" t="s">
        <v>78</v>
      </c>
      <c r="Q360" s="19" t="s">
        <v>79</v>
      </c>
      <c r="R360" s="19" t="s">
        <v>81</v>
      </c>
    </row>
    <row r="361" spans="1:18" ht="14.25" customHeight="1" x14ac:dyDescent="0.15">
      <c r="A361" s="21">
        <f t="shared" ref="A361:H361" si="251">A354</f>
        <v>0</v>
      </c>
      <c r="B361" s="21">
        <f t="shared" si="251"/>
        <v>0</v>
      </c>
      <c r="C361" s="21">
        <f t="shared" si="251"/>
        <v>0</v>
      </c>
      <c r="D361" s="21">
        <f t="shared" si="251"/>
        <v>0</v>
      </c>
      <c r="E361" s="23" t="str">
        <f t="shared" si="251"/>
        <v>4200</v>
      </c>
      <c r="F361" s="23" t="str">
        <f t="shared" si="251"/>
        <v>4000</v>
      </c>
      <c r="G361" s="23" t="str">
        <f t="shared" si="251"/>
        <v>3800</v>
      </c>
      <c r="H361" s="23">
        <f t="shared" si="251"/>
        <v>380</v>
      </c>
      <c r="I361" s="23" t="str">
        <f>I340</f>
        <v>4800</v>
      </c>
      <c r="J361" s="23" t="str">
        <f t="shared" ref="J361:Q361" si="252">J354</f>
        <v>1000</v>
      </c>
      <c r="K361" s="23">
        <f t="shared" si="252"/>
        <v>375</v>
      </c>
      <c r="L361" s="23">
        <f t="shared" si="252"/>
        <v>585</v>
      </c>
      <c r="M361" s="23" t="str">
        <f t="shared" si="252"/>
        <v>1000</v>
      </c>
      <c r="N361" s="23">
        <f t="shared" si="252"/>
        <v>3300</v>
      </c>
      <c r="O361" s="23">
        <f t="shared" si="252"/>
        <v>0</v>
      </c>
      <c r="P361" s="23">
        <f t="shared" si="252"/>
        <v>0</v>
      </c>
      <c r="Q361" s="23">
        <f t="shared" si="252"/>
        <v>2</v>
      </c>
      <c r="R361" s="21"/>
    </row>
    <row r="362" spans="1:18" ht="14.25" customHeight="1" x14ac:dyDescent="0.15">
      <c r="A362" s="19">
        <v>6</v>
      </c>
      <c r="B362" s="19">
        <f>1.5*3</f>
        <v>4.5</v>
      </c>
      <c r="C362" s="19">
        <v>1.2</v>
      </c>
      <c r="D362" s="19">
        <f>B362*C362</f>
        <v>5.3999999999999995</v>
      </c>
      <c r="E362" s="19"/>
      <c r="F362" s="19"/>
      <c r="G362" s="19"/>
      <c r="H362" s="19"/>
      <c r="I362" s="19">
        <f>B362*0.4</f>
        <v>1.8</v>
      </c>
      <c r="J362" s="19">
        <v>2</v>
      </c>
      <c r="K362" s="19">
        <f t="shared" ref="K362:L362" si="253">A362</f>
        <v>6</v>
      </c>
      <c r="L362" s="19">
        <f t="shared" si="253"/>
        <v>4.5</v>
      </c>
      <c r="M362" s="19">
        <f>A362</f>
        <v>6</v>
      </c>
      <c r="N362" s="19">
        <f>(1.2*0.4)*2</f>
        <v>0.96</v>
      </c>
      <c r="O362" s="19"/>
      <c r="P362" s="19"/>
      <c r="Q362" s="19"/>
      <c r="R362" s="19"/>
    </row>
    <row r="363" spans="1:18" ht="14.25" customHeight="1" x14ac:dyDescent="0.15">
      <c r="A363" s="19"/>
      <c r="B363" s="19"/>
      <c r="C363" s="19"/>
      <c r="D363" s="26" t="str">
        <f>D237</f>
        <v>16250</v>
      </c>
      <c r="E363" s="19">
        <v>2</v>
      </c>
      <c r="F363" s="19">
        <v>0</v>
      </c>
      <c r="G363" s="19">
        <v>0</v>
      </c>
      <c r="H363" s="19">
        <f>B362*2</f>
        <v>9</v>
      </c>
      <c r="I363" s="19"/>
      <c r="J363" s="19"/>
      <c r="K363" s="19"/>
      <c r="L363" s="19"/>
      <c r="M363" s="19"/>
      <c r="N363" s="28"/>
      <c r="O363" s="19"/>
      <c r="P363" s="19"/>
      <c r="Q363" s="19"/>
      <c r="R363" s="19"/>
    </row>
    <row r="364" spans="1:18" ht="14.25" customHeight="1" x14ac:dyDescent="0.15">
      <c r="A364" s="19"/>
      <c r="B364" s="19"/>
      <c r="C364" s="19"/>
      <c r="D364" s="19">
        <f>D362*D363</f>
        <v>87749.999999999985</v>
      </c>
      <c r="E364" s="19">
        <f>E363*E361</f>
        <v>8400</v>
      </c>
      <c r="F364" s="19">
        <f t="shared" ref="F364:H364" si="254">F361*F363</f>
        <v>0</v>
      </c>
      <c r="G364" s="19">
        <f t="shared" si="254"/>
        <v>0</v>
      </c>
      <c r="H364" s="19">
        <f t="shared" si="254"/>
        <v>3420</v>
      </c>
      <c r="I364" s="19">
        <f t="shared" ref="I364:N364" si="255">I361*I362</f>
        <v>8640</v>
      </c>
      <c r="J364" s="19">
        <f t="shared" si="255"/>
        <v>2000</v>
      </c>
      <c r="K364" s="19">
        <f t="shared" si="255"/>
        <v>2250</v>
      </c>
      <c r="L364" s="19">
        <f t="shared" si="255"/>
        <v>2632.5</v>
      </c>
      <c r="M364" s="19">
        <f t="shared" si="255"/>
        <v>6000</v>
      </c>
      <c r="N364" s="19">
        <f t="shared" si="255"/>
        <v>3168</v>
      </c>
      <c r="O364" s="19">
        <f>SUM(D364:N364)</f>
        <v>124260.49999999999</v>
      </c>
      <c r="P364" s="19">
        <f>O364/A362</f>
        <v>20710.083333333332</v>
      </c>
      <c r="Q364" s="19">
        <f>P364*Q361</f>
        <v>41420.166666666664</v>
      </c>
      <c r="R364" s="19">
        <f>MROUND(Q364,100)</f>
        <v>41400</v>
      </c>
    </row>
    <row r="365" spans="1:18" ht="14.25" customHeight="1" x14ac:dyDescent="0.1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</row>
    <row r="366" spans="1:18" ht="14.25" customHeight="1" x14ac:dyDescent="0.3">
      <c r="A366" s="109" t="str">
        <f>PRICELIST!I268</f>
        <v>WSTK-LNR-SH-MB-1500-G</v>
      </c>
      <c r="B366" s="87"/>
      <c r="C366" s="87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7"/>
    </row>
    <row r="367" spans="1:18" ht="14.25" customHeight="1" x14ac:dyDescent="0.15">
      <c r="A367" s="19" t="s">
        <v>57</v>
      </c>
      <c r="B367" s="19" t="s">
        <v>59</v>
      </c>
      <c r="C367" s="19" t="s">
        <v>62</v>
      </c>
      <c r="D367" s="19" t="s">
        <v>64</v>
      </c>
      <c r="E367" s="19">
        <v>1200</v>
      </c>
      <c r="F367" s="19">
        <v>900</v>
      </c>
      <c r="G367" s="19">
        <v>600</v>
      </c>
      <c r="H367" s="19" t="s">
        <v>67</v>
      </c>
      <c r="I367" s="19" t="s">
        <v>68</v>
      </c>
      <c r="J367" s="19" t="s">
        <v>69</v>
      </c>
      <c r="K367" s="19" t="s">
        <v>71</v>
      </c>
      <c r="L367" s="19" t="s">
        <v>72</v>
      </c>
      <c r="M367" s="19" t="s">
        <v>73</v>
      </c>
      <c r="N367" s="19" t="s">
        <v>75</v>
      </c>
      <c r="O367" s="19" t="s">
        <v>76</v>
      </c>
      <c r="P367" s="19" t="s">
        <v>78</v>
      </c>
      <c r="Q367" s="19" t="s">
        <v>79</v>
      </c>
      <c r="R367" s="19" t="s">
        <v>81</v>
      </c>
    </row>
    <row r="368" spans="1:18" ht="14.25" customHeight="1" x14ac:dyDescent="0.15">
      <c r="A368" s="21">
        <f t="shared" ref="A368:H368" si="256">A361</f>
        <v>0</v>
      </c>
      <c r="B368" s="21">
        <f t="shared" si="256"/>
        <v>0</v>
      </c>
      <c r="C368" s="21">
        <f t="shared" si="256"/>
        <v>0</v>
      </c>
      <c r="D368" s="21">
        <f t="shared" si="256"/>
        <v>0</v>
      </c>
      <c r="E368" s="23" t="str">
        <f t="shared" si="256"/>
        <v>4200</v>
      </c>
      <c r="F368" s="23" t="str">
        <f t="shared" si="256"/>
        <v>4000</v>
      </c>
      <c r="G368" s="23" t="str">
        <f t="shared" si="256"/>
        <v>3800</v>
      </c>
      <c r="H368" s="23">
        <f t="shared" si="256"/>
        <v>380</v>
      </c>
      <c r="I368" s="23" t="str">
        <f>I347</f>
        <v>5500</v>
      </c>
      <c r="J368" s="23" t="str">
        <f t="shared" ref="J368:Q368" si="257">J361</f>
        <v>1000</v>
      </c>
      <c r="K368" s="23">
        <f t="shared" si="257"/>
        <v>375</v>
      </c>
      <c r="L368" s="23">
        <f t="shared" si="257"/>
        <v>585</v>
      </c>
      <c r="M368" s="23" t="str">
        <f t="shared" si="257"/>
        <v>1000</v>
      </c>
      <c r="N368" s="23">
        <f t="shared" si="257"/>
        <v>3300</v>
      </c>
      <c r="O368" s="23">
        <f t="shared" si="257"/>
        <v>0</v>
      </c>
      <c r="P368" s="23">
        <f t="shared" si="257"/>
        <v>0</v>
      </c>
      <c r="Q368" s="23">
        <f t="shared" si="257"/>
        <v>2</v>
      </c>
      <c r="R368" s="21"/>
    </row>
    <row r="369" spans="1:18" ht="14.25" customHeight="1" x14ac:dyDescent="0.15">
      <c r="A369" s="19">
        <v>6</v>
      </c>
      <c r="B369" s="19">
        <f>1.5*3</f>
        <v>4.5</v>
      </c>
      <c r="C369" s="19">
        <v>1.2</v>
      </c>
      <c r="D369" s="19">
        <f>B369*C369</f>
        <v>5.3999999999999995</v>
      </c>
      <c r="E369" s="19"/>
      <c r="F369" s="19"/>
      <c r="G369" s="19"/>
      <c r="H369" s="19"/>
      <c r="I369" s="19">
        <f>B369*0.4</f>
        <v>1.8</v>
      </c>
      <c r="J369" s="19">
        <v>2</v>
      </c>
      <c r="K369" s="19">
        <f t="shared" ref="K369:L369" si="258">A369</f>
        <v>6</v>
      </c>
      <c r="L369" s="19">
        <f t="shared" si="258"/>
        <v>4.5</v>
      </c>
      <c r="M369" s="19">
        <f>A369</f>
        <v>6</v>
      </c>
      <c r="N369" s="19">
        <f>(1.2*0.4)*2</f>
        <v>0.96</v>
      </c>
      <c r="O369" s="19"/>
      <c r="P369" s="19"/>
      <c r="Q369" s="19"/>
      <c r="R369" s="19"/>
    </row>
    <row r="370" spans="1:18" ht="14.25" customHeight="1" x14ac:dyDescent="0.15">
      <c r="A370" s="19"/>
      <c r="B370" s="19"/>
      <c r="C370" s="19"/>
      <c r="D370" s="26" t="str">
        <f>D363</f>
        <v>16250</v>
      </c>
      <c r="E370" s="19">
        <v>2</v>
      </c>
      <c r="F370" s="19">
        <v>0</v>
      </c>
      <c r="G370" s="19">
        <v>0</v>
      </c>
      <c r="H370" s="19">
        <f>B369*2</f>
        <v>9</v>
      </c>
      <c r="I370" s="19"/>
      <c r="J370" s="19"/>
      <c r="K370" s="19"/>
      <c r="L370" s="19"/>
      <c r="M370" s="19"/>
      <c r="N370" s="28"/>
      <c r="O370" s="19"/>
      <c r="P370" s="19"/>
      <c r="Q370" s="19"/>
      <c r="R370" s="19"/>
    </row>
    <row r="371" spans="1:18" ht="14.25" customHeight="1" x14ac:dyDescent="0.15">
      <c r="A371" s="19"/>
      <c r="B371" s="19"/>
      <c r="C371" s="19"/>
      <c r="D371" s="19">
        <f>D369*D370</f>
        <v>87749.999999999985</v>
      </c>
      <c r="E371" s="19">
        <f>E370*E368</f>
        <v>8400</v>
      </c>
      <c r="F371" s="19">
        <f t="shared" ref="F371:H371" si="259">F368*F370</f>
        <v>0</v>
      </c>
      <c r="G371" s="19">
        <f t="shared" si="259"/>
        <v>0</v>
      </c>
      <c r="H371" s="19">
        <f t="shared" si="259"/>
        <v>3420</v>
      </c>
      <c r="I371" s="19">
        <f t="shared" ref="I371:N371" si="260">I368*I369</f>
        <v>9900</v>
      </c>
      <c r="J371" s="19">
        <f t="shared" si="260"/>
        <v>2000</v>
      </c>
      <c r="K371" s="19">
        <f t="shared" si="260"/>
        <v>2250</v>
      </c>
      <c r="L371" s="19">
        <f t="shared" si="260"/>
        <v>2632.5</v>
      </c>
      <c r="M371" s="19">
        <f t="shared" si="260"/>
        <v>6000</v>
      </c>
      <c r="N371" s="19">
        <f t="shared" si="260"/>
        <v>3168</v>
      </c>
      <c r="O371" s="19">
        <f>SUM(D371:N371)</f>
        <v>125520.49999999999</v>
      </c>
      <c r="P371" s="19">
        <f>O371/A369</f>
        <v>20920.083333333332</v>
      </c>
      <c r="Q371" s="19">
        <f>P371*Q368</f>
        <v>41840.166666666664</v>
      </c>
      <c r="R371" s="19">
        <f>MROUND(Q371,100)</f>
        <v>41800</v>
      </c>
    </row>
    <row r="372" spans="1:18" ht="14.25" customHeight="1" x14ac:dyDescent="0.1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</row>
    <row r="373" spans="1:18" ht="14.25" customHeight="1" x14ac:dyDescent="0.3">
      <c r="A373" s="109" t="str">
        <f>PRICELIST!I269</f>
        <v>WSTK-LNR-SH-MB-1500-X</v>
      </c>
      <c r="B373" s="87"/>
      <c r="C373" s="87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7"/>
    </row>
    <row r="374" spans="1:18" ht="14.25" customHeight="1" x14ac:dyDescent="0.15">
      <c r="A374" s="19" t="s">
        <v>57</v>
      </c>
      <c r="B374" s="19" t="s">
        <v>59</v>
      </c>
      <c r="C374" s="19" t="s">
        <v>62</v>
      </c>
      <c r="D374" s="19" t="s">
        <v>64</v>
      </c>
      <c r="E374" s="19">
        <v>1200</v>
      </c>
      <c r="F374" s="19">
        <v>900</v>
      </c>
      <c r="G374" s="19">
        <v>600</v>
      </c>
      <c r="H374" s="19" t="s">
        <v>67</v>
      </c>
      <c r="I374" s="19" t="s">
        <v>68</v>
      </c>
      <c r="J374" s="19" t="s">
        <v>69</v>
      </c>
      <c r="K374" s="19" t="s">
        <v>71</v>
      </c>
      <c r="L374" s="19" t="s">
        <v>72</v>
      </c>
      <c r="M374" s="19" t="s">
        <v>73</v>
      </c>
      <c r="N374" s="19" t="s">
        <v>75</v>
      </c>
      <c r="O374" s="19" t="s">
        <v>76</v>
      </c>
      <c r="P374" s="19" t="s">
        <v>78</v>
      </c>
      <c r="Q374" s="19" t="s">
        <v>79</v>
      </c>
      <c r="R374" s="19" t="s">
        <v>81</v>
      </c>
    </row>
    <row r="375" spans="1:18" ht="14.25" customHeight="1" x14ac:dyDescent="0.15">
      <c r="A375" s="21">
        <f t="shared" ref="A375:H375" si="261">A368</f>
        <v>0</v>
      </c>
      <c r="B375" s="21">
        <f t="shared" si="261"/>
        <v>0</v>
      </c>
      <c r="C375" s="21">
        <f t="shared" si="261"/>
        <v>0</v>
      </c>
      <c r="D375" s="21">
        <f t="shared" si="261"/>
        <v>0</v>
      </c>
      <c r="E375" s="23" t="str">
        <f t="shared" si="261"/>
        <v>4200</v>
      </c>
      <c r="F375" s="23" t="str">
        <f t="shared" si="261"/>
        <v>4000</v>
      </c>
      <c r="G375" s="23" t="str">
        <f t="shared" si="261"/>
        <v>3800</v>
      </c>
      <c r="H375" s="23">
        <f t="shared" si="261"/>
        <v>380</v>
      </c>
      <c r="I375" s="23" t="str">
        <f>I354</f>
        <v>0</v>
      </c>
      <c r="J375" s="23" t="str">
        <f t="shared" ref="J375:Q375" si="262">J368</f>
        <v>1000</v>
      </c>
      <c r="K375" s="23">
        <f t="shared" si="262"/>
        <v>375</v>
      </c>
      <c r="L375" s="23">
        <f t="shared" si="262"/>
        <v>585</v>
      </c>
      <c r="M375" s="23" t="str">
        <f t="shared" si="262"/>
        <v>1000</v>
      </c>
      <c r="N375" s="23">
        <f t="shared" si="262"/>
        <v>3300</v>
      </c>
      <c r="O375" s="23">
        <f t="shared" si="262"/>
        <v>0</v>
      </c>
      <c r="P375" s="23">
        <f t="shared" si="262"/>
        <v>0</v>
      </c>
      <c r="Q375" s="23">
        <f t="shared" si="262"/>
        <v>2</v>
      </c>
      <c r="R375" s="21"/>
    </row>
    <row r="376" spans="1:18" ht="14.25" customHeight="1" x14ac:dyDescent="0.15">
      <c r="A376" s="19">
        <v>6</v>
      </c>
      <c r="B376" s="19">
        <f>1.5*3</f>
        <v>4.5</v>
      </c>
      <c r="C376" s="19">
        <v>1.2</v>
      </c>
      <c r="D376" s="19">
        <f>B376*C376</f>
        <v>5.3999999999999995</v>
      </c>
      <c r="E376" s="19"/>
      <c r="F376" s="19"/>
      <c r="G376" s="19"/>
      <c r="H376" s="19"/>
      <c r="I376" s="19">
        <f>B376*0.4</f>
        <v>1.8</v>
      </c>
      <c r="J376" s="19">
        <v>2</v>
      </c>
      <c r="K376" s="19">
        <f t="shared" ref="K376:L376" si="263">A376</f>
        <v>6</v>
      </c>
      <c r="L376" s="19">
        <f t="shared" si="263"/>
        <v>4.5</v>
      </c>
      <c r="M376" s="19">
        <f>A376</f>
        <v>6</v>
      </c>
      <c r="N376" s="19">
        <f>(1.2*0.4)*2</f>
        <v>0.96</v>
      </c>
      <c r="O376" s="19"/>
      <c r="P376" s="19"/>
      <c r="Q376" s="19"/>
      <c r="R376" s="19"/>
    </row>
    <row r="377" spans="1:18" ht="14.25" customHeight="1" x14ac:dyDescent="0.15">
      <c r="A377" s="19"/>
      <c r="B377" s="19"/>
      <c r="C377" s="19"/>
      <c r="D377" s="26" t="str">
        <f>D370</f>
        <v>16250</v>
      </c>
      <c r="E377" s="19">
        <v>2</v>
      </c>
      <c r="F377" s="19">
        <v>0</v>
      </c>
      <c r="G377" s="19">
        <v>0</v>
      </c>
      <c r="H377" s="19">
        <f>B376*2</f>
        <v>9</v>
      </c>
      <c r="I377" s="19"/>
      <c r="J377" s="19"/>
      <c r="K377" s="19"/>
      <c r="L377" s="19"/>
      <c r="M377" s="19"/>
      <c r="N377" s="28"/>
      <c r="O377" s="19"/>
      <c r="P377" s="19"/>
      <c r="Q377" s="19"/>
      <c r="R377" s="19"/>
    </row>
    <row r="378" spans="1:18" ht="14.25" customHeight="1" x14ac:dyDescent="0.15">
      <c r="A378" s="19"/>
      <c r="B378" s="19"/>
      <c r="C378" s="19"/>
      <c r="D378" s="19">
        <f>D376*D377</f>
        <v>87749.999999999985</v>
      </c>
      <c r="E378" s="19">
        <f>E377*E375</f>
        <v>8400</v>
      </c>
      <c r="F378" s="19">
        <f t="shared" ref="F378:H378" si="264">F375*F377</f>
        <v>0</v>
      </c>
      <c r="G378" s="19">
        <f t="shared" si="264"/>
        <v>0</v>
      </c>
      <c r="H378" s="19">
        <f t="shared" si="264"/>
        <v>3420</v>
      </c>
      <c r="I378" s="19">
        <f t="shared" ref="I378:N378" si="265">I375*I376</f>
        <v>0</v>
      </c>
      <c r="J378" s="19">
        <f t="shared" si="265"/>
        <v>2000</v>
      </c>
      <c r="K378" s="19">
        <f t="shared" si="265"/>
        <v>2250</v>
      </c>
      <c r="L378" s="19">
        <f t="shared" si="265"/>
        <v>2632.5</v>
      </c>
      <c r="M378" s="19">
        <f t="shared" si="265"/>
        <v>6000</v>
      </c>
      <c r="N378" s="19">
        <f t="shared" si="265"/>
        <v>3168</v>
      </c>
      <c r="O378" s="19">
        <f>SUM(D378:N378)</f>
        <v>115620.49999999999</v>
      </c>
      <c r="P378" s="19">
        <f>O378/A376</f>
        <v>19270.083333333332</v>
      </c>
      <c r="Q378" s="19">
        <f>P378*Q375</f>
        <v>38540.166666666664</v>
      </c>
      <c r="R378" s="19">
        <f>MROUND(Q378,100)</f>
        <v>38500</v>
      </c>
    </row>
    <row r="379" spans="1:18" ht="14.25" customHeight="1" x14ac:dyDescent="0.1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</row>
    <row r="380" spans="1:18" ht="14.25" customHeight="1" x14ac:dyDescent="0.3">
      <c r="A380" s="109" t="str">
        <f>PRICELIST!I270</f>
        <v>WSTK-LNR-NSH-PB-900-F</v>
      </c>
      <c r="B380" s="87"/>
      <c r="C380" s="87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7"/>
    </row>
    <row r="381" spans="1:18" ht="14.25" customHeight="1" x14ac:dyDescent="0.15">
      <c r="A381" s="19" t="s">
        <v>57</v>
      </c>
      <c r="B381" s="19" t="s">
        <v>59</v>
      </c>
      <c r="C381" s="19" t="s">
        <v>62</v>
      </c>
      <c r="D381" s="19" t="s">
        <v>64</v>
      </c>
      <c r="E381" s="19">
        <v>1200</v>
      </c>
      <c r="F381" s="19">
        <v>900</v>
      </c>
      <c r="G381" s="19">
        <v>600</v>
      </c>
      <c r="H381" s="19" t="s">
        <v>67</v>
      </c>
      <c r="I381" s="19" t="s">
        <v>68</v>
      </c>
      <c r="J381" s="19" t="s">
        <v>69</v>
      </c>
      <c r="K381" s="19" t="s">
        <v>71</v>
      </c>
      <c r="L381" s="19" t="s">
        <v>72</v>
      </c>
      <c r="M381" s="19" t="s">
        <v>73</v>
      </c>
      <c r="N381" s="19" t="s">
        <v>75</v>
      </c>
      <c r="O381" s="19" t="s">
        <v>76</v>
      </c>
      <c r="P381" s="19" t="s">
        <v>78</v>
      </c>
      <c r="Q381" s="19" t="s">
        <v>79</v>
      </c>
      <c r="R381" s="19" t="s">
        <v>81</v>
      </c>
    </row>
    <row r="382" spans="1:18" ht="14.25" customHeight="1" x14ac:dyDescent="0.15">
      <c r="A382" s="21"/>
      <c r="B382" s="21"/>
      <c r="C382" s="44" t="s">
        <v>188</v>
      </c>
      <c r="D382" s="21">
        <f t="shared" ref="D382:G382" si="266">D375</f>
        <v>0</v>
      </c>
      <c r="E382" s="23" t="str">
        <f t="shared" si="266"/>
        <v>4200</v>
      </c>
      <c r="F382" s="23" t="str">
        <f t="shared" si="266"/>
        <v>4000</v>
      </c>
      <c r="G382" s="23" t="str">
        <f t="shared" si="266"/>
        <v>3800</v>
      </c>
      <c r="H382" s="21">
        <v>380</v>
      </c>
      <c r="I382" s="23" t="str">
        <f>I361</f>
        <v>4800</v>
      </c>
      <c r="J382" s="23" t="str">
        <f>J375</f>
        <v>1000</v>
      </c>
      <c r="K382" s="21">
        <v>375</v>
      </c>
      <c r="L382" s="21">
        <v>585</v>
      </c>
      <c r="M382" s="23" t="str">
        <f>M375</f>
        <v>1000</v>
      </c>
      <c r="N382" s="21">
        <v>3300</v>
      </c>
      <c r="O382" s="21"/>
      <c r="P382" s="21"/>
      <c r="Q382" s="23">
        <f>Q375</f>
        <v>2</v>
      </c>
      <c r="R382" s="21"/>
    </row>
    <row r="383" spans="1:18" ht="14.25" customHeight="1" x14ac:dyDescent="0.15">
      <c r="A383" s="19">
        <v>3</v>
      </c>
      <c r="B383" s="19">
        <f>0.9*3</f>
        <v>2.7</v>
      </c>
      <c r="C383" s="19">
        <f>0.6+0.3</f>
        <v>0.89999999999999991</v>
      </c>
      <c r="D383" s="19">
        <f>B383*C383</f>
        <v>2.4299999999999997</v>
      </c>
      <c r="E383" s="19"/>
      <c r="F383" s="19"/>
      <c r="G383" s="19"/>
      <c r="H383" s="19"/>
      <c r="I383" s="19">
        <f>B383*0.4</f>
        <v>1.08</v>
      </c>
      <c r="J383" s="19">
        <v>2</v>
      </c>
      <c r="K383" s="19">
        <f t="shared" ref="K383:L383" si="267">A383</f>
        <v>3</v>
      </c>
      <c r="L383" s="19">
        <f t="shared" si="267"/>
        <v>2.7</v>
      </c>
      <c r="M383" s="19">
        <f>A383</f>
        <v>3</v>
      </c>
      <c r="N383" s="19">
        <f>(1.2*0.4)*2</f>
        <v>0.96</v>
      </c>
      <c r="O383" s="19"/>
      <c r="P383" s="19"/>
      <c r="Q383" s="19"/>
      <c r="R383" s="19"/>
    </row>
    <row r="384" spans="1:18" ht="14.25" customHeight="1" x14ac:dyDescent="0.15">
      <c r="A384" s="19"/>
      <c r="B384" s="19"/>
      <c r="C384" s="19"/>
      <c r="D384" s="26" t="str">
        <f>D258</f>
        <v>2200</v>
      </c>
      <c r="E384" s="19">
        <v>0</v>
      </c>
      <c r="F384" s="19">
        <v>0</v>
      </c>
      <c r="G384" s="19">
        <v>2</v>
      </c>
      <c r="H384" s="19">
        <f>B383*2</f>
        <v>5.4</v>
      </c>
      <c r="I384" s="19"/>
      <c r="J384" s="19"/>
      <c r="K384" s="19"/>
      <c r="L384" s="19"/>
      <c r="M384" s="19"/>
      <c r="N384" s="28"/>
      <c r="O384" s="19"/>
      <c r="P384" s="19"/>
      <c r="Q384" s="19"/>
      <c r="R384" s="19"/>
    </row>
    <row r="385" spans="1:18" ht="14.25" customHeight="1" x14ac:dyDescent="0.15">
      <c r="A385" s="19"/>
      <c r="B385" s="19"/>
      <c r="C385" s="19"/>
      <c r="D385" s="19">
        <f>D383*D384</f>
        <v>5345.9999999999991</v>
      </c>
      <c r="E385" s="19">
        <f>E384*E382</f>
        <v>0</v>
      </c>
      <c r="F385" s="19">
        <f t="shared" ref="F385:H385" si="268">F382*F384</f>
        <v>0</v>
      </c>
      <c r="G385" s="19">
        <f t="shared" si="268"/>
        <v>7600</v>
      </c>
      <c r="H385" s="19">
        <f t="shared" si="268"/>
        <v>2052</v>
      </c>
      <c r="I385" s="19">
        <f t="shared" ref="I385:N385" si="269">I382*I383</f>
        <v>5184</v>
      </c>
      <c r="J385" s="19">
        <f t="shared" si="269"/>
        <v>2000</v>
      </c>
      <c r="K385" s="19">
        <f t="shared" si="269"/>
        <v>1125</v>
      </c>
      <c r="L385" s="19">
        <f t="shared" si="269"/>
        <v>1579.5</v>
      </c>
      <c r="M385" s="19">
        <f t="shared" si="269"/>
        <v>3000</v>
      </c>
      <c r="N385" s="19">
        <f t="shared" si="269"/>
        <v>3168</v>
      </c>
      <c r="O385" s="19">
        <f>SUM(D385:N385)</f>
        <v>31054.5</v>
      </c>
      <c r="P385" s="19">
        <f>O385/A383</f>
        <v>10351.5</v>
      </c>
      <c r="Q385" s="19">
        <f>P385*Q382</f>
        <v>20703</v>
      </c>
      <c r="R385" s="19">
        <f>MROUND(Q385,100)</f>
        <v>20700</v>
      </c>
    </row>
    <row r="386" spans="1:18" ht="14.25" customHeight="1" x14ac:dyDescent="0.1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</row>
    <row r="387" spans="1:18" ht="14.25" customHeight="1" x14ac:dyDescent="0.3">
      <c r="A387" s="109" t="str">
        <f>PRICELIST!I271</f>
        <v>WSTK-LNR-NSH-PB-900-G</v>
      </c>
      <c r="B387" s="87"/>
      <c r="C387" s="87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7"/>
    </row>
    <row r="388" spans="1:18" ht="14.25" customHeight="1" x14ac:dyDescent="0.15">
      <c r="A388" s="19" t="s">
        <v>57</v>
      </c>
      <c r="B388" s="19" t="s">
        <v>59</v>
      </c>
      <c r="C388" s="19" t="s">
        <v>62</v>
      </c>
      <c r="D388" s="19" t="s">
        <v>64</v>
      </c>
      <c r="E388" s="19">
        <v>1200</v>
      </c>
      <c r="F388" s="19">
        <v>900</v>
      </c>
      <c r="G388" s="19">
        <v>600</v>
      </c>
      <c r="H388" s="19" t="s">
        <v>67</v>
      </c>
      <c r="I388" s="19" t="s">
        <v>68</v>
      </c>
      <c r="J388" s="19" t="s">
        <v>69</v>
      </c>
      <c r="K388" s="19" t="s">
        <v>71</v>
      </c>
      <c r="L388" s="19" t="s">
        <v>72</v>
      </c>
      <c r="M388" s="19" t="s">
        <v>73</v>
      </c>
      <c r="N388" s="19" t="s">
        <v>75</v>
      </c>
      <c r="O388" s="19" t="s">
        <v>76</v>
      </c>
      <c r="P388" s="19" t="s">
        <v>78</v>
      </c>
      <c r="Q388" s="19" t="s">
        <v>79</v>
      </c>
      <c r="R388" s="19" t="s">
        <v>81</v>
      </c>
    </row>
    <row r="389" spans="1:18" ht="14.25" customHeight="1" x14ac:dyDescent="0.15">
      <c r="A389" s="21"/>
      <c r="B389" s="21"/>
      <c r="C389" s="44" t="s">
        <v>188</v>
      </c>
      <c r="D389" s="21"/>
      <c r="E389" s="23" t="str">
        <f t="shared" ref="E389:H389" si="270">E382</f>
        <v>4200</v>
      </c>
      <c r="F389" s="23" t="str">
        <f t="shared" si="270"/>
        <v>4000</v>
      </c>
      <c r="G389" s="23" t="str">
        <f t="shared" si="270"/>
        <v>3800</v>
      </c>
      <c r="H389" s="23">
        <f t="shared" si="270"/>
        <v>380</v>
      </c>
      <c r="I389" s="23" t="str">
        <f>I368</f>
        <v>5500</v>
      </c>
      <c r="J389" s="23" t="str">
        <f t="shared" ref="J389:R389" si="271">J382</f>
        <v>1000</v>
      </c>
      <c r="K389" s="23">
        <f t="shared" si="271"/>
        <v>375</v>
      </c>
      <c r="L389" s="23">
        <f t="shared" si="271"/>
        <v>585</v>
      </c>
      <c r="M389" s="23" t="str">
        <f t="shared" si="271"/>
        <v>1000</v>
      </c>
      <c r="N389" s="23">
        <f t="shared" si="271"/>
        <v>3300</v>
      </c>
      <c r="O389" s="23">
        <f t="shared" si="271"/>
        <v>0</v>
      </c>
      <c r="P389" s="23">
        <f t="shared" si="271"/>
        <v>0</v>
      </c>
      <c r="Q389" s="23">
        <f t="shared" si="271"/>
        <v>2</v>
      </c>
      <c r="R389" s="23">
        <f t="shared" si="271"/>
        <v>0</v>
      </c>
    </row>
    <row r="390" spans="1:18" ht="14.25" customHeight="1" x14ac:dyDescent="0.15">
      <c r="A390" s="19">
        <v>3</v>
      </c>
      <c r="B390" s="19">
        <f>0.9*3</f>
        <v>2.7</v>
      </c>
      <c r="C390" s="19">
        <f>0.6+0.3</f>
        <v>0.89999999999999991</v>
      </c>
      <c r="D390" s="19">
        <f>B390*C390</f>
        <v>2.4299999999999997</v>
      </c>
      <c r="E390" s="19"/>
      <c r="F390" s="19"/>
      <c r="G390" s="19"/>
      <c r="H390" s="19"/>
      <c r="I390" s="19">
        <f>B390*0.4</f>
        <v>1.08</v>
      </c>
      <c r="J390" s="19">
        <v>2</v>
      </c>
      <c r="K390" s="19">
        <f t="shared" ref="K390:L390" si="272">A390</f>
        <v>3</v>
      </c>
      <c r="L390" s="19">
        <f t="shared" si="272"/>
        <v>2.7</v>
      </c>
      <c r="M390" s="19">
        <f>A390</f>
        <v>3</v>
      </c>
      <c r="N390" s="19">
        <f>(1.2*0.4)*2</f>
        <v>0.96</v>
      </c>
      <c r="O390" s="19"/>
      <c r="P390" s="19"/>
      <c r="Q390" s="19"/>
      <c r="R390" s="19"/>
    </row>
    <row r="391" spans="1:18" ht="14.25" customHeight="1" x14ac:dyDescent="0.15">
      <c r="A391" s="19"/>
      <c r="B391" s="19"/>
      <c r="C391" s="19"/>
      <c r="D391" s="26" t="str">
        <f>D384</f>
        <v>2200</v>
      </c>
      <c r="E391" s="19">
        <v>0</v>
      </c>
      <c r="F391" s="19">
        <v>0</v>
      </c>
      <c r="G391" s="19">
        <v>2</v>
      </c>
      <c r="H391" s="19">
        <f>B390*2</f>
        <v>5.4</v>
      </c>
      <c r="I391" s="19"/>
      <c r="J391" s="19"/>
      <c r="K391" s="19"/>
      <c r="L391" s="19"/>
      <c r="M391" s="19"/>
      <c r="N391" s="28"/>
      <c r="O391" s="19"/>
      <c r="P391" s="19"/>
      <c r="Q391" s="19"/>
      <c r="R391" s="19"/>
    </row>
    <row r="392" spans="1:18" ht="14.25" customHeight="1" x14ac:dyDescent="0.15">
      <c r="A392" s="19"/>
      <c r="B392" s="19"/>
      <c r="C392" s="19"/>
      <c r="D392" s="19">
        <f>D390*D391</f>
        <v>5345.9999999999991</v>
      </c>
      <c r="E392" s="19">
        <f>E391*E389</f>
        <v>0</v>
      </c>
      <c r="F392" s="19">
        <f t="shared" ref="F392:H392" si="273">F389*F391</f>
        <v>0</v>
      </c>
      <c r="G392" s="19">
        <f t="shared" si="273"/>
        <v>7600</v>
      </c>
      <c r="H392" s="19">
        <f t="shared" si="273"/>
        <v>2052</v>
      </c>
      <c r="I392" s="19">
        <f t="shared" ref="I392:N392" si="274">I389*I390</f>
        <v>5940</v>
      </c>
      <c r="J392" s="19">
        <f t="shared" si="274"/>
        <v>2000</v>
      </c>
      <c r="K392" s="19">
        <f t="shared" si="274"/>
        <v>1125</v>
      </c>
      <c r="L392" s="19">
        <f t="shared" si="274"/>
        <v>1579.5</v>
      </c>
      <c r="M392" s="19">
        <f t="shared" si="274"/>
        <v>3000</v>
      </c>
      <c r="N392" s="19">
        <f t="shared" si="274"/>
        <v>3168</v>
      </c>
      <c r="O392" s="19">
        <f>SUM(D392:N392)</f>
        <v>31810.5</v>
      </c>
      <c r="P392" s="19">
        <f>O392/A390</f>
        <v>10603.5</v>
      </c>
      <c r="Q392" s="19">
        <f>P392*Q389</f>
        <v>21207</v>
      </c>
      <c r="R392" s="19">
        <f>MROUND(Q392,100)</f>
        <v>21200</v>
      </c>
    </row>
    <row r="393" spans="1:18" ht="14.25" customHeight="1" x14ac:dyDescent="0.1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23">
        <f>Q386</f>
        <v>0</v>
      </c>
    </row>
    <row r="394" spans="1:18" ht="14.25" customHeight="1" x14ac:dyDescent="0.3">
      <c r="A394" s="109" t="str">
        <f>PRICELIST!I272</f>
        <v>WSTK-LNR-NSH-PB-900-X</v>
      </c>
      <c r="B394" s="87"/>
      <c r="C394" s="87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7"/>
    </row>
    <row r="395" spans="1:18" ht="14.25" customHeight="1" x14ac:dyDescent="0.15">
      <c r="A395" s="19" t="s">
        <v>57</v>
      </c>
      <c r="B395" s="19" t="s">
        <v>59</v>
      </c>
      <c r="C395" s="19" t="s">
        <v>62</v>
      </c>
      <c r="D395" s="19" t="s">
        <v>64</v>
      </c>
      <c r="E395" s="19">
        <v>1200</v>
      </c>
      <c r="F395" s="19">
        <v>900</v>
      </c>
      <c r="G395" s="19">
        <v>600</v>
      </c>
      <c r="H395" s="19" t="s">
        <v>67</v>
      </c>
      <c r="I395" s="19" t="s">
        <v>68</v>
      </c>
      <c r="J395" s="19" t="s">
        <v>69</v>
      </c>
      <c r="K395" s="19" t="s">
        <v>71</v>
      </c>
      <c r="L395" s="19" t="s">
        <v>72</v>
      </c>
      <c r="M395" s="19" t="s">
        <v>73</v>
      </c>
      <c r="N395" s="19" t="s">
        <v>75</v>
      </c>
      <c r="O395" s="19" t="s">
        <v>76</v>
      </c>
      <c r="P395" s="19" t="s">
        <v>78</v>
      </c>
      <c r="Q395" s="19" t="s">
        <v>79</v>
      </c>
      <c r="R395" s="19" t="s">
        <v>81</v>
      </c>
    </row>
    <row r="396" spans="1:18" ht="14.25" customHeight="1" x14ac:dyDescent="0.15">
      <c r="A396" s="21">
        <f t="shared" ref="A396:B396" si="275">A389</f>
        <v>0</v>
      </c>
      <c r="B396" s="21">
        <f t="shared" si="275"/>
        <v>0</v>
      </c>
      <c r="C396" s="44" t="s">
        <v>188</v>
      </c>
      <c r="D396" s="21">
        <f t="shared" ref="D396:H396" si="276">D389</f>
        <v>0</v>
      </c>
      <c r="E396" s="23" t="str">
        <f t="shared" si="276"/>
        <v>4200</v>
      </c>
      <c r="F396" s="23" t="str">
        <f t="shared" si="276"/>
        <v>4000</v>
      </c>
      <c r="G396" s="23" t="str">
        <f t="shared" si="276"/>
        <v>3800</v>
      </c>
      <c r="H396" s="23">
        <f t="shared" si="276"/>
        <v>380</v>
      </c>
      <c r="I396" s="23" t="str">
        <f>I375</f>
        <v>0</v>
      </c>
      <c r="J396" s="23" t="str">
        <f t="shared" ref="J396:Q396" si="277">J389</f>
        <v>1000</v>
      </c>
      <c r="K396" s="23">
        <f t="shared" si="277"/>
        <v>375</v>
      </c>
      <c r="L396" s="23">
        <f t="shared" si="277"/>
        <v>585</v>
      </c>
      <c r="M396" s="23" t="str">
        <f t="shared" si="277"/>
        <v>1000</v>
      </c>
      <c r="N396" s="23">
        <f t="shared" si="277"/>
        <v>3300</v>
      </c>
      <c r="O396" s="23">
        <f t="shared" si="277"/>
        <v>0</v>
      </c>
      <c r="P396" s="23">
        <f t="shared" si="277"/>
        <v>0</v>
      </c>
      <c r="Q396" s="23">
        <f t="shared" si="277"/>
        <v>2</v>
      </c>
      <c r="R396" s="21"/>
    </row>
    <row r="397" spans="1:18" ht="14.25" customHeight="1" x14ac:dyDescent="0.15">
      <c r="A397" s="19">
        <v>3</v>
      </c>
      <c r="B397" s="19">
        <f>0.9*3</f>
        <v>2.7</v>
      </c>
      <c r="C397" s="19">
        <f>0.6+0.3</f>
        <v>0.89999999999999991</v>
      </c>
      <c r="D397" s="19">
        <f>B397*C397</f>
        <v>2.4299999999999997</v>
      </c>
      <c r="E397" s="19"/>
      <c r="F397" s="19"/>
      <c r="G397" s="19"/>
      <c r="H397" s="19"/>
      <c r="I397" s="19">
        <f>B397*0.4</f>
        <v>1.08</v>
      </c>
      <c r="J397" s="19">
        <v>2</v>
      </c>
      <c r="K397" s="19">
        <f t="shared" ref="K397:L397" si="278">A397</f>
        <v>3</v>
      </c>
      <c r="L397" s="19">
        <f t="shared" si="278"/>
        <v>2.7</v>
      </c>
      <c r="M397" s="19">
        <f>A397</f>
        <v>3</v>
      </c>
      <c r="N397" s="19">
        <f>(1.2*0.4)*2</f>
        <v>0.96</v>
      </c>
      <c r="O397" s="19"/>
      <c r="P397" s="19"/>
      <c r="Q397" s="19"/>
      <c r="R397" s="19"/>
    </row>
    <row r="398" spans="1:18" ht="14.25" customHeight="1" x14ac:dyDescent="0.2">
      <c r="A398" s="19"/>
      <c r="B398" s="19"/>
      <c r="C398" s="19"/>
      <c r="D398" s="26" t="str">
        <f>D391</f>
        <v>2200</v>
      </c>
      <c r="E398" s="45">
        <v>0</v>
      </c>
      <c r="F398" s="45">
        <v>0</v>
      </c>
      <c r="G398" s="45">
        <v>2</v>
      </c>
      <c r="H398" s="19">
        <f>B397*2</f>
        <v>5.4</v>
      </c>
      <c r="I398" s="19"/>
      <c r="J398" s="19"/>
      <c r="K398" s="19"/>
      <c r="L398" s="19"/>
      <c r="M398" s="19"/>
      <c r="N398" s="28"/>
      <c r="O398" s="19"/>
      <c r="P398" s="19"/>
      <c r="Q398" s="19"/>
      <c r="R398" s="19"/>
    </row>
    <row r="399" spans="1:18" ht="14.25" customHeight="1" x14ac:dyDescent="0.2">
      <c r="A399" s="19"/>
      <c r="B399" s="19"/>
      <c r="C399" s="19"/>
      <c r="D399" s="19">
        <f>D397*D398</f>
        <v>5345.9999999999991</v>
      </c>
      <c r="E399" s="45">
        <f>E398*E396</f>
        <v>0</v>
      </c>
      <c r="F399" s="45">
        <f t="shared" ref="F399:H399" si="279">F396*F398</f>
        <v>0</v>
      </c>
      <c r="G399" s="45">
        <f t="shared" si="279"/>
        <v>7600</v>
      </c>
      <c r="H399" s="19">
        <f t="shared" si="279"/>
        <v>2052</v>
      </c>
      <c r="I399" s="19">
        <f t="shared" ref="I399:N399" si="280">I396*I397</f>
        <v>0</v>
      </c>
      <c r="J399" s="19">
        <f t="shared" si="280"/>
        <v>2000</v>
      </c>
      <c r="K399" s="19">
        <f t="shared" si="280"/>
        <v>1125</v>
      </c>
      <c r="L399" s="19">
        <f t="shared" si="280"/>
        <v>1579.5</v>
      </c>
      <c r="M399" s="19">
        <f t="shared" si="280"/>
        <v>3000</v>
      </c>
      <c r="N399" s="19">
        <f t="shared" si="280"/>
        <v>3168</v>
      </c>
      <c r="O399" s="19">
        <f>SUM(D399:N399)</f>
        <v>25870.5</v>
      </c>
      <c r="P399" s="19">
        <f>O399/A397</f>
        <v>8623.5</v>
      </c>
      <c r="Q399" s="19">
        <f>P399*Q396</f>
        <v>17247</v>
      </c>
      <c r="R399" s="19">
        <f>MROUND(Q399,100)</f>
        <v>17200</v>
      </c>
    </row>
    <row r="400" spans="1:18" ht="14.25" customHeight="1" x14ac:dyDescent="0.1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</row>
    <row r="401" spans="1:18" ht="14.25" customHeight="1" x14ac:dyDescent="0.3">
      <c r="A401" s="109" t="str">
        <f>PRICELIST!I273</f>
        <v>WSTK-LNR-NSH-PLM-900-F</v>
      </c>
      <c r="B401" s="87"/>
      <c r="C401" s="87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7"/>
    </row>
    <row r="402" spans="1:18" ht="14.25" customHeight="1" x14ac:dyDescent="0.15">
      <c r="A402" s="19" t="s">
        <v>57</v>
      </c>
      <c r="B402" s="19" t="s">
        <v>59</v>
      </c>
      <c r="C402" s="19" t="s">
        <v>62</v>
      </c>
      <c r="D402" s="19" t="s">
        <v>64</v>
      </c>
      <c r="E402" s="19">
        <v>1200</v>
      </c>
      <c r="F402" s="19">
        <v>900</v>
      </c>
      <c r="G402" s="19">
        <v>600</v>
      </c>
      <c r="H402" s="19" t="s">
        <v>67</v>
      </c>
      <c r="I402" s="19" t="s">
        <v>68</v>
      </c>
      <c r="J402" s="19" t="s">
        <v>69</v>
      </c>
      <c r="K402" s="19" t="s">
        <v>71</v>
      </c>
      <c r="L402" s="19" t="s">
        <v>72</v>
      </c>
      <c r="M402" s="19" t="s">
        <v>73</v>
      </c>
      <c r="N402" s="19" t="s">
        <v>75</v>
      </c>
      <c r="O402" s="19" t="s">
        <v>76</v>
      </c>
      <c r="P402" s="19" t="s">
        <v>78</v>
      </c>
      <c r="Q402" s="19" t="s">
        <v>79</v>
      </c>
      <c r="R402" s="19" t="s">
        <v>81</v>
      </c>
    </row>
    <row r="403" spans="1:18" ht="14.25" customHeight="1" x14ac:dyDescent="0.15">
      <c r="A403" s="21">
        <f t="shared" ref="A403:B403" si="281">A396</f>
        <v>0</v>
      </c>
      <c r="B403" s="21">
        <f t="shared" si="281"/>
        <v>0</v>
      </c>
      <c r="C403" s="44" t="s">
        <v>188</v>
      </c>
      <c r="D403" s="21">
        <f t="shared" ref="D403:H403" si="282">D396</f>
        <v>0</v>
      </c>
      <c r="E403" s="23" t="str">
        <f t="shared" si="282"/>
        <v>4200</v>
      </c>
      <c r="F403" s="23" t="str">
        <f t="shared" si="282"/>
        <v>4000</v>
      </c>
      <c r="G403" s="23" t="str">
        <f t="shared" si="282"/>
        <v>3800</v>
      </c>
      <c r="H403" s="23">
        <f t="shared" si="282"/>
        <v>380</v>
      </c>
      <c r="I403" s="23" t="str">
        <f>I382</f>
        <v>4800</v>
      </c>
      <c r="J403" s="23" t="str">
        <f t="shared" ref="J403:Q403" si="283">J396</f>
        <v>1000</v>
      </c>
      <c r="K403" s="23">
        <f t="shared" si="283"/>
        <v>375</v>
      </c>
      <c r="L403" s="23">
        <f t="shared" si="283"/>
        <v>585</v>
      </c>
      <c r="M403" s="23" t="str">
        <f t="shared" si="283"/>
        <v>1000</v>
      </c>
      <c r="N403" s="23">
        <f t="shared" si="283"/>
        <v>3300</v>
      </c>
      <c r="O403" s="23">
        <f t="shared" si="283"/>
        <v>0</v>
      </c>
      <c r="P403" s="23">
        <f t="shared" si="283"/>
        <v>0</v>
      </c>
      <c r="Q403" s="23">
        <f t="shared" si="283"/>
        <v>2</v>
      </c>
      <c r="R403" s="21"/>
    </row>
    <row r="404" spans="1:18" ht="14.25" customHeight="1" x14ac:dyDescent="0.15">
      <c r="A404" s="19">
        <v>3</v>
      </c>
      <c r="B404" s="19">
        <f>0.9*3</f>
        <v>2.7</v>
      </c>
      <c r="C404" s="19">
        <f>0.6+0.3</f>
        <v>0.89999999999999991</v>
      </c>
      <c r="D404" s="19">
        <f>B404*C404</f>
        <v>2.4299999999999997</v>
      </c>
      <c r="E404" s="19"/>
      <c r="F404" s="19"/>
      <c r="G404" s="19"/>
      <c r="H404" s="19"/>
      <c r="I404" s="19">
        <f>B404*0.4</f>
        <v>1.08</v>
      </c>
      <c r="J404" s="19">
        <v>2</v>
      </c>
      <c r="K404" s="19">
        <f t="shared" ref="K404:L404" si="284">A404</f>
        <v>3</v>
      </c>
      <c r="L404" s="19">
        <f t="shared" si="284"/>
        <v>2.7</v>
      </c>
      <c r="M404" s="19">
        <f>A404</f>
        <v>3</v>
      </c>
      <c r="N404" s="19">
        <f>(1.2*0.4)*2</f>
        <v>0.96</v>
      </c>
      <c r="O404" s="19"/>
      <c r="P404" s="19"/>
      <c r="Q404" s="19"/>
      <c r="R404" s="19"/>
    </row>
    <row r="405" spans="1:18" ht="14.25" customHeight="1" x14ac:dyDescent="0.2">
      <c r="A405" s="19"/>
      <c r="B405" s="19"/>
      <c r="C405" s="19"/>
      <c r="D405" s="26" t="str">
        <f>'MASTER DATA'!C4</f>
        <v>3000</v>
      </c>
      <c r="E405" s="45">
        <v>0</v>
      </c>
      <c r="F405" s="45">
        <v>0</v>
      </c>
      <c r="G405" s="45">
        <v>2</v>
      </c>
      <c r="H405" s="19">
        <f>B404*2</f>
        <v>5.4</v>
      </c>
      <c r="I405" s="19"/>
      <c r="J405" s="19"/>
      <c r="K405" s="19"/>
      <c r="L405" s="19"/>
      <c r="M405" s="19"/>
      <c r="N405" s="28"/>
      <c r="O405" s="19"/>
      <c r="P405" s="19"/>
      <c r="Q405" s="19"/>
      <c r="R405" s="19"/>
    </row>
    <row r="406" spans="1:18" ht="14.25" customHeight="1" x14ac:dyDescent="0.2">
      <c r="A406" s="19"/>
      <c r="B406" s="19"/>
      <c r="C406" s="19"/>
      <c r="D406" s="19">
        <f>D404*D405</f>
        <v>7289.9999999999991</v>
      </c>
      <c r="E406" s="45">
        <f>E405*E403</f>
        <v>0</v>
      </c>
      <c r="F406" s="45">
        <f t="shared" ref="F406:H406" si="285">F403*F405</f>
        <v>0</v>
      </c>
      <c r="G406" s="45">
        <f t="shared" si="285"/>
        <v>7600</v>
      </c>
      <c r="H406" s="19">
        <f t="shared" si="285"/>
        <v>2052</v>
      </c>
      <c r="I406" s="19">
        <f t="shared" ref="I406:N406" si="286">I403*I404</f>
        <v>5184</v>
      </c>
      <c r="J406" s="19">
        <f t="shared" si="286"/>
        <v>2000</v>
      </c>
      <c r="K406" s="19">
        <f t="shared" si="286"/>
        <v>1125</v>
      </c>
      <c r="L406" s="19">
        <f t="shared" si="286"/>
        <v>1579.5</v>
      </c>
      <c r="M406" s="19">
        <f t="shared" si="286"/>
        <v>3000</v>
      </c>
      <c r="N406" s="19">
        <f t="shared" si="286"/>
        <v>3168</v>
      </c>
      <c r="O406" s="19">
        <f>SUM(D406:N406)</f>
        <v>32998.5</v>
      </c>
      <c r="P406" s="19">
        <f>O406/A404</f>
        <v>10999.5</v>
      </c>
      <c r="Q406" s="19">
        <f>P406*Q403</f>
        <v>21999</v>
      </c>
      <c r="R406" s="19">
        <f>MROUND(Q406,100)</f>
        <v>22000</v>
      </c>
    </row>
    <row r="407" spans="1:18" ht="14.25" customHeight="1" x14ac:dyDescent="0.1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</row>
    <row r="408" spans="1:18" ht="14.25" customHeight="1" x14ac:dyDescent="0.3">
      <c r="A408" s="109" t="str">
        <f>PRICELIST!I274</f>
        <v>WSTK-LNR-NSH-PLM-900-G</v>
      </c>
      <c r="B408" s="87"/>
      <c r="C408" s="87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7"/>
    </row>
    <row r="409" spans="1:18" ht="14.25" customHeight="1" x14ac:dyDescent="0.15">
      <c r="A409" s="19" t="s">
        <v>57</v>
      </c>
      <c r="B409" s="19" t="s">
        <v>59</v>
      </c>
      <c r="C409" s="19" t="s">
        <v>62</v>
      </c>
      <c r="D409" s="19" t="s">
        <v>64</v>
      </c>
      <c r="E409" s="19">
        <v>1200</v>
      </c>
      <c r="F409" s="19">
        <v>900</v>
      </c>
      <c r="G409" s="19">
        <v>600</v>
      </c>
      <c r="H409" s="19" t="s">
        <v>67</v>
      </c>
      <c r="I409" s="19" t="s">
        <v>68</v>
      </c>
      <c r="J409" s="19" t="s">
        <v>69</v>
      </c>
      <c r="K409" s="19" t="s">
        <v>71</v>
      </c>
      <c r="L409" s="19" t="s">
        <v>72</v>
      </c>
      <c r="M409" s="19" t="s">
        <v>73</v>
      </c>
      <c r="N409" s="19" t="s">
        <v>75</v>
      </c>
      <c r="O409" s="19" t="s">
        <v>76</v>
      </c>
      <c r="P409" s="19" t="s">
        <v>78</v>
      </c>
      <c r="Q409" s="19" t="s">
        <v>79</v>
      </c>
      <c r="R409" s="19" t="s">
        <v>81</v>
      </c>
    </row>
    <row r="410" spans="1:18" ht="14.25" customHeight="1" x14ac:dyDescent="0.15">
      <c r="A410" s="21">
        <f t="shared" ref="A410:B410" si="287">A403</f>
        <v>0</v>
      </c>
      <c r="B410" s="21">
        <f t="shared" si="287"/>
        <v>0</v>
      </c>
      <c r="C410" s="44" t="s">
        <v>188</v>
      </c>
      <c r="D410" s="21">
        <f t="shared" ref="D410:H410" si="288">D403</f>
        <v>0</v>
      </c>
      <c r="E410" s="23" t="str">
        <f t="shared" si="288"/>
        <v>4200</v>
      </c>
      <c r="F410" s="23" t="str">
        <f t="shared" si="288"/>
        <v>4000</v>
      </c>
      <c r="G410" s="23" t="str">
        <f t="shared" si="288"/>
        <v>3800</v>
      </c>
      <c r="H410" s="23">
        <f t="shared" si="288"/>
        <v>380</v>
      </c>
      <c r="I410" s="23" t="str">
        <f>I389</f>
        <v>5500</v>
      </c>
      <c r="J410" s="23" t="str">
        <f t="shared" ref="J410:Q410" si="289">J403</f>
        <v>1000</v>
      </c>
      <c r="K410" s="23">
        <f t="shared" si="289"/>
        <v>375</v>
      </c>
      <c r="L410" s="23">
        <f t="shared" si="289"/>
        <v>585</v>
      </c>
      <c r="M410" s="23" t="str">
        <f t="shared" si="289"/>
        <v>1000</v>
      </c>
      <c r="N410" s="23">
        <f t="shared" si="289"/>
        <v>3300</v>
      </c>
      <c r="O410" s="23">
        <f t="shared" si="289"/>
        <v>0</v>
      </c>
      <c r="P410" s="23">
        <f t="shared" si="289"/>
        <v>0</v>
      </c>
      <c r="Q410" s="23">
        <f t="shared" si="289"/>
        <v>2</v>
      </c>
      <c r="R410" s="21"/>
    </row>
    <row r="411" spans="1:18" ht="14.25" customHeight="1" x14ac:dyDescent="0.15">
      <c r="A411" s="19">
        <v>3</v>
      </c>
      <c r="B411" s="19">
        <f>0.9*3</f>
        <v>2.7</v>
      </c>
      <c r="C411" s="19">
        <f>0.6+0.3</f>
        <v>0.89999999999999991</v>
      </c>
      <c r="D411" s="19">
        <f>B411*C411</f>
        <v>2.4299999999999997</v>
      </c>
      <c r="E411" s="19"/>
      <c r="F411" s="19"/>
      <c r="G411" s="19"/>
      <c r="H411" s="19"/>
      <c r="I411" s="19">
        <f>B411*0.4</f>
        <v>1.08</v>
      </c>
      <c r="J411" s="19">
        <v>2</v>
      </c>
      <c r="K411" s="19">
        <f t="shared" ref="K411:L411" si="290">A411</f>
        <v>3</v>
      </c>
      <c r="L411" s="19">
        <f t="shared" si="290"/>
        <v>2.7</v>
      </c>
      <c r="M411" s="19">
        <f>A411</f>
        <v>3</v>
      </c>
      <c r="N411" s="19">
        <f>(1.2*0.4)*2</f>
        <v>0.96</v>
      </c>
      <c r="O411" s="19"/>
      <c r="P411" s="19"/>
      <c r="Q411" s="19"/>
      <c r="R411" s="19"/>
    </row>
    <row r="412" spans="1:18" ht="14.25" customHeight="1" x14ac:dyDescent="0.2">
      <c r="A412" s="19"/>
      <c r="B412" s="19"/>
      <c r="C412" s="19"/>
      <c r="D412" s="26" t="str">
        <f>D405</f>
        <v>3000</v>
      </c>
      <c r="E412" s="45">
        <v>0</v>
      </c>
      <c r="F412" s="45">
        <v>0</v>
      </c>
      <c r="G412" s="45">
        <v>2</v>
      </c>
      <c r="H412" s="19">
        <f>B411*2</f>
        <v>5.4</v>
      </c>
      <c r="I412" s="19"/>
      <c r="J412" s="19"/>
      <c r="K412" s="19"/>
      <c r="L412" s="19"/>
      <c r="M412" s="19"/>
      <c r="N412" s="28"/>
      <c r="O412" s="19"/>
      <c r="P412" s="19"/>
      <c r="Q412" s="19"/>
      <c r="R412" s="19"/>
    </row>
    <row r="413" spans="1:18" ht="14.25" customHeight="1" x14ac:dyDescent="0.2">
      <c r="A413" s="19"/>
      <c r="B413" s="19"/>
      <c r="C413" s="19"/>
      <c r="D413" s="19">
        <f>D411*D412</f>
        <v>7289.9999999999991</v>
      </c>
      <c r="E413" s="45">
        <f>E412*E410</f>
        <v>0</v>
      </c>
      <c r="F413" s="45">
        <f t="shared" ref="F413:H413" si="291">F410*F412</f>
        <v>0</v>
      </c>
      <c r="G413" s="45">
        <f t="shared" si="291"/>
        <v>7600</v>
      </c>
      <c r="H413" s="19">
        <f t="shared" si="291"/>
        <v>2052</v>
      </c>
      <c r="I413" s="19">
        <f t="shared" ref="I413:N413" si="292">I410*I411</f>
        <v>5940</v>
      </c>
      <c r="J413" s="19">
        <f t="shared" si="292"/>
        <v>2000</v>
      </c>
      <c r="K413" s="19">
        <f t="shared" si="292"/>
        <v>1125</v>
      </c>
      <c r="L413" s="19">
        <f t="shared" si="292"/>
        <v>1579.5</v>
      </c>
      <c r="M413" s="19">
        <f t="shared" si="292"/>
        <v>3000</v>
      </c>
      <c r="N413" s="19">
        <f t="shared" si="292"/>
        <v>3168</v>
      </c>
      <c r="O413" s="19">
        <f>SUM(D413:N413)</f>
        <v>33754.5</v>
      </c>
      <c r="P413" s="19">
        <f>O413/A411</f>
        <v>11251.5</v>
      </c>
      <c r="Q413" s="19">
        <f>P413*Q410</f>
        <v>22503</v>
      </c>
      <c r="R413" s="19">
        <f>MROUND(Q413,100)</f>
        <v>22500</v>
      </c>
    </row>
    <row r="414" spans="1:18" ht="14.25" customHeight="1" x14ac:dyDescent="0.1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</row>
    <row r="415" spans="1:18" ht="14.25" customHeight="1" x14ac:dyDescent="0.3">
      <c r="A415" s="109" t="str">
        <f>PRICELIST!I275</f>
        <v>WSTK-LNR-NSH-PLM-900-X</v>
      </c>
      <c r="B415" s="87"/>
      <c r="C415" s="87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7"/>
    </row>
    <row r="416" spans="1:18" ht="14.25" customHeight="1" x14ac:dyDescent="0.15">
      <c r="A416" s="19" t="s">
        <v>57</v>
      </c>
      <c r="B416" s="19" t="s">
        <v>59</v>
      </c>
      <c r="C416" s="19" t="s">
        <v>62</v>
      </c>
      <c r="D416" s="19" t="s">
        <v>64</v>
      </c>
      <c r="E416" s="19">
        <v>1200</v>
      </c>
      <c r="F416" s="19">
        <v>900</v>
      </c>
      <c r="G416" s="19">
        <v>600</v>
      </c>
      <c r="H416" s="19" t="s">
        <v>67</v>
      </c>
      <c r="I416" s="19" t="s">
        <v>68</v>
      </c>
      <c r="J416" s="19" t="s">
        <v>69</v>
      </c>
      <c r="K416" s="19" t="s">
        <v>71</v>
      </c>
      <c r="L416" s="19" t="s">
        <v>72</v>
      </c>
      <c r="M416" s="19" t="s">
        <v>73</v>
      </c>
      <c r="N416" s="19" t="s">
        <v>75</v>
      </c>
      <c r="O416" s="19" t="s">
        <v>76</v>
      </c>
      <c r="P416" s="19" t="s">
        <v>78</v>
      </c>
      <c r="Q416" s="19" t="s">
        <v>79</v>
      </c>
      <c r="R416" s="19" t="s">
        <v>81</v>
      </c>
    </row>
    <row r="417" spans="1:18" ht="14.25" customHeight="1" x14ac:dyDescent="0.15">
      <c r="A417" s="21">
        <f t="shared" ref="A417:B417" si="293">A410</f>
        <v>0</v>
      </c>
      <c r="B417" s="21">
        <f t="shared" si="293"/>
        <v>0</v>
      </c>
      <c r="C417" s="44" t="s">
        <v>188</v>
      </c>
      <c r="D417" s="21">
        <f t="shared" ref="D417:H417" si="294">D410</f>
        <v>0</v>
      </c>
      <c r="E417" s="23" t="str">
        <f t="shared" si="294"/>
        <v>4200</v>
      </c>
      <c r="F417" s="23" t="str">
        <f t="shared" si="294"/>
        <v>4000</v>
      </c>
      <c r="G417" s="23" t="str">
        <f t="shared" si="294"/>
        <v>3800</v>
      </c>
      <c r="H417" s="23">
        <f t="shared" si="294"/>
        <v>380</v>
      </c>
      <c r="I417" s="23" t="str">
        <f>I396</f>
        <v>0</v>
      </c>
      <c r="J417" s="23" t="str">
        <f t="shared" ref="J417:Q417" si="295">J410</f>
        <v>1000</v>
      </c>
      <c r="K417" s="23">
        <f t="shared" si="295"/>
        <v>375</v>
      </c>
      <c r="L417" s="23">
        <f t="shared" si="295"/>
        <v>585</v>
      </c>
      <c r="M417" s="23" t="str">
        <f t="shared" si="295"/>
        <v>1000</v>
      </c>
      <c r="N417" s="23">
        <f t="shared" si="295"/>
        <v>3300</v>
      </c>
      <c r="O417" s="23">
        <f t="shared" si="295"/>
        <v>0</v>
      </c>
      <c r="P417" s="23">
        <f t="shared" si="295"/>
        <v>0</v>
      </c>
      <c r="Q417" s="23">
        <f t="shared" si="295"/>
        <v>2</v>
      </c>
      <c r="R417" s="21"/>
    </row>
    <row r="418" spans="1:18" ht="14.25" customHeight="1" x14ac:dyDescent="0.15">
      <c r="A418" s="19">
        <v>3</v>
      </c>
      <c r="B418" s="19">
        <f>0.9*3</f>
        <v>2.7</v>
      </c>
      <c r="C418" s="19">
        <f>0.6+0.3</f>
        <v>0.89999999999999991</v>
      </c>
      <c r="D418" s="19">
        <f>B418*C418</f>
        <v>2.4299999999999997</v>
      </c>
      <c r="E418" s="19"/>
      <c r="F418" s="19"/>
      <c r="G418" s="19"/>
      <c r="H418" s="19"/>
      <c r="I418" s="19">
        <f>B418*0.4</f>
        <v>1.08</v>
      </c>
      <c r="J418" s="19">
        <v>2</v>
      </c>
      <c r="K418" s="19">
        <f t="shared" ref="K418:L418" si="296">A418</f>
        <v>3</v>
      </c>
      <c r="L418" s="19">
        <f t="shared" si="296"/>
        <v>2.7</v>
      </c>
      <c r="M418" s="19">
        <f>A418</f>
        <v>3</v>
      </c>
      <c r="N418" s="19">
        <f>(1.2*0.4)*2</f>
        <v>0.96</v>
      </c>
      <c r="O418" s="19"/>
      <c r="P418" s="19"/>
      <c r="Q418" s="19"/>
      <c r="R418" s="19"/>
    </row>
    <row r="419" spans="1:18" ht="14.25" customHeight="1" x14ac:dyDescent="0.2">
      <c r="A419" s="19"/>
      <c r="B419" s="19"/>
      <c r="C419" s="19"/>
      <c r="D419" s="26" t="str">
        <f>D279</f>
        <v>3000</v>
      </c>
      <c r="E419" s="45">
        <v>0</v>
      </c>
      <c r="F419" s="45">
        <v>0</v>
      </c>
      <c r="G419" s="45">
        <v>2</v>
      </c>
      <c r="H419" s="19">
        <f>B418*2</f>
        <v>5.4</v>
      </c>
      <c r="I419" s="19"/>
      <c r="J419" s="19"/>
      <c r="K419" s="19"/>
      <c r="L419" s="19"/>
      <c r="M419" s="19"/>
      <c r="N419" s="28"/>
      <c r="O419" s="19"/>
      <c r="P419" s="19"/>
      <c r="Q419" s="19"/>
      <c r="R419" s="19"/>
    </row>
    <row r="420" spans="1:18" ht="14.25" customHeight="1" x14ac:dyDescent="0.2">
      <c r="A420" s="19"/>
      <c r="B420" s="19"/>
      <c r="C420" s="19"/>
      <c r="D420" s="19">
        <f>D418*D419</f>
        <v>7289.9999999999991</v>
      </c>
      <c r="E420" s="45">
        <f>E419*E417</f>
        <v>0</v>
      </c>
      <c r="F420" s="45">
        <f t="shared" ref="F420:H420" si="297">F417*F419</f>
        <v>0</v>
      </c>
      <c r="G420" s="45">
        <f t="shared" si="297"/>
        <v>7600</v>
      </c>
      <c r="H420" s="19">
        <f t="shared" si="297"/>
        <v>2052</v>
      </c>
      <c r="I420" s="19">
        <f t="shared" ref="I420:N420" si="298">I417*I418</f>
        <v>0</v>
      </c>
      <c r="J420" s="19">
        <f t="shared" si="298"/>
        <v>2000</v>
      </c>
      <c r="K420" s="19">
        <f t="shared" si="298"/>
        <v>1125</v>
      </c>
      <c r="L420" s="19">
        <f t="shared" si="298"/>
        <v>1579.5</v>
      </c>
      <c r="M420" s="19">
        <f t="shared" si="298"/>
        <v>3000</v>
      </c>
      <c r="N420" s="19">
        <f t="shared" si="298"/>
        <v>3168</v>
      </c>
      <c r="O420" s="19">
        <f>SUM(D420:N420)</f>
        <v>27814.5</v>
      </c>
      <c r="P420" s="19">
        <f>O420/A418</f>
        <v>9271.5</v>
      </c>
      <c r="Q420" s="19">
        <f>P420*Q417</f>
        <v>18543</v>
      </c>
      <c r="R420" s="19">
        <f>MROUND(Q420,100)</f>
        <v>18500</v>
      </c>
    </row>
    <row r="421" spans="1:18" ht="14.25" customHeight="1" x14ac:dyDescent="0.1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</row>
    <row r="422" spans="1:18" ht="14.25" customHeight="1" x14ac:dyDescent="0.3">
      <c r="A422" s="109" t="str">
        <f>PRICELIST!I276</f>
        <v>WSTK-LNR-NSH-PoLM-900-F</v>
      </c>
      <c r="B422" s="87"/>
      <c r="C422" s="87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7"/>
    </row>
    <row r="423" spans="1:18" ht="14.25" customHeight="1" x14ac:dyDescent="0.15">
      <c r="A423" s="19" t="s">
        <v>57</v>
      </c>
      <c r="B423" s="19" t="s">
        <v>59</v>
      </c>
      <c r="C423" s="19" t="s">
        <v>62</v>
      </c>
      <c r="D423" s="19" t="s">
        <v>64</v>
      </c>
      <c r="E423" s="19">
        <v>1200</v>
      </c>
      <c r="F423" s="19">
        <v>900</v>
      </c>
      <c r="G423" s="19">
        <v>600</v>
      </c>
      <c r="H423" s="19" t="s">
        <v>67</v>
      </c>
      <c r="I423" s="19" t="s">
        <v>68</v>
      </c>
      <c r="J423" s="19" t="s">
        <v>69</v>
      </c>
      <c r="K423" s="19" t="s">
        <v>71</v>
      </c>
      <c r="L423" s="19" t="s">
        <v>72</v>
      </c>
      <c r="M423" s="19" t="s">
        <v>73</v>
      </c>
      <c r="N423" s="19" t="s">
        <v>75</v>
      </c>
      <c r="O423" s="19" t="s">
        <v>76</v>
      </c>
      <c r="P423" s="19" t="s">
        <v>78</v>
      </c>
      <c r="Q423" s="19" t="s">
        <v>79</v>
      </c>
      <c r="R423" s="19" t="s">
        <v>81</v>
      </c>
    </row>
    <row r="424" spans="1:18" ht="14.25" customHeight="1" x14ac:dyDescent="0.15">
      <c r="A424" s="21">
        <f t="shared" ref="A424:B424" si="299">A417</f>
        <v>0</v>
      </c>
      <c r="B424" s="21">
        <f t="shared" si="299"/>
        <v>0</v>
      </c>
      <c r="C424" s="44" t="s">
        <v>188</v>
      </c>
      <c r="D424" s="21">
        <f t="shared" ref="D424:H424" si="300">D417</f>
        <v>0</v>
      </c>
      <c r="E424" s="23" t="str">
        <f t="shared" si="300"/>
        <v>4200</v>
      </c>
      <c r="F424" s="23" t="str">
        <f t="shared" si="300"/>
        <v>4000</v>
      </c>
      <c r="G424" s="23" t="str">
        <f t="shared" si="300"/>
        <v>3800</v>
      </c>
      <c r="H424" s="23">
        <f t="shared" si="300"/>
        <v>380</v>
      </c>
      <c r="I424" s="23" t="str">
        <f>I403</f>
        <v>4800</v>
      </c>
      <c r="J424" s="23" t="str">
        <f t="shared" ref="J424:Q424" si="301">J417</f>
        <v>1000</v>
      </c>
      <c r="K424" s="23">
        <f t="shared" si="301"/>
        <v>375</v>
      </c>
      <c r="L424" s="23">
        <f t="shared" si="301"/>
        <v>585</v>
      </c>
      <c r="M424" s="23" t="str">
        <f t="shared" si="301"/>
        <v>1000</v>
      </c>
      <c r="N424" s="23">
        <f t="shared" si="301"/>
        <v>3300</v>
      </c>
      <c r="O424" s="23">
        <f t="shared" si="301"/>
        <v>0</v>
      </c>
      <c r="P424" s="23">
        <f t="shared" si="301"/>
        <v>0</v>
      </c>
      <c r="Q424" s="23">
        <f t="shared" si="301"/>
        <v>2</v>
      </c>
      <c r="R424" s="21"/>
    </row>
    <row r="425" spans="1:18" ht="14.25" customHeight="1" x14ac:dyDescent="0.15">
      <c r="A425" s="19">
        <v>3</v>
      </c>
      <c r="B425" s="19">
        <f>0.9*3</f>
        <v>2.7</v>
      </c>
      <c r="C425" s="19">
        <f>0.6+0.3</f>
        <v>0.89999999999999991</v>
      </c>
      <c r="D425" s="19">
        <f>B425*C425</f>
        <v>2.4299999999999997</v>
      </c>
      <c r="E425" s="19"/>
      <c r="F425" s="19"/>
      <c r="G425" s="19"/>
      <c r="H425" s="19"/>
      <c r="I425" s="19">
        <f>B425*0.4</f>
        <v>1.08</v>
      </c>
      <c r="J425" s="19">
        <v>2</v>
      </c>
      <c r="K425" s="19">
        <f t="shared" ref="K425:L425" si="302">A425</f>
        <v>3</v>
      </c>
      <c r="L425" s="19">
        <f t="shared" si="302"/>
        <v>2.7</v>
      </c>
      <c r="M425" s="19">
        <f>A425</f>
        <v>3</v>
      </c>
      <c r="N425" s="19">
        <f>(1.2*0.4)*2</f>
        <v>0.96</v>
      </c>
      <c r="O425" s="19"/>
      <c r="P425" s="19"/>
      <c r="Q425" s="19"/>
      <c r="R425" s="19"/>
    </row>
    <row r="426" spans="1:18" ht="14.25" customHeight="1" x14ac:dyDescent="0.2">
      <c r="A426" s="19"/>
      <c r="B426" s="19"/>
      <c r="C426" s="19"/>
      <c r="D426" s="26" t="str">
        <f>'MASTER DATA'!C5</f>
        <v>7500</v>
      </c>
      <c r="E426" s="45">
        <v>0</v>
      </c>
      <c r="F426" s="45">
        <v>0</v>
      </c>
      <c r="G426" s="45">
        <v>2</v>
      </c>
      <c r="H426" s="19">
        <f>B425*2</f>
        <v>5.4</v>
      </c>
      <c r="I426" s="19"/>
      <c r="J426" s="19"/>
      <c r="K426" s="19"/>
      <c r="L426" s="19"/>
      <c r="M426" s="19"/>
      <c r="N426" s="28"/>
      <c r="O426" s="19"/>
      <c r="P426" s="19"/>
      <c r="Q426" s="19"/>
      <c r="R426" s="19"/>
    </row>
    <row r="427" spans="1:18" ht="14.25" customHeight="1" x14ac:dyDescent="0.2">
      <c r="A427" s="19"/>
      <c r="B427" s="19"/>
      <c r="C427" s="19"/>
      <c r="D427" s="19">
        <f>D425*D426</f>
        <v>18224.999999999996</v>
      </c>
      <c r="E427" s="45">
        <f>E426*E424</f>
        <v>0</v>
      </c>
      <c r="F427" s="45">
        <f t="shared" ref="F427:H427" si="303">F424*F426</f>
        <v>0</v>
      </c>
      <c r="G427" s="45">
        <f t="shared" si="303"/>
        <v>7600</v>
      </c>
      <c r="H427" s="19">
        <f t="shared" si="303"/>
        <v>2052</v>
      </c>
      <c r="I427" s="19">
        <f t="shared" ref="I427:N427" si="304">I424*I425</f>
        <v>5184</v>
      </c>
      <c r="J427" s="19">
        <f t="shared" si="304"/>
        <v>2000</v>
      </c>
      <c r="K427" s="19">
        <f t="shared" si="304"/>
        <v>1125</v>
      </c>
      <c r="L427" s="19">
        <f t="shared" si="304"/>
        <v>1579.5</v>
      </c>
      <c r="M427" s="19">
        <f t="shared" si="304"/>
        <v>3000</v>
      </c>
      <c r="N427" s="19">
        <f t="shared" si="304"/>
        <v>3168</v>
      </c>
      <c r="O427" s="19">
        <f>SUM(D427:N427)</f>
        <v>43933.5</v>
      </c>
      <c r="P427" s="19">
        <f>O427/A425</f>
        <v>14644.5</v>
      </c>
      <c r="Q427" s="19">
        <f>P427*Q424</f>
        <v>29289</v>
      </c>
      <c r="R427" s="19">
        <f>MROUND(Q427,100)</f>
        <v>29300</v>
      </c>
    </row>
    <row r="428" spans="1:18" ht="14.25" customHeight="1" x14ac:dyDescent="0.1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</row>
    <row r="429" spans="1:18" ht="14.25" customHeight="1" x14ac:dyDescent="0.3">
      <c r="A429" s="109" t="str">
        <f>PRICELIST!I276</f>
        <v>WSTK-LNR-NSH-PoLM-900-F</v>
      </c>
      <c r="B429" s="87"/>
      <c r="C429" s="87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7"/>
    </row>
    <row r="430" spans="1:18" ht="14.25" customHeight="1" x14ac:dyDescent="0.15">
      <c r="A430" s="19" t="s">
        <v>57</v>
      </c>
      <c r="B430" s="19" t="s">
        <v>59</v>
      </c>
      <c r="C430" s="19" t="s">
        <v>62</v>
      </c>
      <c r="D430" s="19" t="s">
        <v>64</v>
      </c>
      <c r="E430" s="19">
        <v>1200</v>
      </c>
      <c r="F430" s="19">
        <v>900</v>
      </c>
      <c r="G430" s="19">
        <v>600</v>
      </c>
      <c r="H430" s="19" t="s">
        <v>67</v>
      </c>
      <c r="I430" s="19" t="s">
        <v>68</v>
      </c>
      <c r="J430" s="19" t="s">
        <v>69</v>
      </c>
      <c r="K430" s="19" t="s">
        <v>71</v>
      </c>
      <c r="L430" s="19" t="s">
        <v>72</v>
      </c>
      <c r="M430" s="19" t="s">
        <v>73</v>
      </c>
      <c r="N430" s="19" t="s">
        <v>75</v>
      </c>
      <c r="O430" s="19" t="s">
        <v>76</v>
      </c>
      <c r="P430" s="19" t="s">
        <v>78</v>
      </c>
      <c r="Q430" s="19" t="s">
        <v>79</v>
      </c>
      <c r="R430" s="19" t="s">
        <v>81</v>
      </c>
    </row>
    <row r="431" spans="1:18" ht="14.25" customHeight="1" x14ac:dyDescent="0.15">
      <c r="A431" s="21">
        <f t="shared" ref="A431:B431" si="305">A424</f>
        <v>0</v>
      </c>
      <c r="B431" s="21">
        <f t="shared" si="305"/>
        <v>0</v>
      </c>
      <c r="C431" s="44" t="s">
        <v>188</v>
      </c>
      <c r="D431" s="21">
        <f t="shared" ref="D431:H431" si="306">D424</f>
        <v>0</v>
      </c>
      <c r="E431" s="23" t="str">
        <f t="shared" si="306"/>
        <v>4200</v>
      </c>
      <c r="F431" s="23" t="str">
        <f t="shared" si="306"/>
        <v>4000</v>
      </c>
      <c r="G431" s="23" t="str">
        <f t="shared" si="306"/>
        <v>3800</v>
      </c>
      <c r="H431" s="23">
        <f t="shared" si="306"/>
        <v>380</v>
      </c>
      <c r="I431" s="23" t="str">
        <f>I410</f>
        <v>5500</v>
      </c>
      <c r="J431" s="23" t="str">
        <f t="shared" ref="J431:Q431" si="307">J424</f>
        <v>1000</v>
      </c>
      <c r="K431" s="23">
        <f t="shared" si="307"/>
        <v>375</v>
      </c>
      <c r="L431" s="23">
        <f t="shared" si="307"/>
        <v>585</v>
      </c>
      <c r="M431" s="23" t="str">
        <f t="shared" si="307"/>
        <v>1000</v>
      </c>
      <c r="N431" s="23">
        <f t="shared" si="307"/>
        <v>3300</v>
      </c>
      <c r="O431" s="23">
        <f t="shared" si="307"/>
        <v>0</v>
      </c>
      <c r="P431" s="23">
        <f t="shared" si="307"/>
        <v>0</v>
      </c>
      <c r="Q431" s="23">
        <f t="shared" si="307"/>
        <v>2</v>
      </c>
      <c r="R431" s="21"/>
    </row>
    <row r="432" spans="1:18" ht="14.25" customHeight="1" x14ac:dyDescent="0.15">
      <c r="A432" s="19">
        <v>3</v>
      </c>
      <c r="B432" s="19">
        <f>0.9*3</f>
        <v>2.7</v>
      </c>
      <c r="C432" s="19">
        <f>0.6+0.3</f>
        <v>0.89999999999999991</v>
      </c>
      <c r="D432" s="19">
        <f>B432*C432</f>
        <v>2.4299999999999997</v>
      </c>
      <c r="E432" s="19"/>
      <c r="F432" s="19"/>
      <c r="G432" s="19"/>
      <c r="H432" s="19"/>
      <c r="I432" s="19">
        <f>B432*0.4</f>
        <v>1.08</v>
      </c>
      <c r="J432" s="19">
        <v>2</v>
      </c>
      <c r="K432" s="19">
        <f t="shared" ref="K432:L432" si="308">A432</f>
        <v>3</v>
      </c>
      <c r="L432" s="19">
        <f t="shared" si="308"/>
        <v>2.7</v>
      </c>
      <c r="M432" s="19">
        <f>A432</f>
        <v>3</v>
      </c>
      <c r="N432" s="19">
        <f>(1.2*0.4)*2</f>
        <v>0.96</v>
      </c>
      <c r="O432" s="19"/>
      <c r="P432" s="19"/>
      <c r="Q432" s="19"/>
      <c r="R432" s="19"/>
    </row>
    <row r="433" spans="1:18" ht="14.25" customHeight="1" x14ac:dyDescent="0.2">
      <c r="A433" s="19"/>
      <c r="B433" s="19"/>
      <c r="C433" s="19"/>
      <c r="D433" s="26" t="str">
        <f>D426</f>
        <v>7500</v>
      </c>
      <c r="E433" s="45">
        <v>0</v>
      </c>
      <c r="F433" s="45">
        <v>0</v>
      </c>
      <c r="G433" s="45">
        <v>2</v>
      </c>
      <c r="H433" s="19">
        <f>B432*2</f>
        <v>5.4</v>
      </c>
      <c r="I433" s="19"/>
      <c r="J433" s="19"/>
      <c r="K433" s="19"/>
      <c r="L433" s="19"/>
      <c r="M433" s="19"/>
      <c r="N433" s="28"/>
      <c r="O433" s="19"/>
      <c r="P433" s="19"/>
      <c r="Q433" s="19"/>
      <c r="R433" s="19"/>
    </row>
    <row r="434" spans="1:18" ht="14.25" customHeight="1" x14ac:dyDescent="0.2">
      <c r="A434" s="19"/>
      <c r="B434" s="19"/>
      <c r="C434" s="19"/>
      <c r="D434" s="19">
        <f>D432*D433</f>
        <v>18224.999999999996</v>
      </c>
      <c r="E434" s="45">
        <f>E433*E431</f>
        <v>0</v>
      </c>
      <c r="F434" s="45">
        <f t="shared" ref="F434:H434" si="309">F431*F433</f>
        <v>0</v>
      </c>
      <c r="G434" s="45">
        <f t="shared" si="309"/>
        <v>7600</v>
      </c>
      <c r="H434" s="19">
        <f t="shared" si="309"/>
        <v>2052</v>
      </c>
      <c r="I434" s="19">
        <f t="shared" ref="I434:N434" si="310">I431*I432</f>
        <v>5940</v>
      </c>
      <c r="J434" s="19">
        <f t="shared" si="310"/>
        <v>2000</v>
      </c>
      <c r="K434" s="19">
        <f t="shared" si="310"/>
        <v>1125</v>
      </c>
      <c r="L434" s="19">
        <f t="shared" si="310"/>
        <v>1579.5</v>
      </c>
      <c r="M434" s="19">
        <f t="shared" si="310"/>
        <v>3000</v>
      </c>
      <c r="N434" s="19">
        <f t="shared" si="310"/>
        <v>3168</v>
      </c>
      <c r="O434" s="19">
        <f>SUM(D434:N434)</f>
        <v>44689.5</v>
      </c>
      <c r="P434" s="19">
        <f>O434/A432</f>
        <v>14896.5</v>
      </c>
      <c r="Q434" s="19">
        <f>P434*Q431</f>
        <v>29793</v>
      </c>
      <c r="R434" s="19">
        <f>MROUND(Q434,100)</f>
        <v>29800</v>
      </c>
    </row>
    <row r="435" spans="1:18" ht="14.25" customHeight="1" x14ac:dyDescent="0.1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</row>
    <row r="436" spans="1:18" ht="14.25" customHeight="1" x14ac:dyDescent="0.3">
      <c r="A436" s="109" t="str">
        <f>PRICELIST!I277</f>
        <v>WSTK-LNR-NSH-PoLM-900-G</v>
      </c>
      <c r="B436" s="87"/>
      <c r="C436" s="87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7"/>
    </row>
    <row r="437" spans="1:18" ht="14.25" customHeight="1" x14ac:dyDescent="0.15">
      <c r="A437" s="19" t="s">
        <v>57</v>
      </c>
      <c r="B437" s="19" t="s">
        <v>59</v>
      </c>
      <c r="C437" s="19" t="s">
        <v>62</v>
      </c>
      <c r="D437" s="19" t="s">
        <v>64</v>
      </c>
      <c r="E437" s="19">
        <v>1200</v>
      </c>
      <c r="F437" s="19">
        <v>900</v>
      </c>
      <c r="G437" s="19">
        <v>600</v>
      </c>
      <c r="H437" s="19" t="s">
        <v>67</v>
      </c>
      <c r="I437" s="19" t="s">
        <v>68</v>
      </c>
      <c r="J437" s="19" t="s">
        <v>69</v>
      </c>
      <c r="K437" s="19" t="s">
        <v>71</v>
      </c>
      <c r="L437" s="19" t="s">
        <v>72</v>
      </c>
      <c r="M437" s="19" t="s">
        <v>73</v>
      </c>
      <c r="N437" s="19" t="s">
        <v>75</v>
      </c>
      <c r="O437" s="19" t="s">
        <v>76</v>
      </c>
      <c r="P437" s="19" t="s">
        <v>78</v>
      </c>
      <c r="Q437" s="19" t="s">
        <v>79</v>
      </c>
      <c r="R437" s="19" t="s">
        <v>81</v>
      </c>
    </row>
    <row r="438" spans="1:18" ht="14.25" customHeight="1" x14ac:dyDescent="0.15">
      <c r="A438" s="21">
        <f t="shared" ref="A438:B438" si="311">A431</f>
        <v>0</v>
      </c>
      <c r="B438" s="21">
        <f t="shared" si="311"/>
        <v>0</v>
      </c>
      <c r="C438" s="44" t="s">
        <v>188</v>
      </c>
      <c r="D438" s="21">
        <f t="shared" ref="D438:H438" si="312">D431</f>
        <v>0</v>
      </c>
      <c r="E438" s="23" t="str">
        <f t="shared" si="312"/>
        <v>4200</v>
      </c>
      <c r="F438" s="23" t="str">
        <f t="shared" si="312"/>
        <v>4000</v>
      </c>
      <c r="G438" s="23" t="str">
        <f t="shared" si="312"/>
        <v>3800</v>
      </c>
      <c r="H438" s="23">
        <f t="shared" si="312"/>
        <v>380</v>
      </c>
      <c r="I438" s="23" t="str">
        <f>I417</f>
        <v>0</v>
      </c>
      <c r="J438" s="23" t="str">
        <f t="shared" ref="J438:Q438" si="313">J431</f>
        <v>1000</v>
      </c>
      <c r="K438" s="23">
        <f t="shared" si="313"/>
        <v>375</v>
      </c>
      <c r="L438" s="23">
        <f t="shared" si="313"/>
        <v>585</v>
      </c>
      <c r="M438" s="23" t="str">
        <f t="shared" si="313"/>
        <v>1000</v>
      </c>
      <c r="N438" s="23">
        <f t="shared" si="313"/>
        <v>3300</v>
      </c>
      <c r="O438" s="23">
        <f t="shared" si="313"/>
        <v>0</v>
      </c>
      <c r="P438" s="23">
        <f t="shared" si="313"/>
        <v>0</v>
      </c>
      <c r="Q438" s="23">
        <f t="shared" si="313"/>
        <v>2</v>
      </c>
      <c r="R438" s="21"/>
    </row>
    <row r="439" spans="1:18" ht="14.25" customHeight="1" x14ac:dyDescent="0.15">
      <c r="A439" s="19">
        <v>3</v>
      </c>
      <c r="B439" s="19">
        <f>0.9*3</f>
        <v>2.7</v>
      </c>
      <c r="C439" s="19">
        <f>0.6+0.3</f>
        <v>0.89999999999999991</v>
      </c>
      <c r="D439" s="19">
        <f>B439*C439</f>
        <v>2.4299999999999997</v>
      </c>
      <c r="E439" s="19"/>
      <c r="F439" s="19"/>
      <c r="G439" s="19"/>
      <c r="H439" s="19"/>
      <c r="I439" s="19">
        <f>B439*0.4</f>
        <v>1.08</v>
      </c>
      <c r="J439" s="19">
        <v>2</v>
      </c>
      <c r="K439" s="19">
        <f t="shared" ref="K439:L439" si="314">A439</f>
        <v>3</v>
      </c>
      <c r="L439" s="19">
        <f t="shared" si="314"/>
        <v>2.7</v>
      </c>
      <c r="M439" s="19">
        <f>A439</f>
        <v>3</v>
      </c>
      <c r="N439" s="19">
        <f>(1.2*0.4)*2</f>
        <v>0.96</v>
      </c>
      <c r="O439" s="19"/>
      <c r="P439" s="19"/>
      <c r="Q439" s="19"/>
      <c r="R439" s="19"/>
    </row>
    <row r="440" spans="1:18" ht="14.25" customHeight="1" x14ac:dyDescent="0.2">
      <c r="A440" s="19"/>
      <c r="B440" s="19"/>
      <c r="C440" s="19"/>
      <c r="D440" s="26" t="str">
        <f>D314</f>
        <v>7500</v>
      </c>
      <c r="E440" s="45">
        <v>0</v>
      </c>
      <c r="F440" s="45">
        <v>0</v>
      </c>
      <c r="G440" s="45">
        <v>2</v>
      </c>
      <c r="H440" s="19">
        <f>B439*2</f>
        <v>5.4</v>
      </c>
      <c r="I440" s="19"/>
      <c r="J440" s="19"/>
      <c r="K440" s="19"/>
      <c r="L440" s="19"/>
      <c r="M440" s="19"/>
      <c r="N440" s="28"/>
      <c r="O440" s="19"/>
      <c r="P440" s="19"/>
      <c r="Q440" s="19"/>
      <c r="R440" s="19"/>
    </row>
    <row r="441" spans="1:18" ht="14.25" customHeight="1" x14ac:dyDescent="0.2">
      <c r="A441" s="19"/>
      <c r="B441" s="19"/>
      <c r="C441" s="19"/>
      <c r="D441" s="19">
        <f>D439*D440</f>
        <v>18224.999999999996</v>
      </c>
      <c r="E441" s="45">
        <f>E440*E438</f>
        <v>0</v>
      </c>
      <c r="F441" s="45">
        <f t="shared" ref="F441:H441" si="315">F438*F440</f>
        <v>0</v>
      </c>
      <c r="G441" s="45">
        <f t="shared" si="315"/>
        <v>7600</v>
      </c>
      <c r="H441" s="19">
        <f t="shared" si="315"/>
        <v>2052</v>
      </c>
      <c r="I441" s="19">
        <f t="shared" ref="I441:N441" si="316">I438*I439</f>
        <v>0</v>
      </c>
      <c r="J441" s="19">
        <f t="shared" si="316"/>
        <v>2000</v>
      </c>
      <c r="K441" s="19">
        <f t="shared" si="316"/>
        <v>1125</v>
      </c>
      <c r="L441" s="19">
        <f t="shared" si="316"/>
        <v>1579.5</v>
      </c>
      <c r="M441" s="19">
        <f t="shared" si="316"/>
        <v>3000</v>
      </c>
      <c r="N441" s="19">
        <f t="shared" si="316"/>
        <v>3168</v>
      </c>
      <c r="O441" s="19">
        <f>SUM(D441:N441)</f>
        <v>38749.5</v>
      </c>
      <c r="P441" s="19">
        <f>O441/A439</f>
        <v>12916.5</v>
      </c>
      <c r="Q441" s="19">
        <f>P441*Q438</f>
        <v>25833</v>
      </c>
      <c r="R441" s="19">
        <f>MROUND(Q441,100)</f>
        <v>25800</v>
      </c>
    </row>
    <row r="442" spans="1:18" ht="14.25" customHeight="1" x14ac:dyDescent="0.1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</row>
    <row r="443" spans="1:18" ht="14.25" customHeight="1" x14ac:dyDescent="0.3">
      <c r="A443" s="109" t="str">
        <f>PRICELIST!I278</f>
        <v>WSTK-LNR-NSH-PoLM-900-X</v>
      </c>
      <c r="B443" s="87"/>
      <c r="C443" s="87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7"/>
    </row>
    <row r="444" spans="1:18" ht="14.25" customHeight="1" x14ac:dyDescent="0.15">
      <c r="A444" s="19" t="s">
        <v>57</v>
      </c>
      <c r="B444" s="19" t="s">
        <v>59</v>
      </c>
      <c r="C444" s="19" t="s">
        <v>62</v>
      </c>
      <c r="D444" s="19" t="s">
        <v>64</v>
      </c>
      <c r="E444" s="19">
        <v>1200</v>
      </c>
      <c r="F444" s="19">
        <v>900</v>
      </c>
      <c r="G444" s="19">
        <v>600</v>
      </c>
      <c r="H444" s="19" t="s">
        <v>67</v>
      </c>
      <c r="I444" s="19" t="s">
        <v>68</v>
      </c>
      <c r="J444" s="19" t="s">
        <v>69</v>
      </c>
      <c r="K444" s="19" t="s">
        <v>71</v>
      </c>
      <c r="L444" s="19" t="s">
        <v>72</v>
      </c>
      <c r="M444" s="19" t="s">
        <v>73</v>
      </c>
      <c r="N444" s="19" t="s">
        <v>75</v>
      </c>
      <c r="O444" s="19" t="s">
        <v>76</v>
      </c>
      <c r="P444" s="19" t="s">
        <v>78</v>
      </c>
      <c r="Q444" s="19" t="s">
        <v>79</v>
      </c>
      <c r="R444" s="19" t="s">
        <v>81</v>
      </c>
    </row>
    <row r="445" spans="1:18" ht="14.25" customHeight="1" x14ac:dyDescent="0.15">
      <c r="A445" s="21">
        <f t="shared" ref="A445:B445" si="317">A438</f>
        <v>0</v>
      </c>
      <c r="B445" s="21">
        <f t="shared" si="317"/>
        <v>0</v>
      </c>
      <c r="C445" s="44" t="s">
        <v>188</v>
      </c>
      <c r="D445" s="21">
        <f t="shared" ref="D445:H445" si="318">D438</f>
        <v>0</v>
      </c>
      <c r="E445" s="23" t="str">
        <f t="shared" si="318"/>
        <v>4200</v>
      </c>
      <c r="F445" s="23" t="str">
        <f t="shared" si="318"/>
        <v>4000</v>
      </c>
      <c r="G445" s="23" t="str">
        <f t="shared" si="318"/>
        <v>3800</v>
      </c>
      <c r="H445" s="23">
        <f t="shared" si="318"/>
        <v>380</v>
      </c>
      <c r="I445" s="23" t="str">
        <f>I424</f>
        <v>4800</v>
      </c>
      <c r="J445" s="23" t="str">
        <f t="shared" ref="J445:Q445" si="319">J438</f>
        <v>1000</v>
      </c>
      <c r="K445" s="23">
        <f t="shared" si="319"/>
        <v>375</v>
      </c>
      <c r="L445" s="23">
        <f t="shared" si="319"/>
        <v>585</v>
      </c>
      <c r="M445" s="23" t="str">
        <f t="shared" si="319"/>
        <v>1000</v>
      </c>
      <c r="N445" s="23">
        <f t="shared" si="319"/>
        <v>3300</v>
      </c>
      <c r="O445" s="23">
        <f t="shared" si="319"/>
        <v>0</v>
      </c>
      <c r="P445" s="23">
        <f t="shared" si="319"/>
        <v>0</v>
      </c>
      <c r="Q445" s="23">
        <f t="shared" si="319"/>
        <v>2</v>
      </c>
      <c r="R445" s="21"/>
    </row>
    <row r="446" spans="1:18" ht="14.25" customHeight="1" x14ac:dyDescent="0.15">
      <c r="A446" s="19">
        <v>3</v>
      </c>
      <c r="B446" s="19">
        <f>0.9*3</f>
        <v>2.7</v>
      </c>
      <c r="C446" s="19">
        <f>0.6+0.3</f>
        <v>0.89999999999999991</v>
      </c>
      <c r="D446" s="19">
        <f>B446*C446</f>
        <v>2.4299999999999997</v>
      </c>
      <c r="E446" s="19"/>
      <c r="F446" s="19"/>
      <c r="G446" s="19"/>
      <c r="H446" s="19"/>
      <c r="I446" s="19">
        <f>B446*0.4</f>
        <v>1.08</v>
      </c>
      <c r="J446" s="19">
        <v>2</v>
      </c>
      <c r="K446" s="19">
        <f t="shared" ref="K446:L446" si="320">A446</f>
        <v>3</v>
      </c>
      <c r="L446" s="19">
        <f t="shared" si="320"/>
        <v>2.7</v>
      </c>
      <c r="M446" s="19">
        <f>A446</f>
        <v>3</v>
      </c>
      <c r="N446" s="19">
        <f>(1.2*0.4)*2</f>
        <v>0.96</v>
      </c>
      <c r="O446" s="19"/>
      <c r="P446" s="19"/>
      <c r="Q446" s="19"/>
      <c r="R446" s="19"/>
    </row>
    <row r="447" spans="1:18" ht="14.25" customHeight="1" x14ac:dyDescent="0.2">
      <c r="A447" s="19"/>
      <c r="B447" s="19"/>
      <c r="C447" s="19"/>
      <c r="D447" s="26" t="str">
        <f>D328</f>
        <v>9500</v>
      </c>
      <c r="E447" s="45">
        <v>0</v>
      </c>
      <c r="F447" s="45">
        <v>0</v>
      </c>
      <c r="G447" s="45">
        <v>2</v>
      </c>
      <c r="H447" s="19">
        <f>B446*2</f>
        <v>5.4</v>
      </c>
      <c r="I447" s="19"/>
      <c r="J447" s="19"/>
      <c r="K447" s="19"/>
      <c r="L447" s="19"/>
      <c r="M447" s="19"/>
      <c r="N447" s="28"/>
      <c r="O447" s="19"/>
      <c r="P447" s="19"/>
      <c r="Q447" s="19"/>
      <c r="R447" s="19"/>
    </row>
    <row r="448" spans="1:18" ht="14.25" customHeight="1" x14ac:dyDescent="0.2">
      <c r="A448" s="19"/>
      <c r="B448" s="19"/>
      <c r="C448" s="19"/>
      <c r="D448" s="19">
        <f>D446*D447</f>
        <v>23084.999999999996</v>
      </c>
      <c r="E448" s="45">
        <f>E447*E445</f>
        <v>0</v>
      </c>
      <c r="F448" s="45">
        <f t="shared" ref="F448:H448" si="321">F445*F447</f>
        <v>0</v>
      </c>
      <c r="G448" s="45">
        <f t="shared" si="321"/>
        <v>7600</v>
      </c>
      <c r="H448" s="19">
        <f t="shared" si="321"/>
        <v>2052</v>
      </c>
      <c r="I448" s="19">
        <f t="shared" ref="I448:N448" si="322">I445*I446</f>
        <v>5184</v>
      </c>
      <c r="J448" s="19">
        <f t="shared" si="322"/>
        <v>2000</v>
      </c>
      <c r="K448" s="19">
        <f t="shared" si="322"/>
        <v>1125</v>
      </c>
      <c r="L448" s="19">
        <f t="shared" si="322"/>
        <v>1579.5</v>
      </c>
      <c r="M448" s="19">
        <f t="shared" si="322"/>
        <v>3000</v>
      </c>
      <c r="N448" s="19">
        <f t="shared" si="322"/>
        <v>3168</v>
      </c>
      <c r="O448" s="19">
        <f>SUM(D448:N448)</f>
        <v>48793.5</v>
      </c>
      <c r="P448" s="19">
        <f>O448/A446</f>
        <v>16264.5</v>
      </c>
      <c r="Q448" s="19">
        <f>P448*Q445</f>
        <v>32529</v>
      </c>
      <c r="R448" s="19">
        <f>MROUND(Q448,100)</f>
        <v>32500</v>
      </c>
    </row>
    <row r="449" spans="1:18" ht="14.25" customHeight="1" x14ac:dyDescent="0.1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</row>
    <row r="450" spans="1:18" ht="14.25" customHeight="1" x14ac:dyDescent="0.3">
      <c r="A450" s="109" t="str">
        <f>PRICELIST!I279</f>
        <v>WSTK-LNR-NSH-LVM-900-F</v>
      </c>
      <c r="B450" s="87"/>
      <c r="C450" s="87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7"/>
    </row>
    <row r="451" spans="1:18" ht="14.25" customHeight="1" x14ac:dyDescent="0.15">
      <c r="A451" s="19" t="s">
        <v>57</v>
      </c>
      <c r="B451" s="19" t="s">
        <v>59</v>
      </c>
      <c r="C451" s="19" t="s">
        <v>62</v>
      </c>
      <c r="D451" s="19" t="s">
        <v>64</v>
      </c>
      <c r="E451" s="19">
        <v>1200</v>
      </c>
      <c r="F451" s="19">
        <v>900</v>
      </c>
      <c r="G451" s="19">
        <v>600</v>
      </c>
      <c r="H451" s="19" t="s">
        <v>67</v>
      </c>
      <c r="I451" s="19" t="s">
        <v>68</v>
      </c>
      <c r="J451" s="19" t="s">
        <v>69</v>
      </c>
      <c r="K451" s="19" t="s">
        <v>71</v>
      </c>
      <c r="L451" s="19" t="s">
        <v>72</v>
      </c>
      <c r="M451" s="19" t="s">
        <v>73</v>
      </c>
      <c r="N451" s="19" t="s">
        <v>75</v>
      </c>
      <c r="O451" s="19" t="s">
        <v>76</v>
      </c>
      <c r="P451" s="19" t="s">
        <v>78</v>
      </c>
      <c r="Q451" s="19" t="s">
        <v>79</v>
      </c>
      <c r="R451" s="19" t="s">
        <v>81</v>
      </c>
    </row>
    <row r="452" spans="1:18" ht="14.25" customHeight="1" x14ac:dyDescent="0.15">
      <c r="A452" s="21">
        <f t="shared" ref="A452:B452" si="323">A445</f>
        <v>0</v>
      </c>
      <c r="B452" s="21">
        <f t="shared" si="323"/>
        <v>0</v>
      </c>
      <c r="C452" s="44" t="s">
        <v>188</v>
      </c>
      <c r="D452" s="21">
        <f t="shared" ref="D452:H452" si="324">D445</f>
        <v>0</v>
      </c>
      <c r="E452" s="23" t="str">
        <f t="shared" si="324"/>
        <v>4200</v>
      </c>
      <c r="F452" s="23" t="str">
        <f t="shared" si="324"/>
        <v>4000</v>
      </c>
      <c r="G452" s="23" t="str">
        <f t="shared" si="324"/>
        <v>3800</v>
      </c>
      <c r="H452" s="23">
        <f t="shared" si="324"/>
        <v>380</v>
      </c>
      <c r="I452" s="23" t="str">
        <f>I431</f>
        <v>5500</v>
      </c>
      <c r="J452" s="23" t="str">
        <f t="shared" ref="J452:Q452" si="325">J445</f>
        <v>1000</v>
      </c>
      <c r="K452" s="23">
        <f t="shared" si="325"/>
        <v>375</v>
      </c>
      <c r="L452" s="23">
        <f t="shared" si="325"/>
        <v>585</v>
      </c>
      <c r="M452" s="23" t="str">
        <f t="shared" si="325"/>
        <v>1000</v>
      </c>
      <c r="N452" s="23">
        <f t="shared" si="325"/>
        <v>3300</v>
      </c>
      <c r="O452" s="23">
        <f t="shared" si="325"/>
        <v>0</v>
      </c>
      <c r="P452" s="23">
        <f t="shared" si="325"/>
        <v>0</v>
      </c>
      <c r="Q452" s="23">
        <f t="shared" si="325"/>
        <v>2</v>
      </c>
      <c r="R452" s="21"/>
    </row>
    <row r="453" spans="1:18" ht="14.25" customHeight="1" x14ac:dyDescent="0.15">
      <c r="A453" s="19">
        <v>3</v>
      </c>
      <c r="B453" s="19">
        <f>0.9*3</f>
        <v>2.7</v>
      </c>
      <c r="C453" s="19">
        <f>0.6+0.3</f>
        <v>0.89999999999999991</v>
      </c>
      <c r="D453" s="19">
        <f>B453*C453</f>
        <v>2.4299999999999997</v>
      </c>
      <c r="E453" s="19"/>
      <c r="F453" s="19"/>
      <c r="G453" s="19"/>
      <c r="H453" s="19"/>
      <c r="I453" s="19">
        <f>B453*0.4</f>
        <v>1.08</v>
      </c>
      <c r="J453" s="19">
        <v>2</v>
      </c>
      <c r="K453" s="19">
        <f t="shared" ref="K453:L453" si="326">A453</f>
        <v>3</v>
      </c>
      <c r="L453" s="19">
        <f t="shared" si="326"/>
        <v>2.7</v>
      </c>
      <c r="M453" s="19">
        <f>A453</f>
        <v>3</v>
      </c>
      <c r="N453" s="19">
        <f>(1.2*0.4)*2</f>
        <v>0.96</v>
      </c>
      <c r="O453" s="19"/>
      <c r="P453" s="19"/>
      <c r="Q453" s="19"/>
      <c r="R453" s="19"/>
    </row>
    <row r="454" spans="1:18" ht="14.25" customHeight="1" x14ac:dyDescent="0.2">
      <c r="A454" s="19"/>
      <c r="B454" s="19"/>
      <c r="C454" s="19"/>
      <c r="D454" s="26" t="str">
        <f>D447</f>
        <v>9500</v>
      </c>
      <c r="E454" s="45">
        <v>0</v>
      </c>
      <c r="F454" s="45">
        <v>0</v>
      </c>
      <c r="G454" s="45">
        <v>2</v>
      </c>
      <c r="H454" s="19">
        <f>B453*2</f>
        <v>5.4</v>
      </c>
      <c r="I454" s="19"/>
      <c r="J454" s="19"/>
      <c r="K454" s="19"/>
      <c r="L454" s="19"/>
      <c r="M454" s="19"/>
      <c r="N454" s="28"/>
      <c r="O454" s="19"/>
      <c r="P454" s="19"/>
      <c r="Q454" s="19"/>
      <c r="R454" s="19"/>
    </row>
    <row r="455" spans="1:18" ht="14.25" customHeight="1" x14ac:dyDescent="0.2">
      <c r="A455" s="19"/>
      <c r="B455" s="19"/>
      <c r="C455" s="19"/>
      <c r="D455" s="19">
        <f>D453*D454</f>
        <v>23084.999999999996</v>
      </c>
      <c r="E455" s="45">
        <f>E454*E452</f>
        <v>0</v>
      </c>
      <c r="F455" s="45">
        <f t="shared" ref="F455:H455" si="327">F452*F454</f>
        <v>0</v>
      </c>
      <c r="G455" s="45">
        <f t="shared" si="327"/>
        <v>7600</v>
      </c>
      <c r="H455" s="19">
        <f t="shared" si="327"/>
        <v>2052</v>
      </c>
      <c r="I455" s="19">
        <f t="shared" ref="I455:N455" si="328">I452*I453</f>
        <v>5940</v>
      </c>
      <c r="J455" s="19">
        <f t="shared" si="328"/>
        <v>2000</v>
      </c>
      <c r="K455" s="19">
        <f t="shared" si="328"/>
        <v>1125</v>
      </c>
      <c r="L455" s="19">
        <f t="shared" si="328"/>
        <v>1579.5</v>
      </c>
      <c r="M455" s="19">
        <f t="shared" si="328"/>
        <v>3000</v>
      </c>
      <c r="N455" s="19">
        <f t="shared" si="328"/>
        <v>3168</v>
      </c>
      <c r="O455" s="19">
        <f>SUM(D455:N455)</f>
        <v>49549.5</v>
      </c>
      <c r="P455" s="19">
        <f>O455/A453</f>
        <v>16516.5</v>
      </c>
      <c r="Q455" s="19">
        <f>P455*Q452</f>
        <v>33033</v>
      </c>
      <c r="R455" s="19">
        <f>MROUND(Q455,100)</f>
        <v>33000</v>
      </c>
    </row>
    <row r="456" spans="1:18" ht="14.25" customHeight="1" x14ac:dyDescent="0.1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</row>
    <row r="457" spans="1:18" ht="14.25" customHeight="1" x14ac:dyDescent="0.3">
      <c r="A457" s="109" t="str">
        <f>PRICELIST!I280</f>
        <v>WSTK-LNR-NSH-LVM-900-G</v>
      </c>
      <c r="B457" s="87"/>
      <c r="C457" s="87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7"/>
    </row>
    <row r="458" spans="1:18" ht="14.25" customHeight="1" x14ac:dyDescent="0.15">
      <c r="A458" s="19" t="s">
        <v>57</v>
      </c>
      <c r="B458" s="19" t="s">
        <v>59</v>
      </c>
      <c r="C458" s="19" t="s">
        <v>62</v>
      </c>
      <c r="D458" s="19" t="s">
        <v>64</v>
      </c>
      <c r="E458" s="19">
        <v>1200</v>
      </c>
      <c r="F458" s="19">
        <v>900</v>
      </c>
      <c r="G458" s="19">
        <v>600</v>
      </c>
      <c r="H458" s="19" t="s">
        <v>67</v>
      </c>
      <c r="I458" s="19" t="s">
        <v>68</v>
      </c>
      <c r="J458" s="19" t="s">
        <v>69</v>
      </c>
      <c r="K458" s="19" t="s">
        <v>71</v>
      </c>
      <c r="L458" s="19" t="s">
        <v>72</v>
      </c>
      <c r="M458" s="19" t="s">
        <v>73</v>
      </c>
      <c r="N458" s="19" t="s">
        <v>75</v>
      </c>
      <c r="O458" s="19" t="s">
        <v>76</v>
      </c>
      <c r="P458" s="19" t="s">
        <v>78</v>
      </c>
      <c r="Q458" s="19" t="s">
        <v>79</v>
      </c>
      <c r="R458" s="19" t="s">
        <v>81</v>
      </c>
    </row>
    <row r="459" spans="1:18" ht="14.25" customHeight="1" x14ac:dyDescent="0.15">
      <c r="A459" s="21">
        <f t="shared" ref="A459:B459" si="329">A452</f>
        <v>0</v>
      </c>
      <c r="B459" s="21">
        <f t="shared" si="329"/>
        <v>0</v>
      </c>
      <c r="C459" s="44" t="s">
        <v>188</v>
      </c>
      <c r="D459" s="21">
        <f t="shared" ref="D459:H459" si="330">D452</f>
        <v>0</v>
      </c>
      <c r="E459" s="23" t="str">
        <f t="shared" si="330"/>
        <v>4200</v>
      </c>
      <c r="F459" s="23" t="str">
        <f t="shared" si="330"/>
        <v>4000</v>
      </c>
      <c r="G459" s="23" t="str">
        <f t="shared" si="330"/>
        <v>3800</v>
      </c>
      <c r="H459" s="23">
        <f t="shared" si="330"/>
        <v>380</v>
      </c>
      <c r="I459" s="23" t="str">
        <f>I438</f>
        <v>0</v>
      </c>
      <c r="J459" s="23" t="str">
        <f t="shared" ref="J459:Q459" si="331">J452</f>
        <v>1000</v>
      </c>
      <c r="K459" s="23">
        <f t="shared" si="331"/>
        <v>375</v>
      </c>
      <c r="L459" s="23">
        <f t="shared" si="331"/>
        <v>585</v>
      </c>
      <c r="M459" s="23" t="str">
        <f t="shared" si="331"/>
        <v>1000</v>
      </c>
      <c r="N459" s="23">
        <f t="shared" si="331"/>
        <v>3300</v>
      </c>
      <c r="O459" s="23">
        <f t="shared" si="331"/>
        <v>0</v>
      </c>
      <c r="P459" s="23">
        <f t="shared" si="331"/>
        <v>0</v>
      </c>
      <c r="Q459" s="23">
        <f t="shared" si="331"/>
        <v>2</v>
      </c>
      <c r="R459" s="21"/>
    </row>
    <row r="460" spans="1:18" ht="14.25" customHeight="1" x14ac:dyDescent="0.15">
      <c r="A460" s="19">
        <v>3</v>
      </c>
      <c r="B460" s="19">
        <f>0.9*3</f>
        <v>2.7</v>
      </c>
      <c r="C460" s="19">
        <f>0.6+0.3</f>
        <v>0.89999999999999991</v>
      </c>
      <c r="D460" s="19">
        <f>B460*C460</f>
        <v>2.4299999999999997</v>
      </c>
      <c r="E460" s="19"/>
      <c r="F460" s="19"/>
      <c r="G460" s="19"/>
      <c r="H460" s="19"/>
      <c r="I460" s="19">
        <f>B460*0.4</f>
        <v>1.08</v>
      </c>
      <c r="J460" s="19">
        <v>2</v>
      </c>
      <c r="K460" s="19">
        <f t="shared" ref="K460:L460" si="332">A460</f>
        <v>3</v>
      </c>
      <c r="L460" s="19">
        <f t="shared" si="332"/>
        <v>2.7</v>
      </c>
      <c r="M460" s="19">
        <f>A460</f>
        <v>3</v>
      </c>
      <c r="N460" s="19">
        <f>(1.2*0.4)*2</f>
        <v>0.96</v>
      </c>
      <c r="O460" s="19"/>
      <c r="P460" s="19"/>
      <c r="Q460" s="19"/>
      <c r="R460" s="19"/>
    </row>
    <row r="461" spans="1:18" ht="14.25" customHeight="1" x14ac:dyDescent="0.2">
      <c r="A461" s="19"/>
      <c r="B461" s="19"/>
      <c r="C461" s="19"/>
      <c r="D461" s="26" t="str">
        <f>D454</f>
        <v>9500</v>
      </c>
      <c r="E461" s="45">
        <v>0</v>
      </c>
      <c r="F461" s="45">
        <v>0</v>
      </c>
      <c r="G461" s="45">
        <v>2</v>
      </c>
      <c r="H461" s="19">
        <f>B460*2</f>
        <v>5.4</v>
      </c>
      <c r="I461" s="19"/>
      <c r="J461" s="19"/>
      <c r="K461" s="19"/>
      <c r="L461" s="19"/>
      <c r="M461" s="19"/>
      <c r="N461" s="28"/>
      <c r="O461" s="19"/>
      <c r="P461" s="19"/>
      <c r="Q461" s="19"/>
      <c r="R461" s="19"/>
    </row>
    <row r="462" spans="1:18" ht="14.25" customHeight="1" x14ac:dyDescent="0.2">
      <c r="A462" s="19"/>
      <c r="B462" s="19"/>
      <c r="C462" s="19"/>
      <c r="D462" s="19">
        <f>D460*D461</f>
        <v>23084.999999999996</v>
      </c>
      <c r="E462" s="45">
        <f>E461*E459</f>
        <v>0</v>
      </c>
      <c r="F462" s="45">
        <f t="shared" ref="F462:H462" si="333">F459*F461</f>
        <v>0</v>
      </c>
      <c r="G462" s="45">
        <f t="shared" si="333"/>
        <v>7600</v>
      </c>
      <c r="H462" s="19">
        <f t="shared" si="333"/>
        <v>2052</v>
      </c>
      <c r="I462" s="19">
        <f t="shared" ref="I462:N462" si="334">I459*I460</f>
        <v>0</v>
      </c>
      <c r="J462" s="19">
        <f t="shared" si="334"/>
        <v>2000</v>
      </c>
      <c r="K462" s="19">
        <f t="shared" si="334"/>
        <v>1125</v>
      </c>
      <c r="L462" s="19">
        <f t="shared" si="334"/>
        <v>1579.5</v>
      </c>
      <c r="M462" s="19">
        <f t="shared" si="334"/>
        <v>3000</v>
      </c>
      <c r="N462" s="19">
        <f t="shared" si="334"/>
        <v>3168</v>
      </c>
      <c r="O462" s="19">
        <f>SUM(D462:N462)</f>
        <v>43609.5</v>
      </c>
      <c r="P462" s="19">
        <f>O462/A460</f>
        <v>14536.5</v>
      </c>
      <c r="Q462" s="19">
        <f>P462*Q459</f>
        <v>29073</v>
      </c>
      <c r="R462" s="19">
        <f>MROUND(Q462,100)</f>
        <v>29100</v>
      </c>
    </row>
    <row r="463" spans="1:18" ht="14.25" customHeight="1" x14ac:dyDescent="0.1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</row>
    <row r="464" spans="1:18" ht="14.25" customHeight="1" x14ac:dyDescent="0.3">
      <c r="A464" s="109" t="str">
        <f>PRICELIST!I281</f>
        <v>WSTK-LNR-NSH-LVM-900-X</v>
      </c>
      <c r="B464" s="87"/>
      <c r="C464" s="87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7"/>
    </row>
    <row r="465" spans="1:18" ht="14.25" customHeight="1" x14ac:dyDescent="0.15">
      <c r="A465" s="19" t="s">
        <v>57</v>
      </c>
      <c r="B465" s="19" t="s">
        <v>59</v>
      </c>
      <c r="C465" s="19" t="s">
        <v>62</v>
      </c>
      <c r="D465" s="19" t="s">
        <v>64</v>
      </c>
      <c r="E465" s="19">
        <v>1200</v>
      </c>
      <c r="F465" s="19">
        <v>900</v>
      </c>
      <c r="G465" s="19">
        <v>600</v>
      </c>
      <c r="H465" s="19" t="s">
        <v>67</v>
      </c>
      <c r="I465" s="19" t="s">
        <v>68</v>
      </c>
      <c r="J465" s="19" t="s">
        <v>69</v>
      </c>
      <c r="K465" s="19" t="s">
        <v>71</v>
      </c>
      <c r="L465" s="19" t="s">
        <v>72</v>
      </c>
      <c r="M465" s="19" t="s">
        <v>73</v>
      </c>
      <c r="N465" s="19" t="s">
        <v>75</v>
      </c>
      <c r="O465" s="19" t="s">
        <v>76</v>
      </c>
      <c r="P465" s="19" t="s">
        <v>78</v>
      </c>
      <c r="Q465" s="19" t="s">
        <v>79</v>
      </c>
      <c r="R465" s="19" t="s">
        <v>81</v>
      </c>
    </row>
    <row r="466" spans="1:18" ht="14.25" customHeight="1" x14ac:dyDescent="0.15">
      <c r="A466" s="21">
        <f t="shared" ref="A466:B466" si="335">A459</f>
        <v>0</v>
      </c>
      <c r="B466" s="21">
        <f t="shared" si="335"/>
        <v>0</v>
      </c>
      <c r="C466" s="44" t="s">
        <v>188</v>
      </c>
      <c r="D466" s="21">
        <f t="shared" ref="D466:H466" si="336">D459</f>
        <v>0</v>
      </c>
      <c r="E466" s="23" t="str">
        <f t="shared" si="336"/>
        <v>4200</v>
      </c>
      <c r="F466" s="23" t="str">
        <f t="shared" si="336"/>
        <v>4000</v>
      </c>
      <c r="G466" s="23" t="str">
        <f t="shared" si="336"/>
        <v>3800</v>
      </c>
      <c r="H466" s="23">
        <f t="shared" si="336"/>
        <v>380</v>
      </c>
      <c r="I466" s="23" t="str">
        <f>I445</f>
        <v>4800</v>
      </c>
      <c r="J466" s="23" t="str">
        <f t="shared" ref="J466:Q466" si="337">J459</f>
        <v>1000</v>
      </c>
      <c r="K466" s="23">
        <f t="shared" si="337"/>
        <v>375</v>
      </c>
      <c r="L466" s="23">
        <f t="shared" si="337"/>
        <v>585</v>
      </c>
      <c r="M466" s="23" t="str">
        <f t="shared" si="337"/>
        <v>1000</v>
      </c>
      <c r="N466" s="23">
        <f t="shared" si="337"/>
        <v>3300</v>
      </c>
      <c r="O466" s="23">
        <f t="shared" si="337"/>
        <v>0</v>
      </c>
      <c r="P466" s="23">
        <f t="shared" si="337"/>
        <v>0</v>
      </c>
      <c r="Q466" s="23">
        <f t="shared" si="337"/>
        <v>2</v>
      </c>
      <c r="R466" s="21"/>
    </row>
    <row r="467" spans="1:18" ht="14.25" customHeight="1" x14ac:dyDescent="0.15">
      <c r="A467" s="19">
        <v>3</v>
      </c>
      <c r="B467" s="19">
        <f>0.9*3</f>
        <v>2.7</v>
      </c>
      <c r="C467" s="19">
        <f>0.6+0.3</f>
        <v>0.89999999999999991</v>
      </c>
      <c r="D467" s="19">
        <f>B467*C467</f>
        <v>2.4299999999999997</v>
      </c>
      <c r="E467" s="19"/>
      <c r="F467" s="19"/>
      <c r="G467" s="19"/>
      <c r="H467" s="19"/>
      <c r="I467" s="19">
        <f>B467*0.4</f>
        <v>1.08</v>
      </c>
      <c r="J467" s="19">
        <v>2</v>
      </c>
      <c r="K467" s="19">
        <f t="shared" ref="K467:L467" si="338">A467</f>
        <v>3</v>
      </c>
      <c r="L467" s="19">
        <f t="shared" si="338"/>
        <v>2.7</v>
      </c>
      <c r="M467" s="19">
        <f>A467</f>
        <v>3</v>
      </c>
      <c r="N467" s="19">
        <f>(1.2*0.4)*2</f>
        <v>0.96</v>
      </c>
      <c r="O467" s="19"/>
      <c r="P467" s="19"/>
      <c r="Q467" s="19"/>
      <c r="R467" s="19"/>
    </row>
    <row r="468" spans="1:18" ht="14.25" customHeight="1" x14ac:dyDescent="0.2">
      <c r="A468" s="19"/>
      <c r="B468" s="19"/>
      <c r="C468" s="19"/>
      <c r="D468" s="26" t="str">
        <f>D342</f>
        <v>10500</v>
      </c>
      <c r="E468" s="45">
        <v>0</v>
      </c>
      <c r="F468" s="45">
        <v>0</v>
      </c>
      <c r="G468" s="45">
        <v>2</v>
      </c>
      <c r="H468" s="19">
        <f>B467*2</f>
        <v>5.4</v>
      </c>
      <c r="I468" s="19"/>
      <c r="J468" s="19"/>
      <c r="K468" s="19"/>
      <c r="L468" s="19"/>
      <c r="M468" s="19"/>
      <c r="N468" s="28"/>
      <c r="O468" s="19"/>
      <c r="P468" s="19"/>
      <c r="Q468" s="19"/>
      <c r="R468" s="19"/>
    </row>
    <row r="469" spans="1:18" ht="14.25" customHeight="1" x14ac:dyDescent="0.2">
      <c r="A469" s="19"/>
      <c r="B469" s="19"/>
      <c r="C469" s="19"/>
      <c r="D469" s="19">
        <f>D467*D468</f>
        <v>25514.999999999996</v>
      </c>
      <c r="E469" s="45">
        <f>E468*E466</f>
        <v>0</v>
      </c>
      <c r="F469" s="45">
        <f t="shared" ref="F469:H469" si="339">F466*F468</f>
        <v>0</v>
      </c>
      <c r="G469" s="45">
        <f t="shared" si="339"/>
        <v>7600</v>
      </c>
      <c r="H469" s="19">
        <f t="shared" si="339"/>
        <v>2052</v>
      </c>
      <c r="I469" s="19">
        <f t="shared" ref="I469:N469" si="340">I466*I467</f>
        <v>5184</v>
      </c>
      <c r="J469" s="19">
        <f t="shared" si="340"/>
        <v>2000</v>
      </c>
      <c r="K469" s="19">
        <f t="shared" si="340"/>
        <v>1125</v>
      </c>
      <c r="L469" s="19">
        <f t="shared" si="340"/>
        <v>1579.5</v>
      </c>
      <c r="M469" s="19">
        <f t="shared" si="340"/>
        <v>3000</v>
      </c>
      <c r="N469" s="19">
        <f t="shared" si="340"/>
        <v>3168</v>
      </c>
      <c r="O469" s="19">
        <f>SUM(D469:N469)</f>
        <v>51223.5</v>
      </c>
      <c r="P469" s="19">
        <f>O469/A467</f>
        <v>17074.5</v>
      </c>
      <c r="Q469" s="19">
        <f>P469*Q466</f>
        <v>34149</v>
      </c>
      <c r="R469" s="19">
        <f>MROUND(Q469,100)</f>
        <v>34100</v>
      </c>
    </row>
    <row r="470" spans="1:18" ht="14.25" customHeight="1" x14ac:dyDescent="0.1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</row>
    <row r="471" spans="1:18" ht="14.25" customHeight="1" x14ac:dyDescent="0.3">
      <c r="A471" s="109" t="str">
        <f>PRICELIST!I282</f>
        <v>WSTK-LNR-NSH-LVP-900-F</v>
      </c>
      <c r="B471" s="87"/>
      <c r="C471" s="87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7"/>
    </row>
    <row r="472" spans="1:18" ht="14.25" customHeight="1" x14ac:dyDescent="0.15">
      <c r="A472" s="19" t="s">
        <v>57</v>
      </c>
      <c r="B472" s="19" t="s">
        <v>59</v>
      </c>
      <c r="C472" s="19" t="s">
        <v>62</v>
      </c>
      <c r="D472" s="19" t="s">
        <v>64</v>
      </c>
      <c r="E472" s="19">
        <v>1200</v>
      </c>
      <c r="F472" s="19">
        <v>900</v>
      </c>
      <c r="G472" s="19">
        <v>600</v>
      </c>
      <c r="H472" s="19" t="s">
        <v>67</v>
      </c>
      <c r="I472" s="19" t="s">
        <v>68</v>
      </c>
      <c r="J472" s="19" t="s">
        <v>69</v>
      </c>
      <c r="K472" s="19" t="s">
        <v>71</v>
      </c>
      <c r="L472" s="19" t="s">
        <v>72</v>
      </c>
      <c r="M472" s="19" t="s">
        <v>73</v>
      </c>
      <c r="N472" s="19" t="s">
        <v>75</v>
      </c>
      <c r="O472" s="19" t="s">
        <v>76</v>
      </c>
      <c r="P472" s="19" t="s">
        <v>78</v>
      </c>
      <c r="Q472" s="19" t="s">
        <v>79</v>
      </c>
      <c r="R472" s="19" t="s">
        <v>81</v>
      </c>
    </row>
    <row r="473" spans="1:18" ht="14.25" customHeight="1" x14ac:dyDescent="0.15">
      <c r="A473" s="21">
        <f t="shared" ref="A473:B473" si="341">A466</f>
        <v>0</v>
      </c>
      <c r="B473" s="21">
        <f t="shared" si="341"/>
        <v>0</v>
      </c>
      <c r="C473" s="44" t="s">
        <v>188</v>
      </c>
      <c r="D473" s="21">
        <f t="shared" ref="D473:H473" si="342">D466</f>
        <v>0</v>
      </c>
      <c r="E473" s="23" t="str">
        <f t="shared" si="342"/>
        <v>4200</v>
      </c>
      <c r="F473" s="23" t="str">
        <f t="shared" si="342"/>
        <v>4000</v>
      </c>
      <c r="G473" s="23" t="str">
        <f t="shared" si="342"/>
        <v>3800</v>
      </c>
      <c r="H473" s="23">
        <f t="shared" si="342"/>
        <v>380</v>
      </c>
      <c r="I473" s="23" t="str">
        <f>I452</f>
        <v>5500</v>
      </c>
      <c r="J473" s="23" t="str">
        <f t="shared" ref="J473:Q473" si="343">J466</f>
        <v>1000</v>
      </c>
      <c r="K473" s="23">
        <f t="shared" si="343"/>
        <v>375</v>
      </c>
      <c r="L473" s="23">
        <f t="shared" si="343"/>
        <v>585</v>
      </c>
      <c r="M473" s="23" t="str">
        <f t="shared" si="343"/>
        <v>1000</v>
      </c>
      <c r="N473" s="23">
        <f t="shared" si="343"/>
        <v>3300</v>
      </c>
      <c r="O473" s="23">
        <f t="shared" si="343"/>
        <v>0</v>
      </c>
      <c r="P473" s="23">
        <f t="shared" si="343"/>
        <v>0</v>
      </c>
      <c r="Q473" s="23">
        <f t="shared" si="343"/>
        <v>2</v>
      </c>
      <c r="R473" s="21"/>
    </row>
    <row r="474" spans="1:18" ht="14.25" customHeight="1" x14ac:dyDescent="0.15">
      <c r="A474" s="19">
        <v>3</v>
      </c>
      <c r="B474" s="19">
        <f>0.9*3</f>
        <v>2.7</v>
      </c>
      <c r="C474" s="19">
        <f>0.6+0.3</f>
        <v>0.89999999999999991</v>
      </c>
      <c r="D474" s="19">
        <f>B474*C474</f>
        <v>2.4299999999999997</v>
      </c>
      <c r="E474" s="19"/>
      <c r="F474" s="19"/>
      <c r="G474" s="19"/>
      <c r="H474" s="19"/>
      <c r="I474" s="19">
        <f>B474*0.4</f>
        <v>1.08</v>
      </c>
      <c r="J474" s="19">
        <v>2</v>
      </c>
      <c r="K474" s="19">
        <f t="shared" ref="K474:L474" si="344">A474</f>
        <v>3</v>
      </c>
      <c r="L474" s="19">
        <f t="shared" si="344"/>
        <v>2.7</v>
      </c>
      <c r="M474" s="19">
        <f>A474</f>
        <v>3</v>
      </c>
      <c r="N474" s="19">
        <f>(1.2*0.4)*2</f>
        <v>0.96</v>
      </c>
      <c r="O474" s="19"/>
      <c r="P474" s="19"/>
      <c r="Q474" s="19"/>
      <c r="R474" s="19"/>
    </row>
    <row r="475" spans="1:18" ht="14.25" customHeight="1" x14ac:dyDescent="0.2">
      <c r="A475" s="19"/>
      <c r="B475" s="19"/>
      <c r="C475" s="19"/>
      <c r="D475" s="26" t="str">
        <f>D468</f>
        <v>10500</v>
      </c>
      <c r="E475" s="45">
        <v>0</v>
      </c>
      <c r="F475" s="45">
        <v>0</v>
      </c>
      <c r="G475" s="45">
        <v>2</v>
      </c>
      <c r="H475" s="19">
        <f>B474*2</f>
        <v>5.4</v>
      </c>
      <c r="I475" s="19"/>
      <c r="J475" s="19"/>
      <c r="K475" s="19"/>
      <c r="L475" s="19"/>
      <c r="M475" s="19"/>
      <c r="N475" s="28"/>
      <c r="O475" s="19"/>
      <c r="P475" s="19"/>
      <c r="Q475" s="19"/>
      <c r="R475" s="19"/>
    </row>
    <row r="476" spans="1:18" ht="14.25" customHeight="1" x14ac:dyDescent="0.2">
      <c r="A476" s="19"/>
      <c r="B476" s="19"/>
      <c r="C476" s="19"/>
      <c r="D476" s="19">
        <f>D474*D475</f>
        <v>25514.999999999996</v>
      </c>
      <c r="E476" s="45">
        <f>E475*E473</f>
        <v>0</v>
      </c>
      <c r="F476" s="45">
        <f t="shared" ref="F476:H476" si="345">F473*F475</f>
        <v>0</v>
      </c>
      <c r="G476" s="45">
        <f t="shared" si="345"/>
        <v>7600</v>
      </c>
      <c r="H476" s="19">
        <f t="shared" si="345"/>
        <v>2052</v>
      </c>
      <c r="I476" s="19">
        <f t="shared" ref="I476:N476" si="346">I473*I474</f>
        <v>5940</v>
      </c>
      <c r="J476" s="19">
        <f t="shared" si="346"/>
        <v>2000</v>
      </c>
      <c r="K476" s="19">
        <f t="shared" si="346"/>
        <v>1125</v>
      </c>
      <c r="L476" s="19">
        <f t="shared" si="346"/>
        <v>1579.5</v>
      </c>
      <c r="M476" s="19">
        <f t="shared" si="346"/>
        <v>3000</v>
      </c>
      <c r="N476" s="19">
        <f t="shared" si="346"/>
        <v>3168</v>
      </c>
      <c r="O476" s="19">
        <f>SUM(D476:N476)</f>
        <v>51979.5</v>
      </c>
      <c r="P476" s="19">
        <f>O476/A474</f>
        <v>17326.5</v>
      </c>
      <c r="Q476" s="19">
        <f>P476*Q473</f>
        <v>34653</v>
      </c>
      <c r="R476" s="19">
        <f>MROUND(Q476,100)</f>
        <v>34700</v>
      </c>
    </row>
    <row r="477" spans="1:18" ht="14.25" customHeight="1" x14ac:dyDescent="0.1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</row>
    <row r="478" spans="1:18" ht="14.25" customHeight="1" x14ac:dyDescent="0.3">
      <c r="A478" s="109" t="str">
        <f>PRICELIST!I283</f>
        <v>WSTK-LNR-NSH-LVP-900-G</v>
      </c>
      <c r="B478" s="87"/>
      <c r="C478" s="87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7"/>
    </row>
    <row r="479" spans="1:18" ht="14.25" customHeight="1" x14ac:dyDescent="0.15">
      <c r="A479" s="19" t="s">
        <v>57</v>
      </c>
      <c r="B479" s="19" t="s">
        <v>59</v>
      </c>
      <c r="C479" s="19" t="s">
        <v>62</v>
      </c>
      <c r="D479" s="19" t="s">
        <v>64</v>
      </c>
      <c r="E479" s="19">
        <v>1200</v>
      </c>
      <c r="F479" s="19">
        <v>900</v>
      </c>
      <c r="G479" s="19">
        <v>600</v>
      </c>
      <c r="H479" s="19" t="s">
        <v>67</v>
      </c>
      <c r="I479" s="19" t="s">
        <v>68</v>
      </c>
      <c r="J479" s="19" t="s">
        <v>69</v>
      </c>
      <c r="K479" s="19" t="s">
        <v>71</v>
      </c>
      <c r="L479" s="19" t="s">
        <v>72</v>
      </c>
      <c r="M479" s="19" t="s">
        <v>73</v>
      </c>
      <c r="N479" s="19" t="s">
        <v>75</v>
      </c>
      <c r="O479" s="19" t="s">
        <v>76</v>
      </c>
      <c r="P479" s="19" t="s">
        <v>78</v>
      </c>
      <c r="Q479" s="19" t="s">
        <v>79</v>
      </c>
      <c r="R479" s="19" t="s">
        <v>81</v>
      </c>
    </row>
    <row r="480" spans="1:18" ht="14.25" customHeight="1" x14ac:dyDescent="0.15">
      <c r="A480" s="21">
        <f t="shared" ref="A480:B480" si="347">A473</f>
        <v>0</v>
      </c>
      <c r="B480" s="21">
        <f t="shared" si="347"/>
        <v>0</v>
      </c>
      <c r="C480" s="44" t="s">
        <v>188</v>
      </c>
      <c r="D480" s="21">
        <f t="shared" ref="D480:H480" si="348">D473</f>
        <v>0</v>
      </c>
      <c r="E480" s="23" t="str">
        <f t="shared" si="348"/>
        <v>4200</v>
      </c>
      <c r="F480" s="23" t="str">
        <f t="shared" si="348"/>
        <v>4000</v>
      </c>
      <c r="G480" s="23" t="str">
        <f t="shared" si="348"/>
        <v>3800</v>
      </c>
      <c r="H480" s="23">
        <f t="shared" si="348"/>
        <v>380</v>
      </c>
      <c r="I480" s="23" t="str">
        <f>I459</f>
        <v>0</v>
      </c>
      <c r="J480" s="23" t="str">
        <f t="shared" ref="J480:Q480" si="349">J473</f>
        <v>1000</v>
      </c>
      <c r="K480" s="23">
        <f t="shared" si="349"/>
        <v>375</v>
      </c>
      <c r="L480" s="23">
        <f t="shared" si="349"/>
        <v>585</v>
      </c>
      <c r="M480" s="23" t="str">
        <f t="shared" si="349"/>
        <v>1000</v>
      </c>
      <c r="N480" s="23">
        <f t="shared" si="349"/>
        <v>3300</v>
      </c>
      <c r="O480" s="23">
        <f t="shared" si="349"/>
        <v>0</v>
      </c>
      <c r="P480" s="23">
        <f t="shared" si="349"/>
        <v>0</v>
      </c>
      <c r="Q480" s="23">
        <f t="shared" si="349"/>
        <v>2</v>
      </c>
      <c r="R480" s="21"/>
    </row>
    <row r="481" spans="1:18" ht="14.25" customHeight="1" x14ac:dyDescent="0.15">
      <c r="A481" s="19">
        <v>3</v>
      </c>
      <c r="B481" s="19">
        <f>0.9*3</f>
        <v>2.7</v>
      </c>
      <c r="C481" s="19">
        <f>0.6+0.3</f>
        <v>0.89999999999999991</v>
      </c>
      <c r="D481" s="19">
        <f>B481*C481</f>
        <v>2.4299999999999997</v>
      </c>
      <c r="E481" s="19"/>
      <c r="F481" s="19"/>
      <c r="G481" s="19"/>
      <c r="H481" s="19"/>
      <c r="I481" s="19">
        <f>B481*0.4</f>
        <v>1.08</v>
      </c>
      <c r="J481" s="19">
        <v>2</v>
      </c>
      <c r="K481" s="19">
        <f t="shared" ref="K481:L481" si="350">A481</f>
        <v>3</v>
      </c>
      <c r="L481" s="19">
        <f t="shared" si="350"/>
        <v>2.7</v>
      </c>
      <c r="M481" s="19">
        <f>A481</f>
        <v>3</v>
      </c>
      <c r="N481" s="19">
        <f>(1.2*0.4)*2</f>
        <v>0.96</v>
      </c>
      <c r="O481" s="19"/>
      <c r="P481" s="19"/>
      <c r="Q481" s="19"/>
      <c r="R481" s="19"/>
    </row>
    <row r="482" spans="1:18" ht="14.25" customHeight="1" x14ac:dyDescent="0.2">
      <c r="A482" s="19"/>
      <c r="B482" s="19"/>
      <c r="C482" s="19"/>
      <c r="D482" s="26" t="str">
        <f>D475</f>
        <v>10500</v>
      </c>
      <c r="E482" s="45">
        <v>0</v>
      </c>
      <c r="F482" s="45">
        <v>0</v>
      </c>
      <c r="G482" s="45">
        <v>2</v>
      </c>
      <c r="H482" s="19">
        <f>B481*2</f>
        <v>5.4</v>
      </c>
      <c r="I482" s="19"/>
      <c r="J482" s="19"/>
      <c r="K482" s="19"/>
      <c r="L482" s="19"/>
      <c r="M482" s="19"/>
      <c r="N482" s="28"/>
      <c r="O482" s="19"/>
      <c r="P482" s="19"/>
      <c r="Q482" s="19"/>
      <c r="R482" s="19"/>
    </row>
    <row r="483" spans="1:18" ht="14.25" customHeight="1" x14ac:dyDescent="0.2">
      <c r="A483" s="19"/>
      <c r="B483" s="19"/>
      <c r="C483" s="19"/>
      <c r="D483" s="19">
        <f>D481*D482</f>
        <v>25514.999999999996</v>
      </c>
      <c r="E483" s="45">
        <f>E482*E480</f>
        <v>0</v>
      </c>
      <c r="F483" s="45">
        <f t="shared" ref="F483:H483" si="351">F480*F482</f>
        <v>0</v>
      </c>
      <c r="G483" s="45">
        <f t="shared" si="351"/>
        <v>7600</v>
      </c>
      <c r="H483" s="19">
        <f t="shared" si="351"/>
        <v>2052</v>
      </c>
      <c r="I483" s="19">
        <f t="shared" ref="I483:N483" si="352">I480*I481</f>
        <v>0</v>
      </c>
      <c r="J483" s="19">
        <f t="shared" si="352"/>
        <v>2000</v>
      </c>
      <c r="K483" s="19">
        <f t="shared" si="352"/>
        <v>1125</v>
      </c>
      <c r="L483" s="19">
        <f t="shared" si="352"/>
        <v>1579.5</v>
      </c>
      <c r="M483" s="19">
        <f t="shared" si="352"/>
        <v>3000</v>
      </c>
      <c r="N483" s="19">
        <f t="shared" si="352"/>
        <v>3168</v>
      </c>
      <c r="O483" s="19">
        <f>SUM(D483:N483)</f>
        <v>46039.5</v>
      </c>
      <c r="P483" s="19">
        <f>O483/A481</f>
        <v>15346.5</v>
      </c>
      <c r="Q483" s="19">
        <f>P483*Q480</f>
        <v>30693</v>
      </c>
      <c r="R483" s="19">
        <f>MROUND(Q483,100)</f>
        <v>30700</v>
      </c>
    </row>
    <row r="484" spans="1:18" ht="14.25" customHeight="1" x14ac:dyDescent="0.1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</row>
    <row r="485" spans="1:18" ht="14.25" customHeight="1" x14ac:dyDescent="0.3">
      <c r="A485" s="109" t="str">
        <f>PRICELIST!I284</f>
        <v>WSTK-LNR-NSH-LVP-900-X</v>
      </c>
      <c r="B485" s="87"/>
      <c r="C485" s="87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7"/>
    </row>
    <row r="486" spans="1:18" ht="14.25" customHeight="1" x14ac:dyDescent="0.15">
      <c r="A486" s="19" t="s">
        <v>57</v>
      </c>
      <c r="B486" s="19" t="s">
        <v>59</v>
      </c>
      <c r="C486" s="19" t="s">
        <v>62</v>
      </c>
      <c r="D486" s="19" t="s">
        <v>64</v>
      </c>
      <c r="E486" s="19">
        <v>1200</v>
      </c>
      <c r="F486" s="19">
        <v>900</v>
      </c>
      <c r="G486" s="19">
        <v>600</v>
      </c>
      <c r="H486" s="19" t="s">
        <v>67</v>
      </c>
      <c r="I486" s="19" t="s">
        <v>68</v>
      </c>
      <c r="J486" s="19" t="s">
        <v>69</v>
      </c>
      <c r="K486" s="19" t="s">
        <v>71</v>
      </c>
      <c r="L486" s="19" t="s">
        <v>72</v>
      </c>
      <c r="M486" s="19" t="s">
        <v>73</v>
      </c>
      <c r="N486" s="19" t="s">
        <v>75</v>
      </c>
      <c r="O486" s="19" t="s">
        <v>76</v>
      </c>
      <c r="P486" s="19" t="s">
        <v>78</v>
      </c>
      <c r="Q486" s="19" t="s">
        <v>79</v>
      </c>
      <c r="R486" s="19" t="s">
        <v>81</v>
      </c>
    </row>
    <row r="487" spans="1:18" ht="14.25" customHeight="1" x14ac:dyDescent="0.15">
      <c r="A487" s="21">
        <f t="shared" ref="A487:B487" si="353">A480</f>
        <v>0</v>
      </c>
      <c r="B487" s="21">
        <f t="shared" si="353"/>
        <v>0</v>
      </c>
      <c r="C487" s="44" t="s">
        <v>188</v>
      </c>
      <c r="D487" s="21">
        <f t="shared" ref="D487:H487" si="354">D480</f>
        <v>0</v>
      </c>
      <c r="E487" s="23" t="str">
        <f t="shared" si="354"/>
        <v>4200</v>
      </c>
      <c r="F487" s="23" t="str">
        <f t="shared" si="354"/>
        <v>4000</v>
      </c>
      <c r="G487" s="23" t="str">
        <f t="shared" si="354"/>
        <v>3800</v>
      </c>
      <c r="H487" s="23">
        <f t="shared" si="354"/>
        <v>380</v>
      </c>
      <c r="I487" s="23" t="str">
        <f>I466</f>
        <v>4800</v>
      </c>
      <c r="J487" s="23" t="str">
        <f t="shared" ref="J487:Q487" si="355">J480</f>
        <v>1000</v>
      </c>
      <c r="K487" s="23">
        <f t="shared" si="355"/>
        <v>375</v>
      </c>
      <c r="L487" s="23">
        <f t="shared" si="355"/>
        <v>585</v>
      </c>
      <c r="M487" s="23" t="str">
        <f t="shared" si="355"/>
        <v>1000</v>
      </c>
      <c r="N487" s="23">
        <f t="shared" si="355"/>
        <v>3300</v>
      </c>
      <c r="O487" s="23">
        <f t="shared" si="355"/>
        <v>0</v>
      </c>
      <c r="P487" s="23">
        <f t="shared" si="355"/>
        <v>0</v>
      </c>
      <c r="Q487" s="23">
        <f t="shared" si="355"/>
        <v>2</v>
      </c>
      <c r="R487" s="21"/>
    </row>
    <row r="488" spans="1:18" ht="14.25" customHeight="1" x14ac:dyDescent="0.15">
      <c r="A488" s="19">
        <v>3</v>
      </c>
      <c r="B488" s="19">
        <f>0.9*3</f>
        <v>2.7</v>
      </c>
      <c r="C488" s="19">
        <f>0.6+0.3</f>
        <v>0.89999999999999991</v>
      </c>
      <c r="D488" s="19">
        <f>B488*C488</f>
        <v>2.4299999999999997</v>
      </c>
      <c r="E488" s="19"/>
      <c r="F488" s="19"/>
      <c r="G488" s="19"/>
      <c r="H488" s="19"/>
      <c r="I488" s="19">
        <f>B488*0.4</f>
        <v>1.08</v>
      </c>
      <c r="J488" s="19">
        <v>2</v>
      </c>
      <c r="K488" s="19">
        <f t="shared" ref="K488:L488" si="356">A488</f>
        <v>3</v>
      </c>
      <c r="L488" s="19">
        <f t="shared" si="356"/>
        <v>2.7</v>
      </c>
      <c r="M488" s="19">
        <f>A488</f>
        <v>3</v>
      </c>
      <c r="N488" s="19">
        <f>(1.2*0.4)*2</f>
        <v>0.96</v>
      </c>
      <c r="O488" s="19"/>
      <c r="P488" s="19"/>
      <c r="Q488" s="19"/>
      <c r="R488" s="19"/>
    </row>
    <row r="489" spans="1:18" ht="14.25" customHeight="1" x14ac:dyDescent="0.2">
      <c r="A489" s="19"/>
      <c r="B489" s="19"/>
      <c r="C489" s="19"/>
      <c r="D489" s="26" t="str">
        <f>D363</f>
        <v>16250</v>
      </c>
      <c r="E489" s="45">
        <v>0</v>
      </c>
      <c r="F489" s="45">
        <v>0</v>
      </c>
      <c r="G489" s="45">
        <v>2</v>
      </c>
      <c r="H489" s="19">
        <f>B488*2</f>
        <v>5.4</v>
      </c>
      <c r="I489" s="19"/>
      <c r="J489" s="19"/>
      <c r="K489" s="19"/>
      <c r="L489" s="19"/>
      <c r="M489" s="19"/>
      <c r="N489" s="28"/>
      <c r="O489" s="19"/>
      <c r="P489" s="19"/>
      <c r="Q489" s="19"/>
      <c r="R489" s="19"/>
    </row>
    <row r="490" spans="1:18" ht="14.25" customHeight="1" x14ac:dyDescent="0.2">
      <c r="A490" s="19"/>
      <c r="B490" s="19"/>
      <c r="C490" s="19"/>
      <c r="D490" s="19">
        <f>D488*D489</f>
        <v>39487.499999999993</v>
      </c>
      <c r="E490" s="45">
        <f>E489*E487</f>
        <v>0</v>
      </c>
      <c r="F490" s="45">
        <f t="shared" ref="F490:H490" si="357">F487*F489</f>
        <v>0</v>
      </c>
      <c r="G490" s="45">
        <f t="shared" si="357"/>
        <v>7600</v>
      </c>
      <c r="H490" s="19">
        <f t="shared" si="357"/>
        <v>2052</v>
      </c>
      <c r="I490" s="19">
        <f t="shared" ref="I490:N490" si="358">I487*I488</f>
        <v>5184</v>
      </c>
      <c r="J490" s="19">
        <f t="shared" si="358"/>
        <v>2000</v>
      </c>
      <c r="K490" s="19">
        <f t="shared" si="358"/>
        <v>1125</v>
      </c>
      <c r="L490" s="19">
        <f t="shared" si="358"/>
        <v>1579.5</v>
      </c>
      <c r="M490" s="19">
        <f t="shared" si="358"/>
        <v>3000</v>
      </c>
      <c r="N490" s="19">
        <f t="shared" si="358"/>
        <v>3168</v>
      </c>
      <c r="O490" s="19">
        <f>SUM(D490:N490)</f>
        <v>65195.999999999993</v>
      </c>
      <c r="P490" s="19">
        <f>O490/A488</f>
        <v>21731.999999999996</v>
      </c>
      <c r="Q490" s="19">
        <f>P490*Q487</f>
        <v>43463.999999999993</v>
      </c>
      <c r="R490" s="19">
        <f>MROUND(Q490,100)</f>
        <v>43500</v>
      </c>
    </row>
    <row r="491" spans="1:18" ht="14.25" customHeight="1" x14ac:dyDescent="0.1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</row>
    <row r="492" spans="1:18" ht="14.25" customHeight="1" x14ac:dyDescent="0.3">
      <c r="A492" s="109" t="str">
        <f>PRICELIST!I285</f>
        <v>WSTK-LNR-NSH-MB-900-F</v>
      </c>
      <c r="B492" s="87"/>
      <c r="C492" s="87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7"/>
    </row>
    <row r="493" spans="1:18" ht="14.25" customHeight="1" x14ac:dyDescent="0.15">
      <c r="A493" s="19" t="s">
        <v>57</v>
      </c>
      <c r="B493" s="19" t="s">
        <v>59</v>
      </c>
      <c r="C493" s="19" t="s">
        <v>62</v>
      </c>
      <c r="D493" s="19" t="s">
        <v>64</v>
      </c>
      <c r="E493" s="19">
        <v>1200</v>
      </c>
      <c r="F493" s="19">
        <v>900</v>
      </c>
      <c r="G493" s="19">
        <v>600</v>
      </c>
      <c r="H493" s="19" t="s">
        <v>67</v>
      </c>
      <c r="I493" s="19" t="s">
        <v>68</v>
      </c>
      <c r="J493" s="19" t="s">
        <v>69</v>
      </c>
      <c r="K493" s="19" t="s">
        <v>71</v>
      </c>
      <c r="L493" s="19" t="s">
        <v>72</v>
      </c>
      <c r="M493" s="19" t="s">
        <v>73</v>
      </c>
      <c r="N493" s="19" t="s">
        <v>75</v>
      </c>
      <c r="O493" s="19" t="s">
        <v>76</v>
      </c>
      <c r="P493" s="19" t="s">
        <v>78</v>
      </c>
      <c r="Q493" s="19" t="s">
        <v>79</v>
      </c>
      <c r="R493" s="19" t="s">
        <v>81</v>
      </c>
    </row>
    <row r="494" spans="1:18" ht="14.25" customHeight="1" x14ac:dyDescent="0.15">
      <c r="A494" s="21">
        <f t="shared" ref="A494:B494" si="359">A487</f>
        <v>0</v>
      </c>
      <c r="B494" s="21">
        <f t="shared" si="359"/>
        <v>0</v>
      </c>
      <c r="C494" s="44" t="s">
        <v>188</v>
      </c>
      <c r="D494" s="21">
        <f t="shared" ref="D494:H494" si="360">D487</f>
        <v>0</v>
      </c>
      <c r="E494" s="23" t="str">
        <f t="shared" si="360"/>
        <v>4200</v>
      </c>
      <c r="F494" s="23" t="str">
        <f t="shared" si="360"/>
        <v>4000</v>
      </c>
      <c r="G494" s="23" t="str">
        <f t="shared" si="360"/>
        <v>3800</v>
      </c>
      <c r="H494" s="23">
        <f t="shared" si="360"/>
        <v>380</v>
      </c>
      <c r="I494" s="23" t="str">
        <f>I473</f>
        <v>5500</v>
      </c>
      <c r="J494" s="23" t="str">
        <f t="shared" ref="J494:Q494" si="361">J487</f>
        <v>1000</v>
      </c>
      <c r="K494" s="23">
        <f t="shared" si="361"/>
        <v>375</v>
      </c>
      <c r="L494" s="23">
        <f t="shared" si="361"/>
        <v>585</v>
      </c>
      <c r="M494" s="23" t="str">
        <f t="shared" si="361"/>
        <v>1000</v>
      </c>
      <c r="N494" s="23">
        <f t="shared" si="361"/>
        <v>3300</v>
      </c>
      <c r="O494" s="23">
        <f t="shared" si="361"/>
        <v>0</v>
      </c>
      <c r="P494" s="23">
        <f t="shared" si="361"/>
        <v>0</v>
      </c>
      <c r="Q494" s="23">
        <f t="shared" si="361"/>
        <v>2</v>
      </c>
      <c r="R494" s="21"/>
    </row>
    <row r="495" spans="1:18" ht="14.25" customHeight="1" x14ac:dyDescent="0.15">
      <c r="A495" s="19">
        <v>3</v>
      </c>
      <c r="B495" s="19">
        <f>0.9*3</f>
        <v>2.7</v>
      </c>
      <c r="C495" s="19">
        <f>0.6+0.3</f>
        <v>0.89999999999999991</v>
      </c>
      <c r="D495" s="19">
        <f>B495*C495</f>
        <v>2.4299999999999997</v>
      </c>
      <c r="E495" s="19"/>
      <c r="F495" s="19"/>
      <c r="G495" s="19"/>
      <c r="H495" s="19"/>
      <c r="I495" s="19">
        <f>B495*0.4</f>
        <v>1.08</v>
      </c>
      <c r="J495" s="19">
        <v>2</v>
      </c>
      <c r="K495" s="19">
        <f t="shared" ref="K495:L495" si="362">A495</f>
        <v>3</v>
      </c>
      <c r="L495" s="19">
        <f t="shared" si="362"/>
        <v>2.7</v>
      </c>
      <c r="M495" s="19">
        <f>A495</f>
        <v>3</v>
      </c>
      <c r="N495" s="19">
        <f>(1.2*0.4)*2</f>
        <v>0.96</v>
      </c>
      <c r="O495" s="19"/>
      <c r="P495" s="19"/>
      <c r="Q495" s="19"/>
      <c r="R495" s="19"/>
    </row>
    <row r="496" spans="1:18" ht="14.25" customHeight="1" x14ac:dyDescent="0.2">
      <c r="A496" s="19"/>
      <c r="B496" s="19"/>
      <c r="C496" s="19"/>
      <c r="D496" s="26" t="str">
        <f>D489</f>
        <v>16250</v>
      </c>
      <c r="E496" s="45">
        <v>0</v>
      </c>
      <c r="F496" s="45">
        <v>0</v>
      </c>
      <c r="G496" s="45">
        <v>2</v>
      </c>
      <c r="H496" s="19">
        <f>B495*2</f>
        <v>5.4</v>
      </c>
      <c r="I496" s="19"/>
      <c r="J496" s="19"/>
      <c r="K496" s="19"/>
      <c r="L496" s="19"/>
      <c r="M496" s="19"/>
      <c r="N496" s="28"/>
      <c r="O496" s="19"/>
      <c r="P496" s="19"/>
      <c r="Q496" s="19"/>
      <c r="R496" s="19"/>
    </row>
    <row r="497" spans="1:18" ht="14.25" customHeight="1" x14ac:dyDescent="0.2">
      <c r="A497" s="19"/>
      <c r="B497" s="19"/>
      <c r="C497" s="19"/>
      <c r="D497" s="19">
        <f>D495*D496</f>
        <v>39487.499999999993</v>
      </c>
      <c r="E497" s="45">
        <f>E496*E494</f>
        <v>0</v>
      </c>
      <c r="F497" s="45">
        <f t="shared" ref="F497:H497" si="363">F494*F496</f>
        <v>0</v>
      </c>
      <c r="G497" s="45">
        <f t="shared" si="363"/>
        <v>7600</v>
      </c>
      <c r="H497" s="19">
        <f t="shared" si="363"/>
        <v>2052</v>
      </c>
      <c r="I497" s="19">
        <f t="shared" ref="I497:N497" si="364">I494*I495</f>
        <v>5940</v>
      </c>
      <c r="J497" s="19">
        <f t="shared" si="364"/>
        <v>2000</v>
      </c>
      <c r="K497" s="19">
        <f t="shared" si="364"/>
        <v>1125</v>
      </c>
      <c r="L497" s="19">
        <f t="shared" si="364"/>
        <v>1579.5</v>
      </c>
      <c r="M497" s="19">
        <f t="shared" si="364"/>
        <v>3000</v>
      </c>
      <c r="N497" s="19">
        <f t="shared" si="364"/>
        <v>3168</v>
      </c>
      <c r="O497" s="19">
        <f>SUM(D497:N497)</f>
        <v>65952</v>
      </c>
      <c r="P497" s="19">
        <f>O497/A495</f>
        <v>21984</v>
      </c>
      <c r="Q497" s="19">
        <f>P497*Q494</f>
        <v>43968</v>
      </c>
      <c r="R497" s="19">
        <f>MROUND(Q497,100)</f>
        <v>44000</v>
      </c>
    </row>
    <row r="498" spans="1:18" ht="14.25" customHeight="1" x14ac:dyDescent="0.1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</row>
    <row r="499" spans="1:18" ht="14.25" customHeight="1" x14ac:dyDescent="0.3">
      <c r="A499" s="109" t="str">
        <f>PRICELIST!I286</f>
        <v>WSTK-LNR-NSH-MB-900-G</v>
      </c>
      <c r="B499" s="87"/>
      <c r="C499" s="87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7"/>
    </row>
    <row r="500" spans="1:18" ht="14.25" customHeight="1" x14ac:dyDescent="0.15">
      <c r="A500" s="19" t="s">
        <v>57</v>
      </c>
      <c r="B500" s="19" t="s">
        <v>59</v>
      </c>
      <c r="C500" s="19" t="s">
        <v>62</v>
      </c>
      <c r="D500" s="19" t="s">
        <v>64</v>
      </c>
      <c r="E500" s="19">
        <v>1200</v>
      </c>
      <c r="F500" s="19">
        <v>900</v>
      </c>
      <c r="G500" s="19">
        <v>600</v>
      </c>
      <c r="H500" s="19" t="s">
        <v>67</v>
      </c>
      <c r="I500" s="19" t="s">
        <v>68</v>
      </c>
      <c r="J500" s="19" t="s">
        <v>69</v>
      </c>
      <c r="K500" s="19" t="s">
        <v>71</v>
      </c>
      <c r="L500" s="19" t="s">
        <v>72</v>
      </c>
      <c r="M500" s="19" t="s">
        <v>73</v>
      </c>
      <c r="N500" s="19" t="s">
        <v>75</v>
      </c>
      <c r="O500" s="19" t="s">
        <v>76</v>
      </c>
      <c r="P500" s="19" t="s">
        <v>78</v>
      </c>
      <c r="Q500" s="19" t="s">
        <v>79</v>
      </c>
      <c r="R500" s="19" t="s">
        <v>81</v>
      </c>
    </row>
    <row r="501" spans="1:18" ht="14.25" customHeight="1" x14ac:dyDescent="0.15">
      <c r="A501" s="21">
        <f t="shared" ref="A501:B501" si="365">A494</f>
        <v>0</v>
      </c>
      <c r="B501" s="21">
        <f t="shared" si="365"/>
        <v>0</v>
      </c>
      <c r="C501" s="44" t="s">
        <v>188</v>
      </c>
      <c r="D501" s="21">
        <f t="shared" ref="D501:H501" si="366">D494</f>
        <v>0</v>
      </c>
      <c r="E501" s="23" t="str">
        <f t="shared" si="366"/>
        <v>4200</v>
      </c>
      <c r="F501" s="23" t="str">
        <f t="shared" si="366"/>
        <v>4000</v>
      </c>
      <c r="G501" s="23" t="str">
        <f t="shared" si="366"/>
        <v>3800</v>
      </c>
      <c r="H501" s="23">
        <f t="shared" si="366"/>
        <v>380</v>
      </c>
      <c r="I501" s="23" t="str">
        <f>I480</f>
        <v>0</v>
      </c>
      <c r="J501" s="23" t="str">
        <f t="shared" ref="J501:Q501" si="367">J494</f>
        <v>1000</v>
      </c>
      <c r="K501" s="23">
        <f t="shared" si="367"/>
        <v>375</v>
      </c>
      <c r="L501" s="23">
        <f t="shared" si="367"/>
        <v>585</v>
      </c>
      <c r="M501" s="23" t="str">
        <f t="shared" si="367"/>
        <v>1000</v>
      </c>
      <c r="N501" s="23">
        <f t="shared" si="367"/>
        <v>3300</v>
      </c>
      <c r="O501" s="23">
        <f t="shared" si="367"/>
        <v>0</v>
      </c>
      <c r="P501" s="23">
        <f t="shared" si="367"/>
        <v>0</v>
      </c>
      <c r="Q501" s="23">
        <f t="shared" si="367"/>
        <v>2</v>
      </c>
      <c r="R501" s="21"/>
    </row>
    <row r="502" spans="1:18" ht="14.25" customHeight="1" x14ac:dyDescent="0.15">
      <c r="A502" s="19">
        <v>3</v>
      </c>
      <c r="B502" s="19">
        <f>0.9*3</f>
        <v>2.7</v>
      </c>
      <c r="C502" s="19">
        <f>0.6+0.3</f>
        <v>0.89999999999999991</v>
      </c>
      <c r="D502" s="19">
        <f>B502*C502</f>
        <v>2.4299999999999997</v>
      </c>
      <c r="E502" s="19"/>
      <c r="F502" s="19"/>
      <c r="G502" s="19"/>
      <c r="H502" s="19"/>
      <c r="I502" s="19">
        <f>B502*0.4</f>
        <v>1.08</v>
      </c>
      <c r="J502" s="19">
        <v>2</v>
      </c>
      <c r="K502" s="19">
        <f t="shared" ref="K502:L502" si="368">A502</f>
        <v>3</v>
      </c>
      <c r="L502" s="19">
        <f t="shared" si="368"/>
        <v>2.7</v>
      </c>
      <c r="M502" s="19">
        <f>A502</f>
        <v>3</v>
      </c>
      <c r="N502" s="19">
        <f>(1.2*0.4)*2</f>
        <v>0.96</v>
      </c>
      <c r="O502" s="19"/>
      <c r="P502" s="19"/>
      <c r="Q502" s="19"/>
      <c r="R502" s="19"/>
    </row>
    <row r="503" spans="1:18" ht="14.25" customHeight="1" x14ac:dyDescent="0.2">
      <c r="A503" s="19"/>
      <c r="B503" s="19"/>
      <c r="C503" s="19"/>
      <c r="D503" s="26" t="str">
        <f>D496</f>
        <v>16250</v>
      </c>
      <c r="E503" s="45">
        <v>0</v>
      </c>
      <c r="F503" s="45">
        <v>0</v>
      </c>
      <c r="G503" s="45">
        <v>2</v>
      </c>
      <c r="H503" s="19">
        <f>B502*2</f>
        <v>5.4</v>
      </c>
      <c r="I503" s="19"/>
      <c r="J503" s="19"/>
      <c r="K503" s="19"/>
      <c r="L503" s="19"/>
      <c r="M503" s="19"/>
      <c r="N503" s="28"/>
      <c r="O503" s="19"/>
      <c r="P503" s="19"/>
      <c r="Q503" s="19"/>
      <c r="R503" s="19"/>
    </row>
    <row r="504" spans="1:18" ht="14.25" customHeight="1" x14ac:dyDescent="0.2">
      <c r="A504" s="19"/>
      <c r="B504" s="19"/>
      <c r="C504" s="19"/>
      <c r="D504" s="19">
        <f>D502*D503</f>
        <v>39487.499999999993</v>
      </c>
      <c r="E504" s="45">
        <f>E503*E501</f>
        <v>0</v>
      </c>
      <c r="F504" s="45">
        <f t="shared" ref="F504:H504" si="369">F501*F503</f>
        <v>0</v>
      </c>
      <c r="G504" s="45">
        <f t="shared" si="369"/>
        <v>7600</v>
      </c>
      <c r="H504" s="19">
        <f t="shared" si="369"/>
        <v>2052</v>
      </c>
      <c r="I504" s="19">
        <f t="shared" ref="I504:N504" si="370">I501*I502</f>
        <v>0</v>
      </c>
      <c r="J504" s="19">
        <f t="shared" si="370"/>
        <v>2000</v>
      </c>
      <c r="K504" s="19">
        <f t="shared" si="370"/>
        <v>1125</v>
      </c>
      <c r="L504" s="19">
        <f t="shared" si="370"/>
        <v>1579.5</v>
      </c>
      <c r="M504" s="19">
        <f t="shared" si="370"/>
        <v>3000</v>
      </c>
      <c r="N504" s="19">
        <f t="shared" si="370"/>
        <v>3168</v>
      </c>
      <c r="O504" s="19">
        <f>SUM(D504:N504)</f>
        <v>60011.999999999993</v>
      </c>
      <c r="P504" s="19">
        <f>O504/A502</f>
        <v>20003.999999999996</v>
      </c>
      <c r="Q504" s="19">
        <f>P504*Q501</f>
        <v>40007.999999999993</v>
      </c>
      <c r="R504" s="19">
        <f>MROUND(Q504,100)</f>
        <v>40000</v>
      </c>
    </row>
    <row r="505" spans="1:18" ht="14.25" customHeight="1" x14ac:dyDescent="0.1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</row>
    <row r="506" spans="1:18" ht="14.25" customHeight="1" x14ac:dyDescent="0.3">
      <c r="A506" s="109" t="str">
        <f>PRICELIST!I287</f>
        <v>WSTK-LNR-NSH-MB-900-X</v>
      </c>
      <c r="B506" s="87"/>
      <c r="C506" s="87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7"/>
    </row>
    <row r="507" spans="1:18" ht="14.25" customHeight="1" x14ac:dyDescent="0.15">
      <c r="A507" s="19" t="s">
        <v>57</v>
      </c>
      <c r="B507" s="19" t="s">
        <v>59</v>
      </c>
      <c r="C507" s="19" t="s">
        <v>62</v>
      </c>
      <c r="D507" s="19" t="s">
        <v>64</v>
      </c>
      <c r="E507" s="19">
        <v>1200</v>
      </c>
      <c r="F507" s="19">
        <v>900</v>
      </c>
      <c r="G507" s="19">
        <v>600</v>
      </c>
      <c r="H507" s="19" t="s">
        <v>67</v>
      </c>
      <c r="I507" s="19" t="s">
        <v>68</v>
      </c>
      <c r="J507" s="19" t="s">
        <v>69</v>
      </c>
      <c r="K507" s="19" t="s">
        <v>71</v>
      </c>
      <c r="L507" s="19" t="s">
        <v>72</v>
      </c>
      <c r="M507" s="19" t="s">
        <v>73</v>
      </c>
      <c r="N507" s="19" t="s">
        <v>75</v>
      </c>
      <c r="O507" s="19" t="s">
        <v>76</v>
      </c>
      <c r="P507" s="19" t="s">
        <v>78</v>
      </c>
      <c r="Q507" s="19" t="s">
        <v>79</v>
      </c>
      <c r="R507" s="19" t="s">
        <v>81</v>
      </c>
    </row>
    <row r="508" spans="1:18" ht="14.25" customHeight="1" x14ac:dyDescent="0.15">
      <c r="A508" s="21"/>
      <c r="B508" s="21"/>
      <c r="C508" s="44" t="s">
        <v>188</v>
      </c>
      <c r="D508" s="21"/>
      <c r="E508" s="23" t="str">
        <f t="shared" ref="E508:G508" si="371">E501</f>
        <v>4200</v>
      </c>
      <c r="F508" s="23" t="str">
        <f t="shared" si="371"/>
        <v>4000</v>
      </c>
      <c r="G508" s="23" t="str">
        <f t="shared" si="371"/>
        <v>3800</v>
      </c>
      <c r="H508" s="21">
        <v>380</v>
      </c>
      <c r="I508" s="23" t="str">
        <f>I487</f>
        <v>4800</v>
      </c>
      <c r="J508" s="23" t="str">
        <f>J501</f>
        <v>1000</v>
      </c>
      <c r="K508" s="21">
        <v>375</v>
      </c>
      <c r="L508" s="21">
        <v>585</v>
      </c>
      <c r="M508" s="23" t="str">
        <f>M501</f>
        <v>1000</v>
      </c>
      <c r="N508" s="21">
        <v>3300</v>
      </c>
      <c r="O508" s="21"/>
      <c r="P508" s="21"/>
      <c r="Q508" s="23">
        <f>Q501</f>
        <v>2</v>
      </c>
      <c r="R508" s="21"/>
    </row>
    <row r="509" spans="1:18" ht="14.25" customHeight="1" x14ac:dyDescent="0.15">
      <c r="A509" s="19">
        <v>3</v>
      </c>
      <c r="B509" s="19">
        <f>1.2*3</f>
        <v>3.5999999999999996</v>
      </c>
      <c r="C509" s="19">
        <f>0.6+0.3</f>
        <v>0.89999999999999991</v>
      </c>
      <c r="D509" s="19">
        <f>B509*C509</f>
        <v>3.2399999999999993</v>
      </c>
      <c r="E509" s="19"/>
      <c r="F509" s="19"/>
      <c r="G509" s="19"/>
      <c r="H509" s="19"/>
      <c r="I509" s="19">
        <f>B509*0.4</f>
        <v>1.44</v>
      </c>
      <c r="J509" s="19">
        <v>2</v>
      </c>
      <c r="K509" s="19">
        <f t="shared" ref="K509:L509" si="372">A509</f>
        <v>3</v>
      </c>
      <c r="L509" s="19">
        <f t="shared" si="372"/>
        <v>3.5999999999999996</v>
      </c>
      <c r="M509" s="19">
        <f>A509</f>
        <v>3</v>
      </c>
      <c r="N509" s="19">
        <f>(1.2*0.4)*2</f>
        <v>0.96</v>
      </c>
      <c r="O509" s="19"/>
      <c r="P509" s="19"/>
      <c r="Q509" s="19"/>
      <c r="R509" s="19"/>
    </row>
    <row r="510" spans="1:18" ht="14.25" customHeight="1" x14ac:dyDescent="0.2">
      <c r="A510" s="19"/>
      <c r="B510" s="19"/>
      <c r="C510" s="19"/>
      <c r="D510" s="26" t="str">
        <f>D384</f>
        <v>2200</v>
      </c>
      <c r="E510" s="45">
        <v>0</v>
      </c>
      <c r="F510" s="45">
        <v>0</v>
      </c>
      <c r="G510" s="45">
        <v>2</v>
      </c>
      <c r="H510" s="19">
        <f>B509*2</f>
        <v>7.1999999999999993</v>
      </c>
      <c r="I510" s="19"/>
      <c r="J510" s="19"/>
      <c r="K510" s="19"/>
      <c r="L510" s="19"/>
      <c r="M510" s="19"/>
      <c r="N510" s="28"/>
      <c r="O510" s="19"/>
      <c r="P510" s="19"/>
      <c r="Q510" s="19"/>
      <c r="R510" s="19"/>
    </row>
    <row r="511" spans="1:18" ht="14.25" customHeight="1" x14ac:dyDescent="0.2">
      <c r="A511" s="19"/>
      <c r="B511" s="19"/>
      <c r="C511" s="19"/>
      <c r="D511" s="19">
        <f>D509*D510</f>
        <v>7127.9999999999982</v>
      </c>
      <c r="E511" s="45">
        <f>E510*E508</f>
        <v>0</v>
      </c>
      <c r="F511" s="45">
        <f t="shared" ref="F511:H511" si="373">F508*F510</f>
        <v>0</v>
      </c>
      <c r="G511" s="45">
        <f t="shared" si="373"/>
        <v>7600</v>
      </c>
      <c r="H511" s="19">
        <f t="shared" si="373"/>
        <v>2735.9999999999995</v>
      </c>
      <c r="I511" s="19">
        <f t="shared" ref="I511:N511" si="374">I508*I509</f>
        <v>6912</v>
      </c>
      <c r="J511" s="19">
        <f t="shared" si="374"/>
        <v>2000</v>
      </c>
      <c r="K511" s="19">
        <f t="shared" si="374"/>
        <v>1125</v>
      </c>
      <c r="L511" s="19">
        <f t="shared" si="374"/>
        <v>2106</v>
      </c>
      <c r="M511" s="19">
        <f t="shared" si="374"/>
        <v>3000</v>
      </c>
      <c r="N511" s="19">
        <f t="shared" si="374"/>
        <v>3168</v>
      </c>
      <c r="O511" s="19">
        <f>SUM(D511:N511)</f>
        <v>35775</v>
      </c>
      <c r="P511" s="19">
        <f>O511/A509</f>
        <v>11925</v>
      </c>
      <c r="Q511" s="19">
        <f>P511*Q508</f>
        <v>23850</v>
      </c>
      <c r="R511" s="19">
        <f>MROUND(Q511,100)</f>
        <v>23900</v>
      </c>
    </row>
    <row r="512" spans="1:18" ht="14.25" customHeight="1" x14ac:dyDescent="0.1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</row>
    <row r="513" spans="1:18" ht="14.25" customHeight="1" x14ac:dyDescent="0.3">
      <c r="A513" s="109" t="str">
        <f>PRICELIST!I288</f>
        <v>WSTK-LNR-NSH-PB-1200-F</v>
      </c>
      <c r="B513" s="87"/>
      <c r="C513" s="87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7"/>
    </row>
    <row r="514" spans="1:18" ht="14.25" customHeight="1" x14ac:dyDescent="0.15">
      <c r="A514" s="19" t="s">
        <v>57</v>
      </c>
      <c r="B514" s="19" t="s">
        <v>59</v>
      </c>
      <c r="C514" s="19" t="s">
        <v>62</v>
      </c>
      <c r="D514" s="19" t="s">
        <v>64</v>
      </c>
      <c r="E514" s="19">
        <v>1200</v>
      </c>
      <c r="F514" s="19">
        <v>900</v>
      </c>
      <c r="G514" s="19">
        <v>600</v>
      </c>
      <c r="H514" s="19" t="s">
        <v>67</v>
      </c>
      <c r="I514" s="19" t="s">
        <v>68</v>
      </c>
      <c r="J514" s="19" t="s">
        <v>69</v>
      </c>
      <c r="K514" s="19" t="s">
        <v>71</v>
      </c>
      <c r="L514" s="19" t="s">
        <v>72</v>
      </c>
      <c r="M514" s="19" t="s">
        <v>73</v>
      </c>
      <c r="N514" s="19" t="s">
        <v>75</v>
      </c>
      <c r="O514" s="19" t="s">
        <v>76</v>
      </c>
      <c r="P514" s="19" t="s">
        <v>78</v>
      </c>
      <c r="Q514" s="19" t="s">
        <v>79</v>
      </c>
      <c r="R514" s="19" t="s">
        <v>81</v>
      </c>
    </row>
    <row r="515" spans="1:18" ht="14.25" customHeight="1" x14ac:dyDescent="0.15">
      <c r="A515" s="21"/>
      <c r="B515" s="21"/>
      <c r="C515" s="44" t="s">
        <v>188</v>
      </c>
      <c r="D515" s="21"/>
      <c r="E515" s="23" t="str">
        <f t="shared" ref="E515:H515" si="375">E508</f>
        <v>4200</v>
      </c>
      <c r="F515" s="23" t="str">
        <f t="shared" si="375"/>
        <v>4000</v>
      </c>
      <c r="G515" s="23" t="str">
        <f t="shared" si="375"/>
        <v>3800</v>
      </c>
      <c r="H515" s="23">
        <f t="shared" si="375"/>
        <v>380</v>
      </c>
      <c r="I515" s="23" t="str">
        <f>I494</f>
        <v>5500</v>
      </c>
      <c r="J515" s="23" t="str">
        <f t="shared" ref="J515:R515" si="376">J508</f>
        <v>1000</v>
      </c>
      <c r="K515" s="23">
        <f t="shared" si="376"/>
        <v>375</v>
      </c>
      <c r="L515" s="23">
        <f t="shared" si="376"/>
        <v>585</v>
      </c>
      <c r="M515" s="23" t="str">
        <f t="shared" si="376"/>
        <v>1000</v>
      </c>
      <c r="N515" s="23">
        <f t="shared" si="376"/>
        <v>3300</v>
      </c>
      <c r="O515" s="23">
        <f t="shared" si="376"/>
        <v>0</v>
      </c>
      <c r="P515" s="23">
        <f t="shared" si="376"/>
        <v>0</v>
      </c>
      <c r="Q515" s="23">
        <f t="shared" si="376"/>
        <v>2</v>
      </c>
      <c r="R515" s="23">
        <f t="shared" si="376"/>
        <v>0</v>
      </c>
    </row>
    <row r="516" spans="1:18" ht="14.25" customHeight="1" x14ac:dyDescent="0.15">
      <c r="A516" s="19">
        <v>3</v>
      </c>
      <c r="B516" s="19">
        <f>1.2*3</f>
        <v>3.5999999999999996</v>
      </c>
      <c r="C516" s="19">
        <f>0.6+0.3</f>
        <v>0.89999999999999991</v>
      </c>
      <c r="D516" s="19">
        <f>B516*C516</f>
        <v>3.2399999999999993</v>
      </c>
      <c r="E516" s="19"/>
      <c r="F516" s="19"/>
      <c r="G516" s="19"/>
      <c r="H516" s="19"/>
      <c r="I516" s="19">
        <f>B516*0.4</f>
        <v>1.44</v>
      </c>
      <c r="J516" s="19">
        <v>2</v>
      </c>
      <c r="K516" s="19">
        <f t="shared" ref="K516:L516" si="377">A516</f>
        <v>3</v>
      </c>
      <c r="L516" s="19">
        <f t="shared" si="377"/>
        <v>3.5999999999999996</v>
      </c>
      <c r="M516" s="19">
        <f>A516</f>
        <v>3</v>
      </c>
      <c r="N516" s="19">
        <f>(1.2*0.4)*2</f>
        <v>0.96</v>
      </c>
      <c r="O516" s="19"/>
      <c r="P516" s="19"/>
      <c r="Q516" s="19"/>
      <c r="R516" s="19"/>
    </row>
    <row r="517" spans="1:18" ht="14.25" customHeight="1" x14ac:dyDescent="0.2">
      <c r="A517" s="19"/>
      <c r="B517" s="19"/>
      <c r="C517" s="19"/>
      <c r="D517" s="26" t="str">
        <f>D510</f>
        <v>2200</v>
      </c>
      <c r="E517" s="45">
        <v>0</v>
      </c>
      <c r="F517" s="45">
        <v>0</v>
      </c>
      <c r="G517" s="45">
        <v>2</v>
      </c>
      <c r="H517" s="19">
        <f>B516*2</f>
        <v>7.1999999999999993</v>
      </c>
      <c r="I517" s="19"/>
      <c r="J517" s="19"/>
      <c r="K517" s="19"/>
      <c r="L517" s="19"/>
      <c r="M517" s="19"/>
      <c r="N517" s="28"/>
      <c r="O517" s="19"/>
      <c r="P517" s="19"/>
      <c r="Q517" s="19"/>
      <c r="R517" s="19"/>
    </row>
    <row r="518" spans="1:18" ht="14.25" customHeight="1" x14ac:dyDescent="0.2">
      <c r="A518" s="19"/>
      <c r="B518" s="19"/>
      <c r="C518" s="19"/>
      <c r="D518" s="19">
        <f>D516*D517</f>
        <v>7127.9999999999982</v>
      </c>
      <c r="E518" s="45">
        <f>E517*E515</f>
        <v>0</v>
      </c>
      <c r="F518" s="45">
        <f t="shared" ref="F518:H518" si="378">F515*F517</f>
        <v>0</v>
      </c>
      <c r="G518" s="45">
        <f t="shared" si="378"/>
        <v>7600</v>
      </c>
      <c r="H518" s="19">
        <f t="shared" si="378"/>
        <v>2735.9999999999995</v>
      </c>
      <c r="I518" s="19">
        <f t="shared" ref="I518:N518" si="379">I515*I516</f>
        <v>7920</v>
      </c>
      <c r="J518" s="19">
        <f t="shared" si="379"/>
        <v>2000</v>
      </c>
      <c r="K518" s="19">
        <f t="shared" si="379"/>
        <v>1125</v>
      </c>
      <c r="L518" s="19">
        <f t="shared" si="379"/>
        <v>2106</v>
      </c>
      <c r="M518" s="19">
        <f t="shared" si="379"/>
        <v>3000</v>
      </c>
      <c r="N518" s="19">
        <f t="shared" si="379"/>
        <v>3168</v>
      </c>
      <c r="O518" s="19">
        <f>SUM(D518:N518)</f>
        <v>36783</v>
      </c>
      <c r="P518" s="19">
        <f>O518/A516</f>
        <v>12261</v>
      </c>
      <c r="Q518" s="19">
        <f>P518*Q515</f>
        <v>24522</v>
      </c>
      <c r="R518" s="19">
        <f>MROUND(Q518,100)</f>
        <v>24500</v>
      </c>
    </row>
    <row r="519" spans="1:18" ht="14.25" customHeight="1" x14ac:dyDescent="0.1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</row>
    <row r="520" spans="1:18" ht="14.25" customHeight="1" x14ac:dyDescent="0.3">
      <c r="A520" s="109" t="str">
        <f>PRICELIST!I289</f>
        <v>WSTK-LNR-NSH-PB-1200-G</v>
      </c>
      <c r="B520" s="87"/>
      <c r="C520" s="87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7"/>
    </row>
    <row r="521" spans="1:18" ht="14.25" customHeight="1" x14ac:dyDescent="0.15">
      <c r="A521" s="19" t="s">
        <v>57</v>
      </c>
      <c r="B521" s="19" t="s">
        <v>59</v>
      </c>
      <c r="C521" s="19" t="s">
        <v>62</v>
      </c>
      <c r="D521" s="19" t="s">
        <v>64</v>
      </c>
      <c r="E521" s="19">
        <v>1200</v>
      </c>
      <c r="F521" s="19">
        <v>900</v>
      </c>
      <c r="G521" s="19">
        <v>600</v>
      </c>
      <c r="H521" s="19" t="s">
        <v>67</v>
      </c>
      <c r="I521" s="19" t="s">
        <v>68</v>
      </c>
      <c r="J521" s="19" t="s">
        <v>69</v>
      </c>
      <c r="K521" s="19" t="s">
        <v>71</v>
      </c>
      <c r="L521" s="19" t="s">
        <v>72</v>
      </c>
      <c r="M521" s="19" t="s">
        <v>73</v>
      </c>
      <c r="N521" s="19" t="s">
        <v>75</v>
      </c>
      <c r="O521" s="19" t="s">
        <v>76</v>
      </c>
      <c r="P521" s="19" t="s">
        <v>78</v>
      </c>
      <c r="Q521" s="19" t="s">
        <v>79</v>
      </c>
      <c r="R521" s="19" t="s">
        <v>81</v>
      </c>
    </row>
    <row r="522" spans="1:18" ht="14.25" customHeight="1" x14ac:dyDescent="0.15">
      <c r="A522" s="21">
        <f t="shared" ref="A522:B522" si="380">A515</f>
        <v>0</v>
      </c>
      <c r="B522" s="21">
        <f t="shared" si="380"/>
        <v>0</v>
      </c>
      <c r="C522" s="44" t="s">
        <v>188</v>
      </c>
      <c r="D522" s="21">
        <f t="shared" ref="D522:H522" si="381">D515</f>
        <v>0</v>
      </c>
      <c r="E522" s="23" t="str">
        <f t="shared" si="381"/>
        <v>4200</v>
      </c>
      <c r="F522" s="23" t="str">
        <f t="shared" si="381"/>
        <v>4000</v>
      </c>
      <c r="G522" s="23" t="str">
        <f t="shared" si="381"/>
        <v>3800</v>
      </c>
      <c r="H522" s="23">
        <f t="shared" si="381"/>
        <v>380</v>
      </c>
      <c r="I522" s="23" t="str">
        <f>I501</f>
        <v>0</v>
      </c>
      <c r="J522" s="23" t="str">
        <f t="shared" ref="J522:Q522" si="382">J515</f>
        <v>1000</v>
      </c>
      <c r="K522" s="23">
        <f t="shared" si="382"/>
        <v>375</v>
      </c>
      <c r="L522" s="23">
        <f t="shared" si="382"/>
        <v>585</v>
      </c>
      <c r="M522" s="23" t="str">
        <f t="shared" si="382"/>
        <v>1000</v>
      </c>
      <c r="N522" s="23">
        <f t="shared" si="382"/>
        <v>3300</v>
      </c>
      <c r="O522" s="23">
        <f t="shared" si="382"/>
        <v>0</v>
      </c>
      <c r="P522" s="23">
        <f t="shared" si="382"/>
        <v>0</v>
      </c>
      <c r="Q522" s="23">
        <f t="shared" si="382"/>
        <v>2</v>
      </c>
      <c r="R522" s="21"/>
    </row>
    <row r="523" spans="1:18" ht="14.25" customHeight="1" x14ac:dyDescent="0.15">
      <c r="A523" s="19">
        <v>3</v>
      </c>
      <c r="B523" s="19">
        <f>1.2*3</f>
        <v>3.5999999999999996</v>
      </c>
      <c r="C523" s="19">
        <f>0.6+0.3</f>
        <v>0.89999999999999991</v>
      </c>
      <c r="D523" s="19">
        <f>B523*C523</f>
        <v>3.2399999999999993</v>
      </c>
      <c r="E523" s="19"/>
      <c r="F523" s="19"/>
      <c r="G523" s="19"/>
      <c r="H523" s="19"/>
      <c r="I523" s="19">
        <f>B523*0.4</f>
        <v>1.44</v>
      </c>
      <c r="J523" s="19">
        <v>2</v>
      </c>
      <c r="K523" s="19">
        <f t="shared" ref="K523:L523" si="383">A523</f>
        <v>3</v>
      </c>
      <c r="L523" s="19">
        <f t="shared" si="383"/>
        <v>3.5999999999999996</v>
      </c>
      <c r="M523" s="19">
        <f>A523</f>
        <v>3</v>
      </c>
      <c r="N523" s="19">
        <f>(1.2*0.4)*2</f>
        <v>0.96</v>
      </c>
      <c r="O523" s="19"/>
      <c r="P523" s="19"/>
      <c r="Q523" s="19"/>
      <c r="R523" s="19"/>
    </row>
    <row r="524" spans="1:18" ht="14.25" customHeight="1" x14ac:dyDescent="0.2">
      <c r="A524" s="19"/>
      <c r="B524" s="19"/>
      <c r="C524" s="19"/>
      <c r="D524" s="26" t="str">
        <f>D517</f>
        <v>2200</v>
      </c>
      <c r="E524" s="45">
        <v>0</v>
      </c>
      <c r="F524" s="45">
        <v>0</v>
      </c>
      <c r="G524" s="45">
        <v>2</v>
      </c>
      <c r="H524" s="19">
        <f>B523*2</f>
        <v>7.1999999999999993</v>
      </c>
      <c r="I524" s="19"/>
      <c r="J524" s="19"/>
      <c r="K524" s="19"/>
      <c r="L524" s="19"/>
      <c r="M524" s="19"/>
      <c r="N524" s="28"/>
      <c r="O524" s="19"/>
      <c r="P524" s="19"/>
      <c r="Q524" s="19"/>
      <c r="R524" s="19"/>
    </row>
    <row r="525" spans="1:18" ht="14.25" customHeight="1" x14ac:dyDescent="0.2">
      <c r="A525" s="19"/>
      <c r="B525" s="19"/>
      <c r="C525" s="19"/>
      <c r="D525" s="19">
        <f>D523*D524</f>
        <v>7127.9999999999982</v>
      </c>
      <c r="E525" s="45">
        <f>E524*E522</f>
        <v>0</v>
      </c>
      <c r="F525" s="45">
        <f t="shared" ref="F525:H525" si="384">F522*F524</f>
        <v>0</v>
      </c>
      <c r="G525" s="45">
        <f t="shared" si="384"/>
        <v>7600</v>
      </c>
      <c r="H525" s="19">
        <f t="shared" si="384"/>
        <v>2735.9999999999995</v>
      </c>
      <c r="I525" s="19">
        <f t="shared" ref="I525:N525" si="385">I522*I523</f>
        <v>0</v>
      </c>
      <c r="J525" s="19">
        <f t="shared" si="385"/>
        <v>2000</v>
      </c>
      <c r="K525" s="19">
        <f t="shared" si="385"/>
        <v>1125</v>
      </c>
      <c r="L525" s="19">
        <f t="shared" si="385"/>
        <v>2106</v>
      </c>
      <c r="M525" s="19">
        <f t="shared" si="385"/>
        <v>3000</v>
      </c>
      <c r="N525" s="19">
        <f t="shared" si="385"/>
        <v>3168</v>
      </c>
      <c r="O525" s="19">
        <f>SUM(D525:N525)</f>
        <v>28862.999999999996</v>
      </c>
      <c r="P525" s="19">
        <f>O525/A523</f>
        <v>9620.9999999999982</v>
      </c>
      <c r="Q525" s="19">
        <f>P525*Q522</f>
        <v>19241.999999999996</v>
      </c>
      <c r="R525" s="19">
        <f>MROUND(Q525,100)</f>
        <v>19200</v>
      </c>
    </row>
    <row r="526" spans="1:18" ht="14.25" customHeight="1" x14ac:dyDescent="0.1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</row>
    <row r="527" spans="1:18" ht="14.25" customHeight="1" x14ac:dyDescent="0.3">
      <c r="A527" s="109" t="str">
        <f>PRICELIST!I290</f>
        <v>WSTK-LNR-NSH-PB-1200-X</v>
      </c>
      <c r="B527" s="87"/>
      <c r="C527" s="87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7"/>
    </row>
    <row r="528" spans="1:18" ht="14.25" customHeight="1" x14ac:dyDescent="0.15">
      <c r="A528" s="19" t="s">
        <v>57</v>
      </c>
      <c r="B528" s="19" t="s">
        <v>59</v>
      </c>
      <c r="C528" s="19" t="s">
        <v>62</v>
      </c>
      <c r="D528" s="19" t="s">
        <v>64</v>
      </c>
      <c r="E528" s="19">
        <v>1200</v>
      </c>
      <c r="F528" s="19">
        <v>900</v>
      </c>
      <c r="G528" s="19">
        <v>600</v>
      </c>
      <c r="H528" s="19" t="s">
        <v>67</v>
      </c>
      <c r="I528" s="19" t="s">
        <v>68</v>
      </c>
      <c r="J528" s="19" t="s">
        <v>69</v>
      </c>
      <c r="K528" s="19" t="s">
        <v>71</v>
      </c>
      <c r="L528" s="19" t="s">
        <v>72</v>
      </c>
      <c r="M528" s="19" t="s">
        <v>73</v>
      </c>
      <c r="N528" s="19" t="s">
        <v>75</v>
      </c>
      <c r="O528" s="19" t="s">
        <v>76</v>
      </c>
      <c r="P528" s="19" t="s">
        <v>78</v>
      </c>
      <c r="Q528" s="19" t="s">
        <v>79</v>
      </c>
      <c r="R528" s="19" t="s">
        <v>81</v>
      </c>
    </row>
    <row r="529" spans="1:18" ht="14.25" customHeight="1" x14ac:dyDescent="0.15">
      <c r="A529" s="21">
        <f t="shared" ref="A529:B529" si="386">A522</f>
        <v>0</v>
      </c>
      <c r="B529" s="21">
        <f t="shared" si="386"/>
        <v>0</v>
      </c>
      <c r="C529" s="44" t="s">
        <v>188</v>
      </c>
      <c r="D529" s="21">
        <f t="shared" ref="D529:H529" si="387">D522</f>
        <v>0</v>
      </c>
      <c r="E529" s="23" t="str">
        <f t="shared" si="387"/>
        <v>4200</v>
      </c>
      <c r="F529" s="23" t="str">
        <f t="shared" si="387"/>
        <v>4000</v>
      </c>
      <c r="G529" s="23" t="str">
        <f t="shared" si="387"/>
        <v>3800</v>
      </c>
      <c r="H529" s="23">
        <f t="shared" si="387"/>
        <v>380</v>
      </c>
      <c r="I529" s="23" t="str">
        <f>I508</f>
        <v>4800</v>
      </c>
      <c r="J529" s="23" t="str">
        <f t="shared" ref="J529:Q529" si="388">J522</f>
        <v>1000</v>
      </c>
      <c r="K529" s="23">
        <f t="shared" si="388"/>
        <v>375</v>
      </c>
      <c r="L529" s="23">
        <f t="shared" si="388"/>
        <v>585</v>
      </c>
      <c r="M529" s="23" t="str">
        <f t="shared" si="388"/>
        <v>1000</v>
      </c>
      <c r="N529" s="23">
        <f t="shared" si="388"/>
        <v>3300</v>
      </c>
      <c r="O529" s="23">
        <f t="shared" si="388"/>
        <v>0</v>
      </c>
      <c r="P529" s="23">
        <f t="shared" si="388"/>
        <v>0</v>
      </c>
      <c r="Q529" s="23">
        <f t="shared" si="388"/>
        <v>2</v>
      </c>
      <c r="R529" s="21"/>
    </row>
    <row r="530" spans="1:18" ht="14.25" customHeight="1" x14ac:dyDescent="0.15">
      <c r="A530" s="19">
        <v>3</v>
      </c>
      <c r="B530" s="19">
        <f>1.2*3</f>
        <v>3.5999999999999996</v>
      </c>
      <c r="C530" s="19">
        <f>0.6+0.3</f>
        <v>0.89999999999999991</v>
      </c>
      <c r="D530" s="19">
        <f>B530*C530</f>
        <v>3.2399999999999993</v>
      </c>
      <c r="E530" s="19"/>
      <c r="F530" s="19"/>
      <c r="G530" s="19"/>
      <c r="H530" s="19"/>
      <c r="I530" s="19">
        <f>B530*0.4</f>
        <v>1.44</v>
      </c>
      <c r="J530" s="19">
        <v>2</v>
      </c>
      <c r="K530" s="19">
        <f t="shared" ref="K530:L530" si="389">A530</f>
        <v>3</v>
      </c>
      <c r="L530" s="19">
        <f t="shared" si="389"/>
        <v>3.5999999999999996</v>
      </c>
      <c r="M530" s="19">
        <f>A530</f>
        <v>3</v>
      </c>
      <c r="N530" s="19">
        <f>(1.2*0.4)*2</f>
        <v>0.96</v>
      </c>
      <c r="O530" s="19"/>
      <c r="P530" s="19"/>
      <c r="Q530" s="19"/>
      <c r="R530" s="19"/>
    </row>
    <row r="531" spans="1:18" ht="14.25" customHeight="1" x14ac:dyDescent="0.2">
      <c r="A531" s="19"/>
      <c r="B531" s="19"/>
      <c r="C531" s="19"/>
      <c r="D531" s="26" t="str">
        <f>D405</f>
        <v>3000</v>
      </c>
      <c r="E531" s="45">
        <v>0</v>
      </c>
      <c r="F531" s="45">
        <v>0</v>
      </c>
      <c r="G531" s="45">
        <v>2</v>
      </c>
      <c r="H531" s="19">
        <f>B530*2</f>
        <v>7.1999999999999993</v>
      </c>
      <c r="I531" s="19"/>
      <c r="J531" s="19"/>
      <c r="K531" s="19"/>
      <c r="L531" s="19"/>
      <c r="M531" s="19"/>
      <c r="N531" s="28"/>
      <c r="O531" s="19"/>
      <c r="P531" s="19"/>
      <c r="Q531" s="19"/>
      <c r="R531" s="19"/>
    </row>
    <row r="532" spans="1:18" ht="14.25" customHeight="1" x14ac:dyDescent="0.2">
      <c r="A532" s="19"/>
      <c r="B532" s="19"/>
      <c r="C532" s="19"/>
      <c r="D532" s="19">
        <f>D530*D531</f>
        <v>9719.9999999999982</v>
      </c>
      <c r="E532" s="45">
        <f>E531*E529</f>
        <v>0</v>
      </c>
      <c r="F532" s="45">
        <f t="shared" ref="F532:H532" si="390">F529*F531</f>
        <v>0</v>
      </c>
      <c r="G532" s="45">
        <f t="shared" si="390"/>
        <v>7600</v>
      </c>
      <c r="H532" s="19">
        <f t="shared" si="390"/>
        <v>2735.9999999999995</v>
      </c>
      <c r="I532" s="19">
        <f t="shared" ref="I532:N532" si="391">I529*I530</f>
        <v>6912</v>
      </c>
      <c r="J532" s="19">
        <f t="shared" si="391"/>
        <v>2000</v>
      </c>
      <c r="K532" s="19">
        <f t="shared" si="391"/>
        <v>1125</v>
      </c>
      <c r="L532" s="19">
        <f t="shared" si="391"/>
        <v>2106</v>
      </c>
      <c r="M532" s="19">
        <f t="shared" si="391"/>
        <v>3000</v>
      </c>
      <c r="N532" s="19">
        <f t="shared" si="391"/>
        <v>3168</v>
      </c>
      <c r="O532" s="19">
        <f>SUM(D532:N532)</f>
        <v>38367</v>
      </c>
      <c r="P532" s="19">
        <f>O532/A530</f>
        <v>12789</v>
      </c>
      <c r="Q532" s="19">
        <f>P532*Q529</f>
        <v>25578</v>
      </c>
      <c r="R532" s="19">
        <f>MROUND(Q532,100)</f>
        <v>25600</v>
      </c>
    </row>
    <row r="533" spans="1:18" ht="14.25" customHeight="1" x14ac:dyDescent="0.1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</row>
    <row r="534" spans="1:18" ht="14.25" customHeight="1" x14ac:dyDescent="0.3">
      <c r="A534" s="109" t="str">
        <f>PRICELIST!I291</f>
        <v>WSTK-LNR-NSH-PLM-1200-F</v>
      </c>
      <c r="B534" s="87"/>
      <c r="C534" s="87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7"/>
    </row>
    <row r="535" spans="1:18" ht="14.25" customHeight="1" x14ac:dyDescent="0.15">
      <c r="A535" s="19" t="s">
        <v>57</v>
      </c>
      <c r="B535" s="19" t="s">
        <v>59</v>
      </c>
      <c r="C535" s="19" t="s">
        <v>62</v>
      </c>
      <c r="D535" s="19" t="s">
        <v>64</v>
      </c>
      <c r="E535" s="19">
        <v>1200</v>
      </c>
      <c r="F535" s="19">
        <v>900</v>
      </c>
      <c r="G535" s="19">
        <v>600</v>
      </c>
      <c r="H535" s="19" t="s">
        <v>67</v>
      </c>
      <c r="I535" s="19" t="s">
        <v>68</v>
      </c>
      <c r="J535" s="19" t="s">
        <v>69</v>
      </c>
      <c r="K535" s="19" t="s">
        <v>71</v>
      </c>
      <c r="L535" s="19" t="s">
        <v>72</v>
      </c>
      <c r="M535" s="19" t="s">
        <v>73</v>
      </c>
      <c r="N535" s="19" t="s">
        <v>75</v>
      </c>
      <c r="O535" s="19" t="s">
        <v>76</v>
      </c>
      <c r="P535" s="19" t="s">
        <v>78</v>
      </c>
      <c r="Q535" s="19" t="s">
        <v>79</v>
      </c>
      <c r="R535" s="19" t="s">
        <v>81</v>
      </c>
    </row>
    <row r="536" spans="1:18" ht="14.25" customHeight="1" x14ac:dyDescent="0.15">
      <c r="A536" s="21">
        <f t="shared" ref="A536:B536" si="392">A529</f>
        <v>0</v>
      </c>
      <c r="B536" s="21">
        <f t="shared" si="392"/>
        <v>0</v>
      </c>
      <c r="C536" s="44" t="s">
        <v>188</v>
      </c>
      <c r="D536" s="21">
        <f t="shared" ref="D536:H536" si="393">D529</f>
        <v>0</v>
      </c>
      <c r="E536" s="23" t="str">
        <f t="shared" si="393"/>
        <v>4200</v>
      </c>
      <c r="F536" s="23" t="str">
        <f t="shared" si="393"/>
        <v>4000</v>
      </c>
      <c r="G536" s="23" t="str">
        <f t="shared" si="393"/>
        <v>3800</v>
      </c>
      <c r="H536" s="23">
        <f t="shared" si="393"/>
        <v>380</v>
      </c>
      <c r="I536" s="23" t="str">
        <f>I515</f>
        <v>5500</v>
      </c>
      <c r="J536" s="23" t="str">
        <f t="shared" ref="J536:Q536" si="394">J529</f>
        <v>1000</v>
      </c>
      <c r="K536" s="23">
        <f t="shared" si="394"/>
        <v>375</v>
      </c>
      <c r="L536" s="23">
        <f t="shared" si="394"/>
        <v>585</v>
      </c>
      <c r="M536" s="23" t="str">
        <f t="shared" si="394"/>
        <v>1000</v>
      </c>
      <c r="N536" s="23">
        <f t="shared" si="394"/>
        <v>3300</v>
      </c>
      <c r="O536" s="23">
        <f t="shared" si="394"/>
        <v>0</v>
      </c>
      <c r="P536" s="23">
        <f t="shared" si="394"/>
        <v>0</v>
      </c>
      <c r="Q536" s="23">
        <f t="shared" si="394"/>
        <v>2</v>
      </c>
      <c r="R536" s="21"/>
    </row>
    <row r="537" spans="1:18" ht="14.25" customHeight="1" x14ac:dyDescent="0.15">
      <c r="A537" s="19">
        <v>3</v>
      </c>
      <c r="B537" s="19">
        <f>1.2*3</f>
        <v>3.5999999999999996</v>
      </c>
      <c r="C537" s="19">
        <f>0.6+0.3</f>
        <v>0.89999999999999991</v>
      </c>
      <c r="D537" s="19">
        <f>B537*C537</f>
        <v>3.2399999999999993</v>
      </c>
      <c r="E537" s="19"/>
      <c r="F537" s="19"/>
      <c r="G537" s="19"/>
      <c r="H537" s="19"/>
      <c r="I537" s="19">
        <f>B537*0.4</f>
        <v>1.44</v>
      </c>
      <c r="J537" s="19">
        <v>2</v>
      </c>
      <c r="K537" s="19">
        <f t="shared" ref="K537:L537" si="395">A537</f>
        <v>3</v>
      </c>
      <c r="L537" s="19">
        <f t="shared" si="395"/>
        <v>3.5999999999999996</v>
      </c>
      <c r="M537" s="19">
        <f>A537</f>
        <v>3</v>
      </c>
      <c r="N537" s="19">
        <f>(1.2*0.4)*2</f>
        <v>0.96</v>
      </c>
      <c r="O537" s="19"/>
      <c r="P537" s="19"/>
      <c r="Q537" s="19"/>
      <c r="R537" s="19"/>
    </row>
    <row r="538" spans="1:18" ht="14.25" customHeight="1" x14ac:dyDescent="0.2">
      <c r="A538" s="19"/>
      <c r="B538" s="19"/>
      <c r="C538" s="19"/>
      <c r="D538" s="26" t="str">
        <f>D531</f>
        <v>3000</v>
      </c>
      <c r="E538" s="45">
        <v>0</v>
      </c>
      <c r="F538" s="45">
        <v>0</v>
      </c>
      <c r="G538" s="45">
        <v>2</v>
      </c>
      <c r="H538" s="19">
        <f>B537*2</f>
        <v>7.1999999999999993</v>
      </c>
      <c r="I538" s="19"/>
      <c r="J538" s="19"/>
      <c r="K538" s="19"/>
      <c r="L538" s="19"/>
      <c r="M538" s="19"/>
      <c r="N538" s="28"/>
      <c r="O538" s="19"/>
      <c r="P538" s="19"/>
      <c r="Q538" s="19"/>
      <c r="R538" s="19"/>
    </row>
    <row r="539" spans="1:18" ht="14.25" customHeight="1" x14ac:dyDescent="0.2">
      <c r="A539" s="19"/>
      <c r="B539" s="19"/>
      <c r="C539" s="19"/>
      <c r="D539" s="19">
        <f>D537*D538</f>
        <v>9719.9999999999982</v>
      </c>
      <c r="E539" s="45">
        <f>E538*E536</f>
        <v>0</v>
      </c>
      <c r="F539" s="45">
        <f t="shared" ref="F539:H539" si="396">F536*F538</f>
        <v>0</v>
      </c>
      <c r="G539" s="45">
        <f t="shared" si="396"/>
        <v>7600</v>
      </c>
      <c r="H539" s="19">
        <f t="shared" si="396"/>
        <v>2735.9999999999995</v>
      </c>
      <c r="I539" s="19">
        <f t="shared" ref="I539:N539" si="397">I536*I537</f>
        <v>7920</v>
      </c>
      <c r="J539" s="19">
        <f t="shared" si="397"/>
        <v>2000</v>
      </c>
      <c r="K539" s="19">
        <f t="shared" si="397"/>
        <v>1125</v>
      </c>
      <c r="L539" s="19">
        <f t="shared" si="397"/>
        <v>2106</v>
      </c>
      <c r="M539" s="19">
        <f t="shared" si="397"/>
        <v>3000</v>
      </c>
      <c r="N539" s="19">
        <f t="shared" si="397"/>
        <v>3168</v>
      </c>
      <c r="O539" s="19">
        <f>SUM(D539:N539)</f>
        <v>39375</v>
      </c>
      <c r="P539" s="19">
        <f>O539/A537</f>
        <v>13125</v>
      </c>
      <c r="Q539" s="19">
        <f>P539*Q536</f>
        <v>26250</v>
      </c>
      <c r="R539" s="19">
        <f>MROUND(Q539,100)</f>
        <v>26300</v>
      </c>
    </row>
    <row r="540" spans="1:18" ht="14.25" customHeight="1" x14ac:dyDescent="0.1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</row>
    <row r="541" spans="1:18" ht="14.25" customHeight="1" x14ac:dyDescent="0.3">
      <c r="A541" s="109" t="str">
        <f>PRICELIST!I292</f>
        <v>WSTK-LNR-NSH-PLM-1200-G</v>
      </c>
      <c r="B541" s="87"/>
      <c r="C541" s="87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7"/>
    </row>
    <row r="542" spans="1:18" ht="14.25" customHeight="1" x14ac:dyDescent="0.15">
      <c r="A542" s="19" t="s">
        <v>57</v>
      </c>
      <c r="B542" s="19" t="s">
        <v>59</v>
      </c>
      <c r="C542" s="19" t="s">
        <v>62</v>
      </c>
      <c r="D542" s="19" t="s">
        <v>64</v>
      </c>
      <c r="E542" s="19">
        <v>1200</v>
      </c>
      <c r="F542" s="19">
        <v>900</v>
      </c>
      <c r="G542" s="19">
        <v>600</v>
      </c>
      <c r="H542" s="19" t="s">
        <v>67</v>
      </c>
      <c r="I542" s="19" t="s">
        <v>68</v>
      </c>
      <c r="J542" s="19" t="s">
        <v>69</v>
      </c>
      <c r="K542" s="19" t="s">
        <v>71</v>
      </c>
      <c r="L542" s="19" t="s">
        <v>72</v>
      </c>
      <c r="M542" s="19" t="s">
        <v>73</v>
      </c>
      <c r="N542" s="19" t="s">
        <v>75</v>
      </c>
      <c r="O542" s="19" t="s">
        <v>76</v>
      </c>
      <c r="P542" s="19" t="s">
        <v>78</v>
      </c>
      <c r="Q542" s="19" t="s">
        <v>79</v>
      </c>
      <c r="R542" s="19" t="s">
        <v>81</v>
      </c>
    </row>
    <row r="543" spans="1:18" ht="14.25" customHeight="1" x14ac:dyDescent="0.15">
      <c r="A543" s="21">
        <f t="shared" ref="A543:B543" si="398">A536</f>
        <v>0</v>
      </c>
      <c r="B543" s="21">
        <f t="shared" si="398"/>
        <v>0</v>
      </c>
      <c r="C543" s="44" t="s">
        <v>188</v>
      </c>
      <c r="D543" s="21">
        <f t="shared" ref="D543:H543" si="399">D536</f>
        <v>0</v>
      </c>
      <c r="E543" s="23" t="str">
        <f t="shared" si="399"/>
        <v>4200</v>
      </c>
      <c r="F543" s="23" t="str">
        <f t="shared" si="399"/>
        <v>4000</v>
      </c>
      <c r="G543" s="23" t="str">
        <f t="shared" si="399"/>
        <v>3800</v>
      </c>
      <c r="H543" s="23">
        <f t="shared" si="399"/>
        <v>380</v>
      </c>
      <c r="I543" s="23" t="str">
        <f>I522</f>
        <v>0</v>
      </c>
      <c r="J543" s="23" t="str">
        <f t="shared" ref="J543:Q543" si="400">J536</f>
        <v>1000</v>
      </c>
      <c r="K543" s="23">
        <f t="shared" si="400"/>
        <v>375</v>
      </c>
      <c r="L543" s="23">
        <f t="shared" si="400"/>
        <v>585</v>
      </c>
      <c r="M543" s="23" t="str">
        <f t="shared" si="400"/>
        <v>1000</v>
      </c>
      <c r="N543" s="23">
        <f t="shared" si="400"/>
        <v>3300</v>
      </c>
      <c r="O543" s="23">
        <f t="shared" si="400"/>
        <v>0</v>
      </c>
      <c r="P543" s="23">
        <f t="shared" si="400"/>
        <v>0</v>
      </c>
      <c r="Q543" s="23">
        <f t="shared" si="400"/>
        <v>2</v>
      </c>
      <c r="R543" s="21"/>
    </row>
    <row r="544" spans="1:18" ht="14.25" customHeight="1" x14ac:dyDescent="0.15">
      <c r="A544" s="19">
        <v>3</v>
      </c>
      <c r="B544" s="19">
        <f>1.2*3</f>
        <v>3.5999999999999996</v>
      </c>
      <c r="C544" s="19">
        <f>0.6+0.3</f>
        <v>0.89999999999999991</v>
      </c>
      <c r="D544" s="19">
        <f>B544*C544</f>
        <v>3.2399999999999993</v>
      </c>
      <c r="E544" s="19"/>
      <c r="F544" s="19"/>
      <c r="G544" s="19"/>
      <c r="H544" s="19"/>
      <c r="I544" s="19">
        <f>B544*0.4</f>
        <v>1.44</v>
      </c>
      <c r="J544" s="19">
        <v>2</v>
      </c>
      <c r="K544" s="19">
        <f t="shared" ref="K544:L544" si="401">A544</f>
        <v>3</v>
      </c>
      <c r="L544" s="19">
        <f t="shared" si="401"/>
        <v>3.5999999999999996</v>
      </c>
      <c r="M544" s="19">
        <f>A544</f>
        <v>3</v>
      </c>
      <c r="N544" s="19">
        <f>(1.2*0.4)*2</f>
        <v>0.96</v>
      </c>
      <c r="O544" s="19"/>
      <c r="P544" s="19"/>
      <c r="Q544" s="19"/>
      <c r="R544" s="19"/>
    </row>
    <row r="545" spans="1:18" ht="14.25" customHeight="1" x14ac:dyDescent="0.2">
      <c r="A545" s="19"/>
      <c r="B545" s="19"/>
      <c r="C545" s="19"/>
      <c r="D545" s="26" t="str">
        <f>D538</f>
        <v>3000</v>
      </c>
      <c r="E545" s="45">
        <v>0</v>
      </c>
      <c r="F545" s="45">
        <v>0</v>
      </c>
      <c r="G545" s="45">
        <v>2</v>
      </c>
      <c r="H545" s="19">
        <f>B544*2</f>
        <v>7.1999999999999993</v>
      </c>
      <c r="I545" s="19"/>
      <c r="J545" s="19"/>
      <c r="K545" s="19"/>
      <c r="L545" s="19"/>
      <c r="M545" s="19"/>
      <c r="N545" s="28"/>
      <c r="O545" s="19"/>
      <c r="P545" s="19"/>
      <c r="Q545" s="19"/>
      <c r="R545" s="19"/>
    </row>
    <row r="546" spans="1:18" ht="14.25" customHeight="1" x14ac:dyDescent="0.2">
      <c r="A546" s="19"/>
      <c r="B546" s="19"/>
      <c r="C546" s="19"/>
      <c r="D546" s="19">
        <f>D544*D545</f>
        <v>9719.9999999999982</v>
      </c>
      <c r="E546" s="45">
        <f>E545*E543</f>
        <v>0</v>
      </c>
      <c r="F546" s="45">
        <f t="shared" ref="F546:H546" si="402">F543*F545</f>
        <v>0</v>
      </c>
      <c r="G546" s="45">
        <f t="shared" si="402"/>
        <v>7600</v>
      </c>
      <c r="H546" s="19">
        <f t="shared" si="402"/>
        <v>2735.9999999999995</v>
      </c>
      <c r="I546" s="19">
        <f t="shared" ref="I546:N546" si="403">I543*I544</f>
        <v>0</v>
      </c>
      <c r="J546" s="19">
        <f t="shared" si="403"/>
        <v>2000</v>
      </c>
      <c r="K546" s="19">
        <f t="shared" si="403"/>
        <v>1125</v>
      </c>
      <c r="L546" s="19">
        <f t="shared" si="403"/>
        <v>2106</v>
      </c>
      <c r="M546" s="19">
        <f t="shared" si="403"/>
        <v>3000</v>
      </c>
      <c r="N546" s="19">
        <f t="shared" si="403"/>
        <v>3168</v>
      </c>
      <c r="O546" s="19">
        <f>SUM(D546:N546)</f>
        <v>31455</v>
      </c>
      <c r="P546" s="19">
        <f>O546/A544</f>
        <v>10485</v>
      </c>
      <c r="Q546" s="19">
        <f>P546*Q543</f>
        <v>20970</v>
      </c>
      <c r="R546" s="19">
        <f>MROUND(Q546,100)</f>
        <v>21000</v>
      </c>
    </row>
    <row r="547" spans="1:18" ht="14.25" customHeight="1" x14ac:dyDescent="0.1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</row>
    <row r="548" spans="1:18" ht="14.25" customHeight="1" x14ac:dyDescent="0.3">
      <c r="A548" s="109" t="str">
        <f>PRICELIST!I293</f>
        <v>WSTK-LNR-NSH-PLM-1200-X</v>
      </c>
      <c r="B548" s="87"/>
      <c r="C548" s="87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7"/>
    </row>
    <row r="549" spans="1:18" ht="14.25" customHeight="1" x14ac:dyDescent="0.15">
      <c r="A549" s="19" t="s">
        <v>57</v>
      </c>
      <c r="B549" s="19" t="s">
        <v>59</v>
      </c>
      <c r="C549" s="19" t="s">
        <v>62</v>
      </c>
      <c r="D549" s="19" t="s">
        <v>64</v>
      </c>
      <c r="E549" s="19">
        <v>1200</v>
      </c>
      <c r="F549" s="19">
        <v>900</v>
      </c>
      <c r="G549" s="19">
        <v>600</v>
      </c>
      <c r="H549" s="19" t="s">
        <v>67</v>
      </c>
      <c r="I549" s="19" t="s">
        <v>68</v>
      </c>
      <c r="J549" s="19" t="s">
        <v>69</v>
      </c>
      <c r="K549" s="19" t="s">
        <v>71</v>
      </c>
      <c r="L549" s="19" t="s">
        <v>72</v>
      </c>
      <c r="M549" s="19" t="s">
        <v>73</v>
      </c>
      <c r="N549" s="19" t="s">
        <v>75</v>
      </c>
      <c r="O549" s="19" t="s">
        <v>76</v>
      </c>
      <c r="P549" s="19" t="s">
        <v>78</v>
      </c>
      <c r="Q549" s="19" t="s">
        <v>79</v>
      </c>
      <c r="R549" s="19" t="s">
        <v>81</v>
      </c>
    </row>
    <row r="550" spans="1:18" ht="14.25" customHeight="1" x14ac:dyDescent="0.15">
      <c r="A550" s="21">
        <f t="shared" ref="A550:B550" si="404">A543</f>
        <v>0</v>
      </c>
      <c r="B550" s="21">
        <f t="shared" si="404"/>
        <v>0</v>
      </c>
      <c r="C550" s="44" t="s">
        <v>188</v>
      </c>
      <c r="D550" s="21">
        <f t="shared" ref="D550:H550" si="405">D543</f>
        <v>0</v>
      </c>
      <c r="E550" s="23" t="str">
        <f t="shared" si="405"/>
        <v>4200</v>
      </c>
      <c r="F550" s="23" t="str">
        <f t="shared" si="405"/>
        <v>4000</v>
      </c>
      <c r="G550" s="23" t="str">
        <f t="shared" si="405"/>
        <v>3800</v>
      </c>
      <c r="H550" s="23">
        <f t="shared" si="405"/>
        <v>380</v>
      </c>
      <c r="I550" s="23" t="str">
        <f>I529</f>
        <v>4800</v>
      </c>
      <c r="J550" s="23" t="str">
        <f t="shared" ref="J550:Q550" si="406">J543</f>
        <v>1000</v>
      </c>
      <c r="K550" s="23">
        <f t="shared" si="406"/>
        <v>375</v>
      </c>
      <c r="L550" s="23">
        <f t="shared" si="406"/>
        <v>585</v>
      </c>
      <c r="M550" s="23" t="str">
        <f t="shared" si="406"/>
        <v>1000</v>
      </c>
      <c r="N550" s="23">
        <f t="shared" si="406"/>
        <v>3300</v>
      </c>
      <c r="O550" s="23">
        <f t="shared" si="406"/>
        <v>0</v>
      </c>
      <c r="P550" s="23">
        <f t="shared" si="406"/>
        <v>0</v>
      </c>
      <c r="Q550" s="23">
        <f t="shared" si="406"/>
        <v>2</v>
      </c>
      <c r="R550" s="21"/>
    </row>
    <row r="551" spans="1:18" ht="14.25" customHeight="1" x14ac:dyDescent="0.15">
      <c r="A551" s="19">
        <v>3</v>
      </c>
      <c r="B551" s="19">
        <f>1.2*3</f>
        <v>3.5999999999999996</v>
      </c>
      <c r="C551" s="19">
        <f>0.6+0.3</f>
        <v>0.89999999999999991</v>
      </c>
      <c r="D551" s="19">
        <f>B551*C551</f>
        <v>3.2399999999999993</v>
      </c>
      <c r="E551" s="19"/>
      <c r="F551" s="19"/>
      <c r="G551" s="19"/>
      <c r="H551" s="19"/>
      <c r="I551" s="19">
        <f>B551*0.4</f>
        <v>1.44</v>
      </c>
      <c r="J551" s="19">
        <v>2</v>
      </c>
      <c r="K551" s="19">
        <f t="shared" ref="K551:L551" si="407">A551</f>
        <v>3</v>
      </c>
      <c r="L551" s="19">
        <f t="shared" si="407"/>
        <v>3.5999999999999996</v>
      </c>
      <c r="M551" s="19">
        <f>A551</f>
        <v>3</v>
      </c>
      <c r="N551" s="19">
        <f>(1.2*0.4)*2</f>
        <v>0.96</v>
      </c>
      <c r="O551" s="19"/>
      <c r="P551" s="19"/>
      <c r="Q551" s="19"/>
      <c r="R551" s="19"/>
    </row>
    <row r="552" spans="1:18" ht="14.25" customHeight="1" x14ac:dyDescent="0.2">
      <c r="A552" s="19"/>
      <c r="B552" s="19"/>
      <c r="C552" s="19"/>
      <c r="D552" s="26" t="str">
        <f>D433</f>
        <v>7500</v>
      </c>
      <c r="E552" s="45">
        <v>0</v>
      </c>
      <c r="F552" s="45">
        <v>0</v>
      </c>
      <c r="G552" s="45">
        <v>2</v>
      </c>
      <c r="H552" s="19">
        <f>B551*2</f>
        <v>7.1999999999999993</v>
      </c>
      <c r="I552" s="19"/>
      <c r="J552" s="19"/>
      <c r="K552" s="19"/>
      <c r="L552" s="19"/>
      <c r="M552" s="19"/>
      <c r="N552" s="28"/>
      <c r="O552" s="19"/>
      <c r="P552" s="19"/>
      <c r="Q552" s="19"/>
      <c r="R552" s="19"/>
    </row>
    <row r="553" spans="1:18" ht="14.25" customHeight="1" x14ac:dyDescent="0.2">
      <c r="A553" s="19"/>
      <c r="B553" s="19"/>
      <c r="C553" s="19"/>
      <c r="D553" s="19">
        <f>D551*D552</f>
        <v>24299.999999999996</v>
      </c>
      <c r="E553" s="45">
        <f>E552*E550</f>
        <v>0</v>
      </c>
      <c r="F553" s="45">
        <f t="shared" ref="F553:H553" si="408">F550*F552</f>
        <v>0</v>
      </c>
      <c r="G553" s="45">
        <f t="shared" si="408"/>
        <v>7600</v>
      </c>
      <c r="H553" s="19">
        <f t="shared" si="408"/>
        <v>2735.9999999999995</v>
      </c>
      <c r="I553" s="19">
        <f t="shared" ref="I553:N553" si="409">I550*I551</f>
        <v>6912</v>
      </c>
      <c r="J553" s="19">
        <f t="shared" si="409"/>
        <v>2000</v>
      </c>
      <c r="K553" s="19">
        <f t="shared" si="409"/>
        <v>1125</v>
      </c>
      <c r="L553" s="19">
        <f t="shared" si="409"/>
        <v>2106</v>
      </c>
      <c r="M553" s="19">
        <f t="shared" si="409"/>
        <v>3000</v>
      </c>
      <c r="N553" s="19">
        <f t="shared" si="409"/>
        <v>3168</v>
      </c>
      <c r="O553" s="19">
        <f>SUM(D553:N553)</f>
        <v>52946.999999999993</v>
      </c>
      <c r="P553" s="19">
        <f>O553/A551</f>
        <v>17648.999999999996</v>
      </c>
      <c r="Q553" s="19">
        <f>P553*Q550</f>
        <v>35297.999999999993</v>
      </c>
      <c r="R553" s="19">
        <f>MROUND(Q553,100)</f>
        <v>35300</v>
      </c>
    </row>
    <row r="554" spans="1:18" ht="14.25" customHeight="1" x14ac:dyDescent="0.1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</row>
    <row r="555" spans="1:18" ht="14.25" customHeight="1" x14ac:dyDescent="0.3">
      <c r="A555" s="109" t="str">
        <f>PRICELIST!I294</f>
        <v>WSTK-LNR-NSH-PoLM-1200-F</v>
      </c>
      <c r="B555" s="87"/>
      <c r="C555" s="87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7"/>
    </row>
    <row r="556" spans="1:18" ht="14.25" customHeight="1" x14ac:dyDescent="0.15">
      <c r="A556" s="19" t="s">
        <v>57</v>
      </c>
      <c r="B556" s="19" t="s">
        <v>59</v>
      </c>
      <c r="C556" s="19" t="s">
        <v>62</v>
      </c>
      <c r="D556" s="19" t="s">
        <v>64</v>
      </c>
      <c r="E556" s="19">
        <v>1200</v>
      </c>
      <c r="F556" s="19">
        <v>900</v>
      </c>
      <c r="G556" s="19">
        <v>600</v>
      </c>
      <c r="H556" s="19" t="s">
        <v>67</v>
      </c>
      <c r="I556" s="19" t="s">
        <v>68</v>
      </c>
      <c r="J556" s="19" t="s">
        <v>69</v>
      </c>
      <c r="K556" s="19" t="s">
        <v>71</v>
      </c>
      <c r="L556" s="19" t="s">
        <v>72</v>
      </c>
      <c r="M556" s="19" t="s">
        <v>73</v>
      </c>
      <c r="N556" s="19" t="s">
        <v>75</v>
      </c>
      <c r="O556" s="19" t="s">
        <v>76</v>
      </c>
      <c r="P556" s="19" t="s">
        <v>78</v>
      </c>
      <c r="Q556" s="19" t="s">
        <v>79</v>
      </c>
      <c r="R556" s="19" t="s">
        <v>81</v>
      </c>
    </row>
    <row r="557" spans="1:18" ht="14.25" customHeight="1" x14ac:dyDescent="0.15">
      <c r="A557" s="21">
        <f t="shared" ref="A557:B557" si="410">A550</f>
        <v>0</v>
      </c>
      <c r="B557" s="21">
        <f t="shared" si="410"/>
        <v>0</v>
      </c>
      <c r="C557" s="44" t="s">
        <v>188</v>
      </c>
      <c r="D557" s="21">
        <f t="shared" ref="D557:H557" si="411">D550</f>
        <v>0</v>
      </c>
      <c r="E557" s="23" t="str">
        <f t="shared" si="411"/>
        <v>4200</v>
      </c>
      <c r="F557" s="23" t="str">
        <f t="shared" si="411"/>
        <v>4000</v>
      </c>
      <c r="G557" s="23" t="str">
        <f t="shared" si="411"/>
        <v>3800</v>
      </c>
      <c r="H557" s="23">
        <f t="shared" si="411"/>
        <v>380</v>
      </c>
      <c r="I557" s="23" t="str">
        <f>I536</f>
        <v>5500</v>
      </c>
      <c r="J557" s="23" t="str">
        <f t="shared" ref="J557:Q557" si="412">J550</f>
        <v>1000</v>
      </c>
      <c r="K557" s="23">
        <f t="shared" si="412"/>
        <v>375</v>
      </c>
      <c r="L557" s="23">
        <f t="shared" si="412"/>
        <v>585</v>
      </c>
      <c r="M557" s="23" t="str">
        <f t="shared" si="412"/>
        <v>1000</v>
      </c>
      <c r="N557" s="23">
        <f t="shared" si="412"/>
        <v>3300</v>
      </c>
      <c r="O557" s="23">
        <f t="shared" si="412"/>
        <v>0</v>
      </c>
      <c r="P557" s="23">
        <f t="shared" si="412"/>
        <v>0</v>
      </c>
      <c r="Q557" s="23">
        <f t="shared" si="412"/>
        <v>2</v>
      </c>
      <c r="R557" s="21"/>
    </row>
    <row r="558" spans="1:18" ht="14.25" customHeight="1" x14ac:dyDescent="0.15">
      <c r="A558" s="19">
        <v>3</v>
      </c>
      <c r="B558" s="19">
        <f>1.2*3</f>
        <v>3.5999999999999996</v>
      </c>
      <c r="C558" s="19">
        <f>0.6+0.3</f>
        <v>0.89999999999999991</v>
      </c>
      <c r="D558" s="19">
        <f>B558*C558</f>
        <v>3.2399999999999993</v>
      </c>
      <c r="E558" s="19"/>
      <c r="F558" s="19"/>
      <c r="G558" s="19"/>
      <c r="H558" s="19"/>
      <c r="I558" s="19">
        <f>B558*0.4</f>
        <v>1.44</v>
      </c>
      <c r="J558" s="19">
        <v>2</v>
      </c>
      <c r="K558" s="19">
        <f t="shared" ref="K558:L558" si="413">A558</f>
        <v>3</v>
      </c>
      <c r="L558" s="19">
        <f t="shared" si="413"/>
        <v>3.5999999999999996</v>
      </c>
      <c r="M558" s="19">
        <f>A558</f>
        <v>3</v>
      </c>
      <c r="N558" s="19">
        <f>(1.2*0.4)*2</f>
        <v>0.96</v>
      </c>
      <c r="O558" s="19"/>
      <c r="P558" s="19"/>
      <c r="Q558" s="19"/>
      <c r="R558" s="19"/>
    </row>
    <row r="559" spans="1:18" ht="14.25" customHeight="1" x14ac:dyDescent="0.2">
      <c r="A559" s="19"/>
      <c r="B559" s="19"/>
      <c r="C559" s="19"/>
      <c r="D559" s="26" t="str">
        <f>D552</f>
        <v>7500</v>
      </c>
      <c r="E559" s="45">
        <v>0</v>
      </c>
      <c r="F559" s="45">
        <v>0</v>
      </c>
      <c r="G559" s="45">
        <v>2</v>
      </c>
      <c r="H559" s="19">
        <f>B558*2</f>
        <v>7.1999999999999993</v>
      </c>
      <c r="I559" s="19"/>
      <c r="J559" s="19"/>
      <c r="K559" s="19"/>
      <c r="L559" s="19"/>
      <c r="M559" s="19"/>
      <c r="N559" s="28"/>
      <c r="O559" s="19"/>
      <c r="P559" s="19"/>
      <c r="Q559" s="19"/>
      <c r="R559" s="19"/>
    </row>
    <row r="560" spans="1:18" ht="14.25" customHeight="1" x14ac:dyDescent="0.2">
      <c r="A560" s="19"/>
      <c r="B560" s="19"/>
      <c r="C560" s="19"/>
      <c r="D560" s="19">
        <f>D558*D559</f>
        <v>24299.999999999996</v>
      </c>
      <c r="E560" s="45">
        <f>E559*E557</f>
        <v>0</v>
      </c>
      <c r="F560" s="45">
        <f t="shared" ref="F560:H560" si="414">F557*F559</f>
        <v>0</v>
      </c>
      <c r="G560" s="45">
        <f t="shared" si="414"/>
        <v>7600</v>
      </c>
      <c r="H560" s="19">
        <f t="shared" si="414"/>
        <v>2735.9999999999995</v>
      </c>
      <c r="I560" s="19">
        <f t="shared" ref="I560:N560" si="415">I557*I558</f>
        <v>7920</v>
      </c>
      <c r="J560" s="19">
        <f t="shared" si="415"/>
        <v>2000</v>
      </c>
      <c r="K560" s="19">
        <f t="shared" si="415"/>
        <v>1125</v>
      </c>
      <c r="L560" s="19">
        <f t="shared" si="415"/>
        <v>2106</v>
      </c>
      <c r="M560" s="19">
        <f t="shared" si="415"/>
        <v>3000</v>
      </c>
      <c r="N560" s="19">
        <f t="shared" si="415"/>
        <v>3168</v>
      </c>
      <c r="O560" s="19">
        <f>SUM(D560:N560)</f>
        <v>53954.999999999993</v>
      </c>
      <c r="P560" s="19">
        <f>O560/A558</f>
        <v>17984.999999999996</v>
      </c>
      <c r="Q560" s="19">
        <f>P560*Q557</f>
        <v>35969.999999999993</v>
      </c>
      <c r="R560" s="19">
        <f>MROUND(Q560,100)</f>
        <v>36000</v>
      </c>
    </row>
    <row r="561" spans="1:18" ht="14.25" customHeight="1" x14ac:dyDescent="0.1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</row>
    <row r="562" spans="1:18" ht="14.25" customHeight="1" x14ac:dyDescent="0.3">
      <c r="A562" s="109" t="str">
        <f>PRICELIST!I295</f>
        <v>WSTK-LNR-NSH-PoLM-1200-G</v>
      </c>
      <c r="B562" s="87"/>
      <c r="C562" s="87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7"/>
    </row>
    <row r="563" spans="1:18" ht="14.25" customHeight="1" x14ac:dyDescent="0.15">
      <c r="A563" s="19" t="s">
        <v>57</v>
      </c>
      <c r="B563" s="19" t="s">
        <v>59</v>
      </c>
      <c r="C563" s="19" t="s">
        <v>62</v>
      </c>
      <c r="D563" s="19" t="s">
        <v>64</v>
      </c>
      <c r="E563" s="19">
        <v>1200</v>
      </c>
      <c r="F563" s="19">
        <v>900</v>
      </c>
      <c r="G563" s="19">
        <v>600</v>
      </c>
      <c r="H563" s="19" t="s">
        <v>67</v>
      </c>
      <c r="I563" s="19" t="s">
        <v>68</v>
      </c>
      <c r="J563" s="19" t="s">
        <v>69</v>
      </c>
      <c r="K563" s="19" t="s">
        <v>71</v>
      </c>
      <c r="L563" s="19" t="s">
        <v>72</v>
      </c>
      <c r="M563" s="19" t="s">
        <v>73</v>
      </c>
      <c r="N563" s="19" t="s">
        <v>75</v>
      </c>
      <c r="O563" s="19" t="s">
        <v>76</v>
      </c>
      <c r="P563" s="19" t="s">
        <v>78</v>
      </c>
      <c r="Q563" s="19" t="s">
        <v>79</v>
      </c>
      <c r="R563" s="19" t="s">
        <v>81</v>
      </c>
    </row>
    <row r="564" spans="1:18" ht="14.25" customHeight="1" x14ac:dyDescent="0.15">
      <c r="A564" s="21">
        <f t="shared" ref="A564:B564" si="416">A557</f>
        <v>0</v>
      </c>
      <c r="B564" s="21">
        <f t="shared" si="416"/>
        <v>0</v>
      </c>
      <c r="C564" s="44" t="s">
        <v>188</v>
      </c>
      <c r="D564" s="21">
        <f t="shared" ref="D564:H564" si="417">D557</f>
        <v>0</v>
      </c>
      <c r="E564" s="23" t="str">
        <f t="shared" si="417"/>
        <v>4200</v>
      </c>
      <c r="F564" s="23" t="str">
        <f t="shared" si="417"/>
        <v>4000</v>
      </c>
      <c r="G564" s="23" t="str">
        <f t="shared" si="417"/>
        <v>3800</v>
      </c>
      <c r="H564" s="23">
        <f t="shared" si="417"/>
        <v>380</v>
      </c>
      <c r="I564" s="23" t="str">
        <f>I543</f>
        <v>0</v>
      </c>
      <c r="J564" s="23" t="str">
        <f t="shared" ref="J564:Q564" si="418">J557</f>
        <v>1000</v>
      </c>
      <c r="K564" s="23">
        <f t="shared" si="418"/>
        <v>375</v>
      </c>
      <c r="L564" s="23">
        <f t="shared" si="418"/>
        <v>585</v>
      </c>
      <c r="M564" s="23" t="str">
        <f t="shared" si="418"/>
        <v>1000</v>
      </c>
      <c r="N564" s="23">
        <f t="shared" si="418"/>
        <v>3300</v>
      </c>
      <c r="O564" s="23">
        <f t="shared" si="418"/>
        <v>0</v>
      </c>
      <c r="P564" s="23">
        <f t="shared" si="418"/>
        <v>0</v>
      </c>
      <c r="Q564" s="23">
        <f t="shared" si="418"/>
        <v>2</v>
      </c>
      <c r="R564" s="21"/>
    </row>
    <row r="565" spans="1:18" ht="14.25" customHeight="1" x14ac:dyDescent="0.15">
      <c r="A565" s="19">
        <v>3</v>
      </c>
      <c r="B565" s="19">
        <f>1.2*3</f>
        <v>3.5999999999999996</v>
      </c>
      <c r="C565" s="19">
        <f>0.6+0.3</f>
        <v>0.89999999999999991</v>
      </c>
      <c r="D565" s="19">
        <f>B565*C565</f>
        <v>3.2399999999999993</v>
      </c>
      <c r="E565" s="19"/>
      <c r="F565" s="19"/>
      <c r="G565" s="19"/>
      <c r="H565" s="19"/>
      <c r="I565" s="19">
        <f>B565*0.4</f>
        <v>1.44</v>
      </c>
      <c r="J565" s="19">
        <v>2</v>
      </c>
      <c r="K565" s="19">
        <f t="shared" ref="K565:L565" si="419">A565</f>
        <v>3</v>
      </c>
      <c r="L565" s="19">
        <f t="shared" si="419"/>
        <v>3.5999999999999996</v>
      </c>
      <c r="M565" s="19">
        <f>A565</f>
        <v>3</v>
      </c>
      <c r="N565" s="19">
        <f>(1.2*0.4)*2</f>
        <v>0.96</v>
      </c>
      <c r="O565" s="19"/>
      <c r="P565" s="19"/>
      <c r="Q565" s="19"/>
      <c r="R565" s="19"/>
    </row>
    <row r="566" spans="1:18" ht="14.25" customHeight="1" x14ac:dyDescent="0.2">
      <c r="A566" s="19"/>
      <c r="B566" s="19"/>
      <c r="C566" s="19"/>
      <c r="D566" s="26" t="str">
        <f>D559</f>
        <v>7500</v>
      </c>
      <c r="E566" s="45">
        <v>0</v>
      </c>
      <c r="F566" s="45">
        <v>0</v>
      </c>
      <c r="G566" s="45">
        <v>2</v>
      </c>
      <c r="H566" s="19">
        <f>B565*2</f>
        <v>7.1999999999999993</v>
      </c>
      <c r="I566" s="19"/>
      <c r="J566" s="19"/>
      <c r="K566" s="19"/>
      <c r="L566" s="19"/>
      <c r="M566" s="19"/>
      <c r="N566" s="28"/>
      <c r="O566" s="19"/>
      <c r="P566" s="19"/>
      <c r="Q566" s="19"/>
      <c r="R566" s="19"/>
    </row>
    <row r="567" spans="1:18" ht="14.25" customHeight="1" x14ac:dyDescent="0.2">
      <c r="A567" s="19"/>
      <c r="B567" s="19"/>
      <c r="C567" s="19"/>
      <c r="D567" s="19">
        <f>D565*D566</f>
        <v>24299.999999999996</v>
      </c>
      <c r="E567" s="45">
        <f>E566*E564</f>
        <v>0</v>
      </c>
      <c r="F567" s="45">
        <f t="shared" ref="F567:H567" si="420">F564*F566</f>
        <v>0</v>
      </c>
      <c r="G567" s="45">
        <f t="shared" si="420"/>
        <v>7600</v>
      </c>
      <c r="H567" s="19">
        <f t="shared" si="420"/>
        <v>2735.9999999999995</v>
      </c>
      <c r="I567" s="19">
        <f t="shared" ref="I567:N567" si="421">I564*I565</f>
        <v>0</v>
      </c>
      <c r="J567" s="19">
        <f t="shared" si="421"/>
        <v>2000</v>
      </c>
      <c r="K567" s="19">
        <f t="shared" si="421"/>
        <v>1125</v>
      </c>
      <c r="L567" s="19">
        <f t="shared" si="421"/>
        <v>2106</v>
      </c>
      <c r="M567" s="19">
        <f t="shared" si="421"/>
        <v>3000</v>
      </c>
      <c r="N567" s="19">
        <f t="shared" si="421"/>
        <v>3168</v>
      </c>
      <c r="O567" s="19">
        <f>SUM(D567:N567)</f>
        <v>46034.999999999993</v>
      </c>
      <c r="P567" s="19">
        <f>O567/A565</f>
        <v>15344.999999999998</v>
      </c>
      <c r="Q567" s="19">
        <f>P567*Q564</f>
        <v>30689.999999999996</v>
      </c>
      <c r="R567" s="19">
        <f>MROUND(Q567,100)</f>
        <v>30700</v>
      </c>
    </row>
    <row r="568" spans="1:18" ht="14.25" customHeight="1" x14ac:dyDescent="0.1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</row>
    <row r="569" spans="1:18" ht="14.25" customHeight="1" x14ac:dyDescent="0.3">
      <c r="A569" s="109" t="str">
        <f>PRICELIST!I296</f>
        <v>WSTK-LNR-NSH-PoLM-1200-X</v>
      </c>
      <c r="B569" s="87"/>
      <c r="C569" s="87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7"/>
    </row>
    <row r="570" spans="1:18" ht="14.25" customHeight="1" x14ac:dyDescent="0.15">
      <c r="A570" s="19" t="s">
        <v>57</v>
      </c>
      <c r="B570" s="19" t="s">
        <v>59</v>
      </c>
      <c r="C570" s="19" t="s">
        <v>62</v>
      </c>
      <c r="D570" s="19" t="s">
        <v>64</v>
      </c>
      <c r="E570" s="19">
        <v>1200</v>
      </c>
      <c r="F570" s="19">
        <v>900</v>
      </c>
      <c r="G570" s="19">
        <v>600</v>
      </c>
      <c r="H570" s="19" t="s">
        <v>67</v>
      </c>
      <c r="I570" s="19" t="s">
        <v>68</v>
      </c>
      <c r="J570" s="19" t="s">
        <v>69</v>
      </c>
      <c r="K570" s="19" t="s">
        <v>71</v>
      </c>
      <c r="L570" s="19" t="s">
        <v>72</v>
      </c>
      <c r="M570" s="19" t="s">
        <v>73</v>
      </c>
      <c r="N570" s="19" t="s">
        <v>75</v>
      </c>
      <c r="O570" s="19" t="s">
        <v>76</v>
      </c>
      <c r="P570" s="19" t="s">
        <v>78</v>
      </c>
      <c r="Q570" s="19" t="s">
        <v>79</v>
      </c>
      <c r="R570" s="19" t="s">
        <v>81</v>
      </c>
    </row>
    <row r="571" spans="1:18" ht="14.25" customHeight="1" x14ac:dyDescent="0.15">
      <c r="A571" s="21">
        <f t="shared" ref="A571:B571" si="422">A564</f>
        <v>0</v>
      </c>
      <c r="B571" s="21">
        <f t="shared" si="422"/>
        <v>0</v>
      </c>
      <c r="C571" s="44" t="s">
        <v>188</v>
      </c>
      <c r="D571" s="21">
        <f t="shared" ref="D571:H571" si="423">D564</f>
        <v>0</v>
      </c>
      <c r="E571" s="23" t="str">
        <f t="shared" si="423"/>
        <v>4200</v>
      </c>
      <c r="F571" s="23" t="str">
        <f t="shared" si="423"/>
        <v>4000</v>
      </c>
      <c r="G571" s="23" t="str">
        <f t="shared" si="423"/>
        <v>3800</v>
      </c>
      <c r="H571" s="23">
        <f t="shared" si="423"/>
        <v>380</v>
      </c>
      <c r="I571" s="23" t="str">
        <f>I550</f>
        <v>4800</v>
      </c>
      <c r="J571" s="23" t="str">
        <f t="shared" ref="J571:Q571" si="424">J564</f>
        <v>1000</v>
      </c>
      <c r="K571" s="23">
        <f t="shared" si="424"/>
        <v>375</v>
      </c>
      <c r="L571" s="23">
        <f t="shared" si="424"/>
        <v>585</v>
      </c>
      <c r="M571" s="23" t="str">
        <f t="shared" si="424"/>
        <v>1000</v>
      </c>
      <c r="N571" s="23">
        <f t="shared" si="424"/>
        <v>3300</v>
      </c>
      <c r="O571" s="23">
        <f t="shared" si="424"/>
        <v>0</v>
      </c>
      <c r="P571" s="23">
        <f t="shared" si="424"/>
        <v>0</v>
      </c>
      <c r="Q571" s="23">
        <f t="shared" si="424"/>
        <v>2</v>
      </c>
      <c r="R571" s="21"/>
    </row>
    <row r="572" spans="1:18" ht="14.25" customHeight="1" x14ac:dyDescent="0.15">
      <c r="A572" s="19">
        <v>3</v>
      </c>
      <c r="B572" s="19">
        <f>1.2*3</f>
        <v>3.5999999999999996</v>
      </c>
      <c r="C572" s="19">
        <f>0.6+0.3</f>
        <v>0.89999999999999991</v>
      </c>
      <c r="D572" s="19">
        <f>B572*C572</f>
        <v>3.2399999999999993</v>
      </c>
      <c r="E572" s="19"/>
      <c r="F572" s="19"/>
      <c r="G572" s="19"/>
      <c r="H572" s="19"/>
      <c r="I572" s="19">
        <f>B572*0.4</f>
        <v>1.44</v>
      </c>
      <c r="J572" s="19">
        <v>2</v>
      </c>
      <c r="K572" s="19">
        <f t="shared" ref="K572:L572" si="425">A572</f>
        <v>3</v>
      </c>
      <c r="L572" s="19">
        <f t="shared" si="425"/>
        <v>3.5999999999999996</v>
      </c>
      <c r="M572" s="19">
        <f>A572</f>
        <v>3</v>
      </c>
      <c r="N572" s="19">
        <f>(1.2*0.4)*2</f>
        <v>0.96</v>
      </c>
      <c r="O572" s="19"/>
      <c r="P572" s="19"/>
      <c r="Q572" s="19"/>
      <c r="R572" s="19"/>
    </row>
    <row r="573" spans="1:18" ht="14.25" customHeight="1" x14ac:dyDescent="0.2">
      <c r="A573" s="19"/>
      <c r="B573" s="19"/>
      <c r="C573" s="19"/>
      <c r="D573" s="26" t="str">
        <f>D461</f>
        <v>9500</v>
      </c>
      <c r="E573" s="45">
        <v>0</v>
      </c>
      <c r="F573" s="45">
        <v>0</v>
      </c>
      <c r="G573" s="45">
        <v>2</v>
      </c>
      <c r="H573" s="19">
        <f>B572*2</f>
        <v>7.1999999999999993</v>
      </c>
      <c r="I573" s="19"/>
      <c r="J573" s="19"/>
      <c r="K573" s="19"/>
      <c r="L573" s="19"/>
      <c r="M573" s="19"/>
      <c r="N573" s="28"/>
      <c r="O573" s="19"/>
      <c r="P573" s="19"/>
      <c r="Q573" s="19"/>
      <c r="R573" s="19"/>
    </row>
    <row r="574" spans="1:18" ht="14.25" customHeight="1" x14ac:dyDescent="0.2">
      <c r="A574" s="19"/>
      <c r="B574" s="19"/>
      <c r="C574" s="19"/>
      <c r="D574" s="19">
        <f>D572*D573</f>
        <v>30779.999999999993</v>
      </c>
      <c r="E574" s="45">
        <f>E573*E571</f>
        <v>0</v>
      </c>
      <c r="F574" s="45">
        <f t="shared" ref="F574:H574" si="426">F571*F573</f>
        <v>0</v>
      </c>
      <c r="G574" s="45">
        <f t="shared" si="426"/>
        <v>7600</v>
      </c>
      <c r="H574" s="19">
        <f t="shared" si="426"/>
        <v>2735.9999999999995</v>
      </c>
      <c r="I574" s="19">
        <f t="shared" ref="I574:N574" si="427">I571*I572</f>
        <v>6912</v>
      </c>
      <c r="J574" s="19">
        <f t="shared" si="427"/>
        <v>2000</v>
      </c>
      <c r="K574" s="19">
        <f t="shared" si="427"/>
        <v>1125</v>
      </c>
      <c r="L574" s="19">
        <f t="shared" si="427"/>
        <v>2106</v>
      </c>
      <c r="M574" s="19">
        <f t="shared" si="427"/>
        <v>3000</v>
      </c>
      <c r="N574" s="19">
        <f t="shared" si="427"/>
        <v>3168</v>
      </c>
      <c r="O574" s="19">
        <f>SUM(D574:N574)</f>
        <v>59426.999999999993</v>
      </c>
      <c r="P574" s="19">
        <f>O574/A572</f>
        <v>19808.999999999996</v>
      </c>
      <c r="Q574" s="19">
        <f>P574*Q571</f>
        <v>39617.999999999993</v>
      </c>
      <c r="R574" s="19">
        <f>MROUND(Q574,100)</f>
        <v>39600</v>
      </c>
    </row>
    <row r="575" spans="1:18" ht="14.25" customHeight="1" x14ac:dyDescent="0.1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</row>
    <row r="576" spans="1:18" ht="14.25" customHeight="1" x14ac:dyDescent="0.3">
      <c r="A576" s="109" t="str">
        <f>PRICELIST!I297</f>
        <v>WSTK-LNR-NSH-LVM-1200-F</v>
      </c>
      <c r="B576" s="87"/>
      <c r="C576" s="87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7"/>
    </row>
    <row r="577" spans="1:18" ht="14.25" customHeight="1" x14ac:dyDescent="0.15">
      <c r="A577" s="19" t="s">
        <v>57</v>
      </c>
      <c r="B577" s="19" t="s">
        <v>59</v>
      </c>
      <c r="C577" s="19" t="s">
        <v>62</v>
      </c>
      <c r="D577" s="19" t="s">
        <v>64</v>
      </c>
      <c r="E577" s="19">
        <v>1200</v>
      </c>
      <c r="F577" s="19">
        <v>900</v>
      </c>
      <c r="G577" s="19">
        <v>600</v>
      </c>
      <c r="H577" s="19" t="s">
        <v>67</v>
      </c>
      <c r="I577" s="19" t="s">
        <v>68</v>
      </c>
      <c r="J577" s="19" t="s">
        <v>69</v>
      </c>
      <c r="K577" s="19" t="s">
        <v>71</v>
      </c>
      <c r="L577" s="19" t="s">
        <v>72</v>
      </c>
      <c r="M577" s="19" t="s">
        <v>73</v>
      </c>
      <c r="N577" s="19" t="s">
        <v>75</v>
      </c>
      <c r="O577" s="19" t="s">
        <v>76</v>
      </c>
      <c r="P577" s="19" t="s">
        <v>78</v>
      </c>
      <c r="Q577" s="19" t="s">
        <v>79</v>
      </c>
      <c r="R577" s="19" t="s">
        <v>81</v>
      </c>
    </row>
    <row r="578" spans="1:18" ht="14.25" customHeight="1" x14ac:dyDescent="0.15">
      <c r="A578" s="21">
        <f t="shared" ref="A578:B578" si="428">A571</f>
        <v>0</v>
      </c>
      <c r="B578" s="21">
        <f t="shared" si="428"/>
        <v>0</v>
      </c>
      <c r="C578" s="44" t="s">
        <v>188</v>
      </c>
      <c r="D578" s="21">
        <f t="shared" ref="D578:H578" si="429">D571</f>
        <v>0</v>
      </c>
      <c r="E578" s="23" t="str">
        <f t="shared" si="429"/>
        <v>4200</v>
      </c>
      <c r="F578" s="23" t="str">
        <f t="shared" si="429"/>
        <v>4000</v>
      </c>
      <c r="G578" s="23" t="str">
        <f t="shared" si="429"/>
        <v>3800</v>
      </c>
      <c r="H578" s="23">
        <f t="shared" si="429"/>
        <v>380</v>
      </c>
      <c r="I578" s="23" t="str">
        <f>I557</f>
        <v>5500</v>
      </c>
      <c r="J578" s="23" t="str">
        <f t="shared" ref="J578:Q578" si="430">J571</f>
        <v>1000</v>
      </c>
      <c r="K578" s="23">
        <f t="shared" si="430"/>
        <v>375</v>
      </c>
      <c r="L578" s="23">
        <f t="shared" si="430"/>
        <v>585</v>
      </c>
      <c r="M578" s="23" t="str">
        <f t="shared" si="430"/>
        <v>1000</v>
      </c>
      <c r="N578" s="23">
        <f t="shared" si="430"/>
        <v>3300</v>
      </c>
      <c r="O578" s="23">
        <f t="shared" si="430"/>
        <v>0</v>
      </c>
      <c r="P578" s="23">
        <f t="shared" si="430"/>
        <v>0</v>
      </c>
      <c r="Q578" s="23">
        <f t="shared" si="430"/>
        <v>2</v>
      </c>
      <c r="R578" s="21"/>
    </row>
    <row r="579" spans="1:18" ht="14.25" customHeight="1" x14ac:dyDescent="0.15">
      <c r="A579" s="19">
        <v>3</v>
      </c>
      <c r="B579" s="19">
        <f>1.2*3</f>
        <v>3.5999999999999996</v>
      </c>
      <c r="C579" s="19">
        <f>0.6+0.3</f>
        <v>0.89999999999999991</v>
      </c>
      <c r="D579" s="19">
        <f>B579*C579</f>
        <v>3.2399999999999993</v>
      </c>
      <c r="E579" s="19"/>
      <c r="F579" s="19"/>
      <c r="G579" s="19"/>
      <c r="H579" s="19"/>
      <c r="I579" s="19">
        <f>B579*0.4</f>
        <v>1.44</v>
      </c>
      <c r="J579" s="19">
        <v>2</v>
      </c>
      <c r="K579" s="19">
        <f t="shared" ref="K579:L579" si="431">A579</f>
        <v>3</v>
      </c>
      <c r="L579" s="19">
        <f t="shared" si="431"/>
        <v>3.5999999999999996</v>
      </c>
      <c r="M579" s="19">
        <f>A579</f>
        <v>3</v>
      </c>
      <c r="N579" s="19">
        <f>(1.2*0.4)*2</f>
        <v>0.96</v>
      </c>
      <c r="O579" s="19"/>
      <c r="P579" s="19"/>
      <c r="Q579" s="19"/>
      <c r="R579" s="19"/>
    </row>
    <row r="580" spans="1:18" ht="14.25" customHeight="1" x14ac:dyDescent="0.2">
      <c r="A580" s="19"/>
      <c r="B580" s="19"/>
      <c r="C580" s="19"/>
      <c r="D580" s="26" t="str">
        <f>D573</f>
        <v>9500</v>
      </c>
      <c r="E580" s="45">
        <v>0</v>
      </c>
      <c r="F580" s="45">
        <v>0</v>
      </c>
      <c r="G580" s="45">
        <v>2</v>
      </c>
      <c r="H580" s="19">
        <f>B579*2</f>
        <v>7.1999999999999993</v>
      </c>
      <c r="I580" s="19"/>
      <c r="J580" s="19"/>
      <c r="K580" s="19"/>
      <c r="L580" s="19"/>
      <c r="M580" s="19"/>
      <c r="N580" s="28"/>
      <c r="O580" s="19"/>
      <c r="P580" s="19"/>
      <c r="Q580" s="19"/>
      <c r="R580" s="19"/>
    </row>
    <row r="581" spans="1:18" ht="14.25" customHeight="1" x14ac:dyDescent="0.2">
      <c r="A581" s="19"/>
      <c r="B581" s="19"/>
      <c r="C581" s="19"/>
      <c r="D581" s="19">
        <f>D579*D580</f>
        <v>30779.999999999993</v>
      </c>
      <c r="E581" s="45">
        <f>E580*E578</f>
        <v>0</v>
      </c>
      <c r="F581" s="45">
        <f t="shared" ref="F581:H581" si="432">F578*F580</f>
        <v>0</v>
      </c>
      <c r="G581" s="45">
        <f t="shared" si="432"/>
        <v>7600</v>
      </c>
      <c r="H581" s="19">
        <f t="shared" si="432"/>
        <v>2735.9999999999995</v>
      </c>
      <c r="I581" s="19">
        <f t="shared" ref="I581:N581" si="433">I578*I579</f>
        <v>7920</v>
      </c>
      <c r="J581" s="19">
        <f t="shared" si="433"/>
        <v>2000</v>
      </c>
      <c r="K581" s="19">
        <f t="shared" si="433"/>
        <v>1125</v>
      </c>
      <c r="L581" s="19">
        <f t="shared" si="433"/>
        <v>2106</v>
      </c>
      <c r="M581" s="19">
        <f t="shared" si="433"/>
        <v>3000</v>
      </c>
      <c r="N581" s="19">
        <f t="shared" si="433"/>
        <v>3168</v>
      </c>
      <c r="O581" s="19">
        <f>SUM(D581:N581)</f>
        <v>60434.999999999993</v>
      </c>
      <c r="P581" s="19">
        <f>O581/A579</f>
        <v>20144.999999999996</v>
      </c>
      <c r="Q581" s="19">
        <f>P581*Q578</f>
        <v>40289.999999999993</v>
      </c>
      <c r="R581" s="19">
        <f>MROUND(Q581,100)</f>
        <v>40300</v>
      </c>
    </row>
    <row r="582" spans="1:18" ht="14.25" customHeight="1" x14ac:dyDescent="0.1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</row>
    <row r="583" spans="1:18" ht="14.25" customHeight="1" x14ac:dyDescent="0.3">
      <c r="A583" s="109" t="str">
        <f>PRICELIST!I298</f>
        <v>WSTK-LNR-NSH-LVM-1200-G</v>
      </c>
      <c r="B583" s="87"/>
      <c r="C583" s="87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7"/>
    </row>
    <row r="584" spans="1:18" ht="14.25" customHeight="1" x14ac:dyDescent="0.15">
      <c r="A584" s="19" t="s">
        <v>57</v>
      </c>
      <c r="B584" s="19" t="s">
        <v>59</v>
      </c>
      <c r="C584" s="19" t="s">
        <v>62</v>
      </c>
      <c r="D584" s="19" t="s">
        <v>64</v>
      </c>
      <c r="E584" s="19">
        <v>1200</v>
      </c>
      <c r="F584" s="19">
        <v>900</v>
      </c>
      <c r="G584" s="19">
        <v>600</v>
      </c>
      <c r="H584" s="19" t="s">
        <v>67</v>
      </c>
      <c r="I584" s="19" t="s">
        <v>68</v>
      </c>
      <c r="J584" s="19" t="s">
        <v>69</v>
      </c>
      <c r="K584" s="19" t="s">
        <v>71</v>
      </c>
      <c r="L584" s="19" t="s">
        <v>72</v>
      </c>
      <c r="M584" s="19" t="s">
        <v>73</v>
      </c>
      <c r="N584" s="19" t="s">
        <v>75</v>
      </c>
      <c r="O584" s="19" t="s">
        <v>76</v>
      </c>
      <c r="P584" s="19" t="s">
        <v>78</v>
      </c>
      <c r="Q584" s="19" t="s">
        <v>79</v>
      </c>
      <c r="R584" s="19" t="s">
        <v>81</v>
      </c>
    </row>
    <row r="585" spans="1:18" ht="14.25" customHeight="1" x14ac:dyDescent="0.15">
      <c r="A585" s="21">
        <f t="shared" ref="A585:B585" si="434">A578</f>
        <v>0</v>
      </c>
      <c r="B585" s="21">
        <f t="shared" si="434"/>
        <v>0</v>
      </c>
      <c r="C585" s="44" t="s">
        <v>188</v>
      </c>
      <c r="D585" s="21">
        <f t="shared" ref="D585:H585" si="435">D578</f>
        <v>0</v>
      </c>
      <c r="E585" s="23" t="str">
        <f t="shared" si="435"/>
        <v>4200</v>
      </c>
      <c r="F585" s="23" t="str">
        <f t="shared" si="435"/>
        <v>4000</v>
      </c>
      <c r="G585" s="23" t="str">
        <f t="shared" si="435"/>
        <v>3800</v>
      </c>
      <c r="H585" s="23">
        <f t="shared" si="435"/>
        <v>380</v>
      </c>
      <c r="I585" s="23" t="str">
        <f>I564</f>
        <v>0</v>
      </c>
      <c r="J585" s="23" t="str">
        <f t="shared" ref="J585:Q585" si="436">J578</f>
        <v>1000</v>
      </c>
      <c r="K585" s="23">
        <f t="shared" si="436"/>
        <v>375</v>
      </c>
      <c r="L585" s="23">
        <f t="shared" si="436"/>
        <v>585</v>
      </c>
      <c r="M585" s="23" t="str">
        <f t="shared" si="436"/>
        <v>1000</v>
      </c>
      <c r="N585" s="23">
        <f t="shared" si="436"/>
        <v>3300</v>
      </c>
      <c r="O585" s="23">
        <f t="shared" si="436"/>
        <v>0</v>
      </c>
      <c r="P585" s="23">
        <f t="shared" si="436"/>
        <v>0</v>
      </c>
      <c r="Q585" s="23">
        <f t="shared" si="436"/>
        <v>2</v>
      </c>
      <c r="R585" s="21"/>
    </row>
    <row r="586" spans="1:18" ht="14.25" customHeight="1" x14ac:dyDescent="0.15">
      <c r="A586" s="19">
        <v>3</v>
      </c>
      <c r="B586" s="19">
        <f>1.2*3</f>
        <v>3.5999999999999996</v>
      </c>
      <c r="C586" s="19">
        <f>0.6+0.3</f>
        <v>0.89999999999999991</v>
      </c>
      <c r="D586" s="19">
        <f>B586*C586</f>
        <v>3.2399999999999993</v>
      </c>
      <c r="E586" s="19"/>
      <c r="F586" s="19"/>
      <c r="G586" s="19"/>
      <c r="H586" s="19"/>
      <c r="I586" s="19">
        <f>B586*0.4</f>
        <v>1.44</v>
      </c>
      <c r="J586" s="19">
        <v>2</v>
      </c>
      <c r="K586" s="19">
        <f t="shared" ref="K586:L586" si="437">A586</f>
        <v>3</v>
      </c>
      <c r="L586" s="19">
        <f t="shared" si="437"/>
        <v>3.5999999999999996</v>
      </c>
      <c r="M586" s="19">
        <f>A586</f>
        <v>3</v>
      </c>
      <c r="N586" s="19">
        <f>(1.2*0.4)*2</f>
        <v>0.96</v>
      </c>
      <c r="O586" s="19"/>
      <c r="P586" s="19"/>
      <c r="Q586" s="19"/>
      <c r="R586" s="19"/>
    </row>
    <row r="587" spans="1:18" ht="14.25" customHeight="1" x14ac:dyDescent="0.2">
      <c r="A587" s="19"/>
      <c r="B587" s="19"/>
      <c r="C587" s="19"/>
      <c r="D587" s="26" t="str">
        <f>D580</f>
        <v>9500</v>
      </c>
      <c r="E587" s="45">
        <v>0</v>
      </c>
      <c r="F587" s="45">
        <v>0</v>
      </c>
      <c r="G587" s="45">
        <v>2</v>
      </c>
      <c r="H587" s="19">
        <f>B586*2</f>
        <v>7.1999999999999993</v>
      </c>
      <c r="I587" s="19"/>
      <c r="J587" s="19"/>
      <c r="K587" s="19"/>
      <c r="L587" s="19"/>
      <c r="M587" s="19"/>
      <c r="N587" s="28"/>
      <c r="O587" s="19"/>
      <c r="P587" s="19"/>
      <c r="Q587" s="19"/>
      <c r="R587" s="19"/>
    </row>
    <row r="588" spans="1:18" ht="14.25" customHeight="1" x14ac:dyDescent="0.2">
      <c r="A588" s="19"/>
      <c r="B588" s="19"/>
      <c r="C588" s="19"/>
      <c r="D588" s="19">
        <f>D586*D587</f>
        <v>30779.999999999993</v>
      </c>
      <c r="E588" s="45">
        <f>E587*E585</f>
        <v>0</v>
      </c>
      <c r="F588" s="45">
        <f t="shared" ref="F588:H588" si="438">F585*F587</f>
        <v>0</v>
      </c>
      <c r="G588" s="45">
        <f t="shared" si="438"/>
        <v>7600</v>
      </c>
      <c r="H588" s="19">
        <f t="shared" si="438"/>
        <v>2735.9999999999995</v>
      </c>
      <c r="I588" s="19">
        <f t="shared" ref="I588:N588" si="439">I585*I586</f>
        <v>0</v>
      </c>
      <c r="J588" s="19">
        <f t="shared" si="439"/>
        <v>2000</v>
      </c>
      <c r="K588" s="19">
        <f t="shared" si="439"/>
        <v>1125</v>
      </c>
      <c r="L588" s="19">
        <f t="shared" si="439"/>
        <v>2106</v>
      </c>
      <c r="M588" s="19">
        <f t="shared" si="439"/>
        <v>3000</v>
      </c>
      <c r="N588" s="19">
        <f t="shared" si="439"/>
        <v>3168</v>
      </c>
      <c r="O588" s="19">
        <f>SUM(D588:N588)</f>
        <v>52514.999999999993</v>
      </c>
      <c r="P588" s="19">
        <f>O588/A586</f>
        <v>17504.999999999996</v>
      </c>
      <c r="Q588" s="19">
        <f>P588*Q585</f>
        <v>35009.999999999993</v>
      </c>
      <c r="R588" s="19">
        <f>MROUND(Q588,100)</f>
        <v>35000</v>
      </c>
    </row>
    <row r="589" spans="1:18" ht="14.25" customHeight="1" x14ac:dyDescent="0.1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</row>
    <row r="590" spans="1:18" ht="14.25" customHeight="1" x14ac:dyDescent="0.3">
      <c r="A590" s="109" t="str">
        <f>PRICELIST!I299</f>
        <v>WSTK-LNR-NSH-LVM-1200-X</v>
      </c>
      <c r="B590" s="87"/>
      <c r="C590" s="87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7"/>
    </row>
    <row r="591" spans="1:18" ht="14.25" customHeight="1" x14ac:dyDescent="0.15">
      <c r="A591" s="19" t="s">
        <v>57</v>
      </c>
      <c r="B591" s="19" t="s">
        <v>59</v>
      </c>
      <c r="C591" s="19" t="s">
        <v>62</v>
      </c>
      <c r="D591" s="19" t="s">
        <v>64</v>
      </c>
      <c r="E591" s="19">
        <v>1200</v>
      </c>
      <c r="F591" s="19">
        <v>900</v>
      </c>
      <c r="G591" s="19">
        <v>600</v>
      </c>
      <c r="H591" s="19" t="s">
        <v>67</v>
      </c>
      <c r="I591" s="19" t="s">
        <v>68</v>
      </c>
      <c r="J591" s="19" t="s">
        <v>69</v>
      </c>
      <c r="K591" s="19" t="s">
        <v>71</v>
      </c>
      <c r="L591" s="19" t="s">
        <v>72</v>
      </c>
      <c r="M591" s="19" t="s">
        <v>73</v>
      </c>
      <c r="N591" s="19" t="s">
        <v>75</v>
      </c>
      <c r="O591" s="19" t="s">
        <v>76</v>
      </c>
      <c r="P591" s="19" t="s">
        <v>78</v>
      </c>
      <c r="Q591" s="19" t="s">
        <v>79</v>
      </c>
      <c r="R591" s="19" t="s">
        <v>81</v>
      </c>
    </row>
    <row r="592" spans="1:18" ht="14.25" customHeight="1" x14ac:dyDescent="0.15">
      <c r="A592" s="21">
        <f t="shared" ref="A592:B592" si="440">A585</f>
        <v>0</v>
      </c>
      <c r="B592" s="21">
        <f t="shared" si="440"/>
        <v>0</v>
      </c>
      <c r="C592" s="44" t="s">
        <v>188</v>
      </c>
      <c r="D592" s="21">
        <f t="shared" ref="D592:H592" si="441">D585</f>
        <v>0</v>
      </c>
      <c r="E592" s="23" t="str">
        <f t="shared" si="441"/>
        <v>4200</v>
      </c>
      <c r="F592" s="23" t="str">
        <f t="shared" si="441"/>
        <v>4000</v>
      </c>
      <c r="G592" s="23" t="str">
        <f t="shared" si="441"/>
        <v>3800</v>
      </c>
      <c r="H592" s="23">
        <f t="shared" si="441"/>
        <v>380</v>
      </c>
      <c r="I592" s="23" t="str">
        <f>I571</f>
        <v>4800</v>
      </c>
      <c r="J592" s="23" t="str">
        <f t="shared" ref="J592:Q592" si="442">J585</f>
        <v>1000</v>
      </c>
      <c r="K592" s="23">
        <f t="shared" si="442"/>
        <v>375</v>
      </c>
      <c r="L592" s="23">
        <f t="shared" si="442"/>
        <v>585</v>
      </c>
      <c r="M592" s="23" t="str">
        <f t="shared" si="442"/>
        <v>1000</v>
      </c>
      <c r="N592" s="23">
        <f t="shared" si="442"/>
        <v>3300</v>
      </c>
      <c r="O592" s="23">
        <f t="shared" si="442"/>
        <v>0</v>
      </c>
      <c r="P592" s="23">
        <f t="shared" si="442"/>
        <v>0</v>
      </c>
      <c r="Q592" s="23">
        <f t="shared" si="442"/>
        <v>2</v>
      </c>
      <c r="R592" s="21"/>
    </row>
    <row r="593" spans="1:18" ht="14.25" customHeight="1" x14ac:dyDescent="0.15">
      <c r="A593" s="19">
        <v>3</v>
      </c>
      <c r="B593" s="19">
        <f>1.2*3</f>
        <v>3.5999999999999996</v>
      </c>
      <c r="C593" s="19">
        <f>0.6+0.3</f>
        <v>0.89999999999999991</v>
      </c>
      <c r="D593" s="19">
        <f>B593*C593</f>
        <v>3.2399999999999993</v>
      </c>
      <c r="E593" s="19"/>
      <c r="F593" s="19"/>
      <c r="G593" s="19"/>
      <c r="H593" s="19"/>
      <c r="I593" s="19">
        <f>B593*0.4</f>
        <v>1.44</v>
      </c>
      <c r="J593" s="19">
        <v>2</v>
      </c>
      <c r="K593" s="19">
        <f t="shared" ref="K593:L593" si="443">A593</f>
        <v>3</v>
      </c>
      <c r="L593" s="19">
        <f t="shared" si="443"/>
        <v>3.5999999999999996</v>
      </c>
      <c r="M593" s="19">
        <f>A593</f>
        <v>3</v>
      </c>
      <c r="N593" s="19">
        <f>(1.2*0.4)*2</f>
        <v>0.96</v>
      </c>
      <c r="O593" s="19"/>
      <c r="P593" s="19"/>
      <c r="Q593" s="19"/>
      <c r="R593" s="19"/>
    </row>
    <row r="594" spans="1:18" ht="14.25" customHeight="1" x14ac:dyDescent="0.2">
      <c r="A594" s="19"/>
      <c r="B594" s="19"/>
      <c r="C594" s="19"/>
      <c r="D594" s="26" t="str">
        <f>D475</f>
        <v>10500</v>
      </c>
      <c r="E594" s="45">
        <v>0</v>
      </c>
      <c r="F594" s="45">
        <v>0</v>
      </c>
      <c r="G594" s="45">
        <v>2</v>
      </c>
      <c r="H594" s="19">
        <f>B593*2</f>
        <v>7.1999999999999993</v>
      </c>
      <c r="I594" s="19"/>
      <c r="J594" s="19"/>
      <c r="K594" s="19"/>
      <c r="L594" s="19"/>
      <c r="M594" s="19"/>
      <c r="N594" s="28"/>
      <c r="O594" s="19"/>
      <c r="P594" s="19"/>
      <c r="Q594" s="19"/>
      <c r="R594" s="19"/>
    </row>
    <row r="595" spans="1:18" ht="14.25" customHeight="1" x14ac:dyDescent="0.2">
      <c r="A595" s="19"/>
      <c r="B595" s="19"/>
      <c r="C595" s="19"/>
      <c r="D595" s="19">
        <f>D593*D594</f>
        <v>34019.999999999993</v>
      </c>
      <c r="E595" s="45">
        <f>E594*E592</f>
        <v>0</v>
      </c>
      <c r="F595" s="45">
        <f t="shared" ref="F595:H595" si="444">F592*F594</f>
        <v>0</v>
      </c>
      <c r="G595" s="45">
        <f t="shared" si="444"/>
        <v>7600</v>
      </c>
      <c r="H595" s="19">
        <f t="shared" si="444"/>
        <v>2735.9999999999995</v>
      </c>
      <c r="I595" s="19">
        <f t="shared" ref="I595:N595" si="445">I592*I593</f>
        <v>6912</v>
      </c>
      <c r="J595" s="19">
        <f t="shared" si="445"/>
        <v>2000</v>
      </c>
      <c r="K595" s="19">
        <f t="shared" si="445"/>
        <v>1125</v>
      </c>
      <c r="L595" s="19">
        <f t="shared" si="445"/>
        <v>2106</v>
      </c>
      <c r="M595" s="19">
        <f t="shared" si="445"/>
        <v>3000</v>
      </c>
      <c r="N595" s="19">
        <f t="shared" si="445"/>
        <v>3168</v>
      </c>
      <c r="O595" s="19">
        <f>SUM(D595:N595)</f>
        <v>62666.999999999993</v>
      </c>
      <c r="P595" s="19">
        <f>O595/A593</f>
        <v>20888.999999999996</v>
      </c>
      <c r="Q595" s="19">
        <f>P595*Q592</f>
        <v>41777.999999999993</v>
      </c>
      <c r="R595" s="19">
        <f>MROUND(Q595,100)</f>
        <v>41800</v>
      </c>
    </row>
    <row r="596" spans="1:18" ht="14.25" customHeight="1" x14ac:dyDescent="0.1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</row>
    <row r="597" spans="1:18" ht="14.25" customHeight="1" x14ac:dyDescent="0.3">
      <c r="A597" s="109" t="str">
        <f>PRICELIST!I300</f>
        <v>WSTK-LNR-NSH-LVP-1200-F</v>
      </c>
      <c r="B597" s="87"/>
      <c r="C597" s="87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7"/>
    </row>
    <row r="598" spans="1:18" ht="14.25" customHeight="1" x14ac:dyDescent="0.15">
      <c r="A598" s="19" t="s">
        <v>57</v>
      </c>
      <c r="B598" s="19" t="s">
        <v>59</v>
      </c>
      <c r="C598" s="19" t="s">
        <v>62</v>
      </c>
      <c r="D598" s="19" t="s">
        <v>64</v>
      </c>
      <c r="E598" s="19">
        <v>1200</v>
      </c>
      <c r="F598" s="19">
        <v>900</v>
      </c>
      <c r="G598" s="19">
        <v>600</v>
      </c>
      <c r="H598" s="19" t="s">
        <v>67</v>
      </c>
      <c r="I598" s="19" t="s">
        <v>68</v>
      </c>
      <c r="J598" s="19" t="s">
        <v>69</v>
      </c>
      <c r="K598" s="19" t="s">
        <v>71</v>
      </c>
      <c r="L598" s="19" t="s">
        <v>72</v>
      </c>
      <c r="M598" s="19" t="s">
        <v>73</v>
      </c>
      <c r="N598" s="19" t="s">
        <v>75</v>
      </c>
      <c r="O598" s="19" t="s">
        <v>76</v>
      </c>
      <c r="P598" s="19" t="s">
        <v>78</v>
      </c>
      <c r="Q598" s="19" t="s">
        <v>79</v>
      </c>
      <c r="R598" s="19" t="s">
        <v>81</v>
      </c>
    </row>
    <row r="599" spans="1:18" ht="14.25" customHeight="1" x14ac:dyDescent="0.15">
      <c r="A599" s="21">
        <f t="shared" ref="A599:B599" si="446">A592</f>
        <v>0</v>
      </c>
      <c r="B599" s="21">
        <f t="shared" si="446"/>
        <v>0</v>
      </c>
      <c r="C599" s="44" t="s">
        <v>188</v>
      </c>
      <c r="D599" s="21">
        <f t="shared" ref="D599:H599" si="447">D592</f>
        <v>0</v>
      </c>
      <c r="E599" s="23" t="str">
        <f t="shared" si="447"/>
        <v>4200</v>
      </c>
      <c r="F599" s="23" t="str">
        <f t="shared" si="447"/>
        <v>4000</v>
      </c>
      <c r="G599" s="23" t="str">
        <f t="shared" si="447"/>
        <v>3800</v>
      </c>
      <c r="H599" s="23">
        <f t="shared" si="447"/>
        <v>380</v>
      </c>
      <c r="I599" s="23" t="str">
        <f>I578</f>
        <v>5500</v>
      </c>
      <c r="J599" s="23" t="str">
        <f t="shared" ref="J599:Q599" si="448">J592</f>
        <v>1000</v>
      </c>
      <c r="K599" s="23">
        <f t="shared" si="448"/>
        <v>375</v>
      </c>
      <c r="L599" s="23">
        <f t="shared" si="448"/>
        <v>585</v>
      </c>
      <c r="M599" s="23" t="str">
        <f t="shared" si="448"/>
        <v>1000</v>
      </c>
      <c r="N599" s="23">
        <f t="shared" si="448"/>
        <v>3300</v>
      </c>
      <c r="O599" s="23">
        <f t="shared" si="448"/>
        <v>0</v>
      </c>
      <c r="P599" s="23">
        <f t="shared" si="448"/>
        <v>0</v>
      </c>
      <c r="Q599" s="23">
        <f t="shared" si="448"/>
        <v>2</v>
      </c>
      <c r="R599" s="21"/>
    </row>
    <row r="600" spans="1:18" ht="14.25" customHeight="1" x14ac:dyDescent="0.15">
      <c r="A600" s="19">
        <v>3</v>
      </c>
      <c r="B600" s="19">
        <f>1.2*3</f>
        <v>3.5999999999999996</v>
      </c>
      <c r="C600" s="19">
        <f>0.6+0.3</f>
        <v>0.89999999999999991</v>
      </c>
      <c r="D600" s="19">
        <f>B600*C600</f>
        <v>3.2399999999999993</v>
      </c>
      <c r="E600" s="19"/>
      <c r="F600" s="19"/>
      <c r="G600" s="19"/>
      <c r="H600" s="19"/>
      <c r="I600" s="19">
        <f>B600*0.4</f>
        <v>1.44</v>
      </c>
      <c r="J600" s="19">
        <v>2</v>
      </c>
      <c r="K600" s="19">
        <f t="shared" ref="K600:L600" si="449">A600</f>
        <v>3</v>
      </c>
      <c r="L600" s="19">
        <f t="shared" si="449"/>
        <v>3.5999999999999996</v>
      </c>
      <c r="M600" s="19">
        <f>A600</f>
        <v>3</v>
      </c>
      <c r="N600" s="19">
        <f>(1.2*0.4)*2</f>
        <v>0.96</v>
      </c>
      <c r="O600" s="19"/>
      <c r="P600" s="19"/>
      <c r="Q600" s="19"/>
      <c r="R600" s="19"/>
    </row>
    <row r="601" spans="1:18" ht="14.25" customHeight="1" x14ac:dyDescent="0.2">
      <c r="A601" s="19"/>
      <c r="B601" s="19"/>
      <c r="C601" s="19"/>
      <c r="D601" s="26" t="str">
        <f>D594</f>
        <v>10500</v>
      </c>
      <c r="E601" s="45">
        <v>0</v>
      </c>
      <c r="F601" s="45">
        <v>0</v>
      </c>
      <c r="G601" s="45">
        <v>2</v>
      </c>
      <c r="H601" s="19">
        <f>B600*2</f>
        <v>7.1999999999999993</v>
      </c>
      <c r="I601" s="19"/>
      <c r="J601" s="19"/>
      <c r="K601" s="19"/>
      <c r="L601" s="19"/>
      <c r="M601" s="19"/>
      <c r="N601" s="28"/>
      <c r="O601" s="19"/>
      <c r="P601" s="19"/>
      <c r="Q601" s="19"/>
      <c r="R601" s="19"/>
    </row>
    <row r="602" spans="1:18" ht="14.25" customHeight="1" x14ac:dyDescent="0.2">
      <c r="A602" s="19"/>
      <c r="B602" s="19"/>
      <c r="C602" s="19"/>
      <c r="D602" s="19">
        <f>D600*D601</f>
        <v>34019.999999999993</v>
      </c>
      <c r="E602" s="45">
        <f>E601*E599</f>
        <v>0</v>
      </c>
      <c r="F602" s="45">
        <f t="shared" ref="F602:H602" si="450">F599*F601</f>
        <v>0</v>
      </c>
      <c r="G602" s="45">
        <f t="shared" si="450"/>
        <v>7600</v>
      </c>
      <c r="H602" s="19">
        <f t="shared" si="450"/>
        <v>2735.9999999999995</v>
      </c>
      <c r="I602" s="19">
        <f t="shared" ref="I602:N602" si="451">I599*I600</f>
        <v>7920</v>
      </c>
      <c r="J602" s="19">
        <f t="shared" si="451"/>
        <v>2000</v>
      </c>
      <c r="K602" s="19">
        <f t="shared" si="451"/>
        <v>1125</v>
      </c>
      <c r="L602" s="19">
        <f t="shared" si="451"/>
        <v>2106</v>
      </c>
      <c r="M602" s="19">
        <f t="shared" si="451"/>
        <v>3000</v>
      </c>
      <c r="N602" s="19">
        <f t="shared" si="451"/>
        <v>3168</v>
      </c>
      <c r="O602" s="19">
        <f>SUM(D602:N602)</f>
        <v>63674.999999999993</v>
      </c>
      <c r="P602" s="19">
        <f>O602/A600</f>
        <v>21224.999999999996</v>
      </c>
      <c r="Q602" s="19">
        <f>P602*Q599</f>
        <v>42449.999999999993</v>
      </c>
      <c r="R602" s="19">
        <f>MROUND(Q602,100)</f>
        <v>42400</v>
      </c>
    </row>
    <row r="603" spans="1:18" ht="14.25" customHeight="1" x14ac:dyDescent="0.1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</row>
    <row r="604" spans="1:18" ht="14.25" customHeight="1" x14ac:dyDescent="0.3">
      <c r="A604" s="109" t="str">
        <f>PRICELIST!I301</f>
        <v>WSTK-LNR-NSH-LVP-1200-G</v>
      </c>
      <c r="B604" s="87"/>
      <c r="C604" s="87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7"/>
    </row>
    <row r="605" spans="1:18" ht="14.25" customHeight="1" x14ac:dyDescent="0.15">
      <c r="A605" s="19" t="s">
        <v>57</v>
      </c>
      <c r="B605" s="19" t="s">
        <v>59</v>
      </c>
      <c r="C605" s="19" t="s">
        <v>62</v>
      </c>
      <c r="D605" s="19" t="s">
        <v>64</v>
      </c>
      <c r="E605" s="19">
        <v>1200</v>
      </c>
      <c r="F605" s="19">
        <v>900</v>
      </c>
      <c r="G605" s="19">
        <v>600</v>
      </c>
      <c r="H605" s="19" t="s">
        <v>67</v>
      </c>
      <c r="I605" s="19" t="s">
        <v>68</v>
      </c>
      <c r="J605" s="19" t="s">
        <v>69</v>
      </c>
      <c r="K605" s="19" t="s">
        <v>71</v>
      </c>
      <c r="L605" s="19" t="s">
        <v>72</v>
      </c>
      <c r="M605" s="19" t="s">
        <v>73</v>
      </c>
      <c r="N605" s="19" t="s">
        <v>75</v>
      </c>
      <c r="O605" s="19" t="s">
        <v>76</v>
      </c>
      <c r="P605" s="19" t="s">
        <v>78</v>
      </c>
      <c r="Q605" s="19" t="s">
        <v>79</v>
      </c>
      <c r="R605" s="19" t="s">
        <v>81</v>
      </c>
    </row>
    <row r="606" spans="1:18" ht="14.25" customHeight="1" x14ac:dyDescent="0.15">
      <c r="A606" s="21">
        <f t="shared" ref="A606:B606" si="452">A599</f>
        <v>0</v>
      </c>
      <c r="B606" s="21">
        <f t="shared" si="452"/>
        <v>0</v>
      </c>
      <c r="C606" s="44" t="s">
        <v>188</v>
      </c>
      <c r="D606" s="21">
        <f t="shared" ref="D606:H606" si="453">D599</f>
        <v>0</v>
      </c>
      <c r="E606" s="23" t="str">
        <f t="shared" si="453"/>
        <v>4200</v>
      </c>
      <c r="F606" s="23" t="str">
        <f t="shared" si="453"/>
        <v>4000</v>
      </c>
      <c r="G606" s="23" t="str">
        <f t="shared" si="453"/>
        <v>3800</v>
      </c>
      <c r="H606" s="23">
        <f t="shared" si="453"/>
        <v>380</v>
      </c>
      <c r="I606" s="23" t="str">
        <f>I585</f>
        <v>0</v>
      </c>
      <c r="J606" s="23" t="str">
        <f t="shared" ref="J606:Q606" si="454">J599</f>
        <v>1000</v>
      </c>
      <c r="K606" s="23">
        <f t="shared" si="454"/>
        <v>375</v>
      </c>
      <c r="L606" s="23">
        <f t="shared" si="454"/>
        <v>585</v>
      </c>
      <c r="M606" s="23" t="str">
        <f t="shared" si="454"/>
        <v>1000</v>
      </c>
      <c r="N606" s="23">
        <f t="shared" si="454"/>
        <v>3300</v>
      </c>
      <c r="O606" s="23">
        <f t="shared" si="454"/>
        <v>0</v>
      </c>
      <c r="P606" s="23">
        <f t="shared" si="454"/>
        <v>0</v>
      </c>
      <c r="Q606" s="23">
        <f t="shared" si="454"/>
        <v>2</v>
      </c>
      <c r="R606" s="21"/>
    </row>
    <row r="607" spans="1:18" ht="14.25" customHeight="1" x14ac:dyDescent="0.15">
      <c r="A607" s="19">
        <v>3</v>
      </c>
      <c r="B607" s="19">
        <f>1.2*3</f>
        <v>3.5999999999999996</v>
      </c>
      <c r="C607" s="19">
        <f>0.6+0.3</f>
        <v>0.89999999999999991</v>
      </c>
      <c r="D607" s="19">
        <f>B607*C607</f>
        <v>3.2399999999999993</v>
      </c>
      <c r="E607" s="19"/>
      <c r="F607" s="19"/>
      <c r="G607" s="19"/>
      <c r="H607" s="19"/>
      <c r="I607" s="19">
        <f>B607*0.4</f>
        <v>1.44</v>
      </c>
      <c r="J607" s="19">
        <v>2</v>
      </c>
      <c r="K607" s="19">
        <f t="shared" ref="K607:L607" si="455">A607</f>
        <v>3</v>
      </c>
      <c r="L607" s="19">
        <f t="shared" si="455"/>
        <v>3.5999999999999996</v>
      </c>
      <c r="M607" s="19">
        <f>A607</f>
        <v>3</v>
      </c>
      <c r="N607" s="19">
        <f>(1.2*0.4)*2</f>
        <v>0.96</v>
      </c>
      <c r="O607" s="19"/>
      <c r="P607" s="19"/>
      <c r="Q607" s="19"/>
      <c r="R607" s="19"/>
    </row>
    <row r="608" spans="1:18" ht="14.25" customHeight="1" x14ac:dyDescent="0.2">
      <c r="A608" s="19"/>
      <c r="B608" s="19"/>
      <c r="C608" s="19"/>
      <c r="D608" s="26" t="str">
        <f>D601</f>
        <v>10500</v>
      </c>
      <c r="E608" s="45">
        <v>0</v>
      </c>
      <c r="F608" s="45">
        <v>0</v>
      </c>
      <c r="G608" s="45">
        <v>2</v>
      </c>
      <c r="H608" s="19">
        <f>B607*2</f>
        <v>7.1999999999999993</v>
      </c>
      <c r="I608" s="19"/>
      <c r="J608" s="19"/>
      <c r="K608" s="19"/>
      <c r="L608" s="19"/>
      <c r="M608" s="19"/>
      <c r="N608" s="28"/>
      <c r="O608" s="19"/>
      <c r="P608" s="19"/>
      <c r="Q608" s="19"/>
      <c r="R608" s="19"/>
    </row>
    <row r="609" spans="1:18" ht="14.25" customHeight="1" x14ac:dyDescent="0.2">
      <c r="A609" s="19"/>
      <c r="B609" s="19"/>
      <c r="C609" s="19"/>
      <c r="D609" s="19">
        <f>D607*D608</f>
        <v>34019.999999999993</v>
      </c>
      <c r="E609" s="45">
        <f>E608*E606</f>
        <v>0</v>
      </c>
      <c r="F609" s="45">
        <f t="shared" ref="F609:H609" si="456">F606*F608</f>
        <v>0</v>
      </c>
      <c r="G609" s="45">
        <f t="shared" si="456"/>
        <v>7600</v>
      </c>
      <c r="H609" s="19">
        <f t="shared" si="456"/>
        <v>2735.9999999999995</v>
      </c>
      <c r="I609" s="19">
        <f t="shared" ref="I609:N609" si="457">I606*I607</f>
        <v>0</v>
      </c>
      <c r="J609" s="19">
        <f t="shared" si="457"/>
        <v>2000</v>
      </c>
      <c r="K609" s="19">
        <f t="shared" si="457"/>
        <v>1125</v>
      </c>
      <c r="L609" s="19">
        <f t="shared" si="457"/>
        <v>2106</v>
      </c>
      <c r="M609" s="19">
        <f t="shared" si="457"/>
        <v>3000</v>
      </c>
      <c r="N609" s="19">
        <f t="shared" si="457"/>
        <v>3168</v>
      </c>
      <c r="O609" s="19">
        <f>SUM(D609:N609)</f>
        <v>55754.999999999993</v>
      </c>
      <c r="P609" s="19">
        <f>O609/A607</f>
        <v>18584.999999999996</v>
      </c>
      <c r="Q609" s="19">
        <f>P609*Q606</f>
        <v>37169.999999999993</v>
      </c>
      <c r="R609" s="19">
        <f>MROUND(Q609,100)</f>
        <v>37200</v>
      </c>
    </row>
    <row r="610" spans="1:18" ht="14.25" customHeight="1" x14ac:dyDescent="0.1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</row>
    <row r="611" spans="1:18" ht="14.25" customHeight="1" x14ac:dyDescent="0.3">
      <c r="A611" s="109" t="str">
        <f>PRICELIST!I302</f>
        <v>WSTK-LNR-NSH-LVP-1200-X</v>
      </c>
      <c r="B611" s="87"/>
      <c r="C611" s="87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7"/>
    </row>
    <row r="612" spans="1:18" ht="14.25" customHeight="1" x14ac:dyDescent="0.15">
      <c r="A612" s="19" t="s">
        <v>57</v>
      </c>
      <c r="B612" s="19" t="s">
        <v>59</v>
      </c>
      <c r="C612" s="19" t="s">
        <v>62</v>
      </c>
      <c r="D612" s="19" t="s">
        <v>64</v>
      </c>
      <c r="E612" s="19">
        <v>1200</v>
      </c>
      <c r="F612" s="19">
        <v>900</v>
      </c>
      <c r="G612" s="19">
        <v>600</v>
      </c>
      <c r="H612" s="19" t="s">
        <v>67</v>
      </c>
      <c r="I612" s="19" t="s">
        <v>68</v>
      </c>
      <c r="J612" s="19" t="s">
        <v>69</v>
      </c>
      <c r="K612" s="19" t="s">
        <v>71</v>
      </c>
      <c r="L612" s="19" t="s">
        <v>72</v>
      </c>
      <c r="M612" s="19" t="s">
        <v>73</v>
      </c>
      <c r="N612" s="19" t="s">
        <v>75</v>
      </c>
      <c r="O612" s="19" t="s">
        <v>76</v>
      </c>
      <c r="P612" s="19" t="s">
        <v>78</v>
      </c>
      <c r="Q612" s="19" t="s">
        <v>79</v>
      </c>
      <c r="R612" s="19" t="s">
        <v>81</v>
      </c>
    </row>
    <row r="613" spans="1:18" ht="14.25" customHeight="1" x14ac:dyDescent="0.15">
      <c r="A613" s="21">
        <f t="shared" ref="A613:B613" si="458">A606</f>
        <v>0</v>
      </c>
      <c r="B613" s="21">
        <f t="shared" si="458"/>
        <v>0</v>
      </c>
      <c r="C613" s="44" t="s">
        <v>188</v>
      </c>
      <c r="D613" s="21">
        <f t="shared" ref="D613:H613" si="459">D606</f>
        <v>0</v>
      </c>
      <c r="E613" s="23" t="str">
        <f t="shared" si="459"/>
        <v>4200</v>
      </c>
      <c r="F613" s="23" t="str">
        <f t="shared" si="459"/>
        <v>4000</v>
      </c>
      <c r="G613" s="23" t="str">
        <f t="shared" si="459"/>
        <v>3800</v>
      </c>
      <c r="H613" s="23">
        <f t="shared" si="459"/>
        <v>380</v>
      </c>
      <c r="I613" s="23" t="str">
        <f>I592</f>
        <v>4800</v>
      </c>
      <c r="J613" s="23" t="str">
        <f t="shared" ref="J613:Q613" si="460">J606</f>
        <v>1000</v>
      </c>
      <c r="K613" s="23">
        <f t="shared" si="460"/>
        <v>375</v>
      </c>
      <c r="L613" s="23">
        <f t="shared" si="460"/>
        <v>585</v>
      </c>
      <c r="M613" s="23" t="str">
        <f t="shared" si="460"/>
        <v>1000</v>
      </c>
      <c r="N613" s="23">
        <f t="shared" si="460"/>
        <v>3300</v>
      </c>
      <c r="O613" s="23">
        <f t="shared" si="460"/>
        <v>0</v>
      </c>
      <c r="P613" s="23">
        <f t="shared" si="460"/>
        <v>0</v>
      </c>
      <c r="Q613" s="23">
        <f t="shared" si="460"/>
        <v>2</v>
      </c>
      <c r="R613" s="21"/>
    </row>
    <row r="614" spans="1:18" ht="14.25" customHeight="1" x14ac:dyDescent="0.15">
      <c r="A614" s="19">
        <v>3</v>
      </c>
      <c r="B614" s="19">
        <f>1.2*3</f>
        <v>3.5999999999999996</v>
      </c>
      <c r="C614" s="19">
        <f>0.6+0.3</f>
        <v>0.89999999999999991</v>
      </c>
      <c r="D614" s="19">
        <f>B614*C614</f>
        <v>3.2399999999999993</v>
      </c>
      <c r="E614" s="19"/>
      <c r="F614" s="19"/>
      <c r="G614" s="19"/>
      <c r="H614" s="19"/>
      <c r="I614" s="19">
        <f>B614*0.4</f>
        <v>1.44</v>
      </c>
      <c r="J614" s="19">
        <v>2</v>
      </c>
      <c r="K614" s="19">
        <f t="shared" ref="K614:L614" si="461">A614</f>
        <v>3</v>
      </c>
      <c r="L614" s="19">
        <f t="shared" si="461"/>
        <v>3.5999999999999996</v>
      </c>
      <c r="M614" s="19">
        <f>A614</f>
        <v>3</v>
      </c>
      <c r="N614" s="19">
        <f>(1.2*0.4)*2</f>
        <v>0.96</v>
      </c>
      <c r="O614" s="19"/>
      <c r="P614" s="19"/>
      <c r="Q614" s="19"/>
      <c r="R614" s="19"/>
    </row>
    <row r="615" spans="1:18" ht="14.25" customHeight="1" x14ac:dyDescent="0.2">
      <c r="A615" s="19"/>
      <c r="B615" s="19"/>
      <c r="C615" s="19"/>
      <c r="D615" s="26" t="str">
        <f>D489</f>
        <v>16250</v>
      </c>
      <c r="E615" s="45">
        <v>0</v>
      </c>
      <c r="F615" s="45">
        <v>0</v>
      </c>
      <c r="G615" s="45">
        <v>2</v>
      </c>
      <c r="H615" s="19">
        <f>B614*2</f>
        <v>7.1999999999999993</v>
      </c>
      <c r="I615" s="19"/>
      <c r="J615" s="19"/>
      <c r="K615" s="19"/>
      <c r="L615" s="19"/>
      <c r="M615" s="19"/>
      <c r="N615" s="28"/>
      <c r="O615" s="19"/>
      <c r="P615" s="19"/>
      <c r="Q615" s="19"/>
      <c r="R615" s="19"/>
    </row>
    <row r="616" spans="1:18" ht="14.25" customHeight="1" x14ac:dyDescent="0.2">
      <c r="A616" s="19"/>
      <c r="B616" s="19"/>
      <c r="C616" s="19"/>
      <c r="D616" s="19">
        <f>D614*D615</f>
        <v>52649.999999999985</v>
      </c>
      <c r="E616" s="45">
        <f>E615*E613</f>
        <v>0</v>
      </c>
      <c r="F616" s="45">
        <f t="shared" ref="F616:H616" si="462">F613*F615</f>
        <v>0</v>
      </c>
      <c r="G616" s="45">
        <f t="shared" si="462"/>
        <v>7600</v>
      </c>
      <c r="H616" s="19">
        <f t="shared" si="462"/>
        <v>2735.9999999999995</v>
      </c>
      <c r="I616" s="19">
        <f t="shared" ref="I616:N616" si="463">I613*I614</f>
        <v>6912</v>
      </c>
      <c r="J616" s="19">
        <f t="shared" si="463"/>
        <v>2000</v>
      </c>
      <c r="K616" s="19">
        <f t="shared" si="463"/>
        <v>1125</v>
      </c>
      <c r="L616" s="19">
        <f t="shared" si="463"/>
        <v>2106</v>
      </c>
      <c r="M616" s="19">
        <f t="shared" si="463"/>
        <v>3000</v>
      </c>
      <c r="N616" s="19">
        <f t="shared" si="463"/>
        <v>3168</v>
      </c>
      <c r="O616" s="19">
        <f>SUM(D616:N616)</f>
        <v>81296.999999999985</v>
      </c>
      <c r="P616" s="19">
        <f>O616/A614</f>
        <v>27098.999999999996</v>
      </c>
      <c r="Q616" s="19">
        <f>P616*Q613</f>
        <v>54197.999999999993</v>
      </c>
      <c r="R616" s="19">
        <f>MROUND(Q616,100)</f>
        <v>54200</v>
      </c>
    </row>
    <row r="617" spans="1:18" ht="14.25" customHeight="1" x14ac:dyDescent="0.1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</row>
    <row r="618" spans="1:18" ht="14.25" customHeight="1" x14ac:dyDescent="0.3">
      <c r="A618" s="109" t="str">
        <f>PRICELIST!I303</f>
        <v>WSTK-LNR-NSH-MB-1200-F</v>
      </c>
      <c r="B618" s="87"/>
      <c r="C618" s="87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7"/>
    </row>
    <row r="619" spans="1:18" ht="14.25" customHeight="1" x14ac:dyDescent="0.15">
      <c r="A619" s="19" t="s">
        <v>57</v>
      </c>
      <c r="B619" s="19" t="s">
        <v>59</v>
      </c>
      <c r="C619" s="19" t="s">
        <v>62</v>
      </c>
      <c r="D619" s="19" t="s">
        <v>64</v>
      </c>
      <c r="E619" s="19">
        <v>1200</v>
      </c>
      <c r="F619" s="19">
        <v>900</v>
      </c>
      <c r="G619" s="19">
        <v>600</v>
      </c>
      <c r="H619" s="19" t="s">
        <v>67</v>
      </c>
      <c r="I619" s="19" t="s">
        <v>68</v>
      </c>
      <c r="J619" s="19" t="s">
        <v>69</v>
      </c>
      <c r="K619" s="19" t="s">
        <v>71</v>
      </c>
      <c r="L619" s="19" t="s">
        <v>72</v>
      </c>
      <c r="M619" s="19" t="s">
        <v>73</v>
      </c>
      <c r="N619" s="19" t="s">
        <v>75</v>
      </c>
      <c r="O619" s="19" t="s">
        <v>76</v>
      </c>
      <c r="P619" s="19" t="s">
        <v>78</v>
      </c>
      <c r="Q619" s="19" t="s">
        <v>79</v>
      </c>
      <c r="R619" s="19" t="s">
        <v>81</v>
      </c>
    </row>
    <row r="620" spans="1:18" ht="14.25" customHeight="1" x14ac:dyDescent="0.15">
      <c r="A620" s="21">
        <f t="shared" ref="A620:B620" si="464">A613</f>
        <v>0</v>
      </c>
      <c r="B620" s="21">
        <f t="shared" si="464"/>
        <v>0</v>
      </c>
      <c r="C620" s="44" t="s">
        <v>188</v>
      </c>
      <c r="D620" s="21">
        <f t="shared" ref="D620:H620" si="465">D613</f>
        <v>0</v>
      </c>
      <c r="E620" s="23" t="str">
        <f t="shared" si="465"/>
        <v>4200</v>
      </c>
      <c r="F620" s="23" t="str">
        <f t="shared" si="465"/>
        <v>4000</v>
      </c>
      <c r="G620" s="23" t="str">
        <f t="shared" si="465"/>
        <v>3800</v>
      </c>
      <c r="H620" s="23">
        <f t="shared" si="465"/>
        <v>380</v>
      </c>
      <c r="I620" s="23" t="str">
        <f>I599</f>
        <v>5500</v>
      </c>
      <c r="J620" s="23" t="str">
        <f t="shared" ref="J620:Q620" si="466">J613</f>
        <v>1000</v>
      </c>
      <c r="K620" s="23">
        <f t="shared" si="466"/>
        <v>375</v>
      </c>
      <c r="L620" s="23">
        <f t="shared" si="466"/>
        <v>585</v>
      </c>
      <c r="M620" s="23" t="str">
        <f t="shared" si="466"/>
        <v>1000</v>
      </c>
      <c r="N620" s="23">
        <f t="shared" si="466"/>
        <v>3300</v>
      </c>
      <c r="O620" s="23">
        <f t="shared" si="466"/>
        <v>0</v>
      </c>
      <c r="P620" s="23">
        <f t="shared" si="466"/>
        <v>0</v>
      </c>
      <c r="Q620" s="23">
        <f t="shared" si="466"/>
        <v>2</v>
      </c>
      <c r="R620" s="21"/>
    </row>
    <row r="621" spans="1:18" ht="14.25" customHeight="1" x14ac:dyDescent="0.15">
      <c r="A621" s="19">
        <v>3</v>
      </c>
      <c r="B621" s="19">
        <f>1.2*3</f>
        <v>3.5999999999999996</v>
      </c>
      <c r="C621" s="19">
        <f>0.6+0.3</f>
        <v>0.89999999999999991</v>
      </c>
      <c r="D621" s="19">
        <f>B621*C621</f>
        <v>3.2399999999999993</v>
      </c>
      <c r="E621" s="19"/>
      <c r="F621" s="19"/>
      <c r="G621" s="19"/>
      <c r="H621" s="19"/>
      <c r="I621" s="19">
        <f>B621*0.4</f>
        <v>1.44</v>
      </c>
      <c r="J621" s="19">
        <v>2</v>
      </c>
      <c r="K621" s="19">
        <f t="shared" ref="K621:L621" si="467">A621</f>
        <v>3</v>
      </c>
      <c r="L621" s="19">
        <f t="shared" si="467"/>
        <v>3.5999999999999996</v>
      </c>
      <c r="M621" s="19">
        <f>A621</f>
        <v>3</v>
      </c>
      <c r="N621" s="19">
        <f>(1.2*0.4)*2</f>
        <v>0.96</v>
      </c>
      <c r="O621" s="19"/>
      <c r="P621" s="19"/>
      <c r="Q621" s="19"/>
      <c r="R621" s="19"/>
    </row>
    <row r="622" spans="1:18" ht="14.25" customHeight="1" x14ac:dyDescent="0.2">
      <c r="A622" s="19"/>
      <c r="B622" s="19"/>
      <c r="C622" s="19"/>
      <c r="D622" s="26" t="str">
        <f>D615</f>
        <v>16250</v>
      </c>
      <c r="E622" s="45">
        <v>0</v>
      </c>
      <c r="F622" s="45">
        <v>0</v>
      </c>
      <c r="G622" s="45">
        <v>2</v>
      </c>
      <c r="H622" s="19">
        <f>B621*2</f>
        <v>7.1999999999999993</v>
      </c>
      <c r="I622" s="19"/>
      <c r="J622" s="19"/>
      <c r="K622" s="19"/>
      <c r="L622" s="19"/>
      <c r="M622" s="19"/>
      <c r="N622" s="28"/>
      <c r="O622" s="19"/>
      <c r="P622" s="19"/>
      <c r="Q622" s="19"/>
      <c r="R622" s="19"/>
    </row>
    <row r="623" spans="1:18" ht="14.25" customHeight="1" x14ac:dyDescent="0.2">
      <c r="A623" s="19"/>
      <c r="B623" s="19"/>
      <c r="C623" s="19"/>
      <c r="D623" s="19">
        <f>D621*D622</f>
        <v>52649.999999999985</v>
      </c>
      <c r="E623" s="45">
        <f>E622*E620</f>
        <v>0</v>
      </c>
      <c r="F623" s="45">
        <f t="shared" ref="F623:H623" si="468">F620*F622</f>
        <v>0</v>
      </c>
      <c r="G623" s="45">
        <f t="shared" si="468"/>
        <v>7600</v>
      </c>
      <c r="H623" s="19">
        <f t="shared" si="468"/>
        <v>2735.9999999999995</v>
      </c>
      <c r="I623" s="19">
        <f t="shared" ref="I623:N623" si="469">I620*I621</f>
        <v>7920</v>
      </c>
      <c r="J623" s="19">
        <f t="shared" si="469"/>
        <v>2000</v>
      </c>
      <c r="K623" s="19">
        <f t="shared" si="469"/>
        <v>1125</v>
      </c>
      <c r="L623" s="19">
        <f t="shared" si="469"/>
        <v>2106</v>
      </c>
      <c r="M623" s="19">
        <f t="shared" si="469"/>
        <v>3000</v>
      </c>
      <c r="N623" s="19">
        <f t="shared" si="469"/>
        <v>3168</v>
      </c>
      <c r="O623" s="19">
        <f>SUM(D623:N623)</f>
        <v>82304.999999999985</v>
      </c>
      <c r="P623" s="19">
        <f>O623/A621</f>
        <v>27434.999999999996</v>
      </c>
      <c r="Q623" s="19">
        <f>P623*Q620</f>
        <v>54869.999999999993</v>
      </c>
      <c r="R623" s="19">
        <f>MROUND(Q623,100)</f>
        <v>54900</v>
      </c>
    </row>
    <row r="624" spans="1:18" ht="14.25" customHeight="1" x14ac:dyDescent="0.1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</row>
    <row r="625" spans="1:18" ht="14.25" customHeight="1" x14ac:dyDescent="0.3">
      <c r="A625" s="109" t="str">
        <f>PRICELIST!I304</f>
        <v>WSTK-LNR-NSH-MB-1200-G</v>
      </c>
      <c r="B625" s="87"/>
      <c r="C625" s="87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7"/>
    </row>
    <row r="626" spans="1:18" ht="14.25" customHeight="1" x14ac:dyDescent="0.15">
      <c r="A626" s="19" t="s">
        <v>57</v>
      </c>
      <c r="B626" s="19" t="s">
        <v>59</v>
      </c>
      <c r="C626" s="19" t="s">
        <v>62</v>
      </c>
      <c r="D626" s="19" t="s">
        <v>64</v>
      </c>
      <c r="E626" s="19">
        <v>1200</v>
      </c>
      <c r="F626" s="19">
        <v>900</v>
      </c>
      <c r="G626" s="19">
        <v>600</v>
      </c>
      <c r="H626" s="19" t="s">
        <v>67</v>
      </c>
      <c r="I626" s="19" t="s">
        <v>68</v>
      </c>
      <c r="J626" s="19" t="s">
        <v>69</v>
      </c>
      <c r="K626" s="19" t="s">
        <v>71</v>
      </c>
      <c r="L626" s="19" t="s">
        <v>72</v>
      </c>
      <c r="M626" s="19" t="s">
        <v>73</v>
      </c>
      <c r="N626" s="19" t="s">
        <v>75</v>
      </c>
      <c r="O626" s="19" t="s">
        <v>76</v>
      </c>
      <c r="P626" s="19" t="s">
        <v>78</v>
      </c>
      <c r="Q626" s="19" t="s">
        <v>79</v>
      </c>
      <c r="R626" s="19" t="s">
        <v>81</v>
      </c>
    </row>
    <row r="627" spans="1:18" ht="14.25" customHeight="1" x14ac:dyDescent="0.15">
      <c r="A627" s="21">
        <f t="shared" ref="A627:B627" si="470">A620</f>
        <v>0</v>
      </c>
      <c r="B627" s="21">
        <f t="shared" si="470"/>
        <v>0</v>
      </c>
      <c r="C627" s="44" t="s">
        <v>188</v>
      </c>
      <c r="D627" s="21">
        <f t="shared" ref="D627:H627" si="471">D620</f>
        <v>0</v>
      </c>
      <c r="E627" s="23" t="str">
        <f t="shared" si="471"/>
        <v>4200</v>
      </c>
      <c r="F627" s="23" t="str">
        <f t="shared" si="471"/>
        <v>4000</v>
      </c>
      <c r="G627" s="23" t="str">
        <f t="shared" si="471"/>
        <v>3800</v>
      </c>
      <c r="H627" s="23">
        <f t="shared" si="471"/>
        <v>380</v>
      </c>
      <c r="I627" s="23" t="str">
        <f>I606</f>
        <v>0</v>
      </c>
      <c r="J627" s="23" t="str">
        <f t="shared" ref="J627:Q627" si="472">J620</f>
        <v>1000</v>
      </c>
      <c r="K627" s="23">
        <f t="shared" si="472"/>
        <v>375</v>
      </c>
      <c r="L627" s="23">
        <f t="shared" si="472"/>
        <v>585</v>
      </c>
      <c r="M627" s="23" t="str">
        <f t="shared" si="472"/>
        <v>1000</v>
      </c>
      <c r="N627" s="23">
        <f t="shared" si="472"/>
        <v>3300</v>
      </c>
      <c r="O627" s="23">
        <f t="shared" si="472"/>
        <v>0</v>
      </c>
      <c r="P627" s="23">
        <f t="shared" si="472"/>
        <v>0</v>
      </c>
      <c r="Q627" s="23">
        <f t="shared" si="472"/>
        <v>2</v>
      </c>
      <c r="R627" s="21"/>
    </row>
    <row r="628" spans="1:18" ht="14.25" customHeight="1" x14ac:dyDescent="0.15">
      <c r="A628" s="19">
        <v>3</v>
      </c>
      <c r="B628" s="19">
        <f>1.2*3</f>
        <v>3.5999999999999996</v>
      </c>
      <c r="C628" s="19">
        <f>0.6+0.3</f>
        <v>0.89999999999999991</v>
      </c>
      <c r="D628" s="19">
        <f>B628*C628</f>
        <v>3.2399999999999993</v>
      </c>
      <c r="E628" s="19"/>
      <c r="F628" s="19"/>
      <c r="G628" s="19"/>
      <c r="H628" s="19"/>
      <c r="I628" s="19">
        <f>B628*0.4</f>
        <v>1.44</v>
      </c>
      <c r="J628" s="19">
        <v>2</v>
      </c>
      <c r="K628" s="19">
        <f t="shared" ref="K628:L628" si="473">A628</f>
        <v>3</v>
      </c>
      <c r="L628" s="19">
        <f t="shared" si="473"/>
        <v>3.5999999999999996</v>
      </c>
      <c r="M628" s="19">
        <f>A628</f>
        <v>3</v>
      </c>
      <c r="N628" s="19">
        <f>(1.2*0.4)*2</f>
        <v>0.96</v>
      </c>
      <c r="O628" s="19"/>
      <c r="P628" s="19"/>
      <c r="Q628" s="19"/>
      <c r="R628" s="19"/>
    </row>
    <row r="629" spans="1:18" ht="14.25" customHeight="1" x14ac:dyDescent="0.2">
      <c r="A629" s="19"/>
      <c r="B629" s="19"/>
      <c r="C629" s="19"/>
      <c r="D629" s="26" t="str">
        <f>D622</f>
        <v>16250</v>
      </c>
      <c r="E629" s="45">
        <v>0</v>
      </c>
      <c r="F629" s="45">
        <v>0</v>
      </c>
      <c r="G629" s="45">
        <v>2</v>
      </c>
      <c r="H629" s="19">
        <f>B628*2</f>
        <v>7.1999999999999993</v>
      </c>
      <c r="I629" s="19"/>
      <c r="J629" s="19"/>
      <c r="K629" s="19"/>
      <c r="L629" s="19"/>
      <c r="M629" s="19"/>
      <c r="N629" s="28"/>
      <c r="O629" s="19"/>
      <c r="P629" s="19"/>
      <c r="Q629" s="19"/>
      <c r="R629" s="19"/>
    </row>
    <row r="630" spans="1:18" ht="14.25" customHeight="1" x14ac:dyDescent="0.2">
      <c r="A630" s="19"/>
      <c r="B630" s="19"/>
      <c r="C630" s="19"/>
      <c r="D630" s="19">
        <f>D628*D629</f>
        <v>52649.999999999985</v>
      </c>
      <c r="E630" s="45">
        <f>E629*E627</f>
        <v>0</v>
      </c>
      <c r="F630" s="45">
        <f t="shared" ref="F630:H630" si="474">F627*F629</f>
        <v>0</v>
      </c>
      <c r="G630" s="45">
        <f t="shared" si="474"/>
        <v>7600</v>
      </c>
      <c r="H630" s="19">
        <f t="shared" si="474"/>
        <v>2735.9999999999995</v>
      </c>
      <c r="I630" s="19">
        <f t="shared" ref="I630:N630" si="475">I627*I628</f>
        <v>0</v>
      </c>
      <c r="J630" s="19">
        <f t="shared" si="475"/>
        <v>2000</v>
      </c>
      <c r="K630" s="19">
        <f t="shared" si="475"/>
        <v>1125</v>
      </c>
      <c r="L630" s="19">
        <f t="shared" si="475"/>
        <v>2106</v>
      </c>
      <c r="M630" s="19">
        <f t="shared" si="475"/>
        <v>3000</v>
      </c>
      <c r="N630" s="19">
        <f t="shared" si="475"/>
        <v>3168</v>
      </c>
      <c r="O630" s="19">
        <f>SUM(D630:N630)</f>
        <v>74384.999999999985</v>
      </c>
      <c r="P630" s="19">
        <f>O630/A628</f>
        <v>24794.999999999996</v>
      </c>
      <c r="Q630" s="19">
        <f>P630*Q627</f>
        <v>49589.999999999993</v>
      </c>
      <c r="R630" s="19">
        <f>MROUND(Q630,100)</f>
        <v>49600</v>
      </c>
    </row>
    <row r="631" spans="1:18" ht="14.25" customHeight="1" x14ac:dyDescent="0.1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</row>
    <row r="632" spans="1:18" ht="14.25" customHeight="1" x14ac:dyDescent="0.3">
      <c r="A632" s="109" t="str">
        <f>PRICELIST!I305</f>
        <v>WSTK-LNR-NSH-MB-1200-X</v>
      </c>
      <c r="B632" s="87"/>
      <c r="C632" s="87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7"/>
    </row>
    <row r="633" spans="1:18" ht="14.25" customHeight="1" x14ac:dyDescent="0.15">
      <c r="A633" s="19" t="s">
        <v>57</v>
      </c>
      <c r="B633" s="19" t="s">
        <v>59</v>
      </c>
      <c r="C633" s="19" t="s">
        <v>62</v>
      </c>
      <c r="D633" s="19" t="s">
        <v>64</v>
      </c>
      <c r="E633" s="19">
        <v>1200</v>
      </c>
      <c r="F633" s="19">
        <v>900</v>
      </c>
      <c r="G633" s="19">
        <v>600</v>
      </c>
      <c r="H633" s="19" t="s">
        <v>67</v>
      </c>
      <c r="I633" s="19" t="s">
        <v>68</v>
      </c>
      <c r="J633" s="19" t="s">
        <v>69</v>
      </c>
      <c r="K633" s="19" t="s">
        <v>71</v>
      </c>
      <c r="L633" s="19" t="s">
        <v>72</v>
      </c>
      <c r="M633" s="19" t="s">
        <v>73</v>
      </c>
      <c r="N633" s="19" t="s">
        <v>75</v>
      </c>
      <c r="O633" s="19" t="s">
        <v>76</v>
      </c>
      <c r="P633" s="19" t="s">
        <v>78</v>
      </c>
      <c r="Q633" s="19" t="s">
        <v>79</v>
      </c>
      <c r="R633" s="19" t="s">
        <v>81</v>
      </c>
    </row>
    <row r="634" spans="1:18" ht="14.25" customHeight="1" x14ac:dyDescent="0.15">
      <c r="A634" s="21"/>
      <c r="B634" s="21"/>
      <c r="C634" s="44" t="s">
        <v>188</v>
      </c>
      <c r="D634" s="21"/>
      <c r="E634" s="23" t="str">
        <f t="shared" ref="E634:G634" si="476">E627</f>
        <v>4200</v>
      </c>
      <c r="F634" s="23" t="str">
        <f t="shared" si="476"/>
        <v>4000</v>
      </c>
      <c r="G634" s="23" t="str">
        <f t="shared" si="476"/>
        <v>3800</v>
      </c>
      <c r="H634" s="21">
        <v>380</v>
      </c>
      <c r="I634" s="23" t="str">
        <f>I613</f>
        <v>4800</v>
      </c>
      <c r="J634" s="23" t="str">
        <f>J627</f>
        <v>1000</v>
      </c>
      <c r="K634" s="21">
        <v>375</v>
      </c>
      <c r="L634" s="21">
        <v>585</v>
      </c>
      <c r="M634" s="23" t="str">
        <f>M627</f>
        <v>1000</v>
      </c>
      <c r="N634" s="21">
        <v>3300</v>
      </c>
      <c r="O634" s="21"/>
      <c r="P634" s="21"/>
      <c r="Q634" s="23">
        <f>Q627</f>
        <v>2</v>
      </c>
      <c r="R634" s="21"/>
    </row>
    <row r="635" spans="1:18" ht="14.25" customHeight="1" x14ac:dyDescent="0.15">
      <c r="A635" s="19">
        <v>3</v>
      </c>
      <c r="B635" s="19">
        <f>1.5*3</f>
        <v>4.5</v>
      </c>
      <c r="C635" s="19">
        <f>0.6+0.3</f>
        <v>0.89999999999999991</v>
      </c>
      <c r="D635" s="19">
        <f>B635*C635</f>
        <v>4.05</v>
      </c>
      <c r="E635" s="19"/>
      <c r="F635" s="19"/>
      <c r="G635" s="19"/>
      <c r="H635" s="19"/>
      <c r="I635" s="19">
        <f>B635*0.4</f>
        <v>1.8</v>
      </c>
      <c r="J635" s="19">
        <v>2</v>
      </c>
      <c r="K635" s="19">
        <f t="shared" ref="K635:L635" si="477">A635</f>
        <v>3</v>
      </c>
      <c r="L635" s="19">
        <f t="shared" si="477"/>
        <v>4.5</v>
      </c>
      <c r="M635" s="19">
        <f>A635</f>
        <v>3</v>
      </c>
      <c r="N635" s="19">
        <f>(1.2*0.4)*2</f>
        <v>0.96</v>
      </c>
      <c r="O635" s="19"/>
      <c r="P635" s="19"/>
      <c r="Q635" s="19"/>
      <c r="R635" s="19"/>
    </row>
    <row r="636" spans="1:18" ht="14.25" customHeight="1" x14ac:dyDescent="0.2">
      <c r="A636" s="19"/>
      <c r="B636" s="19"/>
      <c r="C636" s="19"/>
      <c r="D636" s="26" t="str">
        <f>D510</f>
        <v>2200</v>
      </c>
      <c r="E636" s="45">
        <v>0</v>
      </c>
      <c r="F636" s="45">
        <v>0</v>
      </c>
      <c r="G636" s="45">
        <v>2</v>
      </c>
      <c r="H636" s="19">
        <f>B635*2</f>
        <v>9</v>
      </c>
      <c r="I636" s="19"/>
      <c r="J636" s="19"/>
      <c r="K636" s="19"/>
      <c r="L636" s="19"/>
      <c r="M636" s="19"/>
      <c r="N636" s="28"/>
      <c r="O636" s="19"/>
      <c r="P636" s="19"/>
      <c r="Q636" s="19"/>
      <c r="R636" s="19"/>
    </row>
    <row r="637" spans="1:18" ht="14.25" customHeight="1" x14ac:dyDescent="0.2">
      <c r="A637" s="19"/>
      <c r="B637" s="19"/>
      <c r="C637" s="19"/>
      <c r="D637" s="19">
        <f>D635*D636</f>
        <v>8910</v>
      </c>
      <c r="E637" s="45">
        <f>E636*E634</f>
        <v>0</v>
      </c>
      <c r="F637" s="45">
        <f t="shared" ref="F637:H637" si="478">F634*F636</f>
        <v>0</v>
      </c>
      <c r="G637" s="45">
        <f t="shared" si="478"/>
        <v>7600</v>
      </c>
      <c r="H637" s="19">
        <f t="shared" si="478"/>
        <v>3420</v>
      </c>
      <c r="I637" s="19">
        <f t="shared" ref="I637:N637" si="479">I634*I635</f>
        <v>8640</v>
      </c>
      <c r="J637" s="19">
        <f t="shared" si="479"/>
        <v>2000</v>
      </c>
      <c r="K637" s="19">
        <f t="shared" si="479"/>
        <v>1125</v>
      </c>
      <c r="L637" s="19">
        <f t="shared" si="479"/>
        <v>2632.5</v>
      </c>
      <c r="M637" s="19">
        <f t="shared" si="479"/>
        <v>3000</v>
      </c>
      <c r="N637" s="19">
        <f t="shared" si="479"/>
        <v>3168</v>
      </c>
      <c r="O637" s="19">
        <f>SUM(D637:N637)</f>
        <v>40495.5</v>
      </c>
      <c r="P637" s="19">
        <f>O637/A635</f>
        <v>13498.5</v>
      </c>
      <c r="Q637" s="19">
        <f>P637*Q634</f>
        <v>26997</v>
      </c>
      <c r="R637" s="19">
        <f>MROUND(Q637,100)</f>
        <v>27000</v>
      </c>
    </row>
    <row r="638" spans="1:18" ht="14.25" customHeight="1" x14ac:dyDescent="0.1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</row>
    <row r="639" spans="1:18" ht="14.25" customHeight="1" x14ac:dyDescent="0.3">
      <c r="A639" s="109" t="str">
        <f>PRICELIST!I306</f>
        <v>WSTK-LNR-NSH-PB-1500-F</v>
      </c>
      <c r="B639" s="87"/>
      <c r="C639" s="87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7"/>
    </row>
    <row r="640" spans="1:18" ht="14.25" customHeight="1" x14ac:dyDescent="0.15">
      <c r="A640" s="19" t="s">
        <v>57</v>
      </c>
      <c r="B640" s="19" t="s">
        <v>59</v>
      </c>
      <c r="C640" s="19" t="s">
        <v>62</v>
      </c>
      <c r="D640" s="19" t="s">
        <v>64</v>
      </c>
      <c r="E640" s="19">
        <v>1200</v>
      </c>
      <c r="F640" s="19">
        <v>900</v>
      </c>
      <c r="G640" s="19">
        <v>600</v>
      </c>
      <c r="H640" s="19" t="s">
        <v>67</v>
      </c>
      <c r="I640" s="19" t="s">
        <v>68</v>
      </c>
      <c r="J640" s="19" t="s">
        <v>69</v>
      </c>
      <c r="K640" s="19" t="s">
        <v>71</v>
      </c>
      <c r="L640" s="19" t="s">
        <v>72</v>
      </c>
      <c r="M640" s="19" t="s">
        <v>73</v>
      </c>
      <c r="N640" s="19" t="s">
        <v>75</v>
      </c>
      <c r="O640" s="19" t="s">
        <v>76</v>
      </c>
      <c r="P640" s="19" t="s">
        <v>78</v>
      </c>
      <c r="Q640" s="19" t="s">
        <v>79</v>
      </c>
      <c r="R640" s="19" t="s">
        <v>81</v>
      </c>
    </row>
    <row r="641" spans="1:18" ht="14.25" customHeight="1" x14ac:dyDescent="0.15">
      <c r="A641" s="21"/>
      <c r="B641" s="21"/>
      <c r="C641" s="44" t="s">
        <v>188</v>
      </c>
      <c r="D641" s="21"/>
      <c r="E641" s="23" t="str">
        <f t="shared" ref="E641:H641" si="480">E634</f>
        <v>4200</v>
      </c>
      <c r="F641" s="23" t="str">
        <f t="shared" si="480"/>
        <v>4000</v>
      </c>
      <c r="G641" s="23" t="str">
        <f t="shared" si="480"/>
        <v>3800</v>
      </c>
      <c r="H641" s="23">
        <f t="shared" si="480"/>
        <v>380</v>
      </c>
      <c r="I641" s="23" t="str">
        <f>I620</f>
        <v>5500</v>
      </c>
      <c r="J641" s="23" t="str">
        <f t="shared" ref="J641:R641" si="481">J634</f>
        <v>1000</v>
      </c>
      <c r="K641" s="23">
        <f t="shared" si="481"/>
        <v>375</v>
      </c>
      <c r="L641" s="23">
        <f t="shared" si="481"/>
        <v>585</v>
      </c>
      <c r="M641" s="23" t="str">
        <f t="shared" si="481"/>
        <v>1000</v>
      </c>
      <c r="N641" s="23">
        <f t="shared" si="481"/>
        <v>3300</v>
      </c>
      <c r="O641" s="23">
        <f t="shared" si="481"/>
        <v>0</v>
      </c>
      <c r="P641" s="23">
        <f t="shared" si="481"/>
        <v>0</v>
      </c>
      <c r="Q641" s="23">
        <f t="shared" si="481"/>
        <v>2</v>
      </c>
      <c r="R641" s="23">
        <f t="shared" si="481"/>
        <v>0</v>
      </c>
    </row>
    <row r="642" spans="1:18" ht="14.25" customHeight="1" x14ac:dyDescent="0.15">
      <c r="A642" s="19">
        <v>3</v>
      </c>
      <c r="B642" s="19">
        <f>1.5*3</f>
        <v>4.5</v>
      </c>
      <c r="C642" s="19">
        <f>0.6+0.3</f>
        <v>0.89999999999999991</v>
      </c>
      <c r="D642" s="19">
        <f>B642*C642</f>
        <v>4.05</v>
      </c>
      <c r="E642" s="19"/>
      <c r="F642" s="19"/>
      <c r="G642" s="19"/>
      <c r="H642" s="19"/>
      <c r="I642" s="19">
        <f>B642*0.4</f>
        <v>1.8</v>
      </c>
      <c r="J642" s="19">
        <v>2</v>
      </c>
      <c r="K642" s="19">
        <f t="shared" ref="K642:L642" si="482">A642</f>
        <v>3</v>
      </c>
      <c r="L642" s="19">
        <f t="shared" si="482"/>
        <v>4.5</v>
      </c>
      <c r="M642" s="19">
        <f>A642</f>
        <v>3</v>
      </c>
      <c r="N642" s="19">
        <f>(1.2*0.4)*2</f>
        <v>0.96</v>
      </c>
      <c r="O642" s="19"/>
      <c r="P642" s="19"/>
      <c r="Q642" s="19"/>
      <c r="R642" s="19"/>
    </row>
    <row r="643" spans="1:18" ht="14.25" customHeight="1" x14ac:dyDescent="0.2">
      <c r="A643" s="19"/>
      <c r="B643" s="19"/>
      <c r="C643" s="19"/>
      <c r="D643" s="26" t="str">
        <f>D636</f>
        <v>2200</v>
      </c>
      <c r="E643" s="45">
        <v>0</v>
      </c>
      <c r="F643" s="45">
        <v>0</v>
      </c>
      <c r="G643" s="45">
        <v>2</v>
      </c>
      <c r="H643" s="19">
        <f>B642*2</f>
        <v>9</v>
      </c>
      <c r="I643" s="19"/>
      <c r="J643" s="19"/>
      <c r="K643" s="19"/>
      <c r="L643" s="19"/>
      <c r="M643" s="19"/>
      <c r="N643" s="28"/>
      <c r="O643" s="19"/>
      <c r="P643" s="19"/>
      <c r="Q643" s="19"/>
      <c r="R643" s="19"/>
    </row>
    <row r="644" spans="1:18" ht="14.25" customHeight="1" x14ac:dyDescent="0.2">
      <c r="A644" s="19"/>
      <c r="B644" s="19"/>
      <c r="C644" s="19"/>
      <c r="D644" s="19">
        <f>D642*D643</f>
        <v>8910</v>
      </c>
      <c r="E644" s="45">
        <f>E643*E641</f>
        <v>0</v>
      </c>
      <c r="F644" s="45">
        <f t="shared" ref="F644:H644" si="483">F641*F643</f>
        <v>0</v>
      </c>
      <c r="G644" s="45">
        <f t="shared" si="483"/>
        <v>7600</v>
      </c>
      <c r="H644" s="19">
        <f t="shared" si="483"/>
        <v>3420</v>
      </c>
      <c r="I644" s="19">
        <f t="shared" ref="I644:N644" si="484">I641*I642</f>
        <v>9900</v>
      </c>
      <c r="J644" s="19">
        <f t="shared" si="484"/>
        <v>2000</v>
      </c>
      <c r="K644" s="19">
        <f t="shared" si="484"/>
        <v>1125</v>
      </c>
      <c r="L644" s="19">
        <f t="shared" si="484"/>
        <v>2632.5</v>
      </c>
      <c r="M644" s="19">
        <f t="shared" si="484"/>
        <v>3000</v>
      </c>
      <c r="N644" s="19">
        <f t="shared" si="484"/>
        <v>3168</v>
      </c>
      <c r="O644" s="19">
        <f>SUM(D644:N644)</f>
        <v>41755.5</v>
      </c>
      <c r="P644" s="19">
        <f>O644/A642</f>
        <v>13918.5</v>
      </c>
      <c r="Q644" s="19">
        <f>P644*Q641</f>
        <v>27837</v>
      </c>
      <c r="R644" s="19">
        <f>MROUND(Q644,100)</f>
        <v>27800</v>
      </c>
    </row>
    <row r="645" spans="1:18" ht="14.25" customHeight="1" x14ac:dyDescent="0.1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</row>
    <row r="646" spans="1:18" ht="14.25" customHeight="1" x14ac:dyDescent="0.3">
      <c r="A646" s="109" t="str">
        <f>PRICELIST!I307</f>
        <v>WSTK-LNR-NSH-PB-1500-G</v>
      </c>
      <c r="B646" s="87"/>
      <c r="C646" s="87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7"/>
    </row>
    <row r="647" spans="1:18" ht="14.25" customHeight="1" x14ac:dyDescent="0.15">
      <c r="A647" s="19" t="s">
        <v>57</v>
      </c>
      <c r="B647" s="19" t="s">
        <v>59</v>
      </c>
      <c r="C647" s="19" t="s">
        <v>62</v>
      </c>
      <c r="D647" s="19" t="s">
        <v>64</v>
      </c>
      <c r="E647" s="19">
        <v>1200</v>
      </c>
      <c r="F647" s="19">
        <v>900</v>
      </c>
      <c r="G647" s="19">
        <v>600</v>
      </c>
      <c r="H647" s="19" t="s">
        <v>67</v>
      </c>
      <c r="I647" s="19" t="s">
        <v>68</v>
      </c>
      <c r="J647" s="19" t="s">
        <v>69</v>
      </c>
      <c r="K647" s="19" t="s">
        <v>71</v>
      </c>
      <c r="L647" s="19" t="s">
        <v>72</v>
      </c>
      <c r="M647" s="19" t="s">
        <v>73</v>
      </c>
      <c r="N647" s="19" t="s">
        <v>75</v>
      </c>
      <c r="O647" s="19" t="s">
        <v>76</v>
      </c>
      <c r="P647" s="19" t="s">
        <v>78</v>
      </c>
      <c r="Q647" s="19" t="s">
        <v>79</v>
      </c>
      <c r="R647" s="19" t="s">
        <v>81</v>
      </c>
    </row>
    <row r="648" spans="1:18" ht="14.25" customHeight="1" x14ac:dyDescent="0.15">
      <c r="A648" s="21">
        <f t="shared" ref="A648:B648" si="485">A641</f>
        <v>0</v>
      </c>
      <c r="B648" s="21">
        <f t="shared" si="485"/>
        <v>0</v>
      </c>
      <c r="C648" s="44" t="s">
        <v>188</v>
      </c>
      <c r="D648" s="21">
        <f t="shared" ref="D648:H648" si="486">D641</f>
        <v>0</v>
      </c>
      <c r="E648" s="23" t="str">
        <f t="shared" si="486"/>
        <v>4200</v>
      </c>
      <c r="F648" s="23" t="str">
        <f t="shared" si="486"/>
        <v>4000</v>
      </c>
      <c r="G648" s="23" t="str">
        <f t="shared" si="486"/>
        <v>3800</v>
      </c>
      <c r="H648" s="23">
        <f t="shared" si="486"/>
        <v>380</v>
      </c>
      <c r="I648" s="23" t="str">
        <f>I627</f>
        <v>0</v>
      </c>
      <c r="J648" s="23" t="str">
        <f t="shared" ref="J648:Q648" si="487">J641</f>
        <v>1000</v>
      </c>
      <c r="K648" s="23">
        <f t="shared" si="487"/>
        <v>375</v>
      </c>
      <c r="L648" s="23">
        <f t="shared" si="487"/>
        <v>585</v>
      </c>
      <c r="M648" s="23" t="str">
        <f t="shared" si="487"/>
        <v>1000</v>
      </c>
      <c r="N648" s="23">
        <f t="shared" si="487"/>
        <v>3300</v>
      </c>
      <c r="O648" s="23">
        <f t="shared" si="487"/>
        <v>0</v>
      </c>
      <c r="P648" s="23">
        <f t="shared" si="487"/>
        <v>0</v>
      </c>
      <c r="Q648" s="23">
        <f t="shared" si="487"/>
        <v>2</v>
      </c>
      <c r="R648" s="21"/>
    </row>
    <row r="649" spans="1:18" ht="14.25" customHeight="1" x14ac:dyDescent="0.15">
      <c r="A649" s="19">
        <v>3</v>
      </c>
      <c r="B649" s="19">
        <f>1.5*3</f>
        <v>4.5</v>
      </c>
      <c r="C649" s="19">
        <f>0.6+0.3</f>
        <v>0.89999999999999991</v>
      </c>
      <c r="D649" s="19">
        <f>B649*C649</f>
        <v>4.05</v>
      </c>
      <c r="E649" s="19"/>
      <c r="F649" s="19"/>
      <c r="G649" s="19"/>
      <c r="H649" s="19"/>
      <c r="I649" s="19">
        <f>B649*0.4</f>
        <v>1.8</v>
      </c>
      <c r="J649" s="19">
        <v>2</v>
      </c>
      <c r="K649" s="19">
        <f t="shared" ref="K649:L649" si="488">A649</f>
        <v>3</v>
      </c>
      <c r="L649" s="19">
        <f t="shared" si="488"/>
        <v>4.5</v>
      </c>
      <c r="M649" s="19">
        <f>A649</f>
        <v>3</v>
      </c>
      <c r="N649" s="19">
        <f>(1.2*0.4)*2</f>
        <v>0.96</v>
      </c>
      <c r="O649" s="19"/>
      <c r="P649" s="19"/>
      <c r="Q649" s="19"/>
      <c r="R649" s="19"/>
    </row>
    <row r="650" spans="1:18" ht="14.25" customHeight="1" x14ac:dyDescent="0.2">
      <c r="A650" s="19"/>
      <c r="B650" s="19"/>
      <c r="C650" s="19"/>
      <c r="D650" s="26" t="str">
        <f>D643</f>
        <v>2200</v>
      </c>
      <c r="E650" s="45">
        <v>0</v>
      </c>
      <c r="F650" s="45">
        <v>0</v>
      </c>
      <c r="G650" s="45">
        <v>2</v>
      </c>
      <c r="H650" s="19">
        <f>B649*2</f>
        <v>9</v>
      </c>
      <c r="I650" s="19"/>
      <c r="J650" s="19"/>
      <c r="K650" s="19"/>
      <c r="L650" s="19"/>
      <c r="M650" s="19"/>
      <c r="N650" s="28"/>
      <c r="O650" s="19"/>
      <c r="P650" s="19"/>
      <c r="Q650" s="19"/>
      <c r="R650" s="19"/>
    </row>
    <row r="651" spans="1:18" ht="14.25" customHeight="1" x14ac:dyDescent="0.2">
      <c r="A651" s="19"/>
      <c r="B651" s="19"/>
      <c r="C651" s="19"/>
      <c r="D651" s="19">
        <f>D649*D650</f>
        <v>8910</v>
      </c>
      <c r="E651" s="45">
        <f>E650*E648</f>
        <v>0</v>
      </c>
      <c r="F651" s="45">
        <f t="shared" ref="F651:H651" si="489">F648*F650</f>
        <v>0</v>
      </c>
      <c r="G651" s="45">
        <f t="shared" si="489"/>
        <v>7600</v>
      </c>
      <c r="H651" s="19">
        <f t="shared" si="489"/>
        <v>3420</v>
      </c>
      <c r="I651" s="19">
        <f t="shared" ref="I651:N651" si="490">I648*I649</f>
        <v>0</v>
      </c>
      <c r="J651" s="19">
        <f t="shared" si="490"/>
        <v>2000</v>
      </c>
      <c r="K651" s="19">
        <f t="shared" si="490"/>
        <v>1125</v>
      </c>
      <c r="L651" s="19">
        <f t="shared" si="490"/>
        <v>2632.5</v>
      </c>
      <c r="M651" s="19">
        <f t="shared" si="490"/>
        <v>3000</v>
      </c>
      <c r="N651" s="19">
        <f t="shared" si="490"/>
        <v>3168</v>
      </c>
      <c r="O651" s="19">
        <f>SUM(D651:N651)</f>
        <v>31855.5</v>
      </c>
      <c r="P651" s="19">
        <f>O651/A649</f>
        <v>10618.5</v>
      </c>
      <c r="Q651" s="19">
        <f>P651*Q648</f>
        <v>21237</v>
      </c>
      <c r="R651" s="19">
        <f>MROUND(Q651,100)</f>
        <v>21200</v>
      </c>
    </row>
    <row r="652" spans="1:18" ht="14.25" customHeight="1" x14ac:dyDescent="0.1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</row>
    <row r="653" spans="1:18" ht="14.25" customHeight="1" x14ac:dyDescent="0.3">
      <c r="A653" s="109" t="str">
        <f>PRICELIST!I309</f>
        <v>WSTK-LNR-NSH-PLM-1500-F</v>
      </c>
      <c r="B653" s="87"/>
      <c r="C653" s="87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7"/>
    </row>
    <row r="654" spans="1:18" ht="14.25" customHeight="1" x14ac:dyDescent="0.15">
      <c r="A654" s="19" t="s">
        <v>57</v>
      </c>
      <c r="B654" s="19" t="s">
        <v>59</v>
      </c>
      <c r="C654" s="19" t="s">
        <v>62</v>
      </c>
      <c r="D654" s="19" t="s">
        <v>64</v>
      </c>
      <c r="E654" s="19">
        <v>1200</v>
      </c>
      <c r="F654" s="19">
        <v>900</v>
      </c>
      <c r="G654" s="19">
        <v>600</v>
      </c>
      <c r="H654" s="19" t="s">
        <v>67</v>
      </c>
      <c r="I654" s="19" t="s">
        <v>68</v>
      </c>
      <c r="J654" s="19" t="s">
        <v>69</v>
      </c>
      <c r="K654" s="19" t="s">
        <v>71</v>
      </c>
      <c r="L654" s="19" t="s">
        <v>72</v>
      </c>
      <c r="M654" s="19" t="s">
        <v>73</v>
      </c>
      <c r="N654" s="19" t="s">
        <v>75</v>
      </c>
      <c r="O654" s="19" t="s">
        <v>76</v>
      </c>
      <c r="P654" s="19" t="s">
        <v>78</v>
      </c>
      <c r="Q654" s="19" t="s">
        <v>79</v>
      </c>
      <c r="R654" s="19" t="s">
        <v>81</v>
      </c>
    </row>
    <row r="655" spans="1:18" ht="14.25" customHeight="1" x14ac:dyDescent="0.15">
      <c r="A655" s="21">
        <f t="shared" ref="A655:B655" si="491">A648</f>
        <v>0</v>
      </c>
      <c r="B655" s="21">
        <f t="shared" si="491"/>
        <v>0</v>
      </c>
      <c r="C655" s="44" t="s">
        <v>188</v>
      </c>
      <c r="D655" s="21">
        <f t="shared" ref="D655:H655" si="492">D648</f>
        <v>0</v>
      </c>
      <c r="E655" s="23" t="str">
        <f t="shared" si="492"/>
        <v>4200</v>
      </c>
      <c r="F655" s="23" t="str">
        <f t="shared" si="492"/>
        <v>4000</v>
      </c>
      <c r="G655" s="23" t="str">
        <f t="shared" si="492"/>
        <v>3800</v>
      </c>
      <c r="H655" s="23">
        <f t="shared" si="492"/>
        <v>380</v>
      </c>
      <c r="I655" s="23" t="str">
        <f>I634</f>
        <v>4800</v>
      </c>
      <c r="J655" s="23" t="str">
        <f t="shared" ref="J655:Q655" si="493">J648</f>
        <v>1000</v>
      </c>
      <c r="K655" s="23">
        <f t="shared" si="493"/>
        <v>375</v>
      </c>
      <c r="L655" s="23">
        <f t="shared" si="493"/>
        <v>585</v>
      </c>
      <c r="M655" s="23" t="str">
        <f t="shared" si="493"/>
        <v>1000</v>
      </c>
      <c r="N655" s="23">
        <f t="shared" si="493"/>
        <v>3300</v>
      </c>
      <c r="O655" s="23">
        <f t="shared" si="493"/>
        <v>0</v>
      </c>
      <c r="P655" s="23">
        <f t="shared" si="493"/>
        <v>0</v>
      </c>
      <c r="Q655" s="23">
        <f t="shared" si="493"/>
        <v>2</v>
      </c>
      <c r="R655" s="21"/>
    </row>
    <row r="656" spans="1:18" ht="14.25" customHeight="1" x14ac:dyDescent="0.15">
      <c r="A656" s="19">
        <v>3</v>
      </c>
      <c r="B656" s="19">
        <f>1.5*3</f>
        <v>4.5</v>
      </c>
      <c r="C656" s="19">
        <f>0.6+0.3</f>
        <v>0.89999999999999991</v>
      </c>
      <c r="D656" s="19">
        <f>B656*C656</f>
        <v>4.05</v>
      </c>
      <c r="E656" s="19"/>
      <c r="F656" s="19"/>
      <c r="G656" s="19"/>
      <c r="H656" s="19"/>
      <c r="I656" s="19">
        <f>B656*0.4</f>
        <v>1.8</v>
      </c>
      <c r="J656" s="19">
        <v>2</v>
      </c>
      <c r="K656" s="19">
        <f t="shared" ref="K656:L656" si="494">A656</f>
        <v>3</v>
      </c>
      <c r="L656" s="19">
        <f t="shared" si="494"/>
        <v>4.5</v>
      </c>
      <c r="M656" s="19">
        <f>A656</f>
        <v>3</v>
      </c>
      <c r="N656" s="19">
        <f>(1.2*0.4)*2</f>
        <v>0.96</v>
      </c>
      <c r="O656" s="19"/>
      <c r="P656" s="19"/>
      <c r="Q656" s="19"/>
      <c r="R656" s="19"/>
    </row>
    <row r="657" spans="1:18" ht="14.25" customHeight="1" x14ac:dyDescent="0.2">
      <c r="A657" s="19"/>
      <c r="B657" s="19"/>
      <c r="C657" s="19"/>
      <c r="D657" s="26" t="str">
        <f>D531</f>
        <v>3000</v>
      </c>
      <c r="E657" s="45">
        <v>0</v>
      </c>
      <c r="F657" s="45">
        <v>0</v>
      </c>
      <c r="G657" s="45">
        <v>2</v>
      </c>
      <c r="H657" s="19">
        <f>B656*2</f>
        <v>9</v>
      </c>
      <c r="I657" s="19"/>
      <c r="J657" s="19"/>
      <c r="K657" s="19"/>
      <c r="L657" s="19"/>
      <c r="M657" s="19"/>
      <c r="N657" s="28"/>
      <c r="O657" s="19"/>
      <c r="P657" s="19"/>
      <c r="Q657" s="19"/>
      <c r="R657" s="19"/>
    </row>
    <row r="658" spans="1:18" ht="14.25" customHeight="1" x14ac:dyDescent="0.2">
      <c r="A658" s="19"/>
      <c r="B658" s="19"/>
      <c r="C658" s="19"/>
      <c r="D658" s="19">
        <f>D656*D657</f>
        <v>12150</v>
      </c>
      <c r="E658" s="45">
        <f>E657*E655</f>
        <v>0</v>
      </c>
      <c r="F658" s="45">
        <f t="shared" ref="F658:H658" si="495">F655*F657</f>
        <v>0</v>
      </c>
      <c r="G658" s="45">
        <f t="shared" si="495"/>
        <v>7600</v>
      </c>
      <c r="H658" s="19">
        <f t="shared" si="495"/>
        <v>3420</v>
      </c>
      <c r="I658" s="19">
        <f t="shared" ref="I658:N658" si="496">I655*I656</f>
        <v>8640</v>
      </c>
      <c r="J658" s="19">
        <f t="shared" si="496"/>
        <v>2000</v>
      </c>
      <c r="K658" s="19">
        <f t="shared" si="496"/>
        <v>1125</v>
      </c>
      <c r="L658" s="19">
        <f t="shared" si="496"/>
        <v>2632.5</v>
      </c>
      <c r="M658" s="19">
        <f t="shared" si="496"/>
        <v>3000</v>
      </c>
      <c r="N658" s="19">
        <f t="shared" si="496"/>
        <v>3168</v>
      </c>
      <c r="O658" s="19">
        <f>SUM(D658:N658)</f>
        <v>43735.5</v>
      </c>
      <c r="P658" s="19">
        <f>O658/A656</f>
        <v>14578.5</v>
      </c>
      <c r="Q658" s="19">
        <f>P658*Q655</f>
        <v>29157</v>
      </c>
      <c r="R658" s="19">
        <f>MROUND(Q658,100)</f>
        <v>29200</v>
      </c>
    </row>
    <row r="659" spans="1:18" ht="14.25" customHeight="1" x14ac:dyDescent="0.1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</row>
    <row r="660" spans="1:18" ht="14.25" customHeight="1" x14ac:dyDescent="0.3">
      <c r="A660" s="109" t="str">
        <f>PRICELIST!I309</f>
        <v>WSTK-LNR-NSH-PLM-1500-F</v>
      </c>
      <c r="B660" s="87"/>
      <c r="C660" s="87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7"/>
    </row>
    <row r="661" spans="1:18" ht="14.25" customHeight="1" x14ac:dyDescent="0.15">
      <c r="A661" s="19" t="s">
        <v>57</v>
      </c>
      <c r="B661" s="19" t="s">
        <v>59</v>
      </c>
      <c r="C661" s="19" t="s">
        <v>62</v>
      </c>
      <c r="D661" s="19" t="s">
        <v>64</v>
      </c>
      <c r="E661" s="19">
        <v>1200</v>
      </c>
      <c r="F661" s="19">
        <v>900</v>
      </c>
      <c r="G661" s="19">
        <v>600</v>
      </c>
      <c r="H661" s="19" t="s">
        <v>67</v>
      </c>
      <c r="I661" s="19" t="s">
        <v>68</v>
      </c>
      <c r="J661" s="19" t="s">
        <v>69</v>
      </c>
      <c r="K661" s="19" t="s">
        <v>71</v>
      </c>
      <c r="L661" s="19" t="s">
        <v>72</v>
      </c>
      <c r="M661" s="19" t="s">
        <v>73</v>
      </c>
      <c r="N661" s="19" t="s">
        <v>75</v>
      </c>
      <c r="O661" s="19" t="s">
        <v>76</v>
      </c>
      <c r="P661" s="19" t="s">
        <v>78</v>
      </c>
      <c r="Q661" s="19" t="s">
        <v>79</v>
      </c>
      <c r="R661" s="19" t="s">
        <v>81</v>
      </c>
    </row>
    <row r="662" spans="1:18" ht="14.25" customHeight="1" x14ac:dyDescent="0.15">
      <c r="A662" s="21">
        <f t="shared" ref="A662:B662" si="497">A655</f>
        <v>0</v>
      </c>
      <c r="B662" s="21">
        <f t="shared" si="497"/>
        <v>0</v>
      </c>
      <c r="C662" s="44" t="s">
        <v>188</v>
      </c>
      <c r="D662" s="21">
        <f t="shared" ref="D662:H662" si="498">D655</f>
        <v>0</v>
      </c>
      <c r="E662" s="23" t="str">
        <f t="shared" si="498"/>
        <v>4200</v>
      </c>
      <c r="F662" s="23" t="str">
        <f t="shared" si="498"/>
        <v>4000</v>
      </c>
      <c r="G662" s="23" t="str">
        <f t="shared" si="498"/>
        <v>3800</v>
      </c>
      <c r="H662" s="23">
        <f t="shared" si="498"/>
        <v>380</v>
      </c>
      <c r="I662" s="23" t="str">
        <f>I641</f>
        <v>5500</v>
      </c>
      <c r="J662" s="23" t="str">
        <f t="shared" ref="J662:Q662" si="499">J655</f>
        <v>1000</v>
      </c>
      <c r="K662" s="23">
        <f t="shared" si="499"/>
        <v>375</v>
      </c>
      <c r="L662" s="23">
        <f t="shared" si="499"/>
        <v>585</v>
      </c>
      <c r="M662" s="23" t="str">
        <f t="shared" si="499"/>
        <v>1000</v>
      </c>
      <c r="N662" s="23">
        <f t="shared" si="499"/>
        <v>3300</v>
      </c>
      <c r="O662" s="23">
        <f t="shared" si="499"/>
        <v>0</v>
      </c>
      <c r="P662" s="23">
        <f t="shared" si="499"/>
        <v>0</v>
      </c>
      <c r="Q662" s="23">
        <f t="shared" si="499"/>
        <v>2</v>
      </c>
      <c r="R662" s="21"/>
    </row>
    <row r="663" spans="1:18" ht="14.25" customHeight="1" x14ac:dyDescent="0.15">
      <c r="A663" s="19">
        <v>3</v>
      </c>
      <c r="B663" s="19">
        <f>1.5*3</f>
        <v>4.5</v>
      </c>
      <c r="C663" s="19">
        <f>0.6+0.3</f>
        <v>0.89999999999999991</v>
      </c>
      <c r="D663" s="19">
        <f>B663*C663</f>
        <v>4.05</v>
      </c>
      <c r="E663" s="19"/>
      <c r="F663" s="19"/>
      <c r="G663" s="19"/>
      <c r="H663" s="19"/>
      <c r="I663" s="19">
        <f>B663*0.4</f>
        <v>1.8</v>
      </c>
      <c r="J663" s="19">
        <v>2</v>
      </c>
      <c r="K663" s="19">
        <f t="shared" ref="K663:L663" si="500">A663</f>
        <v>3</v>
      </c>
      <c r="L663" s="19">
        <f t="shared" si="500"/>
        <v>4.5</v>
      </c>
      <c r="M663" s="19">
        <f>A663</f>
        <v>3</v>
      </c>
      <c r="N663" s="19">
        <f>(1.2*0.4)*2</f>
        <v>0.96</v>
      </c>
      <c r="O663" s="19"/>
      <c r="P663" s="19"/>
      <c r="Q663" s="19"/>
      <c r="R663" s="19"/>
    </row>
    <row r="664" spans="1:18" ht="14.25" customHeight="1" x14ac:dyDescent="0.2">
      <c r="A664" s="19"/>
      <c r="B664" s="19"/>
      <c r="C664" s="19"/>
      <c r="D664" s="26" t="str">
        <f>D657</f>
        <v>3000</v>
      </c>
      <c r="E664" s="45">
        <v>0</v>
      </c>
      <c r="F664" s="45">
        <v>0</v>
      </c>
      <c r="G664" s="45">
        <v>2</v>
      </c>
      <c r="H664" s="19">
        <f>B663*2</f>
        <v>9</v>
      </c>
      <c r="I664" s="19"/>
      <c r="J664" s="19"/>
      <c r="K664" s="19"/>
      <c r="L664" s="19"/>
      <c r="M664" s="19"/>
      <c r="N664" s="28"/>
      <c r="O664" s="19"/>
      <c r="P664" s="19"/>
      <c r="Q664" s="19"/>
      <c r="R664" s="19"/>
    </row>
    <row r="665" spans="1:18" ht="14.25" customHeight="1" x14ac:dyDescent="0.2">
      <c r="A665" s="19"/>
      <c r="B665" s="19"/>
      <c r="C665" s="19"/>
      <c r="D665" s="19">
        <f>D663*D664</f>
        <v>12150</v>
      </c>
      <c r="E665" s="45">
        <f>E664*E662</f>
        <v>0</v>
      </c>
      <c r="F665" s="45">
        <f t="shared" ref="F665:H665" si="501">F662*F664</f>
        <v>0</v>
      </c>
      <c r="G665" s="45">
        <f t="shared" si="501"/>
        <v>7600</v>
      </c>
      <c r="H665" s="19">
        <f t="shared" si="501"/>
        <v>3420</v>
      </c>
      <c r="I665" s="19">
        <f t="shared" ref="I665:N665" si="502">I662*I663</f>
        <v>9900</v>
      </c>
      <c r="J665" s="19">
        <f t="shared" si="502"/>
        <v>2000</v>
      </c>
      <c r="K665" s="19">
        <f t="shared" si="502"/>
        <v>1125</v>
      </c>
      <c r="L665" s="19">
        <f t="shared" si="502"/>
        <v>2632.5</v>
      </c>
      <c r="M665" s="19">
        <f t="shared" si="502"/>
        <v>3000</v>
      </c>
      <c r="N665" s="19">
        <f t="shared" si="502"/>
        <v>3168</v>
      </c>
      <c r="O665" s="19">
        <f>SUM(D665:N665)</f>
        <v>44995.5</v>
      </c>
      <c r="P665" s="19">
        <f>O665/A663</f>
        <v>14998.5</v>
      </c>
      <c r="Q665" s="19">
        <f>P665*Q662</f>
        <v>29997</v>
      </c>
      <c r="R665" s="19">
        <f>MROUND(Q665,100)</f>
        <v>30000</v>
      </c>
    </row>
    <row r="666" spans="1:18" ht="14.25" customHeight="1" x14ac:dyDescent="0.1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</row>
    <row r="667" spans="1:18" ht="14.25" customHeight="1" x14ac:dyDescent="0.3">
      <c r="A667" s="109" t="str">
        <f>PRICELIST!I310</f>
        <v>WSTK-LNR-NSH-PLM-1500-G</v>
      </c>
      <c r="B667" s="87"/>
      <c r="C667" s="87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7"/>
    </row>
    <row r="668" spans="1:18" ht="14.25" customHeight="1" x14ac:dyDescent="0.15">
      <c r="A668" s="19" t="s">
        <v>57</v>
      </c>
      <c r="B668" s="19" t="s">
        <v>59</v>
      </c>
      <c r="C668" s="19" t="s">
        <v>62</v>
      </c>
      <c r="D668" s="19" t="s">
        <v>64</v>
      </c>
      <c r="E668" s="19">
        <v>1200</v>
      </c>
      <c r="F668" s="19">
        <v>900</v>
      </c>
      <c r="G668" s="19">
        <v>600</v>
      </c>
      <c r="H668" s="19" t="s">
        <v>67</v>
      </c>
      <c r="I668" s="19" t="s">
        <v>68</v>
      </c>
      <c r="J668" s="19" t="s">
        <v>69</v>
      </c>
      <c r="K668" s="19" t="s">
        <v>71</v>
      </c>
      <c r="L668" s="19" t="s">
        <v>72</v>
      </c>
      <c r="M668" s="19" t="s">
        <v>73</v>
      </c>
      <c r="N668" s="19" t="s">
        <v>75</v>
      </c>
      <c r="O668" s="19" t="s">
        <v>76</v>
      </c>
      <c r="P668" s="19" t="s">
        <v>78</v>
      </c>
      <c r="Q668" s="19" t="s">
        <v>79</v>
      </c>
      <c r="R668" s="19" t="s">
        <v>81</v>
      </c>
    </row>
    <row r="669" spans="1:18" ht="14.25" customHeight="1" x14ac:dyDescent="0.15">
      <c r="A669" s="21">
        <f t="shared" ref="A669:B669" si="503">A662</f>
        <v>0</v>
      </c>
      <c r="B669" s="21">
        <f t="shared" si="503"/>
        <v>0</v>
      </c>
      <c r="C669" s="44" t="s">
        <v>188</v>
      </c>
      <c r="D669" s="21">
        <f t="shared" ref="D669:H669" si="504">D662</f>
        <v>0</v>
      </c>
      <c r="E669" s="23" t="str">
        <f t="shared" si="504"/>
        <v>4200</v>
      </c>
      <c r="F669" s="23" t="str">
        <f t="shared" si="504"/>
        <v>4000</v>
      </c>
      <c r="G669" s="23" t="str">
        <f t="shared" si="504"/>
        <v>3800</v>
      </c>
      <c r="H669" s="23">
        <f t="shared" si="504"/>
        <v>380</v>
      </c>
      <c r="I669" s="23" t="str">
        <f>I648</f>
        <v>0</v>
      </c>
      <c r="J669" s="23" t="str">
        <f t="shared" ref="J669:Q669" si="505">J662</f>
        <v>1000</v>
      </c>
      <c r="K669" s="23">
        <f t="shared" si="505"/>
        <v>375</v>
      </c>
      <c r="L669" s="23">
        <f t="shared" si="505"/>
        <v>585</v>
      </c>
      <c r="M669" s="23" t="str">
        <f t="shared" si="505"/>
        <v>1000</v>
      </c>
      <c r="N669" s="23">
        <f t="shared" si="505"/>
        <v>3300</v>
      </c>
      <c r="O669" s="23">
        <f t="shared" si="505"/>
        <v>0</v>
      </c>
      <c r="P669" s="23">
        <f t="shared" si="505"/>
        <v>0</v>
      </c>
      <c r="Q669" s="23">
        <f t="shared" si="505"/>
        <v>2</v>
      </c>
      <c r="R669" s="21"/>
    </row>
    <row r="670" spans="1:18" ht="14.25" customHeight="1" x14ac:dyDescent="0.15">
      <c r="A670" s="19">
        <v>3</v>
      </c>
      <c r="B670" s="19">
        <f>1.5*3</f>
        <v>4.5</v>
      </c>
      <c r="C670" s="19">
        <f>0.6+0.3</f>
        <v>0.89999999999999991</v>
      </c>
      <c r="D670" s="19">
        <f>B670*C670</f>
        <v>4.05</v>
      </c>
      <c r="E670" s="19"/>
      <c r="F670" s="19"/>
      <c r="G670" s="19"/>
      <c r="H670" s="19"/>
      <c r="I670" s="19">
        <f>B670*0.4</f>
        <v>1.8</v>
      </c>
      <c r="J670" s="19">
        <v>2</v>
      </c>
      <c r="K670" s="19">
        <f t="shared" ref="K670:L670" si="506">A670</f>
        <v>3</v>
      </c>
      <c r="L670" s="19">
        <f t="shared" si="506"/>
        <v>4.5</v>
      </c>
      <c r="M670" s="19">
        <f>A670</f>
        <v>3</v>
      </c>
      <c r="N670" s="19">
        <f>(1.2*0.4)*2</f>
        <v>0.96</v>
      </c>
      <c r="O670" s="19"/>
      <c r="P670" s="19"/>
      <c r="Q670" s="19"/>
      <c r="R670" s="19"/>
    </row>
    <row r="671" spans="1:18" ht="14.25" customHeight="1" x14ac:dyDescent="0.2">
      <c r="A671" s="19"/>
      <c r="B671" s="19"/>
      <c r="C671" s="19"/>
      <c r="D671" s="26" t="str">
        <f>D664</f>
        <v>3000</v>
      </c>
      <c r="E671" s="45">
        <v>0</v>
      </c>
      <c r="F671" s="45">
        <v>0</v>
      </c>
      <c r="G671" s="45">
        <v>2</v>
      </c>
      <c r="H671" s="19">
        <f>B670*2</f>
        <v>9</v>
      </c>
      <c r="I671" s="19"/>
      <c r="J671" s="19"/>
      <c r="K671" s="19"/>
      <c r="L671" s="19"/>
      <c r="M671" s="19"/>
      <c r="N671" s="28"/>
      <c r="O671" s="19"/>
      <c r="P671" s="19"/>
      <c r="Q671" s="19"/>
      <c r="R671" s="19"/>
    </row>
    <row r="672" spans="1:18" ht="14.25" customHeight="1" x14ac:dyDescent="0.2">
      <c r="A672" s="19"/>
      <c r="B672" s="19"/>
      <c r="C672" s="19"/>
      <c r="D672" s="19">
        <f>D670*D671</f>
        <v>12150</v>
      </c>
      <c r="E672" s="45">
        <f>E671*E669</f>
        <v>0</v>
      </c>
      <c r="F672" s="45">
        <f t="shared" ref="F672:H672" si="507">F669*F671</f>
        <v>0</v>
      </c>
      <c r="G672" s="45">
        <f t="shared" si="507"/>
        <v>7600</v>
      </c>
      <c r="H672" s="19">
        <f t="shared" si="507"/>
        <v>3420</v>
      </c>
      <c r="I672" s="19">
        <f t="shared" ref="I672:N672" si="508">I669*I670</f>
        <v>0</v>
      </c>
      <c r="J672" s="19">
        <f t="shared" si="508"/>
        <v>2000</v>
      </c>
      <c r="K672" s="19">
        <f t="shared" si="508"/>
        <v>1125</v>
      </c>
      <c r="L672" s="19">
        <f t="shared" si="508"/>
        <v>2632.5</v>
      </c>
      <c r="M672" s="19">
        <f t="shared" si="508"/>
        <v>3000</v>
      </c>
      <c r="N672" s="19">
        <f t="shared" si="508"/>
        <v>3168</v>
      </c>
      <c r="O672" s="19">
        <f>SUM(D672:N672)</f>
        <v>35095.5</v>
      </c>
      <c r="P672" s="19">
        <f>O672/A670</f>
        <v>11698.5</v>
      </c>
      <c r="Q672" s="19">
        <f>P672*Q669</f>
        <v>23397</v>
      </c>
      <c r="R672" s="19">
        <f>MROUND(Q672,100)</f>
        <v>23400</v>
      </c>
    </row>
    <row r="673" spans="1:18" ht="14.25" customHeight="1" x14ac:dyDescent="0.1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</row>
    <row r="674" spans="1:18" ht="14.25" customHeight="1" x14ac:dyDescent="0.3">
      <c r="A674" s="109" t="str">
        <f>PRICELIST!I311</f>
        <v>WSTK-LNR-NSH-PLM-1500-X</v>
      </c>
      <c r="B674" s="87"/>
      <c r="C674" s="87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7"/>
    </row>
    <row r="675" spans="1:18" ht="14.25" customHeight="1" x14ac:dyDescent="0.15">
      <c r="A675" s="19" t="s">
        <v>57</v>
      </c>
      <c r="B675" s="19" t="s">
        <v>59</v>
      </c>
      <c r="C675" s="19" t="s">
        <v>62</v>
      </c>
      <c r="D675" s="19" t="s">
        <v>64</v>
      </c>
      <c r="E675" s="19">
        <v>1200</v>
      </c>
      <c r="F675" s="19">
        <v>900</v>
      </c>
      <c r="G675" s="19">
        <v>600</v>
      </c>
      <c r="H675" s="19" t="s">
        <v>67</v>
      </c>
      <c r="I675" s="19" t="s">
        <v>68</v>
      </c>
      <c r="J675" s="19" t="s">
        <v>69</v>
      </c>
      <c r="K675" s="19" t="s">
        <v>71</v>
      </c>
      <c r="L675" s="19" t="s">
        <v>72</v>
      </c>
      <c r="M675" s="19" t="s">
        <v>73</v>
      </c>
      <c r="N675" s="19" t="s">
        <v>75</v>
      </c>
      <c r="O675" s="19" t="s">
        <v>76</v>
      </c>
      <c r="P675" s="19" t="s">
        <v>78</v>
      </c>
      <c r="Q675" s="19" t="s">
        <v>79</v>
      </c>
      <c r="R675" s="19" t="s">
        <v>81</v>
      </c>
    </row>
    <row r="676" spans="1:18" ht="14.25" customHeight="1" x14ac:dyDescent="0.15">
      <c r="A676" s="21">
        <f t="shared" ref="A676:B676" si="509">A669</f>
        <v>0</v>
      </c>
      <c r="B676" s="21">
        <f t="shared" si="509"/>
        <v>0</v>
      </c>
      <c r="C676" s="44" t="s">
        <v>188</v>
      </c>
      <c r="D676" s="21">
        <f t="shared" ref="D676:H676" si="510">D669</f>
        <v>0</v>
      </c>
      <c r="E676" s="23" t="str">
        <f t="shared" si="510"/>
        <v>4200</v>
      </c>
      <c r="F676" s="23" t="str">
        <f t="shared" si="510"/>
        <v>4000</v>
      </c>
      <c r="G676" s="23" t="str">
        <f t="shared" si="510"/>
        <v>3800</v>
      </c>
      <c r="H676" s="23">
        <f t="shared" si="510"/>
        <v>380</v>
      </c>
      <c r="I676" s="23" t="str">
        <f>I655</f>
        <v>4800</v>
      </c>
      <c r="J676" s="23" t="str">
        <f t="shared" ref="J676:Q676" si="511">J669</f>
        <v>1000</v>
      </c>
      <c r="K676" s="23">
        <f t="shared" si="511"/>
        <v>375</v>
      </c>
      <c r="L676" s="23">
        <f t="shared" si="511"/>
        <v>585</v>
      </c>
      <c r="M676" s="23" t="str">
        <f t="shared" si="511"/>
        <v>1000</v>
      </c>
      <c r="N676" s="23">
        <f t="shared" si="511"/>
        <v>3300</v>
      </c>
      <c r="O676" s="23">
        <f t="shared" si="511"/>
        <v>0</v>
      </c>
      <c r="P676" s="23">
        <f t="shared" si="511"/>
        <v>0</v>
      </c>
      <c r="Q676" s="23">
        <f t="shared" si="511"/>
        <v>2</v>
      </c>
      <c r="R676" s="21"/>
    </row>
    <row r="677" spans="1:18" ht="14.25" customHeight="1" x14ac:dyDescent="0.15">
      <c r="A677" s="19">
        <v>3</v>
      </c>
      <c r="B677" s="19">
        <f>1.5*3</f>
        <v>4.5</v>
      </c>
      <c r="C677" s="19">
        <f>0.6+0.3</f>
        <v>0.89999999999999991</v>
      </c>
      <c r="D677" s="19">
        <f>B677*C677</f>
        <v>4.05</v>
      </c>
      <c r="E677" s="19"/>
      <c r="F677" s="19"/>
      <c r="G677" s="19"/>
      <c r="H677" s="19"/>
      <c r="I677" s="19">
        <f>B677*0.4</f>
        <v>1.8</v>
      </c>
      <c r="J677" s="19">
        <v>2</v>
      </c>
      <c r="K677" s="19">
        <f t="shared" ref="K677:L677" si="512">A677</f>
        <v>3</v>
      </c>
      <c r="L677" s="19">
        <f t="shared" si="512"/>
        <v>4.5</v>
      </c>
      <c r="M677" s="19">
        <f>A677</f>
        <v>3</v>
      </c>
      <c r="N677" s="19">
        <f>(1.2*0.4)*2</f>
        <v>0.96</v>
      </c>
      <c r="O677" s="19"/>
      <c r="P677" s="19"/>
      <c r="Q677" s="19"/>
      <c r="R677" s="19"/>
    </row>
    <row r="678" spans="1:18" ht="14.25" customHeight="1" x14ac:dyDescent="0.2">
      <c r="A678" s="19"/>
      <c r="B678" s="19"/>
      <c r="C678" s="19"/>
      <c r="D678" s="26" t="str">
        <f>D559</f>
        <v>7500</v>
      </c>
      <c r="E678" s="45">
        <v>0</v>
      </c>
      <c r="F678" s="45">
        <v>0</v>
      </c>
      <c r="G678" s="45">
        <v>2</v>
      </c>
      <c r="H678" s="19">
        <f>B677*2</f>
        <v>9</v>
      </c>
      <c r="I678" s="19"/>
      <c r="J678" s="19"/>
      <c r="K678" s="19"/>
      <c r="L678" s="19"/>
      <c r="M678" s="19"/>
      <c r="N678" s="28"/>
      <c r="O678" s="19"/>
      <c r="P678" s="19"/>
      <c r="Q678" s="19"/>
      <c r="R678" s="19"/>
    </row>
    <row r="679" spans="1:18" ht="14.25" customHeight="1" x14ac:dyDescent="0.2">
      <c r="A679" s="19"/>
      <c r="B679" s="19"/>
      <c r="C679" s="19"/>
      <c r="D679" s="19">
        <f>D677*D678</f>
        <v>30375</v>
      </c>
      <c r="E679" s="45">
        <f>E678*E676</f>
        <v>0</v>
      </c>
      <c r="F679" s="45">
        <f t="shared" ref="F679:H679" si="513">F676*F678</f>
        <v>0</v>
      </c>
      <c r="G679" s="45">
        <f t="shared" si="513"/>
        <v>7600</v>
      </c>
      <c r="H679" s="19">
        <f t="shared" si="513"/>
        <v>3420</v>
      </c>
      <c r="I679" s="19">
        <f t="shared" ref="I679:N679" si="514">I676*I677</f>
        <v>8640</v>
      </c>
      <c r="J679" s="19">
        <f t="shared" si="514"/>
        <v>2000</v>
      </c>
      <c r="K679" s="19">
        <f t="shared" si="514"/>
        <v>1125</v>
      </c>
      <c r="L679" s="19">
        <f t="shared" si="514"/>
        <v>2632.5</v>
      </c>
      <c r="M679" s="19">
        <f t="shared" si="514"/>
        <v>3000</v>
      </c>
      <c r="N679" s="19">
        <f t="shared" si="514"/>
        <v>3168</v>
      </c>
      <c r="O679" s="19">
        <f>SUM(D679:N679)</f>
        <v>61960.5</v>
      </c>
      <c r="P679" s="19">
        <f>O679/A677</f>
        <v>20653.5</v>
      </c>
      <c r="Q679" s="19">
        <f>P679*Q676</f>
        <v>41307</v>
      </c>
      <c r="R679" s="19">
        <f>MROUND(Q679,100)</f>
        <v>41300</v>
      </c>
    </row>
    <row r="680" spans="1:18" ht="14.25" customHeight="1" x14ac:dyDescent="0.1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</row>
    <row r="681" spans="1:18" ht="14.25" customHeight="1" x14ac:dyDescent="0.3">
      <c r="A681" s="109" t="str">
        <f>PRICELIST!I312</f>
        <v>WSTK-LNR-NSH-PoLM-1500-F</v>
      </c>
      <c r="B681" s="87"/>
      <c r="C681" s="87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7"/>
    </row>
    <row r="682" spans="1:18" ht="14.25" customHeight="1" x14ac:dyDescent="0.15">
      <c r="A682" s="19" t="s">
        <v>57</v>
      </c>
      <c r="B682" s="19" t="s">
        <v>59</v>
      </c>
      <c r="C682" s="19" t="s">
        <v>62</v>
      </c>
      <c r="D682" s="19" t="s">
        <v>64</v>
      </c>
      <c r="E682" s="19">
        <v>1200</v>
      </c>
      <c r="F682" s="19">
        <v>900</v>
      </c>
      <c r="G682" s="19">
        <v>600</v>
      </c>
      <c r="H682" s="19" t="s">
        <v>67</v>
      </c>
      <c r="I682" s="19" t="s">
        <v>68</v>
      </c>
      <c r="J682" s="19" t="s">
        <v>69</v>
      </c>
      <c r="K682" s="19" t="s">
        <v>71</v>
      </c>
      <c r="L682" s="19" t="s">
        <v>72</v>
      </c>
      <c r="M682" s="19" t="s">
        <v>73</v>
      </c>
      <c r="N682" s="19" t="s">
        <v>75</v>
      </c>
      <c r="O682" s="19" t="s">
        <v>76</v>
      </c>
      <c r="P682" s="19" t="s">
        <v>78</v>
      </c>
      <c r="Q682" s="19" t="s">
        <v>79</v>
      </c>
      <c r="R682" s="19" t="s">
        <v>81</v>
      </c>
    </row>
    <row r="683" spans="1:18" ht="14.25" customHeight="1" x14ac:dyDescent="0.15">
      <c r="A683" s="21">
        <f t="shared" ref="A683:B683" si="515">A676</f>
        <v>0</v>
      </c>
      <c r="B683" s="21">
        <f t="shared" si="515"/>
        <v>0</v>
      </c>
      <c r="C683" s="44" t="s">
        <v>188</v>
      </c>
      <c r="D683" s="21">
        <f t="shared" ref="D683:H683" si="516">D676</f>
        <v>0</v>
      </c>
      <c r="E683" s="23" t="str">
        <f t="shared" si="516"/>
        <v>4200</v>
      </c>
      <c r="F683" s="23" t="str">
        <f t="shared" si="516"/>
        <v>4000</v>
      </c>
      <c r="G683" s="23" t="str">
        <f t="shared" si="516"/>
        <v>3800</v>
      </c>
      <c r="H683" s="23">
        <f t="shared" si="516"/>
        <v>380</v>
      </c>
      <c r="I683" s="23" t="str">
        <f>I662</f>
        <v>5500</v>
      </c>
      <c r="J683" s="23" t="str">
        <f t="shared" ref="J683:Q683" si="517">J676</f>
        <v>1000</v>
      </c>
      <c r="K683" s="23">
        <f t="shared" si="517"/>
        <v>375</v>
      </c>
      <c r="L683" s="23">
        <f t="shared" si="517"/>
        <v>585</v>
      </c>
      <c r="M683" s="23" t="str">
        <f t="shared" si="517"/>
        <v>1000</v>
      </c>
      <c r="N683" s="23">
        <f t="shared" si="517"/>
        <v>3300</v>
      </c>
      <c r="O683" s="23">
        <f t="shared" si="517"/>
        <v>0</v>
      </c>
      <c r="P683" s="23">
        <f t="shared" si="517"/>
        <v>0</v>
      </c>
      <c r="Q683" s="23">
        <f t="shared" si="517"/>
        <v>2</v>
      </c>
      <c r="R683" s="21"/>
    </row>
    <row r="684" spans="1:18" ht="14.25" customHeight="1" x14ac:dyDescent="0.15">
      <c r="A684" s="19">
        <v>3</v>
      </c>
      <c r="B684" s="19">
        <f>1.5*3</f>
        <v>4.5</v>
      </c>
      <c r="C684" s="19">
        <f>0.6+0.3</f>
        <v>0.89999999999999991</v>
      </c>
      <c r="D684" s="19">
        <f>B684*C684</f>
        <v>4.05</v>
      </c>
      <c r="E684" s="19"/>
      <c r="F684" s="19"/>
      <c r="G684" s="19"/>
      <c r="H684" s="19"/>
      <c r="I684" s="19">
        <f>B684*0.4</f>
        <v>1.8</v>
      </c>
      <c r="J684" s="19">
        <v>2</v>
      </c>
      <c r="K684" s="19">
        <f t="shared" ref="K684:L684" si="518">A684</f>
        <v>3</v>
      </c>
      <c r="L684" s="19">
        <f t="shared" si="518"/>
        <v>4.5</v>
      </c>
      <c r="M684" s="19">
        <f>A684</f>
        <v>3</v>
      </c>
      <c r="N684" s="19">
        <f>(1.2*0.4)*2</f>
        <v>0.96</v>
      </c>
      <c r="O684" s="19"/>
      <c r="P684" s="19"/>
      <c r="Q684" s="19"/>
      <c r="R684" s="19"/>
    </row>
    <row r="685" spans="1:18" ht="14.25" customHeight="1" x14ac:dyDescent="0.2">
      <c r="A685" s="19"/>
      <c r="B685" s="19"/>
      <c r="C685" s="19"/>
      <c r="D685" s="26" t="str">
        <f>D678</f>
        <v>7500</v>
      </c>
      <c r="E685" s="45">
        <v>0</v>
      </c>
      <c r="F685" s="45">
        <v>0</v>
      </c>
      <c r="G685" s="45">
        <v>2</v>
      </c>
      <c r="H685" s="19">
        <f>B684*2</f>
        <v>9</v>
      </c>
      <c r="I685" s="19"/>
      <c r="J685" s="19"/>
      <c r="K685" s="19"/>
      <c r="L685" s="19"/>
      <c r="M685" s="19"/>
      <c r="N685" s="28"/>
      <c r="O685" s="19"/>
      <c r="P685" s="19"/>
      <c r="Q685" s="19"/>
      <c r="R685" s="19"/>
    </row>
    <row r="686" spans="1:18" ht="14.25" customHeight="1" x14ac:dyDescent="0.2">
      <c r="A686" s="19"/>
      <c r="B686" s="19"/>
      <c r="C686" s="19"/>
      <c r="D686" s="19">
        <f>D684*D685</f>
        <v>30375</v>
      </c>
      <c r="E686" s="45">
        <f>E685*E683</f>
        <v>0</v>
      </c>
      <c r="F686" s="45">
        <f t="shared" ref="F686:H686" si="519">F683*F685</f>
        <v>0</v>
      </c>
      <c r="G686" s="45">
        <f t="shared" si="519"/>
        <v>7600</v>
      </c>
      <c r="H686" s="19">
        <f t="shared" si="519"/>
        <v>3420</v>
      </c>
      <c r="I686" s="19">
        <f t="shared" ref="I686:N686" si="520">I683*I684</f>
        <v>9900</v>
      </c>
      <c r="J686" s="19">
        <f t="shared" si="520"/>
        <v>2000</v>
      </c>
      <c r="K686" s="19">
        <f t="shared" si="520"/>
        <v>1125</v>
      </c>
      <c r="L686" s="19">
        <f t="shared" si="520"/>
        <v>2632.5</v>
      </c>
      <c r="M686" s="19">
        <f t="shared" si="520"/>
        <v>3000</v>
      </c>
      <c r="N686" s="19">
        <f t="shared" si="520"/>
        <v>3168</v>
      </c>
      <c r="O686" s="19">
        <f>SUM(D686:N686)</f>
        <v>63220.5</v>
      </c>
      <c r="P686" s="19">
        <f>O686/A684</f>
        <v>21073.5</v>
      </c>
      <c r="Q686" s="19">
        <f>P686*Q683</f>
        <v>42147</v>
      </c>
      <c r="R686" s="19">
        <f>MROUND(Q686,100)</f>
        <v>42100</v>
      </c>
    </row>
    <row r="687" spans="1:18" ht="14.25" customHeight="1" x14ac:dyDescent="0.1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</row>
    <row r="688" spans="1:18" ht="14.25" customHeight="1" x14ac:dyDescent="0.3">
      <c r="A688" s="109" t="str">
        <f>PRICELIST!I313</f>
        <v>WSTK-LNR-NSH-PoLM-1500-G</v>
      </c>
      <c r="B688" s="87"/>
      <c r="C688" s="87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7"/>
    </row>
    <row r="689" spans="1:18" ht="14.25" customHeight="1" x14ac:dyDescent="0.15">
      <c r="A689" s="19" t="s">
        <v>57</v>
      </c>
      <c r="B689" s="19" t="s">
        <v>59</v>
      </c>
      <c r="C689" s="19" t="s">
        <v>62</v>
      </c>
      <c r="D689" s="19" t="s">
        <v>64</v>
      </c>
      <c r="E689" s="19">
        <v>1200</v>
      </c>
      <c r="F689" s="19">
        <v>900</v>
      </c>
      <c r="G689" s="19">
        <v>600</v>
      </c>
      <c r="H689" s="19" t="s">
        <v>67</v>
      </c>
      <c r="I689" s="19" t="s">
        <v>68</v>
      </c>
      <c r="J689" s="19" t="s">
        <v>69</v>
      </c>
      <c r="K689" s="19" t="s">
        <v>71</v>
      </c>
      <c r="L689" s="19" t="s">
        <v>72</v>
      </c>
      <c r="M689" s="19" t="s">
        <v>73</v>
      </c>
      <c r="N689" s="19" t="s">
        <v>75</v>
      </c>
      <c r="O689" s="19" t="s">
        <v>76</v>
      </c>
      <c r="P689" s="19" t="s">
        <v>78</v>
      </c>
      <c r="Q689" s="19" t="s">
        <v>79</v>
      </c>
      <c r="R689" s="19" t="s">
        <v>81</v>
      </c>
    </row>
    <row r="690" spans="1:18" ht="14.25" customHeight="1" x14ac:dyDescent="0.15">
      <c r="A690" s="21">
        <f t="shared" ref="A690:B690" si="521">A683</f>
        <v>0</v>
      </c>
      <c r="B690" s="21">
        <f t="shared" si="521"/>
        <v>0</v>
      </c>
      <c r="C690" s="44" t="s">
        <v>188</v>
      </c>
      <c r="D690" s="21">
        <f t="shared" ref="D690:H690" si="522">D683</f>
        <v>0</v>
      </c>
      <c r="E690" s="23" t="str">
        <f t="shared" si="522"/>
        <v>4200</v>
      </c>
      <c r="F690" s="23" t="str">
        <f t="shared" si="522"/>
        <v>4000</v>
      </c>
      <c r="G690" s="23" t="str">
        <f t="shared" si="522"/>
        <v>3800</v>
      </c>
      <c r="H690" s="23">
        <f t="shared" si="522"/>
        <v>380</v>
      </c>
      <c r="I690" s="23" t="str">
        <f>I669</f>
        <v>0</v>
      </c>
      <c r="J690" s="23" t="str">
        <f t="shared" ref="J690:Q690" si="523">J683</f>
        <v>1000</v>
      </c>
      <c r="K690" s="23">
        <f t="shared" si="523"/>
        <v>375</v>
      </c>
      <c r="L690" s="23">
        <f t="shared" si="523"/>
        <v>585</v>
      </c>
      <c r="M690" s="23" t="str">
        <f t="shared" si="523"/>
        <v>1000</v>
      </c>
      <c r="N690" s="23">
        <f t="shared" si="523"/>
        <v>3300</v>
      </c>
      <c r="O690" s="23">
        <f t="shared" si="523"/>
        <v>0</v>
      </c>
      <c r="P690" s="23">
        <f t="shared" si="523"/>
        <v>0</v>
      </c>
      <c r="Q690" s="23">
        <f t="shared" si="523"/>
        <v>2</v>
      </c>
      <c r="R690" s="21"/>
    </row>
    <row r="691" spans="1:18" ht="14.25" customHeight="1" x14ac:dyDescent="0.15">
      <c r="A691" s="19">
        <v>3</v>
      </c>
      <c r="B691" s="19">
        <f>1.5*3</f>
        <v>4.5</v>
      </c>
      <c r="C691" s="19">
        <f>0.6+0.3</f>
        <v>0.89999999999999991</v>
      </c>
      <c r="D691" s="19">
        <f>B691*C691</f>
        <v>4.05</v>
      </c>
      <c r="E691" s="19"/>
      <c r="F691" s="19"/>
      <c r="G691" s="19"/>
      <c r="H691" s="19"/>
      <c r="I691" s="19">
        <f>B691*0.4</f>
        <v>1.8</v>
      </c>
      <c r="J691" s="19">
        <v>2</v>
      </c>
      <c r="K691" s="19">
        <f t="shared" ref="K691:L691" si="524">A691</f>
        <v>3</v>
      </c>
      <c r="L691" s="19">
        <f t="shared" si="524"/>
        <v>4.5</v>
      </c>
      <c r="M691" s="19">
        <f>A691</f>
        <v>3</v>
      </c>
      <c r="N691" s="19">
        <f>(1.2*0.4)*2</f>
        <v>0.96</v>
      </c>
      <c r="O691" s="19"/>
      <c r="P691" s="19"/>
      <c r="Q691" s="19"/>
      <c r="R691" s="19"/>
    </row>
    <row r="692" spans="1:18" ht="14.25" customHeight="1" x14ac:dyDescent="0.2">
      <c r="A692" s="19"/>
      <c r="B692" s="19"/>
      <c r="C692" s="19"/>
      <c r="D692" s="26" t="str">
        <f>D685</f>
        <v>7500</v>
      </c>
      <c r="E692" s="45">
        <v>0</v>
      </c>
      <c r="F692" s="45">
        <v>0</v>
      </c>
      <c r="G692" s="45">
        <v>2</v>
      </c>
      <c r="H692" s="19">
        <f>B691*2</f>
        <v>9</v>
      </c>
      <c r="I692" s="19"/>
      <c r="J692" s="19"/>
      <c r="K692" s="19"/>
      <c r="L692" s="19"/>
      <c r="M692" s="19"/>
      <c r="N692" s="28"/>
      <c r="O692" s="19"/>
      <c r="P692" s="19"/>
      <c r="Q692" s="19"/>
      <c r="R692" s="19"/>
    </row>
    <row r="693" spans="1:18" ht="14.25" customHeight="1" x14ac:dyDescent="0.2">
      <c r="A693" s="19"/>
      <c r="B693" s="19"/>
      <c r="C693" s="19"/>
      <c r="D693" s="19">
        <f>D691*D692</f>
        <v>30375</v>
      </c>
      <c r="E693" s="45">
        <f>E692*E690</f>
        <v>0</v>
      </c>
      <c r="F693" s="45">
        <f t="shared" ref="F693:H693" si="525">F690*F692</f>
        <v>0</v>
      </c>
      <c r="G693" s="45">
        <f t="shared" si="525"/>
        <v>7600</v>
      </c>
      <c r="H693" s="19">
        <f t="shared" si="525"/>
        <v>3420</v>
      </c>
      <c r="I693" s="19">
        <f t="shared" ref="I693:N693" si="526">I690*I691</f>
        <v>0</v>
      </c>
      <c r="J693" s="19">
        <f t="shared" si="526"/>
        <v>2000</v>
      </c>
      <c r="K693" s="19">
        <f t="shared" si="526"/>
        <v>1125</v>
      </c>
      <c r="L693" s="19">
        <f t="shared" si="526"/>
        <v>2632.5</v>
      </c>
      <c r="M693" s="19">
        <f t="shared" si="526"/>
        <v>3000</v>
      </c>
      <c r="N693" s="19">
        <f t="shared" si="526"/>
        <v>3168</v>
      </c>
      <c r="O693" s="19">
        <f>SUM(D693:N693)</f>
        <v>53320.5</v>
      </c>
      <c r="P693" s="19">
        <f>O693/A691</f>
        <v>17773.5</v>
      </c>
      <c r="Q693" s="19">
        <f>P693*Q690</f>
        <v>35547</v>
      </c>
      <c r="R693" s="19">
        <f>MROUND(Q693,100)</f>
        <v>35500</v>
      </c>
    </row>
    <row r="694" spans="1:18" ht="14.25" customHeight="1" x14ac:dyDescent="0.1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</row>
    <row r="695" spans="1:18" ht="14.25" customHeight="1" x14ac:dyDescent="0.3">
      <c r="A695" s="109" t="str">
        <f>PRICELIST!I314</f>
        <v>WSTK-LNR-NSH-PoLM-1500-X</v>
      </c>
      <c r="B695" s="87"/>
      <c r="C695" s="87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7"/>
    </row>
    <row r="696" spans="1:18" ht="14.25" customHeight="1" x14ac:dyDescent="0.15">
      <c r="A696" s="19" t="s">
        <v>57</v>
      </c>
      <c r="B696" s="19" t="s">
        <v>59</v>
      </c>
      <c r="C696" s="19" t="s">
        <v>62</v>
      </c>
      <c r="D696" s="19" t="s">
        <v>64</v>
      </c>
      <c r="E696" s="19">
        <v>1200</v>
      </c>
      <c r="F696" s="19">
        <v>900</v>
      </c>
      <c r="G696" s="19">
        <v>600</v>
      </c>
      <c r="H696" s="19" t="s">
        <v>67</v>
      </c>
      <c r="I696" s="19" t="s">
        <v>68</v>
      </c>
      <c r="J696" s="19" t="s">
        <v>69</v>
      </c>
      <c r="K696" s="19" t="s">
        <v>71</v>
      </c>
      <c r="L696" s="19" t="s">
        <v>72</v>
      </c>
      <c r="M696" s="19" t="s">
        <v>73</v>
      </c>
      <c r="N696" s="19" t="s">
        <v>75</v>
      </c>
      <c r="O696" s="19" t="s">
        <v>76</v>
      </c>
      <c r="P696" s="19" t="s">
        <v>78</v>
      </c>
      <c r="Q696" s="19" t="s">
        <v>79</v>
      </c>
      <c r="R696" s="19" t="s">
        <v>81</v>
      </c>
    </row>
    <row r="697" spans="1:18" ht="14.25" customHeight="1" x14ac:dyDescent="0.15">
      <c r="A697" s="21">
        <f t="shared" ref="A697:B697" si="527">A690</f>
        <v>0</v>
      </c>
      <c r="B697" s="21">
        <f t="shared" si="527"/>
        <v>0</v>
      </c>
      <c r="C697" s="44" t="s">
        <v>188</v>
      </c>
      <c r="D697" s="21">
        <f t="shared" ref="D697:H697" si="528">D690</f>
        <v>0</v>
      </c>
      <c r="E697" s="23" t="str">
        <f t="shared" si="528"/>
        <v>4200</v>
      </c>
      <c r="F697" s="23" t="str">
        <f t="shared" si="528"/>
        <v>4000</v>
      </c>
      <c r="G697" s="23" t="str">
        <f t="shared" si="528"/>
        <v>3800</v>
      </c>
      <c r="H697" s="23">
        <f t="shared" si="528"/>
        <v>380</v>
      </c>
      <c r="I697" s="23" t="str">
        <f>I676</f>
        <v>4800</v>
      </c>
      <c r="J697" s="23" t="str">
        <f t="shared" ref="J697:Q697" si="529">J690</f>
        <v>1000</v>
      </c>
      <c r="K697" s="23">
        <f t="shared" si="529"/>
        <v>375</v>
      </c>
      <c r="L697" s="23">
        <f t="shared" si="529"/>
        <v>585</v>
      </c>
      <c r="M697" s="23" t="str">
        <f t="shared" si="529"/>
        <v>1000</v>
      </c>
      <c r="N697" s="23">
        <f t="shared" si="529"/>
        <v>3300</v>
      </c>
      <c r="O697" s="23">
        <f t="shared" si="529"/>
        <v>0</v>
      </c>
      <c r="P697" s="23">
        <f t="shared" si="529"/>
        <v>0</v>
      </c>
      <c r="Q697" s="23">
        <f t="shared" si="529"/>
        <v>2</v>
      </c>
      <c r="R697" s="21"/>
    </row>
    <row r="698" spans="1:18" ht="14.25" customHeight="1" x14ac:dyDescent="0.15">
      <c r="A698" s="19">
        <v>3</v>
      </c>
      <c r="B698" s="19">
        <f>1.5*3</f>
        <v>4.5</v>
      </c>
      <c r="C698" s="19">
        <f>0.6+0.3</f>
        <v>0.89999999999999991</v>
      </c>
      <c r="D698" s="19">
        <f>B698*C698</f>
        <v>4.05</v>
      </c>
      <c r="E698" s="19"/>
      <c r="F698" s="19"/>
      <c r="G698" s="19"/>
      <c r="H698" s="19"/>
      <c r="I698" s="19">
        <f>B698*0.4</f>
        <v>1.8</v>
      </c>
      <c r="J698" s="19">
        <v>2</v>
      </c>
      <c r="K698" s="19">
        <f t="shared" ref="K698:L698" si="530">A698</f>
        <v>3</v>
      </c>
      <c r="L698" s="19">
        <f t="shared" si="530"/>
        <v>4.5</v>
      </c>
      <c r="M698" s="19">
        <f>A698</f>
        <v>3</v>
      </c>
      <c r="N698" s="19">
        <f>(1.2*0.4)*2</f>
        <v>0.96</v>
      </c>
      <c r="O698" s="19"/>
      <c r="P698" s="19"/>
      <c r="Q698" s="19"/>
      <c r="R698" s="19"/>
    </row>
    <row r="699" spans="1:18" ht="14.25" customHeight="1" x14ac:dyDescent="0.2">
      <c r="A699" s="19"/>
      <c r="B699" s="19"/>
      <c r="C699" s="19"/>
      <c r="D699" s="26" t="str">
        <f>D587</f>
        <v>9500</v>
      </c>
      <c r="E699" s="45">
        <v>0</v>
      </c>
      <c r="F699" s="45">
        <v>0</v>
      </c>
      <c r="G699" s="45">
        <v>2</v>
      </c>
      <c r="H699" s="19">
        <f>B698*2</f>
        <v>9</v>
      </c>
      <c r="I699" s="19"/>
      <c r="J699" s="19"/>
      <c r="K699" s="19"/>
      <c r="L699" s="19"/>
      <c r="M699" s="19"/>
      <c r="N699" s="28"/>
      <c r="O699" s="19"/>
      <c r="P699" s="19"/>
      <c r="Q699" s="19"/>
      <c r="R699" s="19"/>
    </row>
    <row r="700" spans="1:18" ht="14.25" customHeight="1" x14ac:dyDescent="0.2">
      <c r="A700" s="19"/>
      <c r="B700" s="19"/>
      <c r="C700" s="19"/>
      <c r="D700" s="19">
        <f>D698*D699</f>
        <v>38475</v>
      </c>
      <c r="E700" s="45">
        <f>E699*E697</f>
        <v>0</v>
      </c>
      <c r="F700" s="45">
        <f t="shared" ref="F700:H700" si="531">F697*F699</f>
        <v>0</v>
      </c>
      <c r="G700" s="45">
        <f t="shared" si="531"/>
        <v>7600</v>
      </c>
      <c r="H700" s="19">
        <f t="shared" si="531"/>
        <v>3420</v>
      </c>
      <c r="I700" s="19">
        <f t="shared" ref="I700:N700" si="532">I697*I698</f>
        <v>8640</v>
      </c>
      <c r="J700" s="19">
        <f t="shared" si="532"/>
        <v>2000</v>
      </c>
      <c r="K700" s="19">
        <f t="shared" si="532"/>
        <v>1125</v>
      </c>
      <c r="L700" s="19">
        <f t="shared" si="532"/>
        <v>2632.5</v>
      </c>
      <c r="M700" s="19">
        <f t="shared" si="532"/>
        <v>3000</v>
      </c>
      <c r="N700" s="19">
        <f t="shared" si="532"/>
        <v>3168</v>
      </c>
      <c r="O700" s="19">
        <f>SUM(D700:N700)</f>
        <v>70060.5</v>
      </c>
      <c r="P700" s="19">
        <f>O700/A698</f>
        <v>23353.5</v>
      </c>
      <c r="Q700" s="19">
        <f>P700*Q697</f>
        <v>46707</v>
      </c>
      <c r="R700" s="19">
        <f>MROUND(Q700,100)</f>
        <v>46700</v>
      </c>
    </row>
    <row r="701" spans="1:18" ht="14.25" customHeight="1" x14ac:dyDescent="0.1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</row>
    <row r="702" spans="1:18" ht="14.25" customHeight="1" x14ac:dyDescent="0.3">
      <c r="A702" s="109" t="str">
        <f>PRICELIST!I315</f>
        <v>WSTK-LNR-NSH-LVM-1500-F</v>
      </c>
      <c r="B702" s="87"/>
      <c r="C702" s="87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7"/>
    </row>
    <row r="703" spans="1:18" ht="14.25" customHeight="1" x14ac:dyDescent="0.15">
      <c r="A703" s="19" t="s">
        <v>57</v>
      </c>
      <c r="B703" s="19" t="s">
        <v>59</v>
      </c>
      <c r="C703" s="19" t="s">
        <v>62</v>
      </c>
      <c r="D703" s="19" t="s">
        <v>64</v>
      </c>
      <c r="E703" s="19">
        <v>1200</v>
      </c>
      <c r="F703" s="19">
        <v>900</v>
      </c>
      <c r="G703" s="19">
        <v>600</v>
      </c>
      <c r="H703" s="19" t="s">
        <v>67</v>
      </c>
      <c r="I703" s="19" t="s">
        <v>68</v>
      </c>
      <c r="J703" s="19" t="s">
        <v>69</v>
      </c>
      <c r="K703" s="19" t="s">
        <v>71</v>
      </c>
      <c r="L703" s="19" t="s">
        <v>72</v>
      </c>
      <c r="M703" s="19" t="s">
        <v>73</v>
      </c>
      <c r="N703" s="19" t="s">
        <v>75</v>
      </c>
      <c r="O703" s="19" t="s">
        <v>76</v>
      </c>
      <c r="P703" s="19" t="s">
        <v>78</v>
      </c>
      <c r="Q703" s="19" t="s">
        <v>79</v>
      </c>
      <c r="R703" s="19" t="s">
        <v>81</v>
      </c>
    </row>
    <row r="704" spans="1:18" ht="14.25" customHeight="1" x14ac:dyDescent="0.15">
      <c r="A704" s="21">
        <f t="shared" ref="A704:B704" si="533">A697</f>
        <v>0</v>
      </c>
      <c r="B704" s="21">
        <f t="shared" si="533"/>
        <v>0</v>
      </c>
      <c r="C704" s="44" t="s">
        <v>188</v>
      </c>
      <c r="D704" s="21">
        <f t="shared" ref="D704:H704" si="534">D697</f>
        <v>0</v>
      </c>
      <c r="E704" s="23" t="str">
        <f t="shared" si="534"/>
        <v>4200</v>
      </c>
      <c r="F704" s="23" t="str">
        <f t="shared" si="534"/>
        <v>4000</v>
      </c>
      <c r="G704" s="23" t="str">
        <f t="shared" si="534"/>
        <v>3800</v>
      </c>
      <c r="H704" s="23">
        <f t="shared" si="534"/>
        <v>380</v>
      </c>
      <c r="I704" s="23" t="str">
        <f>I683</f>
        <v>5500</v>
      </c>
      <c r="J704" s="23" t="str">
        <f t="shared" ref="J704:Q704" si="535">J697</f>
        <v>1000</v>
      </c>
      <c r="K704" s="23">
        <f t="shared" si="535"/>
        <v>375</v>
      </c>
      <c r="L704" s="23">
        <f t="shared" si="535"/>
        <v>585</v>
      </c>
      <c r="M704" s="23" t="str">
        <f t="shared" si="535"/>
        <v>1000</v>
      </c>
      <c r="N704" s="23">
        <f t="shared" si="535"/>
        <v>3300</v>
      </c>
      <c r="O704" s="23">
        <f t="shared" si="535"/>
        <v>0</v>
      </c>
      <c r="P704" s="23">
        <f t="shared" si="535"/>
        <v>0</v>
      </c>
      <c r="Q704" s="23">
        <f t="shared" si="535"/>
        <v>2</v>
      </c>
      <c r="R704" s="21"/>
    </row>
    <row r="705" spans="1:18" ht="14.25" customHeight="1" x14ac:dyDescent="0.15">
      <c r="A705" s="19">
        <v>3</v>
      </c>
      <c r="B705" s="19">
        <f>1.5*3</f>
        <v>4.5</v>
      </c>
      <c r="C705" s="19">
        <f>0.6+0.3</f>
        <v>0.89999999999999991</v>
      </c>
      <c r="D705" s="19">
        <f>B705*C705</f>
        <v>4.05</v>
      </c>
      <c r="E705" s="19"/>
      <c r="F705" s="19"/>
      <c r="G705" s="19"/>
      <c r="H705" s="19"/>
      <c r="I705" s="19">
        <f>B705*0.4</f>
        <v>1.8</v>
      </c>
      <c r="J705" s="19">
        <v>2</v>
      </c>
      <c r="K705" s="19">
        <f t="shared" ref="K705:L705" si="536">A705</f>
        <v>3</v>
      </c>
      <c r="L705" s="19">
        <f t="shared" si="536"/>
        <v>4.5</v>
      </c>
      <c r="M705" s="19">
        <f>A705</f>
        <v>3</v>
      </c>
      <c r="N705" s="19">
        <f>(1.2*0.4)*2</f>
        <v>0.96</v>
      </c>
      <c r="O705" s="19"/>
      <c r="P705" s="19"/>
      <c r="Q705" s="19"/>
      <c r="R705" s="19"/>
    </row>
    <row r="706" spans="1:18" ht="14.25" customHeight="1" x14ac:dyDescent="0.2">
      <c r="A706" s="19"/>
      <c r="B706" s="19"/>
      <c r="C706" s="19"/>
      <c r="D706" s="26" t="str">
        <f>D699</f>
        <v>9500</v>
      </c>
      <c r="E706" s="45">
        <v>0</v>
      </c>
      <c r="F706" s="45">
        <v>0</v>
      </c>
      <c r="G706" s="45">
        <v>2</v>
      </c>
      <c r="H706" s="19">
        <f>B705*2</f>
        <v>9</v>
      </c>
      <c r="I706" s="19"/>
      <c r="J706" s="19"/>
      <c r="K706" s="19"/>
      <c r="L706" s="19"/>
      <c r="M706" s="19"/>
      <c r="N706" s="28"/>
      <c r="O706" s="19"/>
      <c r="P706" s="19"/>
      <c r="Q706" s="19"/>
      <c r="R706" s="19"/>
    </row>
    <row r="707" spans="1:18" ht="14.25" customHeight="1" x14ac:dyDescent="0.2">
      <c r="A707" s="19"/>
      <c r="B707" s="19"/>
      <c r="C707" s="19"/>
      <c r="D707" s="19">
        <f>D705*D706</f>
        <v>38475</v>
      </c>
      <c r="E707" s="45">
        <f>E706*E704</f>
        <v>0</v>
      </c>
      <c r="F707" s="45">
        <f t="shared" ref="F707:H707" si="537">F704*F706</f>
        <v>0</v>
      </c>
      <c r="G707" s="45">
        <f t="shared" si="537"/>
        <v>7600</v>
      </c>
      <c r="H707" s="19">
        <f t="shared" si="537"/>
        <v>3420</v>
      </c>
      <c r="I707" s="19">
        <f t="shared" ref="I707:N707" si="538">I704*I705</f>
        <v>9900</v>
      </c>
      <c r="J707" s="19">
        <f t="shared" si="538"/>
        <v>2000</v>
      </c>
      <c r="K707" s="19">
        <f t="shared" si="538"/>
        <v>1125</v>
      </c>
      <c r="L707" s="19">
        <f t="shared" si="538"/>
        <v>2632.5</v>
      </c>
      <c r="M707" s="19">
        <f t="shared" si="538"/>
        <v>3000</v>
      </c>
      <c r="N707" s="19">
        <f t="shared" si="538"/>
        <v>3168</v>
      </c>
      <c r="O707" s="19">
        <f>SUM(D707:N707)</f>
        <v>71320.5</v>
      </c>
      <c r="P707" s="19">
        <f>O707/A705</f>
        <v>23773.5</v>
      </c>
      <c r="Q707" s="19">
        <f>P707*Q704</f>
        <v>47547</v>
      </c>
      <c r="R707" s="19">
        <f>MROUND(Q707,100)</f>
        <v>47500</v>
      </c>
    </row>
    <row r="708" spans="1:18" ht="14.25" customHeight="1" x14ac:dyDescent="0.1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</row>
    <row r="709" spans="1:18" ht="14.25" customHeight="1" x14ac:dyDescent="0.3">
      <c r="A709" s="109" t="str">
        <f>PRICELIST!I316</f>
        <v>WSTK-LNR-NSH-LVM-1500-G</v>
      </c>
      <c r="B709" s="87"/>
      <c r="C709" s="87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7"/>
    </row>
    <row r="710" spans="1:18" ht="14.25" customHeight="1" x14ac:dyDescent="0.15">
      <c r="A710" s="19" t="s">
        <v>57</v>
      </c>
      <c r="B710" s="19" t="s">
        <v>59</v>
      </c>
      <c r="C710" s="19" t="s">
        <v>62</v>
      </c>
      <c r="D710" s="19" t="s">
        <v>64</v>
      </c>
      <c r="E710" s="19">
        <v>1200</v>
      </c>
      <c r="F710" s="19">
        <v>900</v>
      </c>
      <c r="G710" s="19">
        <v>600</v>
      </c>
      <c r="H710" s="19" t="s">
        <v>67</v>
      </c>
      <c r="I710" s="19" t="s">
        <v>68</v>
      </c>
      <c r="J710" s="19" t="s">
        <v>69</v>
      </c>
      <c r="K710" s="19" t="s">
        <v>71</v>
      </c>
      <c r="L710" s="19" t="s">
        <v>72</v>
      </c>
      <c r="M710" s="19" t="s">
        <v>73</v>
      </c>
      <c r="N710" s="19" t="s">
        <v>75</v>
      </c>
      <c r="O710" s="19" t="s">
        <v>76</v>
      </c>
      <c r="P710" s="19" t="s">
        <v>78</v>
      </c>
      <c r="Q710" s="19" t="s">
        <v>79</v>
      </c>
      <c r="R710" s="19" t="s">
        <v>81</v>
      </c>
    </row>
    <row r="711" spans="1:18" ht="14.25" customHeight="1" x14ac:dyDescent="0.15">
      <c r="A711" s="21">
        <f t="shared" ref="A711:B711" si="539">A704</f>
        <v>0</v>
      </c>
      <c r="B711" s="21">
        <f t="shared" si="539"/>
        <v>0</v>
      </c>
      <c r="C711" s="44" t="s">
        <v>188</v>
      </c>
      <c r="D711" s="21">
        <f t="shared" ref="D711:H711" si="540">D704</f>
        <v>0</v>
      </c>
      <c r="E711" s="23" t="str">
        <f t="shared" si="540"/>
        <v>4200</v>
      </c>
      <c r="F711" s="23" t="str">
        <f t="shared" si="540"/>
        <v>4000</v>
      </c>
      <c r="G711" s="23" t="str">
        <f t="shared" si="540"/>
        <v>3800</v>
      </c>
      <c r="H711" s="23">
        <f t="shared" si="540"/>
        <v>380</v>
      </c>
      <c r="I711" s="23" t="str">
        <f>I690</f>
        <v>0</v>
      </c>
      <c r="J711" s="23" t="str">
        <f t="shared" ref="J711:Q711" si="541">J704</f>
        <v>1000</v>
      </c>
      <c r="K711" s="23">
        <f t="shared" si="541"/>
        <v>375</v>
      </c>
      <c r="L711" s="23">
        <f t="shared" si="541"/>
        <v>585</v>
      </c>
      <c r="M711" s="23" t="str">
        <f t="shared" si="541"/>
        <v>1000</v>
      </c>
      <c r="N711" s="23">
        <f t="shared" si="541"/>
        <v>3300</v>
      </c>
      <c r="O711" s="23">
        <f t="shared" si="541"/>
        <v>0</v>
      </c>
      <c r="P711" s="23">
        <f t="shared" si="541"/>
        <v>0</v>
      </c>
      <c r="Q711" s="23">
        <f t="shared" si="541"/>
        <v>2</v>
      </c>
      <c r="R711" s="21"/>
    </row>
    <row r="712" spans="1:18" ht="14.25" customHeight="1" x14ac:dyDescent="0.15">
      <c r="A712" s="19">
        <v>3</v>
      </c>
      <c r="B712" s="19">
        <f>1.5*3</f>
        <v>4.5</v>
      </c>
      <c r="C712" s="19">
        <f>0.6+0.3</f>
        <v>0.89999999999999991</v>
      </c>
      <c r="D712" s="19">
        <f>B712*C712</f>
        <v>4.05</v>
      </c>
      <c r="E712" s="19"/>
      <c r="F712" s="19"/>
      <c r="G712" s="19"/>
      <c r="H712" s="19"/>
      <c r="I712" s="19">
        <f>B712*0.4</f>
        <v>1.8</v>
      </c>
      <c r="J712" s="19">
        <v>2</v>
      </c>
      <c r="K712" s="19">
        <f t="shared" ref="K712:L712" si="542">A712</f>
        <v>3</v>
      </c>
      <c r="L712" s="19">
        <f t="shared" si="542"/>
        <v>4.5</v>
      </c>
      <c r="M712" s="19">
        <f>A712</f>
        <v>3</v>
      </c>
      <c r="N712" s="19">
        <f>(1.2*0.4)*2</f>
        <v>0.96</v>
      </c>
      <c r="O712" s="19"/>
      <c r="P712" s="19"/>
      <c r="Q712" s="19"/>
      <c r="R712" s="19"/>
    </row>
    <row r="713" spans="1:18" ht="14.25" customHeight="1" x14ac:dyDescent="0.2">
      <c r="A713" s="19"/>
      <c r="B713" s="19"/>
      <c r="C713" s="19"/>
      <c r="D713" s="26" t="str">
        <f>D706</f>
        <v>9500</v>
      </c>
      <c r="E713" s="45">
        <v>0</v>
      </c>
      <c r="F713" s="45">
        <v>0</v>
      </c>
      <c r="G713" s="45">
        <v>2</v>
      </c>
      <c r="H713" s="19">
        <f>B712*2</f>
        <v>9</v>
      </c>
      <c r="I713" s="19"/>
      <c r="J713" s="19"/>
      <c r="K713" s="19"/>
      <c r="L713" s="19"/>
      <c r="M713" s="19"/>
      <c r="N713" s="28"/>
      <c r="O713" s="19"/>
      <c r="P713" s="19"/>
      <c r="Q713" s="19"/>
      <c r="R713" s="19"/>
    </row>
    <row r="714" spans="1:18" ht="14.25" customHeight="1" x14ac:dyDescent="0.2">
      <c r="A714" s="19"/>
      <c r="B714" s="19"/>
      <c r="C714" s="19"/>
      <c r="D714" s="19">
        <f>D712*D713</f>
        <v>38475</v>
      </c>
      <c r="E714" s="45">
        <f>E713*E711</f>
        <v>0</v>
      </c>
      <c r="F714" s="45">
        <f t="shared" ref="F714:H714" si="543">F711*F713</f>
        <v>0</v>
      </c>
      <c r="G714" s="45">
        <f t="shared" si="543"/>
        <v>7600</v>
      </c>
      <c r="H714" s="19">
        <f t="shared" si="543"/>
        <v>3420</v>
      </c>
      <c r="I714" s="19">
        <f t="shared" ref="I714:N714" si="544">I711*I712</f>
        <v>0</v>
      </c>
      <c r="J714" s="19">
        <f t="shared" si="544"/>
        <v>2000</v>
      </c>
      <c r="K714" s="19">
        <f t="shared" si="544"/>
        <v>1125</v>
      </c>
      <c r="L714" s="19">
        <f t="shared" si="544"/>
        <v>2632.5</v>
      </c>
      <c r="M714" s="19">
        <f t="shared" si="544"/>
        <v>3000</v>
      </c>
      <c r="N714" s="19">
        <f t="shared" si="544"/>
        <v>3168</v>
      </c>
      <c r="O714" s="19">
        <f>SUM(D714:N714)</f>
        <v>61420.5</v>
      </c>
      <c r="P714" s="19">
        <f>O714/A712</f>
        <v>20473.5</v>
      </c>
      <c r="Q714" s="19">
        <f>P714*Q711</f>
        <v>40947</v>
      </c>
      <c r="R714" s="19">
        <f>MROUND(Q714,100)</f>
        <v>40900</v>
      </c>
    </row>
    <row r="715" spans="1:18" ht="14.25" customHeight="1" x14ac:dyDescent="0.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</row>
    <row r="716" spans="1:18" ht="14.25" customHeight="1" x14ac:dyDescent="0.3">
      <c r="A716" s="109" t="str">
        <f>PRICELIST!I317</f>
        <v>WSTK-LNR-NSH-LVM-1500-X</v>
      </c>
      <c r="B716" s="87"/>
      <c r="C716" s="87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7"/>
    </row>
    <row r="717" spans="1:18" ht="14.25" customHeight="1" x14ac:dyDescent="0.15">
      <c r="A717" s="19" t="s">
        <v>57</v>
      </c>
      <c r="B717" s="19" t="s">
        <v>59</v>
      </c>
      <c r="C717" s="19" t="s">
        <v>62</v>
      </c>
      <c r="D717" s="19" t="s">
        <v>64</v>
      </c>
      <c r="E717" s="19">
        <v>1200</v>
      </c>
      <c r="F717" s="19">
        <v>900</v>
      </c>
      <c r="G717" s="19">
        <v>600</v>
      </c>
      <c r="H717" s="19" t="s">
        <v>67</v>
      </c>
      <c r="I717" s="19" t="s">
        <v>68</v>
      </c>
      <c r="J717" s="19" t="s">
        <v>69</v>
      </c>
      <c r="K717" s="19" t="s">
        <v>71</v>
      </c>
      <c r="L717" s="19" t="s">
        <v>72</v>
      </c>
      <c r="M717" s="19" t="s">
        <v>73</v>
      </c>
      <c r="N717" s="19" t="s">
        <v>75</v>
      </c>
      <c r="O717" s="19" t="s">
        <v>76</v>
      </c>
      <c r="P717" s="19" t="s">
        <v>78</v>
      </c>
      <c r="Q717" s="19" t="s">
        <v>79</v>
      </c>
      <c r="R717" s="19" t="s">
        <v>81</v>
      </c>
    </row>
    <row r="718" spans="1:18" ht="14.25" customHeight="1" x14ac:dyDescent="0.15">
      <c r="A718" s="21">
        <f t="shared" ref="A718:B718" si="545">A711</f>
        <v>0</v>
      </c>
      <c r="B718" s="21">
        <f t="shared" si="545"/>
        <v>0</v>
      </c>
      <c r="C718" s="44" t="s">
        <v>188</v>
      </c>
      <c r="D718" s="21">
        <f t="shared" ref="D718:H718" si="546">D711</f>
        <v>0</v>
      </c>
      <c r="E718" s="23" t="str">
        <f t="shared" si="546"/>
        <v>4200</v>
      </c>
      <c r="F718" s="23" t="str">
        <f t="shared" si="546"/>
        <v>4000</v>
      </c>
      <c r="G718" s="23" t="str">
        <f t="shared" si="546"/>
        <v>3800</v>
      </c>
      <c r="H718" s="23">
        <f t="shared" si="546"/>
        <v>380</v>
      </c>
      <c r="I718" s="23" t="str">
        <f>I697</f>
        <v>4800</v>
      </c>
      <c r="J718" s="23" t="str">
        <f t="shared" ref="J718:Q718" si="547">J711</f>
        <v>1000</v>
      </c>
      <c r="K718" s="23">
        <f t="shared" si="547"/>
        <v>375</v>
      </c>
      <c r="L718" s="23">
        <f t="shared" si="547"/>
        <v>585</v>
      </c>
      <c r="M718" s="23" t="str">
        <f t="shared" si="547"/>
        <v>1000</v>
      </c>
      <c r="N718" s="23">
        <f t="shared" si="547"/>
        <v>3300</v>
      </c>
      <c r="O718" s="23">
        <f t="shared" si="547"/>
        <v>0</v>
      </c>
      <c r="P718" s="23">
        <f t="shared" si="547"/>
        <v>0</v>
      </c>
      <c r="Q718" s="23">
        <f t="shared" si="547"/>
        <v>2</v>
      </c>
      <c r="R718" s="21"/>
    </row>
    <row r="719" spans="1:18" ht="14.25" customHeight="1" x14ac:dyDescent="0.15">
      <c r="A719" s="19">
        <v>3</v>
      </c>
      <c r="B719" s="19">
        <f>1.5*3</f>
        <v>4.5</v>
      </c>
      <c r="C719" s="19">
        <f>0.6+0.3</f>
        <v>0.89999999999999991</v>
      </c>
      <c r="D719" s="19">
        <f>B719*C719</f>
        <v>4.05</v>
      </c>
      <c r="E719" s="19"/>
      <c r="F719" s="19"/>
      <c r="G719" s="19"/>
      <c r="H719" s="19"/>
      <c r="I719" s="19">
        <f>B719*0.4</f>
        <v>1.8</v>
      </c>
      <c r="J719" s="19">
        <v>2</v>
      </c>
      <c r="K719" s="19">
        <f t="shared" ref="K719:L719" si="548">A719</f>
        <v>3</v>
      </c>
      <c r="L719" s="19">
        <f t="shared" si="548"/>
        <v>4.5</v>
      </c>
      <c r="M719" s="19">
        <f>A719</f>
        <v>3</v>
      </c>
      <c r="N719" s="19">
        <f>(1.2*0.4)*2</f>
        <v>0.96</v>
      </c>
      <c r="O719" s="19"/>
      <c r="P719" s="19"/>
      <c r="Q719" s="19"/>
      <c r="R719" s="19"/>
    </row>
    <row r="720" spans="1:18" ht="14.25" customHeight="1" x14ac:dyDescent="0.2">
      <c r="A720" s="19"/>
      <c r="B720" s="19"/>
      <c r="C720" s="19"/>
      <c r="D720" s="26" t="str">
        <f>D601</f>
        <v>10500</v>
      </c>
      <c r="E720" s="45">
        <v>0</v>
      </c>
      <c r="F720" s="45">
        <v>0</v>
      </c>
      <c r="G720" s="45">
        <v>2</v>
      </c>
      <c r="H720" s="19">
        <f>B719*2</f>
        <v>9</v>
      </c>
      <c r="I720" s="19"/>
      <c r="J720" s="19"/>
      <c r="K720" s="19"/>
      <c r="L720" s="19"/>
      <c r="M720" s="19"/>
      <c r="N720" s="28"/>
      <c r="O720" s="19"/>
      <c r="P720" s="19"/>
      <c r="Q720" s="19"/>
      <c r="R720" s="19"/>
    </row>
    <row r="721" spans="1:18" ht="14.25" customHeight="1" x14ac:dyDescent="0.2">
      <c r="A721" s="19"/>
      <c r="B721" s="19"/>
      <c r="C721" s="19"/>
      <c r="D721" s="19">
        <f>D719*D720</f>
        <v>42525</v>
      </c>
      <c r="E721" s="45">
        <f>E720*E718</f>
        <v>0</v>
      </c>
      <c r="F721" s="45">
        <f t="shared" ref="F721:H721" si="549">F718*F720</f>
        <v>0</v>
      </c>
      <c r="G721" s="45">
        <f t="shared" si="549"/>
        <v>7600</v>
      </c>
      <c r="H721" s="19">
        <f t="shared" si="549"/>
        <v>3420</v>
      </c>
      <c r="I721" s="19">
        <f t="shared" ref="I721:N721" si="550">I718*I719</f>
        <v>8640</v>
      </c>
      <c r="J721" s="19">
        <f t="shared" si="550"/>
        <v>2000</v>
      </c>
      <c r="K721" s="19">
        <f t="shared" si="550"/>
        <v>1125</v>
      </c>
      <c r="L721" s="19">
        <f t="shared" si="550"/>
        <v>2632.5</v>
      </c>
      <c r="M721" s="19">
        <f t="shared" si="550"/>
        <v>3000</v>
      </c>
      <c r="N721" s="19">
        <f t="shared" si="550"/>
        <v>3168</v>
      </c>
      <c r="O721" s="19">
        <f>SUM(D721:N721)</f>
        <v>74110.5</v>
      </c>
      <c r="P721" s="19">
        <f>O721/A719</f>
        <v>24703.5</v>
      </c>
      <c r="Q721" s="19">
        <f>P721*Q718</f>
        <v>49407</v>
      </c>
      <c r="R721" s="19">
        <f>MROUND(Q721,100)</f>
        <v>49400</v>
      </c>
    </row>
    <row r="722" spans="1:18" ht="14.25" customHeight="1" x14ac:dyDescent="0.1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</row>
    <row r="723" spans="1:18" ht="14.25" customHeight="1" x14ac:dyDescent="0.3">
      <c r="A723" s="109" t="str">
        <f>PRICELIST!I318</f>
        <v>WSTK-LNR-NSH-LVP-1500-F</v>
      </c>
      <c r="B723" s="87"/>
      <c r="C723" s="87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7"/>
    </row>
    <row r="724" spans="1:18" ht="14.25" customHeight="1" x14ac:dyDescent="0.15">
      <c r="A724" s="19" t="s">
        <v>57</v>
      </c>
      <c r="B724" s="19" t="s">
        <v>59</v>
      </c>
      <c r="C724" s="19" t="s">
        <v>62</v>
      </c>
      <c r="D724" s="19" t="s">
        <v>64</v>
      </c>
      <c r="E724" s="19">
        <v>1200</v>
      </c>
      <c r="F724" s="19">
        <v>900</v>
      </c>
      <c r="G724" s="19">
        <v>600</v>
      </c>
      <c r="H724" s="19" t="s">
        <v>67</v>
      </c>
      <c r="I724" s="19" t="s">
        <v>68</v>
      </c>
      <c r="J724" s="19" t="s">
        <v>69</v>
      </c>
      <c r="K724" s="19" t="s">
        <v>71</v>
      </c>
      <c r="L724" s="19" t="s">
        <v>72</v>
      </c>
      <c r="M724" s="19" t="s">
        <v>73</v>
      </c>
      <c r="N724" s="19" t="s">
        <v>75</v>
      </c>
      <c r="O724" s="19" t="s">
        <v>76</v>
      </c>
      <c r="P724" s="19" t="s">
        <v>78</v>
      </c>
      <c r="Q724" s="19" t="s">
        <v>79</v>
      </c>
      <c r="R724" s="19" t="s">
        <v>81</v>
      </c>
    </row>
    <row r="725" spans="1:18" ht="14.25" customHeight="1" x14ac:dyDescent="0.15">
      <c r="A725" s="21">
        <f t="shared" ref="A725:B725" si="551">A718</f>
        <v>0</v>
      </c>
      <c r="B725" s="21">
        <f t="shared" si="551"/>
        <v>0</v>
      </c>
      <c r="C725" s="44" t="s">
        <v>188</v>
      </c>
      <c r="D725" s="21">
        <f t="shared" ref="D725:H725" si="552">D718</f>
        <v>0</v>
      </c>
      <c r="E725" s="23" t="str">
        <f t="shared" si="552"/>
        <v>4200</v>
      </c>
      <c r="F725" s="23" t="str">
        <f t="shared" si="552"/>
        <v>4000</v>
      </c>
      <c r="G725" s="23" t="str">
        <f t="shared" si="552"/>
        <v>3800</v>
      </c>
      <c r="H725" s="23">
        <f t="shared" si="552"/>
        <v>380</v>
      </c>
      <c r="I725" s="23" t="str">
        <f>I704</f>
        <v>5500</v>
      </c>
      <c r="J725" s="23" t="str">
        <f t="shared" ref="J725:Q725" si="553">J718</f>
        <v>1000</v>
      </c>
      <c r="K725" s="23">
        <f t="shared" si="553"/>
        <v>375</v>
      </c>
      <c r="L725" s="23">
        <f t="shared" si="553"/>
        <v>585</v>
      </c>
      <c r="M725" s="23" t="str">
        <f t="shared" si="553"/>
        <v>1000</v>
      </c>
      <c r="N725" s="23">
        <f t="shared" si="553"/>
        <v>3300</v>
      </c>
      <c r="O725" s="23">
        <f t="shared" si="553"/>
        <v>0</v>
      </c>
      <c r="P725" s="23">
        <f t="shared" si="553"/>
        <v>0</v>
      </c>
      <c r="Q725" s="23">
        <f t="shared" si="553"/>
        <v>2</v>
      </c>
      <c r="R725" s="21"/>
    </row>
    <row r="726" spans="1:18" ht="14.25" customHeight="1" x14ac:dyDescent="0.15">
      <c r="A726" s="19">
        <v>3</v>
      </c>
      <c r="B726" s="19">
        <f>1.5*3</f>
        <v>4.5</v>
      </c>
      <c r="C726" s="19">
        <f>0.6+0.3</f>
        <v>0.89999999999999991</v>
      </c>
      <c r="D726" s="19">
        <f>B726*C726</f>
        <v>4.05</v>
      </c>
      <c r="E726" s="19"/>
      <c r="F726" s="19"/>
      <c r="G726" s="19"/>
      <c r="H726" s="19"/>
      <c r="I726" s="19">
        <f>B726*0.4</f>
        <v>1.8</v>
      </c>
      <c r="J726" s="19">
        <v>2</v>
      </c>
      <c r="K726" s="19">
        <f t="shared" ref="K726:L726" si="554">A726</f>
        <v>3</v>
      </c>
      <c r="L726" s="19">
        <f t="shared" si="554"/>
        <v>4.5</v>
      </c>
      <c r="M726" s="19">
        <f>A726</f>
        <v>3</v>
      </c>
      <c r="N726" s="19">
        <f>(1.2*0.4)*2</f>
        <v>0.96</v>
      </c>
      <c r="O726" s="19"/>
      <c r="P726" s="19"/>
      <c r="Q726" s="19"/>
      <c r="R726" s="19"/>
    </row>
    <row r="727" spans="1:18" ht="14.25" customHeight="1" x14ac:dyDescent="0.2">
      <c r="A727" s="19"/>
      <c r="B727" s="19"/>
      <c r="C727" s="19"/>
      <c r="D727" s="26" t="str">
        <f>D720</f>
        <v>10500</v>
      </c>
      <c r="E727" s="45">
        <v>0</v>
      </c>
      <c r="F727" s="45">
        <v>0</v>
      </c>
      <c r="G727" s="45">
        <v>2</v>
      </c>
      <c r="H727" s="19">
        <f>B726*2</f>
        <v>9</v>
      </c>
      <c r="I727" s="19"/>
      <c r="J727" s="19"/>
      <c r="K727" s="19"/>
      <c r="L727" s="19"/>
      <c r="M727" s="19"/>
      <c r="N727" s="28"/>
      <c r="O727" s="19"/>
      <c r="P727" s="19"/>
      <c r="Q727" s="19"/>
      <c r="R727" s="19"/>
    </row>
    <row r="728" spans="1:18" ht="14.25" customHeight="1" x14ac:dyDescent="0.2">
      <c r="A728" s="19"/>
      <c r="B728" s="19"/>
      <c r="C728" s="19"/>
      <c r="D728" s="19">
        <f>D726*D727</f>
        <v>42525</v>
      </c>
      <c r="E728" s="45">
        <f>E727*E725</f>
        <v>0</v>
      </c>
      <c r="F728" s="45">
        <f t="shared" ref="F728:H728" si="555">F725*F727</f>
        <v>0</v>
      </c>
      <c r="G728" s="45">
        <f t="shared" si="555"/>
        <v>7600</v>
      </c>
      <c r="H728" s="19">
        <f t="shared" si="555"/>
        <v>3420</v>
      </c>
      <c r="I728" s="19">
        <f t="shared" ref="I728:N728" si="556">I725*I726</f>
        <v>9900</v>
      </c>
      <c r="J728" s="19">
        <f t="shared" si="556"/>
        <v>2000</v>
      </c>
      <c r="K728" s="19">
        <f t="shared" si="556"/>
        <v>1125</v>
      </c>
      <c r="L728" s="19">
        <f t="shared" si="556"/>
        <v>2632.5</v>
      </c>
      <c r="M728" s="19">
        <f t="shared" si="556"/>
        <v>3000</v>
      </c>
      <c r="N728" s="19">
        <f t="shared" si="556"/>
        <v>3168</v>
      </c>
      <c r="O728" s="19">
        <f>SUM(D728:N728)</f>
        <v>75370.5</v>
      </c>
      <c r="P728" s="19">
        <f>O728/A726</f>
        <v>25123.5</v>
      </c>
      <c r="Q728" s="19">
        <f>P728*Q725</f>
        <v>50247</v>
      </c>
      <c r="R728" s="19">
        <f>MROUND(Q728,100)</f>
        <v>50200</v>
      </c>
    </row>
    <row r="729" spans="1:18" ht="14.25" customHeight="1" x14ac:dyDescent="0.1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</row>
    <row r="730" spans="1:18" ht="14.25" customHeight="1" x14ac:dyDescent="0.3">
      <c r="A730" s="109" t="str">
        <f>PRICELIST!I319</f>
        <v>WSTK-LNR-NSH-LVP-1500-G</v>
      </c>
      <c r="B730" s="87"/>
      <c r="C730" s="87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7"/>
    </row>
    <row r="731" spans="1:18" ht="14.25" customHeight="1" x14ac:dyDescent="0.15">
      <c r="A731" s="19" t="s">
        <v>57</v>
      </c>
      <c r="B731" s="19" t="s">
        <v>59</v>
      </c>
      <c r="C731" s="19" t="s">
        <v>62</v>
      </c>
      <c r="D731" s="19" t="s">
        <v>64</v>
      </c>
      <c r="E731" s="19">
        <v>1200</v>
      </c>
      <c r="F731" s="19">
        <v>900</v>
      </c>
      <c r="G731" s="19">
        <v>600</v>
      </c>
      <c r="H731" s="19" t="s">
        <v>67</v>
      </c>
      <c r="I731" s="19" t="s">
        <v>68</v>
      </c>
      <c r="J731" s="19" t="s">
        <v>69</v>
      </c>
      <c r="K731" s="19" t="s">
        <v>71</v>
      </c>
      <c r="L731" s="19" t="s">
        <v>72</v>
      </c>
      <c r="M731" s="19" t="s">
        <v>73</v>
      </c>
      <c r="N731" s="19" t="s">
        <v>75</v>
      </c>
      <c r="O731" s="19" t="s">
        <v>76</v>
      </c>
      <c r="P731" s="19" t="s">
        <v>78</v>
      </c>
      <c r="Q731" s="19" t="s">
        <v>79</v>
      </c>
      <c r="R731" s="19" t="s">
        <v>81</v>
      </c>
    </row>
    <row r="732" spans="1:18" ht="14.25" customHeight="1" x14ac:dyDescent="0.15">
      <c r="A732" s="21">
        <f t="shared" ref="A732:B732" si="557">A725</f>
        <v>0</v>
      </c>
      <c r="B732" s="21">
        <f t="shared" si="557"/>
        <v>0</v>
      </c>
      <c r="C732" s="44" t="s">
        <v>188</v>
      </c>
      <c r="D732" s="21">
        <f t="shared" ref="D732:H732" si="558">D725</f>
        <v>0</v>
      </c>
      <c r="E732" s="23" t="str">
        <f t="shared" si="558"/>
        <v>4200</v>
      </c>
      <c r="F732" s="23" t="str">
        <f t="shared" si="558"/>
        <v>4000</v>
      </c>
      <c r="G732" s="23" t="str">
        <f t="shared" si="558"/>
        <v>3800</v>
      </c>
      <c r="H732" s="23">
        <f t="shared" si="558"/>
        <v>380</v>
      </c>
      <c r="I732" s="23" t="str">
        <f>I711</f>
        <v>0</v>
      </c>
      <c r="J732" s="23" t="str">
        <f t="shared" ref="J732:Q732" si="559">J725</f>
        <v>1000</v>
      </c>
      <c r="K732" s="23">
        <f t="shared" si="559"/>
        <v>375</v>
      </c>
      <c r="L732" s="23">
        <f t="shared" si="559"/>
        <v>585</v>
      </c>
      <c r="M732" s="23" t="str">
        <f t="shared" si="559"/>
        <v>1000</v>
      </c>
      <c r="N732" s="23">
        <f t="shared" si="559"/>
        <v>3300</v>
      </c>
      <c r="O732" s="23">
        <f t="shared" si="559"/>
        <v>0</v>
      </c>
      <c r="P732" s="23">
        <f t="shared" si="559"/>
        <v>0</v>
      </c>
      <c r="Q732" s="23">
        <f t="shared" si="559"/>
        <v>2</v>
      </c>
      <c r="R732" s="21"/>
    </row>
    <row r="733" spans="1:18" ht="14.25" customHeight="1" x14ac:dyDescent="0.15">
      <c r="A733" s="19">
        <v>3</v>
      </c>
      <c r="B733" s="19">
        <f>1.5*3</f>
        <v>4.5</v>
      </c>
      <c r="C733" s="19">
        <f>0.6+0.3</f>
        <v>0.89999999999999991</v>
      </c>
      <c r="D733" s="19">
        <f>B733*C733</f>
        <v>4.05</v>
      </c>
      <c r="E733" s="19"/>
      <c r="F733" s="19"/>
      <c r="G733" s="19"/>
      <c r="H733" s="19"/>
      <c r="I733" s="19">
        <f>B733*0.4</f>
        <v>1.8</v>
      </c>
      <c r="J733" s="19">
        <v>2</v>
      </c>
      <c r="K733" s="19">
        <f t="shared" ref="K733:L733" si="560">A733</f>
        <v>3</v>
      </c>
      <c r="L733" s="19">
        <f t="shared" si="560"/>
        <v>4.5</v>
      </c>
      <c r="M733" s="19">
        <f>A733</f>
        <v>3</v>
      </c>
      <c r="N733" s="19">
        <f>(1.2*0.4)*2</f>
        <v>0.96</v>
      </c>
      <c r="O733" s="19"/>
      <c r="P733" s="19"/>
      <c r="Q733" s="19"/>
      <c r="R733" s="19"/>
    </row>
    <row r="734" spans="1:18" ht="14.25" customHeight="1" x14ac:dyDescent="0.2">
      <c r="A734" s="19"/>
      <c r="B734" s="19"/>
      <c r="C734" s="19"/>
      <c r="D734" s="26" t="str">
        <f>D727</f>
        <v>10500</v>
      </c>
      <c r="E734" s="45">
        <v>0</v>
      </c>
      <c r="F734" s="45">
        <v>0</v>
      </c>
      <c r="G734" s="45">
        <v>2</v>
      </c>
      <c r="H734" s="19">
        <f>B733*2</f>
        <v>9</v>
      </c>
      <c r="I734" s="19"/>
      <c r="J734" s="19"/>
      <c r="K734" s="19"/>
      <c r="L734" s="19"/>
      <c r="M734" s="19"/>
      <c r="N734" s="28"/>
      <c r="O734" s="19"/>
      <c r="P734" s="19"/>
      <c r="Q734" s="19"/>
      <c r="R734" s="19"/>
    </row>
    <row r="735" spans="1:18" ht="14.25" customHeight="1" x14ac:dyDescent="0.2">
      <c r="A735" s="19"/>
      <c r="B735" s="19"/>
      <c r="C735" s="19"/>
      <c r="D735" s="19">
        <f>D733*D734</f>
        <v>42525</v>
      </c>
      <c r="E735" s="45">
        <f>E734*E732</f>
        <v>0</v>
      </c>
      <c r="F735" s="45">
        <f t="shared" ref="F735:H735" si="561">F732*F734</f>
        <v>0</v>
      </c>
      <c r="G735" s="45">
        <f t="shared" si="561"/>
        <v>7600</v>
      </c>
      <c r="H735" s="19">
        <f t="shared" si="561"/>
        <v>3420</v>
      </c>
      <c r="I735" s="19">
        <f t="shared" ref="I735:N735" si="562">I732*I733</f>
        <v>0</v>
      </c>
      <c r="J735" s="19">
        <f t="shared" si="562"/>
        <v>2000</v>
      </c>
      <c r="K735" s="19">
        <f t="shared" si="562"/>
        <v>1125</v>
      </c>
      <c r="L735" s="19">
        <f t="shared" si="562"/>
        <v>2632.5</v>
      </c>
      <c r="M735" s="19">
        <f t="shared" si="562"/>
        <v>3000</v>
      </c>
      <c r="N735" s="19">
        <f t="shared" si="562"/>
        <v>3168</v>
      </c>
      <c r="O735" s="19">
        <f>SUM(D735:N735)</f>
        <v>65470.5</v>
      </c>
      <c r="P735" s="19">
        <f>O735/A733</f>
        <v>21823.5</v>
      </c>
      <c r="Q735" s="19">
        <f>P735*Q732</f>
        <v>43647</v>
      </c>
      <c r="R735" s="19">
        <f>MROUND(Q735,100)</f>
        <v>43600</v>
      </c>
    </row>
    <row r="736" spans="1:18" ht="14.25" customHeight="1" x14ac:dyDescent="0.1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</row>
    <row r="737" spans="1:18" ht="14.25" customHeight="1" x14ac:dyDescent="0.3">
      <c r="A737" s="109" t="str">
        <f>PRICELIST!I320</f>
        <v>WSTK-LNR-NSH-LVP-1500-X</v>
      </c>
      <c r="B737" s="87"/>
      <c r="C737" s="87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7"/>
    </row>
    <row r="738" spans="1:18" ht="14.25" customHeight="1" x14ac:dyDescent="0.15">
      <c r="A738" s="19" t="s">
        <v>57</v>
      </c>
      <c r="B738" s="19" t="s">
        <v>59</v>
      </c>
      <c r="C738" s="19" t="s">
        <v>62</v>
      </c>
      <c r="D738" s="19" t="s">
        <v>64</v>
      </c>
      <c r="E738" s="19">
        <v>1200</v>
      </c>
      <c r="F738" s="19">
        <v>900</v>
      </c>
      <c r="G738" s="19">
        <v>600</v>
      </c>
      <c r="H738" s="19" t="s">
        <v>67</v>
      </c>
      <c r="I738" s="19" t="s">
        <v>68</v>
      </c>
      <c r="J738" s="19" t="s">
        <v>69</v>
      </c>
      <c r="K738" s="19" t="s">
        <v>71</v>
      </c>
      <c r="L738" s="19" t="s">
        <v>72</v>
      </c>
      <c r="M738" s="19" t="s">
        <v>73</v>
      </c>
      <c r="N738" s="19" t="s">
        <v>75</v>
      </c>
      <c r="O738" s="19" t="s">
        <v>76</v>
      </c>
      <c r="P738" s="19" t="s">
        <v>78</v>
      </c>
      <c r="Q738" s="19" t="s">
        <v>79</v>
      </c>
      <c r="R738" s="19" t="s">
        <v>81</v>
      </c>
    </row>
    <row r="739" spans="1:18" ht="14.25" customHeight="1" x14ac:dyDescent="0.15">
      <c r="A739" s="21">
        <f t="shared" ref="A739:B739" si="563">A732</f>
        <v>0</v>
      </c>
      <c r="B739" s="21">
        <f t="shared" si="563"/>
        <v>0</v>
      </c>
      <c r="C739" s="44" t="s">
        <v>188</v>
      </c>
      <c r="D739" s="21">
        <f t="shared" ref="D739:H739" si="564">D732</f>
        <v>0</v>
      </c>
      <c r="E739" s="23" t="str">
        <f t="shared" si="564"/>
        <v>4200</v>
      </c>
      <c r="F739" s="23" t="str">
        <f t="shared" si="564"/>
        <v>4000</v>
      </c>
      <c r="G739" s="23" t="str">
        <f t="shared" si="564"/>
        <v>3800</v>
      </c>
      <c r="H739" s="23">
        <f t="shared" si="564"/>
        <v>380</v>
      </c>
      <c r="I739" s="23" t="str">
        <f>I718</f>
        <v>4800</v>
      </c>
      <c r="J739" s="23" t="str">
        <f t="shared" ref="J739:Q739" si="565">J732</f>
        <v>1000</v>
      </c>
      <c r="K739" s="23">
        <f t="shared" si="565"/>
        <v>375</v>
      </c>
      <c r="L739" s="23">
        <f t="shared" si="565"/>
        <v>585</v>
      </c>
      <c r="M739" s="23" t="str">
        <f t="shared" si="565"/>
        <v>1000</v>
      </c>
      <c r="N739" s="23">
        <f t="shared" si="565"/>
        <v>3300</v>
      </c>
      <c r="O739" s="23">
        <f t="shared" si="565"/>
        <v>0</v>
      </c>
      <c r="P739" s="23">
        <f t="shared" si="565"/>
        <v>0</v>
      </c>
      <c r="Q739" s="23">
        <f t="shared" si="565"/>
        <v>2</v>
      </c>
      <c r="R739" s="21"/>
    </row>
    <row r="740" spans="1:18" ht="14.25" customHeight="1" x14ac:dyDescent="0.15">
      <c r="A740" s="19">
        <v>3</v>
      </c>
      <c r="B740" s="19">
        <f>1.5*3</f>
        <v>4.5</v>
      </c>
      <c r="C740" s="19">
        <f>0.6+0.3</f>
        <v>0.89999999999999991</v>
      </c>
      <c r="D740" s="19">
        <f>B740*C740</f>
        <v>4.05</v>
      </c>
      <c r="E740" s="19"/>
      <c r="F740" s="19"/>
      <c r="G740" s="19"/>
      <c r="H740" s="19"/>
      <c r="I740" s="19">
        <f>B740*0.4</f>
        <v>1.8</v>
      </c>
      <c r="J740" s="19">
        <v>2</v>
      </c>
      <c r="K740" s="19">
        <f t="shared" ref="K740:L740" si="566">A740</f>
        <v>3</v>
      </c>
      <c r="L740" s="19">
        <f t="shared" si="566"/>
        <v>4.5</v>
      </c>
      <c r="M740" s="19">
        <f>A740</f>
        <v>3</v>
      </c>
      <c r="N740" s="19">
        <f>(1.2*0.4)*2</f>
        <v>0.96</v>
      </c>
      <c r="O740" s="19"/>
      <c r="P740" s="19"/>
      <c r="Q740" s="19"/>
      <c r="R740" s="19"/>
    </row>
    <row r="741" spans="1:18" ht="14.25" customHeight="1" x14ac:dyDescent="0.2">
      <c r="A741" s="19"/>
      <c r="B741" s="19"/>
      <c r="C741" s="19"/>
      <c r="D741" s="26" t="str">
        <f>D615</f>
        <v>16250</v>
      </c>
      <c r="E741" s="45">
        <v>0</v>
      </c>
      <c r="F741" s="45">
        <v>0</v>
      </c>
      <c r="G741" s="45">
        <v>2</v>
      </c>
      <c r="H741" s="19">
        <f>B740*2</f>
        <v>9</v>
      </c>
      <c r="I741" s="19"/>
      <c r="J741" s="19"/>
      <c r="K741" s="19"/>
      <c r="L741" s="19"/>
      <c r="M741" s="19"/>
      <c r="N741" s="28"/>
      <c r="O741" s="19"/>
      <c r="P741" s="19"/>
      <c r="Q741" s="19"/>
      <c r="R741" s="19"/>
    </row>
    <row r="742" spans="1:18" ht="14.25" customHeight="1" x14ac:dyDescent="0.2">
      <c r="A742" s="19"/>
      <c r="B742" s="19"/>
      <c r="C742" s="19"/>
      <c r="D742" s="19">
        <f>D740*D741</f>
        <v>65812.5</v>
      </c>
      <c r="E742" s="45">
        <f>E741*E739</f>
        <v>0</v>
      </c>
      <c r="F742" s="45">
        <f t="shared" ref="F742:H742" si="567">F739*F741</f>
        <v>0</v>
      </c>
      <c r="G742" s="45">
        <f t="shared" si="567"/>
        <v>7600</v>
      </c>
      <c r="H742" s="19">
        <f t="shared" si="567"/>
        <v>3420</v>
      </c>
      <c r="I742" s="19">
        <f t="shared" ref="I742:N742" si="568">I739*I740</f>
        <v>8640</v>
      </c>
      <c r="J742" s="19">
        <f t="shared" si="568"/>
        <v>2000</v>
      </c>
      <c r="K742" s="19">
        <f t="shared" si="568"/>
        <v>1125</v>
      </c>
      <c r="L742" s="19">
        <f t="shared" si="568"/>
        <v>2632.5</v>
      </c>
      <c r="M742" s="19">
        <f t="shared" si="568"/>
        <v>3000</v>
      </c>
      <c r="N742" s="19">
        <f t="shared" si="568"/>
        <v>3168</v>
      </c>
      <c r="O742" s="19">
        <f>SUM(D742:N742)</f>
        <v>97398</v>
      </c>
      <c r="P742" s="19">
        <f>O742/A740</f>
        <v>32466</v>
      </c>
      <c r="Q742" s="19">
        <f>P742*Q739</f>
        <v>64932</v>
      </c>
      <c r="R742" s="19">
        <f>MROUND(Q742,100)</f>
        <v>64900</v>
      </c>
    </row>
    <row r="743" spans="1:18" ht="14.25" customHeight="1" x14ac:dyDescent="0.1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</row>
    <row r="744" spans="1:18" ht="14.25" customHeight="1" x14ac:dyDescent="0.3">
      <c r="A744" s="109" t="str">
        <f>PRICELIST!I321</f>
        <v>WSTK-LNR-NSH-MB-1500-F</v>
      </c>
      <c r="B744" s="87"/>
      <c r="C744" s="87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7"/>
    </row>
    <row r="745" spans="1:18" ht="14.25" customHeight="1" x14ac:dyDescent="0.15">
      <c r="A745" s="19" t="s">
        <v>57</v>
      </c>
      <c r="B745" s="19" t="s">
        <v>59</v>
      </c>
      <c r="C745" s="19" t="s">
        <v>62</v>
      </c>
      <c r="D745" s="19" t="s">
        <v>64</v>
      </c>
      <c r="E745" s="19">
        <v>1200</v>
      </c>
      <c r="F745" s="19">
        <v>900</v>
      </c>
      <c r="G745" s="19">
        <v>600</v>
      </c>
      <c r="H745" s="19" t="s">
        <v>67</v>
      </c>
      <c r="I745" s="19" t="s">
        <v>68</v>
      </c>
      <c r="J745" s="19" t="s">
        <v>69</v>
      </c>
      <c r="K745" s="19" t="s">
        <v>71</v>
      </c>
      <c r="L745" s="19" t="s">
        <v>72</v>
      </c>
      <c r="M745" s="19" t="s">
        <v>73</v>
      </c>
      <c r="N745" s="19" t="s">
        <v>75</v>
      </c>
      <c r="O745" s="19" t="s">
        <v>76</v>
      </c>
      <c r="P745" s="19" t="s">
        <v>78</v>
      </c>
      <c r="Q745" s="19" t="s">
        <v>79</v>
      </c>
      <c r="R745" s="19" t="s">
        <v>81</v>
      </c>
    </row>
    <row r="746" spans="1:18" ht="14.25" customHeight="1" x14ac:dyDescent="0.15">
      <c r="A746" s="21">
        <f t="shared" ref="A746:B746" si="569">A739</f>
        <v>0</v>
      </c>
      <c r="B746" s="21">
        <f t="shared" si="569"/>
        <v>0</v>
      </c>
      <c r="C746" s="44" t="s">
        <v>188</v>
      </c>
      <c r="D746" s="21">
        <f t="shared" ref="D746:H746" si="570">D739</f>
        <v>0</v>
      </c>
      <c r="E746" s="23" t="str">
        <f t="shared" si="570"/>
        <v>4200</v>
      </c>
      <c r="F746" s="23" t="str">
        <f t="shared" si="570"/>
        <v>4000</v>
      </c>
      <c r="G746" s="23" t="str">
        <f t="shared" si="570"/>
        <v>3800</v>
      </c>
      <c r="H746" s="23">
        <f t="shared" si="570"/>
        <v>380</v>
      </c>
      <c r="I746" s="23" t="str">
        <f>I725</f>
        <v>5500</v>
      </c>
      <c r="J746" s="23" t="str">
        <f t="shared" ref="J746:Q746" si="571">J739</f>
        <v>1000</v>
      </c>
      <c r="K746" s="23">
        <f t="shared" si="571"/>
        <v>375</v>
      </c>
      <c r="L746" s="23">
        <f t="shared" si="571"/>
        <v>585</v>
      </c>
      <c r="M746" s="23" t="str">
        <f t="shared" si="571"/>
        <v>1000</v>
      </c>
      <c r="N746" s="23">
        <f t="shared" si="571"/>
        <v>3300</v>
      </c>
      <c r="O746" s="23">
        <f t="shared" si="571"/>
        <v>0</v>
      </c>
      <c r="P746" s="23">
        <f t="shared" si="571"/>
        <v>0</v>
      </c>
      <c r="Q746" s="23">
        <f t="shared" si="571"/>
        <v>2</v>
      </c>
      <c r="R746" s="21"/>
    </row>
    <row r="747" spans="1:18" ht="14.25" customHeight="1" x14ac:dyDescent="0.15">
      <c r="A747" s="19">
        <v>3</v>
      </c>
      <c r="B747" s="19">
        <f>1.5*3</f>
        <v>4.5</v>
      </c>
      <c r="C747" s="19">
        <f>0.6+0.3</f>
        <v>0.89999999999999991</v>
      </c>
      <c r="D747" s="19">
        <f>B747*C747</f>
        <v>4.05</v>
      </c>
      <c r="E747" s="19"/>
      <c r="F747" s="19"/>
      <c r="G747" s="19"/>
      <c r="H747" s="19"/>
      <c r="I747" s="19">
        <f>B747*0.4</f>
        <v>1.8</v>
      </c>
      <c r="J747" s="19">
        <v>2</v>
      </c>
      <c r="K747" s="19">
        <f t="shared" ref="K747:L747" si="572">A747</f>
        <v>3</v>
      </c>
      <c r="L747" s="19">
        <f t="shared" si="572"/>
        <v>4.5</v>
      </c>
      <c r="M747" s="19">
        <f>A747</f>
        <v>3</v>
      </c>
      <c r="N747" s="19">
        <f>(1.2*0.4)*2</f>
        <v>0.96</v>
      </c>
      <c r="O747" s="19"/>
      <c r="P747" s="19"/>
      <c r="Q747" s="19"/>
      <c r="R747" s="19"/>
    </row>
    <row r="748" spans="1:18" ht="14.25" customHeight="1" x14ac:dyDescent="0.2">
      <c r="A748" s="19"/>
      <c r="B748" s="19"/>
      <c r="C748" s="19"/>
      <c r="D748" s="26" t="str">
        <f>D741</f>
        <v>16250</v>
      </c>
      <c r="E748" s="45">
        <v>0</v>
      </c>
      <c r="F748" s="45">
        <v>0</v>
      </c>
      <c r="G748" s="45">
        <v>2</v>
      </c>
      <c r="H748" s="19">
        <f>B747*2</f>
        <v>9</v>
      </c>
      <c r="I748" s="19"/>
      <c r="J748" s="19"/>
      <c r="K748" s="19"/>
      <c r="L748" s="19"/>
      <c r="M748" s="19"/>
      <c r="N748" s="28"/>
      <c r="O748" s="19"/>
      <c r="P748" s="19"/>
      <c r="Q748" s="19"/>
      <c r="R748" s="19"/>
    </row>
    <row r="749" spans="1:18" ht="14.25" customHeight="1" x14ac:dyDescent="0.2">
      <c r="A749" s="19"/>
      <c r="B749" s="19"/>
      <c r="C749" s="19"/>
      <c r="D749" s="19">
        <f>D747*D748</f>
        <v>65812.5</v>
      </c>
      <c r="E749" s="45">
        <f>E748*E746</f>
        <v>0</v>
      </c>
      <c r="F749" s="45">
        <f t="shared" ref="F749:H749" si="573">F746*F748</f>
        <v>0</v>
      </c>
      <c r="G749" s="45">
        <f t="shared" si="573"/>
        <v>7600</v>
      </c>
      <c r="H749" s="19">
        <f t="shared" si="573"/>
        <v>3420</v>
      </c>
      <c r="I749" s="19">
        <f t="shared" ref="I749:N749" si="574">I746*I747</f>
        <v>9900</v>
      </c>
      <c r="J749" s="19">
        <f t="shared" si="574"/>
        <v>2000</v>
      </c>
      <c r="K749" s="19">
        <f t="shared" si="574"/>
        <v>1125</v>
      </c>
      <c r="L749" s="19">
        <f t="shared" si="574"/>
        <v>2632.5</v>
      </c>
      <c r="M749" s="19">
        <f t="shared" si="574"/>
        <v>3000</v>
      </c>
      <c r="N749" s="19">
        <f t="shared" si="574"/>
        <v>3168</v>
      </c>
      <c r="O749" s="19">
        <f>SUM(D749:N749)</f>
        <v>98658</v>
      </c>
      <c r="P749" s="19">
        <f>O749/A747</f>
        <v>32886</v>
      </c>
      <c r="Q749" s="19">
        <f>P749*Q746</f>
        <v>65772</v>
      </c>
      <c r="R749" s="19">
        <f>MROUND(Q749,100)</f>
        <v>65800</v>
      </c>
    </row>
    <row r="750" spans="1:18" ht="14.25" customHeight="1" x14ac:dyDescent="0.1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</row>
    <row r="751" spans="1:18" ht="14.25" customHeight="1" x14ac:dyDescent="0.3">
      <c r="A751" s="109" t="str">
        <f>PRICELIST!I322</f>
        <v>WSTK-LNR-NSH-MB-1500-G</v>
      </c>
      <c r="B751" s="87"/>
      <c r="C751" s="87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7"/>
    </row>
    <row r="752" spans="1:18" ht="14.25" customHeight="1" x14ac:dyDescent="0.15">
      <c r="A752" s="19" t="s">
        <v>57</v>
      </c>
      <c r="B752" s="19" t="s">
        <v>59</v>
      </c>
      <c r="C752" s="19" t="s">
        <v>62</v>
      </c>
      <c r="D752" s="19" t="s">
        <v>64</v>
      </c>
      <c r="E752" s="19">
        <v>1200</v>
      </c>
      <c r="F752" s="19">
        <v>900</v>
      </c>
      <c r="G752" s="19">
        <v>600</v>
      </c>
      <c r="H752" s="19" t="s">
        <v>67</v>
      </c>
      <c r="I752" s="19" t="s">
        <v>68</v>
      </c>
      <c r="J752" s="19" t="s">
        <v>69</v>
      </c>
      <c r="K752" s="19" t="s">
        <v>71</v>
      </c>
      <c r="L752" s="19" t="s">
        <v>72</v>
      </c>
      <c r="M752" s="19" t="s">
        <v>73</v>
      </c>
      <c r="N752" s="19" t="s">
        <v>75</v>
      </c>
      <c r="O752" s="19" t="s">
        <v>76</v>
      </c>
      <c r="P752" s="19" t="s">
        <v>78</v>
      </c>
      <c r="Q752" s="19" t="s">
        <v>79</v>
      </c>
      <c r="R752" s="19" t="s">
        <v>81</v>
      </c>
    </row>
    <row r="753" spans="1:18" ht="14.25" customHeight="1" x14ac:dyDescent="0.15">
      <c r="A753" s="21">
        <f t="shared" ref="A753:B753" si="575">A746</f>
        <v>0</v>
      </c>
      <c r="B753" s="21">
        <f t="shared" si="575"/>
        <v>0</v>
      </c>
      <c r="C753" s="44" t="s">
        <v>188</v>
      </c>
      <c r="D753" s="21">
        <f t="shared" ref="D753:H753" si="576">D746</f>
        <v>0</v>
      </c>
      <c r="E753" s="23" t="str">
        <f t="shared" si="576"/>
        <v>4200</v>
      </c>
      <c r="F753" s="23" t="str">
        <f t="shared" si="576"/>
        <v>4000</v>
      </c>
      <c r="G753" s="23" t="str">
        <f t="shared" si="576"/>
        <v>3800</v>
      </c>
      <c r="H753" s="23">
        <f t="shared" si="576"/>
        <v>380</v>
      </c>
      <c r="I753" s="23" t="str">
        <f>I732</f>
        <v>0</v>
      </c>
      <c r="J753" s="23" t="str">
        <f t="shared" ref="J753:Q753" si="577">J746</f>
        <v>1000</v>
      </c>
      <c r="K753" s="23">
        <f t="shared" si="577"/>
        <v>375</v>
      </c>
      <c r="L753" s="23">
        <f t="shared" si="577"/>
        <v>585</v>
      </c>
      <c r="M753" s="23" t="str">
        <f t="shared" si="577"/>
        <v>1000</v>
      </c>
      <c r="N753" s="23">
        <f t="shared" si="577"/>
        <v>3300</v>
      </c>
      <c r="O753" s="23">
        <f t="shared" si="577"/>
        <v>0</v>
      </c>
      <c r="P753" s="23">
        <f t="shared" si="577"/>
        <v>0</v>
      </c>
      <c r="Q753" s="23">
        <f t="shared" si="577"/>
        <v>2</v>
      </c>
      <c r="R753" s="21"/>
    </row>
    <row r="754" spans="1:18" ht="14.25" customHeight="1" x14ac:dyDescent="0.15">
      <c r="A754" s="19">
        <v>3</v>
      </c>
      <c r="B754" s="19">
        <f>1.5*3</f>
        <v>4.5</v>
      </c>
      <c r="C754" s="19">
        <f>0.6+0.3</f>
        <v>0.89999999999999991</v>
      </c>
      <c r="D754" s="19">
        <f>B754*C754</f>
        <v>4.05</v>
      </c>
      <c r="E754" s="19"/>
      <c r="F754" s="19"/>
      <c r="G754" s="19"/>
      <c r="H754" s="19"/>
      <c r="I754" s="19">
        <f>B754*0.4</f>
        <v>1.8</v>
      </c>
      <c r="J754" s="19">
        <v>2</v>
      </c>
      <c r="K754" s="19">
        <f t="shared" ref="K754:L754" si="578">A754</f>
        <v>3</v>
      </c>
      <c r="L754" s="19">
        <f t="shared" si="578"/>
        <v>4.5</v>
      </c>
      <c r="M754" s="19">
        <f>A754</f>
        <v>3</v>
      </c>
      <c r="N754" s="19">
        <f>(1.2*0.4)*2</f>
        <v>0.96</v>
      </c>
      <c r="O754" s="19"/>
      <c r="P754" s="19"/>
      <c r="Q754" s="19"/>
      <c r="R754" s="19"/>
    </row>
    <row r="755" spans="1:18" ht="14.25" customHeight="1" x14ac:dyDescent="0.2">
      <c r="A755" s="19"/>
      <c r="B755" s="19"/>
      <c r="C755" s="19"/>
      <c r="D755" s="26" t="str">
        <f>D748</f>
        <v>16250</v>
      </c>
      <c r="E755" s="45">
        <v>0</v>
      </c>
      <c r="F755" s="45">
        <v>0</v>
      </c>
      <c r="G755" s="45">
        <v>2</v>
      </c>
      <c r="H755" s="19">
        <f>B754*2</f>
        <v>9</v>
      </c>
      <c r="I755" s="19"/>
      <c r="J755" s="19"/>
      <c r="K755" s="19"/>
      <c r="L755" s="19"/>
      <c r="M755" s="19"/>
      <c r="N755" s="28"/>
      <c r="O755" s="19"/>
      <c r="P755" s="19"/>
      <c r="Q755" s="19"/>
      <c r="R755" s="19"/>
    </row>
    <row r="756" spans="1:18" ht="14.25" customHeight="1" x14ac:dyDescent="0.2">
      <c r="A756" s="19"/>
      <c r="B756" s="19"/>
      <c r="C756" s="19"/>
      <c r="D756" s="19">
        <f>D754*D755</f>
        <v>65812.5</v>
      </c>
      <c r="E756" s="45">
        <f>E755*E753</f>
        <v>0</v>
      </c>
      <c r="F756" s="45">
        <f t="shared" ref="F756:H756" si="579">F753*F755</f>
        <v>0</v>
      </c>
      <c r="G756" s="45">
        <f t="shared" si="579"/>
        <v>7600</v>
      </c>
      <c r="H756" s="19">
        <f t="shared" si="579"/>
        <v>3420</v>
      </c>
      <c r="I756" s="19">
        <f t="shared" ref="I756:N756" si="580">I753*I754</f>
        <v>0</v>
      </c>
      <c r="J756" s="19">
        <f t="shared" si="580"/>
        <v>2000</v>
      </c>
      <c r="K756" s="19">
        <f t="shared" si="580"/>
        <v>1125</v>
      </c>
      <c r="L756" s="19">
        <f t="shared" si="580"/>
        <v>2632.5</v>
      </c>
      <c r="M756" s="19">
        <f t="shared" si="580"/>
        <v>3000</v>
      </c>
      <c r="N756" s="19">
        <f t="shared" si="580"/>
        <v>3168</v>
      </c>
      <c r="O756" s="19">
        <f>SUM(D756:N756)</f>
        <v>88758</v>
      </c>
      <c r="P756" s="19">
        <f>O756/A754</f>
        <v>29586</v>
      </c>
      <c r="Q756" s="19">
        <f>P756*Q753</f>
        <v>59172</v>
      </c>
      <c r="R756" s="19">
        <f>MROUND(Q756,100)</f>
        <v>59200</v>
      </c>
    </row>
    <row r="757" spans="1:18" ht="14.25" customHeight="1" x14ac:dyDescent="0.2">
      <c r="A757" s="21"/>
      <c r="B757" s="21"/>
      <c r="C757" s="21"/>
      <c r="D757" s="21"/>
      <c r="E757" s="65"/>
      <c r="F757" s="65"/>
      <c r="G757" s="65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</row>
    <row r="758" spans="1:18" ht="14.25" customHeight="1" x14ac:dyDescent="0.3">
      <c r="A758" s="109" t="str">
        <f>PRICELIST!I323</f>
        <v>WSTK-LNR-NSH-MB-1500-X</v>
      </c>
      <c r="B758" s="87"/>
      <c r="C758" s="87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7"/>
    </row>
    <row r="759" spans="1:18" ht="14.25" customHeight="1" x14ac:dyDescent="0.15">
      <c r="A759" s="19" t="s">
        <v>57</v>
      </c>
      <c r="B759" s="19" t="s">
        <v>59</v>
      </c>
      <c r="C759" s="19" t="s">
        <v>62</v>
      </c>
      <c r="D759" s="19" t="s">
        <v>64</v>
      </c>
      <c r="E759" s="19">
        <v>1200</v>
      </c>
      <c r="F759" s="19">
        <v>900</v>
      </c>
      <c r="G759" s="19">
        <v>600</v>
      </c>
      <c r="H759" s="19" t="s">
        <v>67</v>
      </c>
      <c r="I759" s="19" t="s">
        <v>68</v>
      </c>
      <c r="J759" s="19" t="s">
        <v>69</v>
      </c>
      <c r="K759" s="19" t="s">
        <v>71</v>
      </c>
      <c r="L759" s="19" t="s">
        <v>72</v>
      </c>
      <c r="M759" s="19" t="s">
        <v>73</v>
      </c>
      <c r="N759" s="19" t="s">
        <v>75</v>
      </c>
      <c r="O759" s="19" t="s">
        <v>76</v>
      </c>
      <c r="P759" s="19" t="s">
        <v>78</v>
      </c>
      <c r="Q759" s="19" t="s">
        <v>79</v>
      </c>
      <c r="R759" s="19" t="s">
        <v>81</v>
      </c>
    </row>
    <row r="760" spans="1:18" ht="14.25" customHeight="1" x14ac:dyDescent="0.15">
      <c r="A760" s="21"/>
      <c r="B760" s="21"/>
      <c r="C760" s="44" t="s">
        <v>188</v>
      </c>
      <c r="D760" s="21">
        <f t="shared" ref="D760:G760" si="581">D753</f>
        <v>0</v>
      </c>
      <c r="E760" s="23" t="str">
        <f t="shared" si="581"/>
        <v>4200</v>
      </c>
      <c r="F760" s="23" t="str">
        <f t="shared" si="581"/>
        <v>4000</v>
      </c>
      <c r="G760" s="23" t="str">
        <f t="shared" si="581"/>
        <v>3800</v>
      </c>
      <c r="H760" s="21">
        <v>380</v>
      </c>
      <c r="I760" s="23" t="str">
        <f>I739</f>
        <v>4800</v>
      </c>
      <c r="J760" s="23" t="str">
        <f>J753</f>
        <v>1000</v>
      </c>
      <c r="K760" s="21">
        <v>375</v>
      </c>
      <c r="L760" s="21">
        <v>585</v>
      </c>
      <c r="M760" s="23" t="str">
        <f>M753</f>
        <v>1000</v>
      </c>
      <c r="N760" s="21">
        <v>3300</v>
      </c>
      <c r="O760" s="21"/>
      <c r="P760" s="21"/>
      <c r="Q760" s="23">
        <f>Q753</f>
        <v>2</v>
      </c>
      <c r="R760" s="21"/>
    </row>
    <row r="761" spans="1:18" ht="14.25" customHeight="1" x14ac:dyDescent="0.15">
      <c r="A761" s="19">
        <v>1</v>
      </c>
      <c r="B761" s="19">
        <v>0.9</v>
      </c>
      <c r="C761" s="19">
        <f>0.6+0.3</f>
        <v>0.89999999999999991</v>
      </c>
      <c r="D761" s="19">
        <f>B761*C761</f>
        <v>0.80999999999999994</v>
      </c>
      <c r="E761" s="19"/>
      <c r="F761" s="19"/>
      <c r="G761" s="19"/>
      <c r="H761" s="19"/>
      <c r="I761" s="19">
        <f>B761*0.4</f>
        <v>0.36000000000000004</v>
      </c>
      <c r="J761" s="19">
        <v>1</v>
      </c>
      <c r="K761" s="19">
        <f t="shared" ref="K761:L761" si="582">A761</f>
        <v>1</v>
      </c>
      <c r="L761" s="19">
        <f t="shared" si="582"/>
        <v>0.9</v>
      </c>
      <c r="M761" s="19">
        <f>A761</f>
        <v>1</v>
      </c>
      <c r="N761" s="19">
        <f>(1.2*0.4)*2</f>
        <v>0.96</v>
      </c>
      <c r="O761" s="19"/>
      <c r="P761" s="19"/>
      <c r="Q761" s="19"/>
      <c r="R761" s="19"/>
    </row>
    <row r="762" spans="1:18" ht="14.25" customHeight="1" x14ac:dyDescent="0.15">
      <c r="A762" s="19"/>
      <c r="B762" s="19"/>
      <c r="C762" s="19"/>
      <c r="D762" s="26" t="str">
        <f>D636</f>
        <v>2200</v>
      </c>
      <c r="E762" s="19">
        <v>0</v>
      </c>
      <c r="F762" s="19">
        <v>0</v>
      </c>
      <c r="G762" s="19">
        <v>2</v>
      </c>
      <c r="H762" s="19">
        <f>B761*2</f>
        <v>1.8</v>
      </c>
      <c r="I762" s="19"/>
      <c r="J762" s="19"/>
      <c r="K762" s="19"/>
      <c r="L762" s="19"/>
      <c r="M762" s="19"/>
      <c r="N762" s="28"/>
      <c r="O762" s="19"/>
      <c r="P762" s="19"/>
      <c r="Q762" s="19"/>
      <c r="R762" s="19"/>
    </row>
    <row r="763" spans="1:18" ht="14.25" customHeight="1" x14ac:dyDescent="0.15">
      <c r="A763" s="19"/>
      <c r="B763" s="19"/>
      <c r="C763" s="19"/>
      <c r="D763" s="19">
        <f>D761*D762</f>
        <v>1781.9999999999998</v>
      </c>
      <c r="E763" s="19">
        <f>E762*E760</f>
        <v>0</v>
      </c>
      <c r="F763" s="19">
        <f t="shared" ref="F763:H763" si="583">F760*F762</f>
        <v>0</v>
      </c>
      <c r="G763" s="19">
        <f t="shared" si="583"/>
        <v>7600</v>
      </c>
      <c r="H763" s="19">
        <f t="shared" si="583"/>
        <v>684</v>
      </c>
      <c r="I763" s="19">
        <f t="shared" ref="I763:N763" si="584">I760*I761</f>
        <v>1728.0000000000002</v>
      </c>
      <c r="J763" s="19">
        <f t="shared" si="584"/>
        <v>1000</v>
      </c>
      <c r="K763" s="19">
        <f t="shared" si="584"/>
        <v>375</v>
      </c>
      <c r="L763" s="19">
        <f t="shared" si="584"/>
        <v>526.5</v>
      </c>
      <c r="M763" s="19">
        <f t="shared" si="584"/>
        <v>1000</v>
      </c>
      <c r="N763" s="19">
        <f t="shared" si="584"/>
        <v>3168</v>
      </c>
      <c r="O763" s="19">
        <f>SUM(D763:N763)</f>
        <v>17863.5</v>
      </c>
      <c r="P763" s="19">
        <f>O763/A761</f>
        <v>17863.5</v>
      </c>
      <c r="Q763" s="19">
        <f>P763*Q760</f>
        <v>35727</v>
      </c>
      <c r="R763" s="19">
        <f>MROUND(Q763,100)</f>
        <v>35700</v>
      </c>
    </row>
    <row r="764" spans="1:18" ht="14.25" customHeight="1" x14ac:dyDescent="0.1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</row>
    <row r="765" spans="1:18" ht="14.25" customHeight="1" x14ac:dyDescent="0.3">
      <c r="A765" s="109" t="str">
        <f>PRICELIST!I324</f>
        <v>WSTK-LNR-S-PB-900-F</v>
      </c>
      <c r="B765" s="87"/>
      <c r="C765" s="87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7"/>
    </row>
    <row r="766" spans="1:18" ht="14.25" customHeight="1" x14ac:dyDescent="0.15">
      <c r="A766" s="19" t="s">
        <v>57</v>
      </c>
      <c r="B766" s="19" t="s">
        <v>59</v>
      </c>
      <c r="C766" s="19" t="s">
        <v>62</v>
      </c>
      <c r="D766" s="19" t="s">
        <v>64</v>
      </c>
      <c r="E766" s="19">
        <v>1200</v>
      </c>
      <c r="F766" s="19">
        <v>900</v>
      </c>
      <c r="G766" s="19">
        <v>600</v>
      </c>
      <c r="H766" s="19" t="s">
        <v>67</v>
      </c>
      <c r="I766" s="19" t="s">
        <v>68</v>
      </c>
      <c r="J766" s="19" t="s">
        <v>69</v>
      </c>
      <c r="K766" s="19" t="s">
        <v>71</v>
      </c>
      <c r="L766" s="19" t="s">
        <v>72</v>
      </c>
      <c r="M766" s="19" t="s">
        <v>73</v>
      </c>
      <c r="N766" s="19" t="s">
        <v>75</v>
      </c>
      <c r="O766" s="19" t="s">
        <v>76</v>
      </c>
      <c r="P766" s="19" t="s">
        <v>78</v>
      </c>
      <c r="Q766" s="19" t="s">
        <v>79</v>
      </c>
      <c r="R766" s="19" t="s">
        <v>81</v>
      </c>
    </row>
    <row r="767" spans="1:18" ht="14.25" customHeight="1" x14ac:dyDescent="0.15">
      <c r="A767" s="21"/>
      <c r="B767" s="21"/>
      <c r="C767" s="44" t="s">
        <v>188</v>
      </c>
      <c r="D767" s="21"/>
      <c r="E767" s="23" t="str">
        <f t="shared" ref="E767:H767" si="585">E760</f>
        <v>4200</v>
      </c>
      <c r="F767" s="23" t="str">
        <f t="shared" si="585"/>
        <v>4000</v>
      </c>
      <c r="G767" s="23" t="str">
        <f t="shared" si="585"/>
        <v>3800</v>
      </c>
      <c r="H767" s="23">
        <f t="shared" si="585"/>
        <v>380</v>
      </c>
      <c r="I767" s="23" t="str">
        <f>I746</f>
        <v>5500</v>
      </c>
      <c r="J767" s="23" t="str">
        <f t="shared" ref="J767:R767" si="586">J760</f>
        <v>1000</v>
      </c>
      <c r="K767" s="23">
        <f t="shared" si="586"/>
        <v>375</v>
      </c>
      <c r="L767" s="23">
        <f t="shared" si="586"/>
        <v>585</v>
      </c>
      <c r="M767" s="23" t="str">
        <f t="shared" si="586"/>
        <v>1000</v>
      </c>
      <c r="N767" s="23">
        <f t="shared" si="586"/>
        <v>3300</v>
      </c>
      <c r="O767" s="23">
        <f t="shared" si="586"/>
        <v>0</v>
      </c>
      <c r="P767" s="23">
        <f t="shared" si="586"/>
        <v>0</v>
      </c>
      <c r="Q767" s="23">
        <f t="shared" si="586"/>
        <v>2</v>
      </c>
      <c r="R767" s="23">
        <f t="shared" si="586"/>
        <v>0</v>
      </c>
    </row>
    <row r="768" spans="1:18" ht="14.25" customHeight="1" x14ac:dyDescent="0.15">
      <c r="A768" s="19">
        <v>1</v>
      </c>
      <c r="B768" s="19">
        <v>0.9</v>
      </c>
      <c r="C768" s="19">
        <f>0.6+0.3</f>
        <v>0.89999999999999991</v>
      </c>
      <c r="D768" s="19">
        <f>B768*C768</f>
        <v>0.80999999999999994</v>
      </c>
      <c r="E768" s="19"/>
      <c r="F768" s="19"/>
      <c r="G768" s="19"/>
      <c r="H768" s="19"/>
      <c r="I768" s="19">
        <f>B768*0.4</f>
        <v>0.36000000000000004</v>
      </c>
      <c r="J768" s="19">
        <v>1</v>
      </c>
      <c r="K768" s="19">
        <f t="shared" ref="K768:L768" si="587">A768</f>
        <v>1</v>
      </c>
      <c r="L768" s="19">
        <f t="shared" si="587"/>
        <v>0.9</v>
      </c>
      <c r="M768" s="19">
        <f>A768</f>
        <v>1</v>
      </c>
      <c r="N768" s="19">
        <f>(1.2*0.4)*2</f>
        <v>0.96</v>
      </c>
      <c r="O768" s="19"/>
      <c r="P768" s="19"/>
      <c r="Q768" s="19"/>
      <c r="R768" s="19"/>
    </row>
    <row r="769" spans="1:18" ht="14.25" customHeight="1" x14ac:dyDescent="0.15">
      <c r="A769" s="19"/>
      <c r="B769" s="19"/>
      <c r="C769" s="19"/>
      <c r="D769" s="26" t="str">
        <f>D762</f>
        <v>2200</v>
      </c>
      <c r="E769" s="19">
        <v>0</v>
      </c>
      <c r="F769" s="19">
        <v>0</v>
      </c>
      <c r="G769" s="19">
        <v>2</v>
      </c>
      <c r="H769" s="19">
        <f>B768*2</f>
        <v>1.8</v>
      </c>
      <c r="I769" s="19"/>
      <c r="J769" s="19"/>
      <c r="K769" s="19"/>
      <c r="L769" s="19"/>
      <c r="M769" s="19"/>
      <c r="N769" s="28"/>
      <c r="O769" s="19"/>
      <c r="P769" s="19"/>
      <c r="Q769" s="19"/>
      <c r="R769" s="19"/>
    </row>
    <row r="770" spans="1:18" ht="14.25" customHeight="1" x14ac:dyDescent="0.15">
      <c r="A770" s="19"/>
      <c r="B770" s="19"/>
      <c r="C770" s="19"/>
      <c r="D770" s="19">
        <f>D768*D769</f>
        <v>1781.9999999999998</v>
      </c>
      <c r="E770" s="19">
        <f>E769*E767</f>
        <v>0</v>
      </c>
      <c r="F770" s="19">
        <f t="shared" ref="F770:H770" si="588">F767*F769</f>
        <v>0</v>
      </c>
      <c r="G770" s="19">
        <f t="shared" si="588"/>
        <v>7600</v>
      </c>
      <c r="H770" s="19">
        <f t="shared" si="588"/>
        <v>684</v>
      </c>
      <c r="I770" s="19">
        <f t="shared" ref="I770:N770" si="589">I767*I768</f>
        <v>1980.0000000000002</v>
      </c>
      <c r="J770" s="19">
        <f t="shared" si="589"/>
        <v>1000</v>
      </c>
      <c r="K770" s="19">
        <f t="shared" si="589"/>
        <v>375</v>
      </c>
      <c r="L770" s="19">
        <f t="shared" si="589"/>
        <v>526.5</v>
      </c>
      <c r="M770" s="19">
        <f t="shared" si="589"/>
        <v>1000</v>
      </c>
      <c r="N770" s="19">
        <f t="shared" si="589"/>
        <v>3168</v>
      </c>
      <c r="O770" s="19">
        <f>SUM(D770:N770)</f>
        <v>18115.5</v>
      </c>
      <c r="P770" s="19">
        <f>O770/A768</f>
        <v>18115.5</v>
      </c>
      <c r="Q770" s="19">
        <f>P770*Q767</f>
        <v>36231</v>
      </c>
      <c r="R770" s="19">
        <f>MROUND(Q770,100)</f>
        <v>36200</v>
      </c>
    </row>
    <row r="771" spans="1:18" ht="14.25" customHeight="1" x14ac:dyDescent="0.1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23">
        <f>Q764</f>
        <v>0</v>
      </c>
    </row>
    <row r="772" spans="1:18" ht="14.25" customHeight="1" x14ac:dyDescent="0.3">
      <c r="A772" s="109" t="str">
        <f>PRICELIST!I325</f>
        <v>WSTK-LNR-S-PB-900-G</v>
      </c>
      <c r="B772" s="87"/>
      <c r="C772" s="87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7"/>
    </row>
    <row r="773" spans="1:18" ht="14.25" customHeight="1" x14ac:dyDescent="0.15">
      <c r="A773" s="19" t="s">
        <v>57</v>
      </c>
      <c r="B773" s="19" t="s">
        <v>59</v>
      </c>
      <c r="C773" s="19" t="s">
        <v>62</v>
      </c>
      <c r="D773" s="19" t="s">
        <v>64</v>
      </c>
      <c r="E773" s="19">
        <v>1200</v>
      </c>
      <c r="F773" s="19">
        <v>900</v>
      </c>
      <c r="G773" s="19">
        <v>600</v>
      </c>
      <c r="H773" s="19" t="s">
        <v>67</v>
      </c>
      <c r="I773" s="19" t="s">
        <v>68</v>
      </c>
      <c r="J773" s="19" t="s">
        <v>69</v>
      </c>
      <c r="K773" s="19" t="s">
        <v>71</v>
      </c>
      <c r="L773" s="19" t="s">
        <v>72</v>
      </c>
      <c r="M773" s="19" t="s">
        <v>73</v>
      </c>
      <c r="N773" s="19" t="s">
        <v>75</v>
      </c>
      <c r="O773" s="19" t="s">
        <v>76</v>
      </c>
      <c r="P773" s="19" t="s">
        <v>78</v>
      </c>
      <c r="Q773" s="19" t="s">
        <v>79</v>
      </c>
      <c r="R773" s="19" t="s">
        <v>81</v>
      </c>
    </row>
    <row r="774" spans="1:18" ht="14.25" customHeight="1" x14ac:dyDescent="0.15">
      <c r="A774" s="21">
        <f t="shared" ref="A774:B774" si="590">A767</f>
        <v>0</v>
      </c>
      <c r="B774" s="21">
        <f t="shared" si="590"/>
        <v>0</v>
      </c>
      <c r="C774" s="44" t="s">
        <v>188</v>
      </c>
      <c r="D774" s="21">
        <f t="shared" ref="D774:H774" si="591">D767</f>
        <v>0</v>
      </c>
      <c r="E774" s="23" t="str">
        <f t="shared" si="591"/>
        <v>4200</v>
      </c>
      <c r="F774" s="23" t="str">
        <f t="shared" si="591"/>
        <v>4000</v>
      </c>
      <c r="G774" s="23" t="str">
        <f t="shared" si="591"/>
        <v>3800</v>
      </c>
      <c r="H774" s="23">
        <f t="shared" si="591"/>
        <v>380</v>
      </c>
      <c r="I774" s="23" t="str">
        <f>I753</f>
        <v>0</v>
      </c>
      <c r="J774" s="23" t="str">
        <f t="shared" ref="J774:Q774" si="592">J767</f>
        <v>1000</v>
      </c>
      <c r="K774" s="23">
        <f t="shared" si="592"/>
        <v>375</v>
      </c>
      <c r="L774" s="23">
        <f t="shared" si="592"/>
        <v>585</v>
      </c>
      <c r="M774" s="23" t="str">
        <f t="shared" si="592"/>
        <v>1000</v>
      </c>
      <c r="N774" s="23">
        <f t="shared" si="592"/>
        <v>3300</v>
      </c>
      <c r="O774" s="23">
        <f t="shared" si="592"/>
        <v>0</v>
      </c>
      <c r="P774" s="23">
        <f t="shared" si="592"/>
        <v>0</v>
      </c>
      <c r="Q774" s="23">
        <f t="shared" si="592"/>
        <v>2</v>
      </c>
      <c r="R774" s="21"/>
    </row>
    <row r="775" spans="1:18" ht="14.25" customHeight="1" x14ac:dyDescent="0.15">
      <c r="A775" s="19">
        <v>1</v>
      </c>
      <c r="B775" s="19">
        <v>0.9</v>
      </c>
      <c r="C775" s="19">
        <f>0.6+0.3</f>
        <v>0.89999999999999991</v>
      </c>
      <c r="D775" s="19">
        <f>B775*C775</f>
        <v>0.80999999999999994</v>
      </c>
      <c r="E775" s="19"/>
      <c r="F775" s="19"/>
      <c r="G775" s="19"/>
      <c r="H775" s="19"/>
      <c r="I775" s="19">
        <f>B775*0.4</f>
        <v>0.36000000000000004</v>
      </c>
      <c r="J775" s="19">
        <v>1</v>
      </c>
      <c r="K775" s="19">
        <f t="shared" ref="K775:L775" si="593">A775</f>
        <v>1</v>
      </c>
      <c r="L775" s="19">
        <f t="shared" si="593"/>
        <v>0.9</v>
      </c>
      <c r="M775" s="19">
        <f>A775</f>
        <v>1</v>
      </c>
      <c r="N775" s="19">
        <f>(1.2*0.4)*2</f>
        <v>0.96</v>
      </c>
      <c r="O775" s="19"/>
      <c r="P775" s="19"/>
      <c r="Q775" s="19"/>
      <c r="R775" s="19"/>
    </row>
    <row r="776" spans="1:18" ht="14.25" customHeight="1" x14ac:dyDescent="0.2">
      <c r="A776" s="19"/>
      <c r="B776" s="19"/>
      <c r="C776" s="19"/>
      <c r="D776" s="26" t="str">
        <f>D769</f>
        <v>2200</v>
      </c>
      <c r="E776" s="45">
        <v>0</v>
      </c>
      <c r="F776" s="45">
        <v>0</v>
      </c>
      <c r="G776" s="45">
        <v>2</v>
      </c>
      <c r="H776" s="19">
        <f>B775*2</f>
        <v>1.8</v>
      </c>
      <c r="I776" s="19"/>
      <c r="J776" s="19"/>
      <c r="K776" s="19"/>
      <c r="L776" s="19"/>
      <c r="M776" s="19"/>
      <c r="N776" s="28"/>
      <c r="O776" s="19"/>
      <c r="P776" s="19"/>
      <c r="Q776" s="19"/>
      <c r="R776" s="19"/>
    </row>
    <row r="777" spans="1:18" ht="14.25" customHeight="1" x14ac:dyDescent="0.2">
      <c r="A777" s="19"/>
      <c r="B777" s="19"/>
      <c r="C777" s="19"/>
      <c r="D777" s="19">
        <f>D775*D776</f>
        <v>1781.9999999999998</v>
      </c>
      <c r="E777" s="45">
        <f>E776*E774</f>
        <v>0</v>
      </c>
      <c r="F777" s="45">
        <f t="shared" ref="F777:H777" si="594">F774*F776</f>
        <v>0</v>
      </c>
      <c r="G777" s="45">
        <f t="shared" si="594"/>
        <v>7600</v>
      </c>
      <c r="H777" s="19">
        <f t="shared" si="594"/>
        <v>684</v>
      </c>
      <c r="I777" s="19">
        <f t="shared" ref="I777:N777" si="595">I774*I775</f>
        <v>0</v>
      </c>
      <c r="J777" s="19">
        <f t="shared" si="595"/>
        <v>1000</v>
      </c>
      <c r="K777" s="19">
        <f t="shared" si="595"/>
        <v>375</v>
      </c>
      <c r="L777" s="19">
        <f t="shared" si="595"/>
        <v>526.5</v>
      </c>
      <c r="M777" s="19">
        <f t="shared" si="595"/>
        <v>1000</v>
      </c>
      <c r="N777" s="19">
        <f t="shared" si="595"/>
        <v>3168</v>
      </c>
      <c r="O777" s="19">
        <f>SUM(D777:N777)</f>
        <v>16135.5</v>
      </c>
      <c r="P777" s="19">
        <f>O777/A775</f>
        <v>16135.5</v>
      </c>
      <c r="Q777" s="19">
        <f>P777*Q774</f>
        <v>32271</v>
      </c>
      <c r="R777" s="19">
        <f>MROUND(Q777,100)</f>
        <v>32300</v>
      </c>
    </row>
    <row r="778" spans="1:18" ht="14.25" customHeight="1" x14ac:dyDescent="0.1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</row>
    <row r="779" spans="1:18" ht="14.25" customHeight="1" x14ac:dyDescent="0.3">
      <c r="A779" s="109" t="str">
        <f>PRICELIST!I326</f>
        <v>WSTK-LNR-S-PB-900-X</v>
      </c>
      <c r="B779" s="87"/>
      <c r="C779" s="87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7"/>
    </row>
    <row r="780" spans="1:18" ht="14.25" customHeight="1" x14ac:dyDescent="0.15">
      <c r="A780" s="19" t="s">
        <v>57</v>
      </c>
      <c r="B780" s="19" t="s">
        <v>59</v>
      </c>
      <c r="C780" s="19" t="s">
        <v>62</v>
      </c>
      <c r="D780" s="19" t="s">
        <v>64</v>
      </c>
      <c r="E780" s="19">
        <v>1200</v>
      </c>
      <c r="F780" s="19">
        <v>900</v>
      </c>
      <c r="G780" s="19">
        <v>600</v>
      </c>
      <c r="H780" s="19" t="s">
        <v>67</v>
      </c>
      <c r="I780" s="19" t="s">
        <v>68</v>
      </c>
      <c r="J780" s="19" t="s">
        <v>69</v>
      </c>
      <c r="K780" s="19" t="s">
        <v>71</v>
      </c>
      <c r="L780" s="19" t="s">
        <v>72</v>
      </c>
      <c r="M780" s="19" t="s">
        <v>73</v>
      </c>
      <c r="N780" s="19" t="s">
        <v>75</v>
      </c>
      <c r="O780" s="19" t="s">
        <v>76</v>
      </c>
      <c r="P780" s="19" t="s">
        <v>78</v>
      </c>
      <c r="Q780" s="19" t="s">
        <v>79</v>
      </c>
      <c r="R780" s="19" t="s">
        <v>81</v>
      </c>
    </row>
    <row r="781" spans="1:18" ht="14.25" customHeight="1" x14ac:dyDescent="0.15">
      <c r="A781" s="21">
        <f t="shared" ref="A781:B781" si="596">A774</f>
        <v>0</v>
      </c>
      <c r="B781" s="21">
        <f t="shared" si="596"/>
        <v>0</v>
      </c>
      <c r="C781" s="44" t="s">
        <v>188</v>
      </c>
      <c r="D781" s="21">
        <f t="shared" ref="D781:H781" si="597">D774</f>
        <v>0</v>
      </c>
      <c r="E781" s="23" t="str">
        <f t="shared" si="597"/>
        <v>4200</v>
      </c>
      <c r="F781" s="23" t="str">
        <f t="shared" si="597"/>
        <v>4000</v>
      </c>
      <c r="G781" s="23" t="str">
        <f t="shared" si="597"/>
        <v>3800</v>
      </c>
      <c r="H781" s="23">
        <f t="shared" si="597"/>
        <v>380</v>
      </c>
      <c r="I781" s="23" t="str">
        <f>I760</f>
        <v>4800</v>
      </c>
      <c r="J781" s="23" t="str">
        <f t="shared" ref="J781:Q781" si="598">J774</f>
        <v>1000</v>
      </c>
      <c r="K781" s="23">
        <f t="shared" si="598"/>
        <v>375</v>
      </c>
      <c r="L781" s="23">
        <f t="shared" si="598"/>
        <v>585</v>
      </c>
      <c r="M781" s="23" t="str">
        <f t="shared" si="598"/>
        <v>1000</v>
      </c>
      <c r="N781" s="23">
        <f t="shared" si="598"/>
        <v>3300</v>
      </c>
      <c r="O781" s="23">
        <f t="shared" si="598"/>
        <v>0</v>
      </c>
      <c r="P781" s="23">
        <f t="shared" si="598"/>
        <v>0</v>
      </c>
      <c r="Q781" s="23">
        <f t="shared" si="598"/>
        <v>2</v>
      </c>
      <c r="R781" s="21"/>
    </row>
    <row r="782" spans="1:18" ht="14.25" customHeight="1" x14ac:dyDescent="0.15">
      <c r="A782" s="19">
        <v>1</v>
      </c>
      <c r="B782" s="19">
        <v>0.9</v>
      </c>
      <c r="C782" s="19">
        <f>0.6+0.3</f>
        <v>0.89999999999999991</v>
      </c>
      <c r="D782" s="19">
        <f>B782*C782</f>
        <v>0.80999999999999994</v>
      </c>
      <c r="E782" s="19"/>
      <c r="F782" s="19"/>
      <c r="G782" s="19"/>
      <c r="H782" s="19"/>
      <c r="I782" s="19">
        <f>B782*0.4</f>
        <v>0.36000000000000004</v>
      </c>
      <c r="J782" s="19">
        <v>1</v>
      </c>
      <c r="K782" s="19">
        <f t="shared" ref="K782:L782" si="599">A782</f>
        <v>1</v>
      </c>
      <c r="L782" s="19">
        <f t="shared" si="599"/>
        <v>0.9</v>
      </c>
      <c r="M782" s="19">
        <f>A782</f>
        <v>1</v>
      </c>
      <c r="N782" s="19">
        <f>(1.2*0.4)*2</f>
        <v>0.96</v>
      </c>
      <c r="O782" s="19"/>
      <c r="P782" s="19"/>
      <c r="Q782" s="19"/>
      <c r="R782" s="19"/>
    </row>
    <row r="783" spans="1:18" ht="14.25" customHeight="1" x14ac:dyDescent="0.2">
      <c r="A783" s="19"/>
      <c r="B783" s="19"/>
      <c r="C783" s="19"/>
      <c r="D783" s="26">
        <f>'MASTER DATA'!C434</f>
        <v>0</v>
      </c>
      <c r="E783" s="45">
        <v>0</v>
      </c>
      <c r="F783" s="45">
        <v>0</v>
      </c>
      <c r="G783" s="45">
        <v>2</v>
      </c>
      <c r="H783" s="19">
        <f>B782*2</f>
        <v>1.8</v>
      </c>
      <c r="I783" s="19"/>
      <c r="J783" s="19"/>
      <c r="K783" s="19"/>
      <c r="L783" s="19"/>
      <c r="M783" s="19"/>
      <c r="N783" s="28"/>
      <c r="O783" s="19"/>
      <c r="P783" s="19"/>
      <c r="Q783" s="19"/>
      <c r="R783" s="19"/>
    </row>
    <row r="784" spans="1:18" ht="14.25" customHeight="1" x14ac:dyDescent="0.2">
      <c r="A784" s="19"/>
      <c r="B784" s="19"/>
      <c r="C784" s="19"/>
      <c r="D784" s="19">
        <f>D782*D783</f>
        <v>0</v>
      </c>
      <c r="E784" s="45">
        <f>E783*E781</f>
        <v>0</v>
      </c>
      <c r="F784" s="45">
        <f t="shared" ref="F784:H784" si="600">F781*F783</f>
        <v>0</v>
      </c>
      <c r="G784" s="45">
        <f t="shared" si="600"/>
        <v>7600</v>
      </c>
      <c r="H784" s="19">
        <f t="shared" si="600"/>
        <v>684</v>
      </c>
      <c r="I784" s="19">
        <f t="shared" ref="I784:N784" si="601">I781*I782</f>
        <v>1728.0000000000002</v>
      </c>
      <c r="J784" s="19">
        <f t="shared" si="601"/>
        <v>1000</v>
      </c>
      <c r="K784" s="19">
        <f t="shared" si="601"/>
        <v>375</v>
      </c>
      <c r="L784" s="19">
        <f t="shared" si="601"/>
        <v>526.5</v>
      </c>
      <c r="M784" s="19">
        <f t="shared" si="601"/>
        <v>1000</v>
      </c>
      <c r="N784" s="19">
        <f t="shared" si="601"/>
        <v>3168</v>
      </c>
      <c r="O784" s="19">
        <f>SUM(D784:N784)</f>
        <v>16081.5</v>
      </c>
      <c r="P784" s="19">
        <f>O784/A782</f>
        <v>16081.5</v>
      </c>
      <c r="Q784" s="19">
        <f>P784*Q781</f>
        <v>32163</v>
      </c>
      <c r="R784" s="19">
        <f>MROUND(Q784,100)</f>
        <v>32200</v>
      </c>
    </row>
    <row r="785" spans="1:18" ht="14.25" customHeight="1" x14ac:dyDescent="0.1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</row>
    <row r="786" spans="1:18" ht="14.25" customHeight="1" x14ac:dyDescent="0.3">
      <c r="A786" s="109" t="str">
        <f>PRICELIST!I327</f>
        <v>WSTK-LNR-S-PLM-900-F</v>
      </c>
      <c r="B786" s="87"/>
      <c r="C786" s="87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7"/>
    </row>
    <row r="787" spans="1:18" ht="14.25" customHeight="1" x14ac:dyDescent="0.15">
      <c r="A787" s="19" t="s">
        <v>57</v>
      </c>
      <c r="B787" s="19" t="s">
        <v>59</v>
      </c>
      <c r="C787" s="19" t="s">
        <v>62</v>
      </c>
      <c r="D787" s="19" t="s">
        <v>64</v>
      </c>
      <c r="E787" s="19">
        <v>1200</v>
      </c>
      <c r="F787" s="19">
        <v>900</v>
      </c>
      <c r="G787" s="19">
        <v>600</v>
      </c>
      <c r="H787" s="19" t="s">
        <v>67</v>
      </c>
      <c r="I787" s="19" t="s">
        <v>68</v>
      </c>
      <c r="J787" s="19" t="s">
        <v>69</v>
      </c>
      <c r="K787" s="19" t="s">
        <v>71</v>
      </c>
      <c r="L787" s="19" t="s">
        <v>72</v>
      </c>
      <c r="M787" s="19" t="s">
        <v>73</v>
      </c>
      <c r="N787" s="19" t="s">
        <v>75</v>
      </c>
      <c r="O787" s="19" t="s">
        <v>76</v>
      </c>
      <c r="P787" s="19" t="s">
        <v>78</v>
      </c>
      <c r="Q787" s="19" t="s">
        <v>79</v>
      </c>
      <c r="R787" s="19" t="s">
        <v>81</v>
      </c>
    </row>
    <row r="788" spans="1:18" ht="14.25" customHeight="1" x14ac:dyDescent="0.15">
      <c r="A788" s="21">
        <f t="shared" ref="A788:B788" si="602">A781</f>
        <v>0</v>
      </c>
      <c r="B788" s="21">
        <f t="shared" si="602"/>
        <v>0</v>
      </c>
      <c r="C788" s="44" t="s">
        <v>188</v>
      </c>
      <c r="D788" s="21">
        <f t="shared" ref="D788:H788" si="603">D781</f>
        <v>0</v>
      </c>
      <c r="E788" s="23" t="str">
        <f t="shared" si="603"/>
        <v>4200</v>
      </c>
      <c r="F788" s="23" t="str">
        <f t="shared" si="603"/>
        <v>4000</v>
      </c>
      <c r="G788" s="23" t="str">
        <f t="shared" si="603"/>
        <v>3800</v>
      </c>
      <c r="H788" s="23">
        <f t="shared" si="603"/>
        <v>380</v>
      </c>
      <c r="I788" s="23" t="str">
        <f>I767</f>
        <v>5500</v>
      </c>
      <c r="J788" s="23" t="str">
        <f t="shared" ref="J788:Q788" si="604">J781</f>
        <v>1000</v>
      </c>
      <c r="K788" s="23">
        <f t="shared" si="604"/>
        <v>375</v>
      </c>
      <c r="L788" s="23">
        <f t="shared" si="604"/>
        <v>585</v>
      </c>
      <c r="M788" s="23" t="str">
        <f t="shared" si="604"/>
        <v>1000</v>
      </c>
      <c r="N788" s="23">
        <f t="shared" si="604"/>
        <v>3300</v>
      </c>
      <c r="O788" s="23">
        <f t="shared" si="604"/>
        <v>0</v>
      </c>
      <c r="P788" s="23">
        <f t="shared" si="604"/>
        <v>0</v>
      </c>
      <c r="Q788" s="23">
        <f t="shared" si="604"/>
        <v>2</v>
      </c>
      <c r="R788" s="21"/>
    </row>
    <row r="789" spans="1:18" ht="14.25" customHeight="1" x14ac:dyDescent="0.15">
      <c r="A789" s="19">
        <v>1</v>
      </c>
      <c r="B789" s="19">
        <v>0.9</v>
      </c>
      <c r="C789" s="19">
        <f>0.6+0.3</f>
        <v>0.89999999999999991</v>
      </c>
      <c r="D789" s="19">
        <f>B789*C789</f>
        <v>0.80999999999999994</v>
      </c>
      <c r="E789" s="19"/>
      <c r="F789" s="19"/>
      <c r="G789" s="19"/>
      <c r="H789" s="19"/>
      <c r="I789" s="19">
        <f>B789*0.4</f>
        <v>0.36000000000000004</v>
      </c>
      <c r="J789" s="19">
        <v>1</v>
      </c>
      <c r="K789" s="19">
        <f t="shared" ref="K789:L789" si="605">A789</f>
        <v>1</v>
      </c>
      <c r="L789" s="19">
        <f t="shared" si="605"/>
        <v>0.9</v>
      </c>
      <c r="M789" s="19">
        <f>A789</f>
        <v>1</v>
      </c>
      <c r="N789" s="19">
        <f>(1.2*0.4)*2</f>
        <v>0.96</v>
      </c>
      <c r="O789" s="19"/>
      <c r="P789" s="19"/>
      <c r="Q789" s="19"/>
      <c r="R789" s="19"/>
    </row>
    <row r="790" spans="1:18" ht="14.25" customHeight="1" x14ac:dyDescent="0.2">
      <c r="A790" s="19"/>
      <c r="B790" s="19"/>
      <c r="C790" s="19"/>
      <c r="D790" s="26" t="str">
        <f>D671</f>
        <v>3000</v>
      </c>
      <c r="E790" s="45">
        <v>0</v>
      </c>
      <c r="F790" s="45">
        <v>0</v>
      </c>
      <c r="G790" s="45">
        <v>2</v>
      </c>
      <c r="H790" s="19">
        <f>B789*2</f>
        <v>1.8</v>
      </c>
      <c r="I790" s="19"/>
      <c r="J790" s="19"/>
      <c r="K790" s="19"/>
      <c r="L790" s="19"/>
      <c r="M790" s="19"/>
      <c r="N790" s="28"/>
      <c r="O790" s="19"/>
      <c r="P790" s="19"/>
      <c r="Q790" s="19"/>
      <c r="R790" s="19"/>
    </row>
    <row r="791" spans="1:18" ht="14.25" customHeight="1" x14ac:dyDescent="0.2">
      <c r="A791" s="19"/>
      <c r="B791" s="19"/>
      <c r="C791" s="19"/>
      <c r="D791" s="19">
        <f>D789*D790</f>
        <v>2430</v>
      </c>
      <c r="E791" s="45">
        <f>E790*E788</f>
        <v>0</v>
      </c>
      <c r="F791" s="45">
        <f t="shared" ref="F791:H791" si="606">F788*F790</f>
        <v>0</v>
      </c>
      <c r="G791" s="45">
        <f t="shared" si="606"/>
        <v>7600</v>
      </c>
      <c r="H791" s="19">
        <f t="shared" si="606"/>
        <v>684</v>
      </c>
      <c r="I791" s="19">
        <f t="shared" ref="I791:N791" si="607">I788*I789</f>
        <v>1980.0000000000002</v>
      </c>
      <c r="J791" s="19">
        <f t="shared" si="607"/>
        <v>1000</v>
      </c>
      <c r="K791" s="19">
        <f t="shared" si="607"/>
        <v>375</v>
      </c>
      <c r="L791" s="19">
        <f t="shared" si="607"/>
        <v>526.5</v>
      </c>
      <c r="M791" s="19">
        <f t="shared" si="607"/>
        <v>1000</v>
      </c>
      <c r="N791" s="19">
        <f t="shared" si="607"/>
        <v>3168</v>
      </c>
      <c r="O791" s="19">
        <f>SUM(D791:N791)</f>
        <v>18763.5</v>
      </c>
      <c r="P791" s="19">
        <f>O791/A789</f>
        <v>18763.5</v>
      </c>
      <c r="Q791" s="19">
        <f>P791*Q788</f>
        <v>37527</v>
      </c>
      <c r="R791" s="19">
        <f>MROUND(Q791,100)</f>
        <v>37500</v>
      </c>
    </row>
    <row r="792" spans="1:18" ht="14.25" customHeight="1" x14ac:dyDescent="0.1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</row>
    <row r="793" spans="1:18" ht="14.25" customHeight="1" x14ac:dyDescent="0.3">
      <c r="A793" s="109" t="str">
        <f>PRICELIST!I328</f>
        <v>WSTK-LNR-S-PLM-900-G</v>
      </c>
      <c r="B793" s="87"/>
      <c r="C793" s="87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7"/>
    </row>
    <row r="794" spans="1:18" ht="14.25" customHeight="1" x14ac:dyDescent="0.15">
      <c r="A794" s="19" t="s">
        <v>57</v>
      </c>
      <c r="B794" s="19" t="s">
        <v>59</v>
      </c>
      <c r="C794" s="19" t="s">
        <v>62</v>
      </c>
      <c r="D794" s="19" t="s">
        <v>64</v>
      </c>
      <c r="E794" s="19">
        <v>1200</v>
      </c>
      <c r="F794" s="19">
        <v>900</v>
      </c>
      <c r="G794" s="19">
        <v>600</v>
      </c>
      <c r="H794" s="19" t="s">
        <v>67</v>
      </c>
      <c r="I794" s="19" t="s">
        <v>68</v>
      </c>
      <c r="J794" s="19" t="s">
        <v>69</v>
      </c>
      <c r="K794" s="19" t="s">
        <v>71</v>
      </c>
      <c r="L794" s="19" t="s">
        <v>72</v>
      </c>
      <c r="M794" s="19" t="s">
        <v>73</v>
      </c>
      <c r="N794" s="19" t="s">
        <v>75</v>
      </c>
      <c r="O794" s="19" t="s">
        <v>76</v>
      </c>
      <c r="P794" s="19" t="s">
        <v>78</v>
      </c>
      <c r="Q794" s="19" t="s">
        <v>79</v>
      </c>
      <c r="R794" s="19" t="s">
        <v>81</v>
      </c>
    </row>
    <row r="795" spans="1:18" ht="14.25" customHeight="1" x14ac:dyDescent="0.15">
      <c r="A795" s="21">
        <f t="shared" ref="A795:B795" si="608">A788</f>
        <v>0</v>
      </c>
      <c r="B795" s="21">
        <f t="shared" si="608"/>
        <v>0</v>
      </c>
      <c r="C795" s="44" t="s">
        <v>188</v>
      </c>
      <c r="D795" s="21">
        <f t="shared" ref="D795:H795" si="609">D788</f>
        <v>0</v>
      </c>
      <c r="E795" s="23" t="str">
        <f t="shared" si="609"/>
        <v>4200</v>
      </c>
      <c r="F795" s="23" t="str">
        <f t="shared" si="609"/>
        <v>4000</v>
      </c>
      <c r="G795" s="23" t="str">
        <f t="shared" si="609"/>
        <v>3800</v>
      </c>
      <c r="H795" s="23">
        <f t="shared" si="609"/>
        <v>380</v>
      </c>
      <c r="I795" s="23" t="str">
        <f>I774</f>
        <v>0</v>
      </c>
      <c r="J795" s="23" t="str">
        <f t="shared" ref="J795:Q795" si="610">J788</f>
        <v>1000</v>
      </c>
      <c r="K795" s="23">
        <f t="shared" si="610"/>
        <v>375</v>
      </c>
      <c r="L795" s="23">
        <f t="shared" si="610"/>
        <v>585</v>
      </c>
      <c r="M795" s="23" t="str">
        <f t="shared" si="610"/>
        <v>1000</v>
      </c>
      <c r="N795" s="23">
        <f t="shared" si="610"/>
        <v>3300</v>
      </c>
      <c r="O795" s="23">
        <f t="shared" si="610"/>
        <v>0</v>
      </c>
      <c r="P795" s="23">
        <f t="shared" si="610"/>
        <v>0</v>
      </c>
      <c r="Q795" s="23">
        <f t="shared" si="610"/>
        <v>2</v>
      </c>
      <c r="R795" s="21"/>
    </row>
    <row r="796" spans="1:18" ht="14.25" customHeight="1" x14ac:dyDescent="0.15">
      <c r="A796" s="19">
        <v>1</v>
      </c>
      <c r="B796" s="19">
        <v>0.9</v>
      </c>
      <c r="C796" s="19">
        <f>0.6+0.3</f>
        <v>0.89999999999999991</v>
      </c>
      <c r="D796" s="19">
        <f>B796*C796</f>
        <v>0.80999999999999994</v>
      </c>
      <c r="E796" s="19"/>
      <c r="F796" s="19"/>
      <c r="G796" s="19"/>
      <c r="H796" s="19"/>
      <c r="I796" s="19">
        <f>B796*0.4</f>
        <v>0.36000000000000004</v>
      </c>
      <c r="J796" s="19">
        <v>1</v>
      </c>
      <c r="K796" s="19">
        <f t="shared" ref="K796:L796" si="611">A796</f>
        <v>1</v>
      </c>
      <c r="L796" s="19">
        <f t="shared" si="611"/>
        <v>0.9</v>
      </c>
      <c r="M796" s="19">
        <f>A796</f>
        <v>1</v>
      </c>
      <c r="N796" s="19">
        <f>(1.2*0.4)*2</f>
        <v>0.96</v>
      </c>
      <c r="O796" s="19"/>
      <c r="P796" s="19"/>
      <c r="Q796" s="19"/>
      <c r="R796" s="19"/>
    </row>
    <row r="797" spans="1:18" ht="14.25" customHeight="1" x14ac:dyDescent="0.2">
      <c r="A797" s="19"/>
      <c r="B797" s="19"/>
      <c r="C797" s="19"/>
      <c r="D797" s="26" t="str">
        <f>D657</f>
        <v>3000</v>
      </c>
      <c r="E797" s="45">
        <v>0</v>
      </c>
      <c r="F797" s="45">
        <v>0</v>
      </c>
      <c r="G797" s="45">
        <v>2</v>
      </c>
      <c r="H797" s="19">
        <f>B796*2</f>
        <v>1.8</v>
      </c>
      <c r="I797" s="19"/>
      <c r="J797" s="19"/>
      <c r="K797" s="19"/>
      <c r="L797" s="19"/>
      <c r="M797" s="19"/>
      <c r="N797" s="28"/>
      <c r="O797" s="19"/>
      <c r="P797" s="19"/>
      <c r="Q797" s="19"/>
      <c r="R797" s="19"/>
    </row>
    <row r="798" spans="1:18" ht="14.25" customHeight="1" x14ac:dyDescent="0.2">
      <c r="A798" s="19"/>
      <c r="B798" s="19"/>
      <c r="C798" s="19"/>
      <c r="D798" s="19">
        <f>D796*D797</f>
        <v>2430</v>
      </c>
      <c r="E798" s="45">
        <f>E797*E795</f>
        <v>0</v>
      </c>
      <c r="F798" s="45">
        <f t="shared" ref="F798:H798" si="612">F795*F797</f>
        <v>0</v>
      </c>
      <c r="G798" s="45">
        <f t="shared" si="612"/>
        <v>7600</v>
      </c>
      <c r="H798" s="19">
        <f t="shared" si="612"/>
        <v>684</v>
      </c>
      <c r="I798" s="19">
        <f t="shared" ref="I798:N798" si="613">I795*I796</f>
        <v>0</v>
      </c>
      <c r="J798" s="19">
        <f t="shared" si="613"/>
        <v>1000</v>
      </c>
      <c r="K798" s="19">
        <f t="shared" si="613"/>
        <v>375</v>
      </c>
      <c r="L798" s="19">
        <f t="shared" si="613"/>
        <v>526.5</v>
      </c>
      <c r="M798" s="19">
        <f t="shared" si="613"/>
        <v>1000</v>
      </c>
      <c r="N798" s="19">
        <f t="shared" si="613"/>
        <v>3168</v>
      </c>
      <c r="O798" s="19">
        <f>SUM(D798:N798)</f>
        <v>16783.5</v>
      </c>
      <c r="P798" s="19">
        <f>O798/A796</f>
        <v>16783.5</v>
      </c>
      <c r="Q798" s="19">
        <f>P798*Q795</f>
        <v>33567</v>
      </c>
      <c r="R798" s="19">
        <f>MROUND(Q798,100)</f>
        <v>33600</v>
      </c>
    </row>
    <row r="799" spans="1:18" ht="14.25" customHeight="1" x14ac:dyDescent="0.1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</row>
    <row r="800" spans="1:18" ht="14.25" customHeight="1" x14ac:dyDescent="0.3">
      <c r="A800" s="109" t="str">
        <f>PRICELIST!I329</f>
        <v>WSTK-LNR-S-PLM-900-X</v>
      </c>
      <c r="B800" s="87"/>
      <c r="C800" s="87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7"/>
    </row>
    <row r="801" spans="1:18" ht="14.25" customHeight="1" x14ac:dyDescent="0.15">
      <c r="A801" s="19" t="s">
        <v>57</v>
      </c>
      <c r="B801" s="19" t="s">
        <v>59</v>
      </c>
      <c r="C801" s="19" t="s">
        <v>62</v>
      </c>
      <c r="D801" s="19" t="s">
        <v>64</v>
      </c>
      <c r="E801" s="19">
        <v>1200</v>
      </c>
      <c r="F801" s="19">
        <v>900</v>
      </c>
      <c r="G801" s="19">
        <v>600</v>
      </c>
      <c r="H801" s="19" t="s">
        <v>67</v>
      </c>
      <c r="I801" s="19" t="s">
        <v>68</v>
      </c>
      <c r="J801" s="19" t="s">
        <v>69</v>
      </c>
      <c r="K801" s="19" t="s">
        <v>71</v>
      </c>
      <c r="L801" s="19" t="s">
        <v>72</v>
      </c>
      <c r="M801" s="19" t="s">
        <v>73</v>
      </c>
      <c r="N801" s="19" t="s">
        <v>75</v>
      </c>
      <c r="O801" s="19" t="s">
        <v>76</v>
      </c>
      <c r="P801" s="19" t="s">
        <v>78</v>
      </c>
      <c r="Q801" s="19" t="s">
        <v>79</v>
      </c>
      <c r="R801" s="19" t="s">
        <v>81</v>
      </c>
    </row>
    <row r="802" spans="1:18" ht="14.25" customHeight="1" x14ac:dyDescent="0.15">
      <c r="A802" s="21">
        <f t="shared" ref="A802:B802" si="614">A795</f>
        <v>0</v>
      </c>
      <c r="B802" s="21">
        <f t="shared" si="614"/>
        <v>0</v>
      </c>
      <c r="C802" s="44" t="s">
        <v>188</v>
      </c>
      <c r="D802" s="21">
        <f t="shared" ref="D802:H802" si="615">D795</f>
        <v>0</v>
      </c>
      <c r="E802" s="23" t="str">
        <f t="shared" si="615"/>
        <v>4200</v>
      </c>
      <c r="F802" s="23" t="str">
        <f t="shared" si="615"/>
        <v>4000</v>
      </c>
      <c r="G802" s="23" t="str">
        <f t="shared" si="615"/>
        <v>3800</v>
      </c>
      <c r="H802" s="23">
        <f t="shared" si="615"/>
        <v>380</v>
      </c>
      <c r="I802" s="23" t="str">
        <f>I781</f>
        <v>4800</v>
      </c>
      <c r="J802" s="23" t="str">
        <f t="shared" ref="J802:Q802" si="616">J795</f>
        <v>1000</v>
      </c>
      <c r="K802" s="23">
        <f t="shared" si="616"/>
        <v>375</v>
      </c>
      <c r="L802" s="23">
        <f t="shared" si="616"/>
        <v>585</v>
      </c>
      <c r="M802" s="23" t="str">
        <f t="shared" si="616"/>
        <v>1000</v>
      </c>
      <c r="N802" s="23">
        <f t="shared" si="616"/>
        <v>3300</v>
      </c>
      <c r="O802" s="23">
        <f t="shared" si="616"/>
        <v>0</v>
      </c>
      <c r="P802" s="23">
        <f t="shared" si="616"/>
        <v>0</v>
      </c>
      <c r="Q802" s="23">
        <f t="shared" si="616"/>
        <v>2</v>
      </c>
      <c r="R802" s="21"/>
    </row>
    <row r="803" spans="1:18" ht="14.25" customHeight="1" x14ac:dyDescent="0.15">
      <c r="A803" s="19">
        <v>1</v>
      </c>
      <c r="B803" s="19">
        <v>0.9</v>
      </c>
      <c r="C803" s="19">
        <f>0.6+0.3</f>
        <v>0.89999999999999991</v>
      </c>
      <c r="D803" s="19">
        <f>B803*C803</f>
        <v>0.80999999999999994</v>
      </c>
      <c r="E803" s="19"/>
      <c r="F803" s="19"/>
      <c r="G803" s="19"/>
      <c r="H803" s="19"/>
      <c r="I803" s="19">
        <f>B803*0.4</f>
        <v>0.36000000000000004</v>
      </c>
      <c r="J803" s="19">
        <v>1</v>
      </c>
      <c r="K803" s="19">
        <f t="shared" ref="K803:L803" si="617">A803</f>
        <v>1</v>
      </c>
      <c r="L803" s="19">
        <f t="shared" si="617"/>
        <v>0.9</v>
      </c>
      <c r="M803" s="19">
        <f>A803</f>
        <v>1</v>
      </c>
      <c r="N803" s="19">
        <f>(1.2*0.4)*2</f>
        <v>0.96</v>
      </c>
      <c r="O803" s="19"/>
      <c r="P803" s="19"/>
      <c r="Q803" s="19"/>
      <c r="R803" s="19"/>
    </row>
    <row r="804" spans="1:18" ht="14.25" customHeight="1" x14ac:dyDescent="0.2">
      <c r="A804" s="19"/>
      <c r="B804" s="19"/>
      <c r="C804" s="19"/>
      <c r="D804" s="26">
        <f>'MASTER DATA'!C435</f>
        <v>0</v>
      </c>
      <c r="E804" s="45">
        <v>0</v>
      </c>
      <c r="F804" s="45">
        <v>0</v>
      </c>
      <c r="G804" s="45">
        <v>2</v>
      </c>
      <c r="H804" s="19">
        <f>B803*2</f>
        <v>1.8</v>
      </c>
      <c r="I804" s="19"/>
      <c r="J804" s="19"/>
      <c r="K804" s="19"/>
      <c r="L804" s="19"/>
      <c r="M804" s="19"/>
      <c r="N804" s="28"/>
      <c r="O804" s="19"/>
      <c r="P804" s="19"/>
      <c r="Q804" s="19"/>
      <c r="R804" s="19"/>
    </row>
    <row r="805" spans="1:18" ht="14.25" customHeight="1" x14ac:dyDescent="0.2">
      <c r="A805" s="19"/>
      <c r="B805" s="19"/>
      <c r="C805" s="19"/>
      <c r="D805" s="19">
        <f>D803*D804</f>
        <v>0</v>
      </c>
      <c r="E805" s="45">
        <f>E804*E802</f>
        <v>0</v>
      </c>
      <c r="F805" s="45">
        <f t="shared" ref="F805:H805" si="618">F802*F804</f>
        <v>0</v>
      </c>
      <c r="G805" s="45">
        <f t="shared" si="618"/>
        <v>7600</v>
      </c>
      <c r="H805" s="19">
        <f t="shared" si="618"/>
        <v>684</v>
      </c>
      <c r="I805" s="19">
        <f t="shared" ref="I805:N805" si="619">I802*I803</f>
        <v>1728.0000000000002</v>
      </c>
      <c r="J805" s="19">
        <f t="shared" si="619"/>
        <v>1000</v>
      </c>
      <c r="K805" s="19">
        <f t="shared" si="619"/>
        <v>375</v>
      </c>
      <c r="L805" s="19">
        <f t="shared" si="619"/>
        <v>526.5</v>
      </c>
      <c r="M805" s="19">
        <f t="shared" si="619"/>
        <v>1000</v>
      </c>
      <c r="N805" s="19">
        <f t="shared" si="619"/>
        <v>3168</v>
      </c>
      <c r="O805" s="19">
        <f>SUM(D805:N805)</f>
        <v>16081.5</v>
      </c>
      <c r="P805" s="19">
        <f>O805/A803</f>
        <v>16081.5</v>
      </c>
      <c r="Q805" s="19">
        <f>P805*Q802</f>
        <v>32163</v>
      </c>
      <c r="R805" s="19">
        <f>MROUND(Q805,100)</f>
        <v>32200</v>
      </c>
    </row>
    <row r="806" spans="1:18" ht="14.25" customHeight="1" x14ac:dyDescent="0.1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</row>
    <row r="807" spans="1:18" ht="14.25" customHeight="1" x14ac:dyDescent="0.3">
      <c r="A807" s="109" t="str">
        <f>PRICELIST!I330</f>
        <v>WSTK-LNR-S-PoLM-900-F</v>
      </c>
      <c r="B807" s="87"/>
      <c r="C807" s="87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7"/>
    </row>
    <row r="808" spans="1:18" ht="14.25" customHeight="1" x14ac:dyDescent="0.15">
      <c r="A808" s="19" t="s">
        <v>57</v>
      </c>
      <c r="B808" s="19" t="s">
        <v>59</v>
      </c>
      <c r="C808" s="19" t="s">
        <v>62</v>
      </c>
      <c r="D808" s="19" t="s">
        <v>64</v>
      </c>
      <c r="E808" s="19">
        <v>1200</v>
      </c>
      <c r="F808" s="19">
        <v>900</v>
      </c>
      <c r="G808" s="19">
        <v>600</v>
      </c>
      <c r="H808" s="19" t="s">
        <v>67</v>
      </c>
      <c r="I808" s="19" t="s">
        <v>68</v>
      </c>
      <c r="J808" s="19" t="s">
        <v>69</v>
      </c>
      <c r="K808" s="19" t="s">
        <v>71</v>
      </c>
      <c r="L808" s="19" t="s">
        <v>72</v>
      </c>
      <c r="M808" s="19" t="s">
        <v>73</v>
      </c>
      <c r="N808" s="19" t="s">
        <v>75</v>
      </c>
      <c r="O808" s="19" t="s">
        <v>76</v>
      </c>
      <c r="P808" s="19" t="s">
        <v>78</v>
      </c>
      <c r="Q808" s="19" t="s">
        <v>79</v>
      </c>
      <c r="R808" s="19" t="s">
        <v>81</v>
      </c>
    </row>
    <row r="809" spans="1:18" ht="14.25" customHeight="1" x14ac:dyDescent="0.15">
      <c r="A809" s="21">
        <f t="shared" ref="A809:B809" si="620">A802</f>
        <v>0</v>
      </c>
      <c r="B809" s="21">
        <f t="shared" si="620"/>
        <v>0</v>
      </c>
      <c r="C809" s="44" t="s">
        <v>188</v>
      </c>
      <c r="D809" s="21">
        <f t="shared" ref="D809:H809" si="621">D802</f>
        <v>0</v>
      </c>
      <c r="E809" s="23" t="str">
        <f t="shared" si="621"/>
        <v>4200</v>
      </c>
      <c r="F809" s="23" t="str">
        <f t="shared" si="621"/>
        <v>4000</v>
      </c>
      <c r="G809" s="23" t="str">
        <f t="shared" si="621"/>
        <v>3800</v>
      </c>
      <c r="H809" s="23">
        <f t="shared" si="621"/>
        <v>380</v>
      </c>
      <c r="I809" s="23" t="str">
        <f>I788</f>
        <v>5500</v>
      </c>
      <c r="J809" s="23" t="str">
        <f t="shared" ref="J809:Q809" si="622">J802</f>
        <v>1000</v>
      </c>
      <c r="K809" s="23">
        <f t="shared" si="622"/>
        <v>375</v>
      </c>
      <c r="L809" s="23">
        <f t="shared" si="622"/>
        <v>585</v>
      </c>
      <c r="M809" s="23" t="str">
        <f t="shared" si="622"/>
        <v>1000</v>
      </c>
      <c r="N809" s="23">
        <f t="shared" si="622"/>
        <v>3300</v>
      </c>
      <c r="O809" s="23">
        <f t="shared" si="622"/>
        <v>0</v>
      </c>
      <c r="P809" s="23">
        <f t="shared" si="622"/>
        <v>0</v>
      </c>
      <c r="Q809" s="23">
        <f t="shared" si="622"/>
        <v>2</v>
      </c>
      <c r="R809" s="21"/>
    </row>
    <row r="810" spans="1:18" ht="14.25" customHeight="1" x14ac:dyDescent="0.15">
      <c r="A810" s="19">
        <v>1</v>
      </c>
      <c r="B810" s="19">
        <v>0.9</v>
      </c>
      <c r="C810" s="19">
        <f>0.6+0.3</f>
        <v>0.89999999999999991</v>
      </c>
      <c r="D810" s="19">
        <f>B810*C810</f>
        <v>0.80999999999999994</v>
      </c>
      <c r="E810" s="19"/>
      <c r="F810" s="19"/>
      <c r="G810" s="19"/>
      <c r="H810" s="19"/>
      <c r="I810" s="19">
        <f>B810*0.4</f>
        <v>0.36000000000000004</v>
      </c>
      <c r="J810" s="19">
        <v>1</v>
      </c>
      <c r="K810" s="19">
        <f t="shared" ref="K810:L810" si="623">A810</f>
        <v>1</v>
      </c>
      <c r="L810" s="19">
        <f t="shared" si="623"/>
        <v>0.9</v>
      </c>
      <c r="M810" s="19">
        <f>A810</f>
        <v>1</v>
      </c>
      <c r="N810" s="19">
        <f>(1.2*0.4)*2</f>
        <v>0.96</v>
      </c>
      <c r="O810" s="19"/>
      <c r="P810" s="19"/>
      <c r="Q810" s="19"/>
      <c r="R810" s="19"/>
    </row>
    <row r="811" spans="1:18" ht="14.25" customHeight="1" x14ac:dyDescent="0.2">
      <c r="A811" s="19"/>
      <c r="B811" s="19"/>
      <c r="C811" s="19"/>
      <c r="D811" s="26">
        <f>D804</f>
        <v>0</v>
      </c>
      <c r="E811" s="45">
        <v>0</v>
      </c>
      <c r="F811" s="45">
        <v>0</v>
      </c>
      <c r="G811" s="45">
        <v>2</v>
      </c>
      <c r="H811" s="19">
        <f>B810*2</f>
        <v>1.8</v>
      </c>
      <c r="I811" s="19"/>
      <c r="J811" s="19"/>
      <c r="K811" s="19"/>
      <c r="L811" s="19"/>
      <c r="M811" s="19"/>
      <c r="N811" s="28"/>
      <c r="O811" s="19"/>
      <c r="P811" s="19"/>
      <c r="Q811" s="19"/>
      <c r="R811" s="19"/>
    </row>
    <row r="812" spans="1:18" ht="14.25" customHeight="1" x14ac:dyDescent="0.2">
      <c r="A812" s="19"/>
      <c r="B812" s="19"/>
      <c r="C812" s="19"/>
      <c r="D812" s="19">
        <f>D810*D811</f>
        <v>0</v>
      </c>
      <c r="E812" s="45">
        <f>E811*E809</f>
        <v>0</v>
      </c>
      <c r="F812" s="45">
        <f t="shared" ref="F812:H812" si="624">F809*F811</f>
        <v>0</v>
      </c>
      <c r="G812" s="45">
        <f t="shared" si="624"/>
        <v>7600</v>
      </c>
      <c r="H812" s="19">
        <f t="shared" si="624"/>
        <v>684</v>
      </c>
      <c r="I812" s="19">
        <f t="shared" ref="I812:N812" si="625">I809*I810</f>
        <v>1980.0000000000002</v>
      </c>
      <c r="J812" s="19">
        <f t="shared" si="625"/>
        <v>1000</v>
      </c>
      <c r="K812" s="19">
        <f t="shared" si="625"/>
        <v>375</v>
      </c>
      <c r="L812" s="19">
        <f t="shared" si="625"/>
        <v>526.5</v>
      </c>
      <c r="M812" s="19">
        <f t="shared" si="625"/>
        <v>1000</v>
      </c>
      <c r="N812" s="19">
        <f t="shared" si="625"/>
        <v>3168</v>
      </c>
      <c r="O812" s="19">
        <f>SUM(D812:N812)</f>
        <v>16333.5</v>
      </c>
      <c r="P812" s="19">
        <f>O812/A810</f>
        <v>16333.5</v>
      </c>
      <c r="Q812" s="19">
        <f>P812*Q809</f>
        <v>32667</v>
      </c>
      <c r="R812" s="19">
        <f>MROUND(Q812,100)</f>
        <v>32700</v>
      </c>
    </row>
    <row r="813" spans="1:18" ht="14.25" customHeight="1" x14ac:dyDescent="0.1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</row>
    <row r="814" spans="1:18" ht="14.25" customHeight="1" x14ac:dyDescent="0.3">
      <c r="A814" s="109" t="str">
        <f>PRICELIST!I331</f>
        <v>WSTK-LNR-S-PoLM-900-G</v>
      </c>
      <c r="B814" s="87"/>
      <c r="C814" s="87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7"/>
    </row>
    <row r="815" spans="1:18" ht="14.25" customHeight="1" x14ac:dyDescent="0.15">
      <c r="A815" s="19" t="s">
        <v>57</v>
      </c>
      <c r="B815" s="19" t="s">
        <v>59</v>
      </c>
      <c r="C815" s="19" t="s">
        <v>62</v>
      </c>
      <c r="D815" s="19" t="s">
        <v>64</v>
      </c>
      <c r="E815" s="19">
        <v>1200</v>
      </c>
      <c r="F815" s="19">
        <v>900</v>
      </c>
      <c r="G815" s="19">
        <v>600</v>
      </c>
      <c r="H815" s="19" t="s">
        <v>67</v>
      </c>
      <c r="I815" s="19" t="s">
        <v>68</v>
      </c>
      <c r="J815" s="19" t="s">
        <v>69</v>
      </c>
      <c r="K815" s="19" t="s">
        <v>71</v>
      </c>
      <c r="L815" s="19" t="s">
        <v>72</v>
      </c>
      <c r="M815" s="19" t="s">
        <v>73</v>
      </c>
      <c r="N815" s="19" t="s">
        <v>75</v>
      </c>
      <c r="O815" s="19" t="s">
        <v>76</v>
      </c>
      <c r="P815" s="19" t="s">
        <v>78</v>
      </c>
      <c r="Q815" s="19" t="s">
        <v>79</v>
      </c>
      <c r="R815" s="19" t="s">
        <v>81</v>
      </c>
    </row>
    <row r="816" spans="1:18" ht="14.25" customHeight="1" x14ac:dyDescent="0.15">
      <c r="A816" s="21">
        <f t="shared" ref="A816:B816" si="626">A809</f>
        <v>0</v>
      </c>
      <c r="B816" s="21">
        <f t="shared" si="626"/>
        <v>0</v>
      </c>
      <c r="C816" s="44" t="s">
        <v>188</v>
      </c>
      <c r="D816" s="21">
        <f t="shared" ref="D816:H816" si="627">D809</f>
        <v>0</v>
      </c>
      <c r="E816" s="23" t="str">
        <f t="shared" si="627"/>
        <v>4200</v>
      </c>
      <c r="F816" s="23" t="str">
        <f t="shared" si="627"/>
        <v>4000</v>
      </c>
      <c r="G816" s="23" t="str">
        <f t="shared" si="627"/>
        <v>3800</v>
      </c>
      <c r="H816" s="23">
        <f t="shared" si="627"/>
        <v>380</v>
      </c>
      <c r="I816" s="23" t="str">
        <f>I795</f>
        <v>0</v>
      </c>
      <c r="J816" s="23" t="str">
        <f t="shared" ref="J816:Q816" si="628">J809</f>
        <v>1000</v>
      </c>
      <c r="K816" s="23">
        <f t="shared" si="628"/>
        <v>375</v>
      </c>
      <c r="L816" s="23">
        <f t="shared" si="628"/>
        <v>585</v>
      </c>
      <c r="M816" s="23" t="str">
        <f t="shared" si="628"/>
        <v>1000</v>
      </c>
      <c r="N816" s="23">
        <f t="shared" si="628"/>
        <v>3300</v>
      </c>
      <c r="O816" s="23">
        <f t="shared" si="628"/>
        <v>0</v>
      </c>
      <c r="P816" s="23">
        <f t="shared" si="628"/>
        <v>0</v>
      </c>
      <c r="Q816" s="23">
        <f t="shared" si="628"/>
        <v>2</v>
      </c>
      <c r="R816" s="21"/>
    </row>
    <row r="817" spans="1:18" ht="14.25" customHeight="1" x14ac:dyDescent="0.15">
      <c r="A817" s="19">
        <v>1</v>
      </c>
      <c r="B817" s="19">
        <v>0.9</v>
      </c>
      <c r="C817" s="19">
        <f>0.6+0.3</f>
        <v>0.89999999999999991</v>
      </c>
      <c r="D817" s="19">
        <f>B817*C817</f>
        <v>0.80999999999999994</v>
      </c>
      <c r="E817" s="19"/>
      <c r="F817" s="19"/>
      <c r="G817" s="19"/>
      <c r="H817" s="19"/>
      <c r="I817" s="19">
        <f>B817*0.4</f>
        <v>0.36000000000000004</v>
      </c>
      <c r="J817" s="19">
        <v>1</v>
      </c>
      <c r="K817" s="19">
        <f t="shared" ref="K817:L817" si="629">A817</f>
        <v>1</v>
      </c>
      <c r="L817" s="19">
        <f t="shared" si="629"/>
        <v>0.9</v>
      </c>
      <c r="M817" s="19">
        <f>A817</f>
        <v>1</v>
      </c>
      <c r="N817" s="19">
        <f>(1.2*0.4)*2</f>
        <v>0.96</v>
      </c>
      <c r="O817" s="19"/>
      <c r="P817" s="19"/>
      <c r="Q817" s="19"/>
      <c r="R817" s="19"/>
    </row>
    <row r="818" spans="1:18" ht="14.25" customHeight="1" x14ac:dyDescent="0.2">
      <c r="A818" s="19"/>
      <c r="B818" s="19"/>
      <c r="C818" s="19"/>
      <c r="D818" s="26" t="str">
        <f>D692</f>
        <v>7500</v>
      </c>
      <c r="E818" s="45">
        <v>0</v>
      </c>
      <c r="F818" s="45">
        <v>0</v>
      </c>
      <c r="G818" s="45">
        <v>2</v>
      </c>
      <c r="H818" s="19">
        <f>B817*2</f>
        <v>1.8</v>
      </c>
      <c r="I818" s="19"/>
      <c r="J818" s="19"/>
      <c r="K818" s="19"/>
      <c r="L818" s="19"/>
      <c r="M818" s="19"/>
      <c r="N818" s="28"/>
      <c r="O818" s="19"/>
      <c r="P818" s="19"/>
      <c r="Q818" s="19"/>
      <c r="R818" s="19"/>
    </row>
    <row r="819" spans="1:18" ht="14.25" customHeight="1" x14ac:dyDescent="0.2">
      <c r="A819" s="19"/>
      <c r="B819" s="19"/>
      <c r="C819" s="19"/>
      <c r="D819" s="19">
        <f>D817*D818</f>
        <v>6075</v>
      </c>
      <c r="E819" s="45">
        <f>E818*E816</f>
        <v>0</v>
      </c>
      <c r="F819" s="45">
        <f t="shared" ref="F819:H819" si="630">F816*F818</f>
        <v>0</v>
      </c>
      <c r="G819" s="45">
        <f t="shared" si="630"/>
        <v>7600</v>
      </c>
      <c r="H819" s="19">
        <f t="shared" si="630"/>
        <v>684</v>
      </c>
      <c r="I819" s="19">
        <f t="shared" ref="I819:N819" si="631">I816*I817</f>
        <v>0</v>
      </c>
      <c r="J819" s="19">
        <f t="shared" si="631"/>
        <v>1000</v>
      </c>
      <c r="K819" s="19">
        <f t="shared" si="631"/>
        <v>375</v>
      </c>
      <c r="L819" s="19">
        <f t="shared" si="631"/>
        <v>526.5</v>
      </c>
      <c r="M819" s="19">
        <f t="shared" si="631"/>
        <v>1000</v>
      </c>
      <c r="N819" s="19">
        <f t="shared" si="631"/>
        <v>3168</v>
      </c>
      <c r="O819" s="19">
        <f>SUM(D819:N819)</f>
        <v>20428.5</v>
      </c>
      <c r="P819" s="19">
        <f>O819/A817</f>
        <v>20428.5</v>
      </c>
      <c r="Q819" s="19">
        <f>P819*Q816</f>
        <v>40857</v>
      </c>
      <c r="R819" s="19">
        <f>MROUND(Q819,100)</f>
        <v>40900</v>
      </c>
    </row>
    <row r="820" spans="1:18" ht="14.25" customHeight="1" x14ac:dyDescent="0.1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</row>
    <row r="821" spans="1:18" ht="14.25" customHeight="1" x14ac:dyDescent="0.3">
      <c r="A821" s="109" t="str">
        <f>PRICELIST!I332</f>
        <v>WSTK-LNR-S-PoLM-900-X</v>
      </c>
      <c r="B821" s="87"/>
      <c r="C821" s="87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7"/>
    </row>
    <row r="822" spans="1:18" ht="14.25" customHeight="1" x14ac:dyDescent="0.15">
      <c r="A822" s="19" t="s">
        <v>57</v>
      </c>
      <c r="B822" s="19" t="s">
        <v>59</v>
      </c>
      <c r="C822" s="19" t="s">
        <v>62</v>
      </c>
      <c r="D822" s="19" t="s">
        <v>64</v>
      </c>
      <c r="E822" s="19">
        <v>1200</v>
      </c>
      <c r="F822" s="19">
        <v>900</v>
      </c>
      <c r="G822" s="19">
        <v>600</v>
      </c>
      <c r="H822" s="19" t="s">
        <v>67</v>
      </c>
      <c r="I822" s="19" t="s">
        <v>68</v>
      </c>
      <c r="J822" s="19" t="s">
        <v>69</v>
      </c>
      <c r="K822" s="19" t="s">
        <v>71</v>
      </c>
      <c r="L822" s="19" t="s">
        <v>72</v>
      </c>
      <c r="M822" s="19" t="s">
        <v>73</v>
      </c>
      <c r="N822" s="19" t="s">
        <v>75</v>
      </c>
      <c r="O822" s="19" t="s">
        <v>76</v>
      </c>
      <c r="P822" s="19" t="s">
        <v>78</v>
      </c>
      <c r="Q822" s="19" t="s">
        <v>79</v>
      </c>
      <c r="R822" s="19" t="s">
        <v>81</v>
      </c>
    </row>
    <row r="823" spans="1:18" ht="14.25" customHeight="1" x14ac:dyDescent="0.15">
      <c r="A823" s="21">
        <f t="shared" ref="A823:B823" si="632">A816</f>
        <v>0</v>
      </c>
      <c r="B823" s="21">
        <f t="shared" si="632"/>
        <v>0</v>
      </c>
      <c r="C823" s="44" t="s">
        <v>188</v>
      </c>
      <c r="D823" s="21">
        <f t="shared" ref="D823:H823" si="633">D816</f>
        <v>0</v>
      </c>
      <c r="E823" s="23" t="str">
        <f t="shared" si="633"/>
        <v>4200</v>
      </c>
      <c r="F823" s="23" t="str">
        <f t="shared" si="633"/>
        <v>4000</v>
      </c>
      <c r="G823" s="23" t="str">
        <f t="shared" si="633"/>
        <v>3800</v>
      </c>
      <c r="H823" s="23">
        <f t="shared" si="633"/>
        <v>380</v>
      </c>
      <c r="I823" s="23" t="str">
        <f>I802</f>
        <v>4800</v>
      </c>
      <c r="J823" s="23" t="str">
        <f t="shared" ref="J823:Q823" si="634">J816</f>
        <v>1000</v>
      </c>
      <c r="K823" s="23">
        <f t="shared" si="634"/>
        <v>375</v>
      </c>
      <c r="L823" s="23">
        <f t="shared" si="634"/>
        <v>585</v>
      </c>
      <c r="M823" s="23" t="str">
        <f t="shared" si="634"/>
        <v>1000</v>
      </c>
      <c r="N823" s="23">
        <f t="shared" si="634"/>
        <v>3300</v>
      </c>
      <c r="O823" s="23">
        <f t="shared" si="634"/>
        <v>0</v>
      </c>
      <c r="P823" s="23">
        <f t="shared" si="634"/>
        <v>0</v>
      </c>
      <c r="Q823" s="23">
        <f t="shared" si="634"/>
        <v>2</v>
      </c>
      <c r="R823" s="21"/>
    </row>
    <row r="824" spans="1:18" ht="14.25" customHeight="1" x14ac:dyDescent="0.15">
      <c r="A824" s="19">
        <v>1</v>
      </c>
      <c r="B824" s="19">
        <v>0.9</v>
      </c>
      <c r="C824" s="19">
        <f>0.6+0.3</f>
        <v>0.89999999999999991</v>
      </c>
      <c r="D824" s="19">
        <f>B824*C824</f>
        <v>0.80999999999999994</v>
      </c>
      <c r="E824" s="19"/>
      <c r="F824" s="19"/>
      <c r="G824" s="19"/>
      <c r="H824" s="19"/>
      <c r="I824" s="19">
        <f>B824*0.4</f>
        <v>0.36000000000000004</v>
      </c>
      <c r="J824" s="19">
        <v>1</v>
      </c>
      <c r="K824" s="19">
        <f t="shared" ref="K824:L824" si="635">A824</f>
        <v>1</v>
      </c>
      <c r="L824" s="19">
        <f t="shared" si="635"/>
        <v>0.9</v>
      </c>
      <c r="M824" s="19">
        <f>A824</f>
        <v>1</v>
      </c>
      <c r="N824" s="19">
        <f>(1.2*0.4)*2</f>
        <v>0.96</v>
      </c>
      <c r="O824" s="19"/>
      <c r="P824" s="19"/>
      <c r="Q824" s="19"/>
      <c r="R824" s="19"/>
    </row>
    <row r="825" spans="1:18" ht="14.25" customHeight="1" x14ac:dyDescent="0.2">
      <c r="A825" s="19"/>
      <c r="B825" s="19"/>
      <c r="C825" s="19"/>
      <c r="D825" s="26" t="str">
        <f>D706</f>
        <v>9500</v>
      </c>
      <c r="E825" s="45">
        <v>0</v>
      </c>
      <c r="F825" s="45">
        <v>0</v>
      </c>
      <c r="G825" s="45">
        <v>2</v>
      </c>
      <c r="H825" s="19">
        <f>B824*2</f>
        <v>1.8</v>
      </c>
      <c r="I825" s="19"/>
      <c r="J825" s="19"/>
      <c r="K825" s="19"/>
      <c r="L825" s="19"/>
      <c r="M825" s="19"/>
      <c r="N825" s="28"/>
      <c r="O825" s="19"/>
      <c r="P825" s="19"/>
      <c r="Q825" s="19"/>
      <c r="R825" s="19"/>
    </row>
    <row r="826" spans="1:18" ht="14.25" customHeight="1" x14ac:dyDescent="0.2">
      <c r="A826" s="19"/>
      <c r="B826" s="19"/>
      <c r="C826" s="19"/>
      <c r="D826" s="19">
        <f>D824*D825</f>
        <v>7694.9999999999991</v>
      </c>
      <c r="E826" s="45">
        <f>E825*E823</f>
        <v>0</v>
      </c>
      <c r="F826" s="45">
        <f t="shared" ref="F826:H826" si="636">F823*F825</f>
        <v>0</v>
      </c>
      <c r="G826" s="45">
        <f t="shared" si="636"/>
        <v>7600</v>
      </c>
      <c r="H826" s="19">
        <f t="shared" si="636"/>
        <v>684</v>
      </c>
      <c r="I826" s="19">
        <f t="shared" ref="I826:N826" si="637">I823*I824</f>
        <v>1728.0000000000002</v>
      </c>
      <c r="J826" s="19">
        <f t="shared" si="637"/>
        <v>1000</v>
      </c>
      <c r="K826" s="19">
        <f t="shared" si="637"/>
        <v>375</v>
      </c>
      <c r="L826" s="19">
        <f t="shared" si="637"/>
        <v>526.5</v>
      </c>
      <c r="M826" s="19">
        <f t="shared" si="637"/>
        <v>1000</v>
      </c>
      <c r="N826" s="19">
        <f t="shared" si="637"/>
        <v>3168</v>
      </c>
      <c r="O826" s="19">
        <f>SUM(D826:N826)</f>
        <v>23776.5</v>
      </c>
      <c r="P826" s="19">
        <f>O826/A824</f>
        <v>23776.5</v>
      </c>
      <c r="Q826" s="19">
        <f>P826*Q823</f>
        <v>47553</v>
      </c>
      <c r="R826" s="19">
        <f>MROUND(Q826,100)</f>
        <v>47600</v>
      </c>
    </row>
    <row r="827" spans="1:18" ht="14.25" customHeight="1" x14ac:dyDescent="0.1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</row>
    <row r="828" spans="1:18" ht="14.25" customHeight="1" x14ac:dyDescent="0.3">
      <c r="A828" s="109" t="str">
        <f>PRICELIST!I333</f>
        <v>WSTK-LNR-S-LVM-900-F</v>
      </c>
      <c r="B828" s="87"/>
      <c r="C828" s="87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7"/>
    </row>
    <row r="829" spans="1:18" ht="14.25" customHeight="1" x14ac:dyDescent="0.15">
      <c r="A829" s="19" t="s">
        <v>57</v>
      </c>
      <c r="B829" s="19" t="s">
        <v>59</v>
      </c>
      <c r="C829" s="19" t="s">
        <v>62</v>
      </c>
      <c r="D829" s="19" t="s">
        <v>64</v>
      </c>
      <c r="E829" s="19">
        <v>1200</v>
      </c>
      <c r="F829" s="19">
        <v>900</v>
      </c>
      <c r="G829" s="19">
        <v>600</v>
      </c>
      <c r="H829" s="19" t="s">
        <v>67</v>
      </c>
      <c r="I829" s="19" t="s">
        <v>68</v>
      </c>
      <c r="J829" s="19" t="s">
        <v>69</v>
      </c>
      <c r="K829" s="19" t="s">
        <v>71</v>
      </c>
      <c r="L829" s="19" t="s">
        <v>72</v>
      </c>
      <c r="M829" s="19" t="s">
        <v>73</v>
      </c>
      <c r="N829" s="19" t="s">
        <v>75</v>
      </c>
      <c r="O829" s="19" t="s">
        <v>76</v>
      </c>
      <c r="P829" s="19" t="s">
        <v>78</v>
      </c>
      <c r="Q829" s="19" t="s">
        <v>79</v>
      </c>
      <c r="R829" s="19" t="s">
        <v>81</v>
      </c>
    </row>
    <row r="830" spans="1:18" ht="14.25" customHeight="1" x14ac:dyDescent="0.15">
      <c r="A830" s="21">
        <f t="shared" ref="A830:B830" si="638">A823</f>
        <v>0</v>
      </c>
      <c r="B830" s="21">
        <f t="shared" si="638"/>
        <v>0</v>
      </c>
      <c r="C830" s="44" t="s">
        <v>188</v>
      </c>
      <c r="D830" s="21">
        <f t="shared" ref="D830:H830" si="639">D823</f>
        <v>0</v>
      </c>
      <c r="E830" s="23" t="str">
        <f t="shared" si="639"/>
        <v>4200</v>
      </c>
      <c r="F830" s="23" t="str">
        <f t="shared" si="639"/>
        <v>4000</v>
      </c>
      <c r="G830" s="23" t="str">
        <f t="shared" si="639"/>
        <v>3800</v>
      </c>
      <c r="H830" s="23">
        <f t="shared" si="639"/>
        <v>380</v>
      </c>
      <c r="I830" s="23" t="str">
        <f>I809</f>
        <v>5500</v>
      </c>
      <c r="J830" s="23" t="str">
        <f t="shared" ref="J830:Q830" si="640">J823</f>
        <v>1000</v>
      </c>
      <c r="K830" s="23">
        <f t="shared" si="640"/>
        <v>375</v>
      </c>
      <c r="L830" s="23">
        <f t="shared" si="640"/>
        <v>585</v>
      </c>
      <c r="M830" s="23" t="str">
        <f t="shared" si="640"/>
        <v>1000</v>
      </c>
      <c r="N830" s="23">
        <f t="shared" si="640"/>
        <v>3300</v>
      </c>
      <c r="O830" s="23">
        <f t="shared" si="640"/>
        <v>0</v>
      </c>
      <c r="P830" s="23">
        <f t="shared" si="640"/>
        <v>0</v>
      </c>
      <c r="Q830" s="23">
        <f t="shared" si="640"/>
        <v>2</v>
      </c>
      <c r="R830" s="21"/>
    </row>
    <row r="831" spans="1:18" ht="14.25" customHeight="1" x14ac:dyDescent="0.15">
      <c r="A831" s="19">
        <v>1</v>
      </c>
      <c r="B831" s="19">
        <v>0.9</v>
      </c>
      <c r="C831" s="19">
        <f>0.6+0.3</f>
        <v>0.89999999999999991</v>
      </c>
      <c r="D831" s="19">
        <f>B831*C831</f>
        <v>0.80999999999999994</v>
      </c>
      <c r="E831" s="19"/>
      <c r="F831" s="19"/>
      <c r="G831" s="19"/>
      <c r="H831" s="19"/>
      <c r="I831" s="19">
        <f>B831*0.4</f>
        <v>0.36000000000000004</v>
      </c>
      <c r="J831" s="19">
        <v>1</v>
      </c>
      <c r="K831" s="19">
        <f t="shared" ref="K831:L831" si="641">A831</f>
        <v>1</v>
      </c>
      <c r="L831" s="19">
        <f t="shared" si="641"/>
        <v>0.9</v>
      </c>
      <c r="M831" s="19">
        <f>A831</f>
        <v>1</v>
      </c>
      <c r="N831" s="19">
        <f>(1.2*0.4)*2</f>
        <v>0.96</v>
      </c>
      <c r="O831" s="19"/>
      <c r="P831" s="19"/>
      <c r="Q831" s="19"/>
      <c r="R831" s="19"/>
    </row>
    <row r="832" spans="1:18" ht="14.25" customHeight="1" x14ac:dyDescent="0.2">
      <c r="A832" s="19"/>
      <c r="B832" s="19"/>
      <c r="C832" s="19"/>
      <c r="D832" s="26" t="str">
        <f>D825</f>
        <v>9500</v>
      </c>
      <c r="E832" s="45">
        <v>0</v>
      </c>
      <c r="F832" s="45">
        <v>0</v>
      </c>
      <c r="G832" s="45">
        <v>2</v>
      </c>
      <c r="H832" s="19">
        <f>B831*2</f>
        <v>1.8</v>
      </c>
      <c r="I832" s="19"/>
      <c r="J832" s="19"/>
      <c r="K832" s="19"/>
      <c r="L832" s="19"/>
      <c r="M832" s="19"/>
      <c r="N832" s="28"/>
      <c r="O832" s="19"/>
      <c r="P832" s="19"/>
      <c r="Q832" s="19"/>
      <c r="R832" s="19"/>
    </row>
    <row r="833" spans="1:18" ht="14.25" customHeight="1" x14ac:dyDescent="0.2">
      <c r="A833" s="19"/>
      <c r="B833" s="19"/>
      <c r="C833" s="19"/>
      <c r="D833" s="19">
        <f>D831*D832</f>
        <v>7694.9999999999991</v>
      </c>
      <c r="E833" s="45">
        <f>E832*E830</f>
        <v>0</v>
      </c>
      <c r="F833" s="45">
        <f t="shared" ref="F833:H833" si="642">F830*F832</f>
        <v>0</v>
      </c>
      <c r="G833" s="45">
        <f t="shared" si="642"/>
        <v>7600</v>
      </c>
      <c r="H833" s="19">
        <f t="shared" si="642"/>
        <v>684</v>
      </c>
      <c r="I833" s="19">
        <f t="shared" ref="I833:N833" si="643">I830*I831</f>
        <v>1980.0000000000002</v>
      </c>
      <c r="J833" s="19">
        <f t="shared" si="643"/>
        <v>1000</v>
      </c>
      <c r="K833" s="19">
        <f t="shared" si="643"/>
        <v>375</v>
      </c>
      <c r="L833" s="19">
        <f t="shared" si="643"/>
        <v>526.5</v>
      </c>
      <c r="M833" s="19">
        <f t="shared" si="643"/>
        <v>1000</v>
      </c>
      <c r="N833" s="19">
        <f t="shared" si="643"/>
        <v>3168</v>
      </c>
      <c r="O833" s="19">
        <f>SUM(D833:N833)</f>
        <v>24028.5</v>
      </c>
      <c r="P833" s="19">
        <f>O833/A831</f>
        <v>24028.5</v>
      </c>
      <c r="Q833" s="19">
        <f>P833*Q830</f>
        <v>48057</v>
      </c>
      <c r="R833" s="19">
        <f>MROUND(Q833,100)</f>
        <v>48100</v>
      </c>
    </row>
    <row r="834" spans="1:18" ht="14.25" customHeight="1" x14ac:dyDescent="0.1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</row>
    <row r="835" spans="1:18" ht="14.25" customHeight="1" x14ac:dyDescent="0.3">
      <c r="A835" s="109" t="str">
        <f>PRICELIST!I334</f>
        <v>WSTK-LNR-S-LVM-900-G</v>
      </c>
      <c r="B835" s="87"/>
      <c r="C835" s="87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7"/>
    </row>
    <row r="836" spans="1:18" ht="14.25" customHeight="1" x14ac:dyDescent="0.15">
      <c r="A836" s="19" t="s">
        <v>57</v>
      </c>
      <c r="B836" s="19" t="s">
        <v>59</v>
      </c>
      <c r="C836" s="19" t="s">
        <v>62</v>
      </c>
      <c r="D836" s="19" t="s">
        <v>64</v>
      </c>
      <c r="E836" s="19">
        <v>1200</v>
      </c>
      <c r="F836" s="19">
        <v>900</v>
      </c>
      <c r="G836" s="19">
        <v>600</v>
      </c>
      <c r="H836" s="19" t="s">
        <v>67</v>
      </c>
      <c r="I836" s="19" t="s">
        <v>68</v>
      </c>
      <c r="J836" s="19" t="s">
        <v>69</v>
      </c>
      <c r="K836" s="19" t="s">
        <v>71</v>
      </c>
      <c r="L836" s="19" t="s">
        <v>72</v>
      </c>
      <c r="M836" s="19" t="s">
        <v>73</v>
      </c>
      <c r="N836" s="19" t="s">
        <v>75</v>
      </c>
      <c r="O836" s="19" t="s">
        <v>76</v>
      </c>
      <c r="P836" s="19" t="s">
        <v>78</v>
      </c>
      <c r="Q836" s="19" t="s">
        <v>79</v>
      </c>
      <c r="R836" s="19" t="s">
        <v>81</v>
      </c>
    </row>
    <row r="837" spans="1:18" ht="14.25" customHeight="1" x14ac:dyDescent="0.15">
      <c r="A837" s="21">
        <f t="shared" ref="A837:B837" si="644">A830</f>
        <v>0</v>
      </c>
      <c r="B837" s="21">
        <f t="shared" si="644"/>
        <v>0</v>
      </c>
      <c r="C837" s="44" t="s">
        <v>188</v>
      </c>
      <c r="D837" s="21">
        <f t="shared" ref="D837:H837" si="645">D830</f>
        <v>0</v>
      </c>
      <c r="E837" s="23" t="str">
        <f t="shared" si="645"/>
        <v>4200</v>
      </c>
      <c r="F837" s="23" t="str">
        <f t="shared" si="645"/>
        <v>4000</v>
      </c>
      <c r="G837" s="23" t="str">
        <f t="shared" si="645"/>
        <v>3800</v>
      </c>
      <c r="H837" s="23">
        <f t="shared" si="645"/>
        <v>380</v>
      </c>
      <c r="I837" s="23" t="str">
        <f>I816</f>
        <v>0</v>
      </c>
      <c r="J837" s="23" t="str">
        <f t="shared" ref="J837:Q837" si="646">J830</f>
        <v>1000</v>
      </c>
      <c r="K837" s="23">
        <f t="shared" si="646"/>
        <v>375</v>
      </c>
      <c r="L837" s="23">
        <f t="shared" si="646"/>
        <v>585</v>
      </c>
      <c r="M837" s="23" t="str">
        <f t="shared" si="646"/>
        <v>1000</v>
      </c>
      <c r="N837" s="23">
        <f t="shared" si="646"/>
        <v>3300</v>
      </c>
      <c r="O837" s="23">
        <f t="shared" si="646"/>
        <v>0</v>
      </c>
      <c r="P837" s="23">
        <f t="shared" si="646"/>
        <v>0</v>
      </c>
      <c r="Q837" s="23">
        <f t="shared" si="646"/>
        <v>2</v>
      </c>
      <c r="R837" s="21"/>
    </row>
    <row r="838" spans="1:18" ht="14.25" customHeight="1" x14ac:dyDescent="0.15">
      <c r="A838" s="19">
        <v>1</v>
      </c>
      <c r="B838" s="19">
        <v>0.9</v>
      </c>
      <c r="C838" s="19">
        <f>0.6+0.3</f>
        <v>0.89999999999999991</v>
      </c>
      <c r="D838" s="19">
        <f>B838*C838</f>
        <v>0.80999999999999994</v>
      </c>
      <c r="E838" s="19"/>
      <c r="F838" s="19"/>
      <c r="G838" s="19"/>
      <c r="H838" s="19"/>
      <c r="I838" s="19">
        <f>B838*0.4</f>
        <v>0.36000000000000004</v>
      </c>
      <c r="J838" s="19">
        <v>1</v>
      </c>
      <c r="K838" s="19">
        <f t="shared" ref="K838:L838" si="647">A838</f>
        <v>1</v>
      </c>
      <c r="L838" s="19">
        <f t="shared" si="647"/>
        <v>0.9</v>
      </c>
      <c r="M838" s="19">
        <f>A838</f>
        <v>1</v>
      </c>
      <c r="N838" s="19">
        <f>(1.2*0.4)*2</f>
        <v>0.96</v>
      </c>
      <c r="O838" s="19"/>
      <c r="P838" s="19"/>
      <c r="Q838" s="19"/>
      <c r="R838" s="19"/>
    </row>
    <row r="839" spans="1:18" ht="14.25" customHeight="1" x14ac:dyDescent="0.2">
      <c r="A839" s="19"/>
      <c r="B839" s="19"/>
      <c r="C839" s="19"/>
      <c r="D839" s="26" t="str">
        <f>D832</f>
        <v>9500</v>
      </c>
      <c r="E839" s="45">
        <v>0</v>
      </c>
      <c r="F839" s="45">
        <v>0</v>
      </c>
      <c r="G839" s="45">
        <v>2</v>
      </c>
      <c r="H839" s="19">
        <f>B838*2</f>
        <v>1.8</v>
      </c>
      <c r="I839" s="19"/>
      <c r="J839" s="19"/>
      <c r="K839" s="19"/>
      <c r="L839" s="19"/>
      <c r="M839" s="19"/>
      <c r="N839" s="28"/>
      <c r="O839" s="19"/>
      <c r="P839" s="19"/>
      <c r="Q839" s="19"/>
      <c r="R839" s="19"/>
    </row>
    <row r="840" spans="1:18" ht="14.25" customHeight="1" x14ac:dyDescent="0.2">
      <c r="A840" s="19"/>
      <c r="B840" s="19"/>
      <c r="C840" s="19"/>
      <c r="D840" s="19">
        <f>D838*D839</f>
        <v>7694.9999999999991</v>
      </c>
      <c r="E840" s="45">
        <f>E839*E837</f>
        <v>0</v>
      </c>
      <c r="F840" s="45">
        <f t="shared" ref="F840:H840" si="648">F837*F839</f>
        <v>0</v>
      </c>
      <c r="G840" s="45">
        <f t="shared" si="648"/>
        <v>7600</v>
      </c>
      <c r="H840" s="19">
        <f t="shared" si="648"/>
        <v>684</v>
      </c>
      <c r="I840" s="19">
        <f t="shared" ref="I840:N840" si="649">I837*I838</f>
        <v>0</v>
      </c>
      <c r="J840" s="19">
        <f t="shared" si="649"/>
        <v>1000</v>
      </c>
      <c r="K840" s="19">
        <f t="shared" si="649"/>
        <v>375</v>
      </c>
      <c r="L840" s="19">
        <f t="shared" si="649"/>
        <v>526.5</v>
      </c>
      <c r="M840" s="19">
        <f t="shared" si="649"/>
        <v>1000</v>
      </c>
      <c r="N840" s="19">
        <f t="shared" si="649"/>
        <v>3168</v>
      </c>
      <c r="O840" s="19">
        <f>SUM(D840:N840)</f>
        <v>22048.5</v>
      </c>
      <c r="P840" s="19">
        <f>O840/A838</f>
        <v>22048.5</v>
      </c>
      <c r="Q840" s="19">
        <f>P840*Q837</f>
        <v>44097</v>
      </c>
      <c r="R840" s="19">
        <f>MROUND(Q840,100)</f>
        <v>44100</v>
      </c>
    </row>
    <row r="841" spans="1:18" ht="14.25" customHeight="1" x14ac:dyDescent="0.1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</row>
    <row r="842" spans="1:18" ht="14.25" customHeight="1" x14ac:dyDescent="0.3">
      <c r="A842" s="109" t="str">
        <f>PRICELIST!I335</f>
        <v>WSTK-LNR-S-LVM-900-X</v>
      </c>
      <c r="B842" s="87"/>
      <c r="C842" s="87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7"/>
    </row>
    <row r="843" spans="1:18" ht="14.25" customHeight="1" x14ac:dyDescent="0.15">
      <c r="A843" s="19" t="s">
        <v>57</v>
      </c>
      <c r="B843" s="19" t="s">
        <v>59</v>
      </c>
      <c r="C843" s="19" t="s">
        <v>62</v>
      </c>
      <c r="D843" s="19" t="s">
        <v>64</v>
      </c>
      <c r="E843" s="19">
        <v>1200</v>
      </c>
      <c r="F843" s="19">
        <v>900</v>
      </c>
      <c r="G843" s="19">
        <v>600</v>
      </c>
      <c r="H843" s="19" t="s">
        <v>67</v>
      </c>
      <c r="I843" s="19" t="s">
        <v>68</v>
      </c>
      <c r="J843" s="19" t="s">
        <v>69</v>
      </c>
      <c r="K843" s="19" t="s">
        <v>71</v>
      </c>
      <c r="L843" s="19" t="s">
        <v>72</v>
      </c>
      <c r="M843" s="19" t="s">
        <v>73</v>
      </c>
      <c r="N843" s="19" t="s">
        <v>75</v>
      </c>
      <c r="O843" s="19" t="s">
        <v>76</v>
      </c>
      <c r="P843" s="19" t="s">
        <v>78</v>
      </c>
      <c r="Q843" s="19" t="s">
        <v>79</v>
      </c>
      <c r="R843" s="19" t="s">
        <v>81</v>
      </c>
    </row>
    <row r="844" spans="1:18" ht="14.25" customHeight="1" x14ac:dyDescent="0.15">
      <c r="A844" s="21">
        <f t="shared" ref="A844:B844" si="650">A837</f>
        <v>0</v>
      </c>
      <c r="B844" s="21">
        <f t="shared" si="650"/>
        <v>0</v>
      </c>
      <c r="C844" s="44" t="s">
        <v>188</v>
      </c>
      <c r="D844" s="21">
        <f t="shared" ref="D844:H844" si="651">D837</f>
        <v>0</v>
      </c>
      <c r="E844" s="23" t="str">
        <f t="shared" si="651"/>
        <v>4200</v>
      </c>
      <c r="F844" s="23" t="str">
        <f t="shared" si="651"/>
        <v>4000</v>
      </c>
      <c r="G844" s="23" t="str">
        <f t="shared" si="651"/>
        <v>3800</v>
      </c>
      <c r="H844" s="23">
        <f t="shared" si="651"/>
        <v>380</v>
      </c>
      <c r="I844" s="23" t="str">
        <f>I823</f>
        <v>4800</v>
      </c>
      <c r="J844" s="23" t="str">
        <f t="shared" ref="J844:Q844" si="652">J837</f>
        <v>1000</v>
      </c>
      <c r="K844" s="23">
        <f t="shared" si="652"/>
        <v>375</v>
      </c>
      <c r="L844" s="23">
        <f t="shared" si="652"/>
        <v>585</v>
      </c>
      <c r="M844" s="23" t="str">
        <f t="shared" si="652"/>
        <v>1000</v>
      </c>
      <c r="N844" s="23">
        <f t="shared" si="652"/>
        <v>3300</v>
      </c>
      <c r="O844" s="23">
        <f t="shared" si="652"/>
        <v>0</v>
      </c>
      <c r="P844" s="23">
        <f t="shared" si="652"/>
        <v>0</v>
      </c>
      <c r="Q844" s="23">
        <f t="shared" si="652"/>
        <v>2</v>
      </c>
      <c r="R844" s="21"/>
    </row>
    <row r="845" spans="1:18" ht="14.25" customHeight="1" x14ac:dyDescent="0.15">
      <c r="A845" s="19">
        <v>1</v>
      </c>
      <c r="B845" s="19">
        <v>0.9</v>
      </c>
      <c r="C845" s="19">
        <f>0.6+0.3</f>
        <v>0.89999999999999991</v>
      </c>
      <c r="D845" s="19">
        <f>B845*C845</f>
        <v>0.80999999999999994</v>
      </c>
      <c r="E845" s="19"/>
      <c r="F845" s="19"/>
      <c r="G845" s="19"/>
      <c r="H845" s="19"/>
      <c r="I845" s="19">
        <f>B845*0.4</f>
        <v>0.36000000000000004</v>
      </c>
      <c r="J845" s="19">
        <v>1</v>
      </c>
      <c r="K845" s="19">
        <f t="shared" ref="K845:L845" si="653">A845</f>
        <v>1</v>
      </c>
      <c r="L845" s="19">
        <f t="shared" si="653"/>
        <v>0.9</v>
      </c>
      <c r="M845" s="19">
        <f>A845</f>
        <v>1</v>
      </c>
      <c r="N845" s="19">
        <f>(1.2*0.4)*2</f>
        <v>0.96</v>
      </c>
      <c r="O845" s="19"/>
      <c r="P845" s="19"/>
      <c r="Q845" s="19"/>
      <c r="R845" s="19"/>
    </row>
    <row r="846" spans="1:18" ht="14.25" customHeight="1" x14ac:dyDescent="0.2">
      <c r="A846" s="19"/>
      <c r="B846" s="19"/>
      <c r="C846" s="19"/>
      <c r="D846" s="26" t="str">
        <f>D720</f>
        <v>10500</v>
      </c>
      <c r="E846" s="45">
        <v>0</v>
      </c>
      <c r="F846" s="45">
        <v>0</v>
      </c>
      <c r="G846" s="45">
        <v>2</v>
      </c>
      <c r="H846" s="19">
        <f>B845*2</f>
        <v>1.8</v>
      </c>
      <c r="I846" s="19"/>
      <c r="J846" s="19"/>
      <c r="K846" s="19"/>
      <c r="L846" s="19"/>
      <c r="M846" s="19"/>
      <c r="N846" s="28"/>
      <c r="O846" s="19"/>
      <c r="P846" s="19"/>
      <c r="Q846" s="19"/>
      <c r="R846" s="19"/>
    </row>
    <row r="847" spans="1:18" ht="14.25" customHeight="1" x14ac:dyDescent="0.2">
      <c r="A847" s="19"/>
      <c r="B847" s="19"/>
      <c r="C847" s="19"/>
      <c r="D847" s="19">
        <f>D845*D846</f>
        <v>8505</v>
      </c>
      <c r="E847" s="45">
        <f>E846*E844</f>
        <v>0</v>
      </c>
      <c r="F847" s="45">
        <f t="shared" ref="F847:H847" si="654">F844*F846</f>
        <v>0</v>
      </c>
      <c r="G847" s="45">
        <f t="shared" si="654"/>
        <v>7600</v>
      </c>
      <c r="H847" s="19">
        <f t="shared" si="654"/>
        <v>684</v>
      </c>
      <c r="I847" s="19">
        <f t="shared" ref="I847:N847" si="655">I844*I845</f>
        <v>1728.0000000000002</v>
      </c>
      <c r="J847" s="19">
        <f t="shared" si="655"/>
        <v>1000</v>
      </c>
      <c r="K847" s="19">
        <f t="shared" si="655"/>
        <v>375</v>
      </c>
      <c r="L847" s="19">
        <f t="shared" si="655"/>
        <v>526.5</v>
      </c>
      <c r="M847" s="19">
        <f t="shared" si="655"/>
        <v>1000</v>
      </c>
      <c r="N847" s="19">
        <f t="shared" si="655"/>
        <v>3168</v>
      </c>
      <c r="O847" s="19">
        <f>SUM(D847:N847)</f>
        <v>24586.5</v>
      </c>
      <c r="P847" s="19">
        <f>O847/A845</f>
        <v>24586.5</v>
      </c>
      <c r="Q847" s="19">
        <f>P847*Q844</f>
        <v>49173</v>
      </c>
      <c r="R847" s="19">
        <f>MROUND(Q847,100)</f>
        <v>49200</v>
      </c>
    </row>
    <row r="848" spans="1:18" ht="14.25" customHeight="1" x14ac:dyDescent="0.1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</row>
    <row r="849" spans="1:18" ht="14.25" customHeight="1" x14ac:dyDescent="0.3">
      <c r="A849" s="109" t="str">
        <f>PRICELIST!I336</f>
        <v>WSTK-LNR-S-LVP-900-F</v>
      </c>
      <c r="B849" s="87"/>
      <c r="C849" s="87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7"/>
    </row>
    <row r="850" spans="1:18" ht="14.25" customHeight="1" x14ac:dyDescent="0.15">
      <c r="A850" s="19" t="s">
        <v>57</v>
      </c>
      <c r="B850" s="19" t="s">
        <v>59</v>
      </c>
      <c r="C850" s="19" t="s">
        <v>62</v>
      </c>
      <c r="D850" s="19" t="s">
        <v>64</v>
      </c>
      <c r="E850" s="19">
        <v>1200</v>
      </c>
      <c r="F850" s="19">
        <v>900</v>
      </c>
      <c r="G850" s="19">
        <v>600</v>
      </c>
      <c r="H850" s="19" t="s">
        <v>67</v>
      </c>
      <c r="I850" s="19" t="s">
        <v>68</v>
      </c>
      <c r="J850" s="19" t="s">
        <v>69</v>
      </c>
      <c r="K850" s="19" t="s">
        <v>71</v>
      </c>
      <c r="L850" s="19" t="s">
        <v>72</v>
      </c>
      <c r="M850" s="19" t="s">
        <v>73</v>
      </c>
      <c r="N850" s="19" t="s">
        <v>75</v>
      </c>
      <c r="O850" s="19" t="s">
        <v>76</v>
      </c>
      <c r="P850" s="19" t="s">
        <v>78</v>
      </c>
      <c r="Q850" s="19" t="s">
        <v>79</v>
      </c>
      <c r="R850" s="19" t="s">
        <v>81</v>
      </c>
    </row>
    <row r="851" spans="1:18" ht="14.25" customHeight="1" x14ac:dyDescent="0.15">
      <c r="A851" s="21">
        <f t="shared" ref="A851:B851" si="656">A844</f>
        <v>0</v>
      </c>
      <c r="B851" s="21">
        <f t="shared" si="656"/>
        <v>0</v>
      </c>
      <c r="C851" s="44" t="s">
        <v>188</v>
      </c>
      <c r="D851" s="21">
        <f t="shared" ref="D851:H851" si="657">D844</f>
        <v>0</v>
      </c>
      <c r="E851" s="23" t="str">
        <f t="shared" si="657"/>
        <v>4200</v>
      </c>
      <c r="F851" s="23" t="str">
        <f t="shared" si="657"/>
        <v>4000</v>
      </c>
      <c r="G851" s="23" t="str">
        <f t="shared" si="657"/>
        <v>3800</v>
      </c>
      <c r="H851" s="23">
        <f t="shared" si="657"/>
        <v>380</v>
      </c>
      <c r="I851" s="23" t="str">
        <f>I830</f>
        <v>5500</v>
      </c>
      <c r="J851" s="23" t="str">
        <f t="shared" ref="J851:Q851" si="658">J844</f>
        <v>1000</v>
      </c>
      <c r="K851" s="23">
        <f t="shared" si="658"/>
        <v>375</v>
      </c>
      <c r="L851" s="23">
        <f t="shared" si="658"/>
        <v>585</v>
      </c>
      <c r="M851" s="23" t="str">
        <f t="shared" si="658"/>
        <v>1000</v>
      </c>
      <c r="N851" s="23">
        <f t="shared" si="658"/>
        <v>3300</v>
      </c>
      <c r="O851" s="23">
        <f t="shared" si="658"/>
        <v>0</v>
      </c>
      <c r="P851" s="23">
        <f t="shared" si="658"/>
        <v>0</v>
      </c>
      <c r="Q851" s="23">
        <f t="shared" si="658"/>
        <v>2</v>
      </c>
      <c r="R851" s="21"/>
    </row>
    <row r="852" spans="1:18" ht="14.25" customHeight="1" x14ac:dyDescent="0.15">
      <c r="A852" s="19">
        <v>1</v>
      </c>
      <c r="B852" s="19">
        <v>0.9</v>
      </c>
      <c r="C852" s="19">
        <f>0.6+0.3</f>
        <v>0.89999999999999991</v>
      </c>
      <c r="D852" s="19">
        <f>B852*C852</f>
        <v>0.80999999999999994</v>
      </c>
      <c r="E852" s="19"/>
      <c r="F852" s="19"/>
      <c r="G852" s="19"/>
      <c r="H852" s="19"/>
      <c r="I852" s="19">
        <f>B852*0.4</f>
        <v>0.36000000000000004</v>
      </c>
      <c r="J852" s="19">
        <v>1</v>
      </c>
      <c r="K852" s="19">
        <f t="shared" ref="K852:L852" si="659">A852</f>
        <v>1</v>
      </c>
      <c r="L852" s="19">
        <f t="shared" si="659"/>
        <v>0.9</v>
      </c>
      <c r="M852" s="19">
        <f>A852</f>
        <v>1</v>
      </c>
      <c r="N852" s="19">
        <f>(1.2*0.4)*2</f>
        <v>0.96</v>
      </c>
      <c r="O852" s="19"/>
      <c r="P852" s="19"/>
      <c r="Q852" s="19"/>
      <c r="R852" s="19"/>
    </row>
    <row r="853" spans="1:18" ht="14.25" customHeight="1" x14ac:dyDescent="0.2">
      <c r="A853" s="19"/>
      <c r="B853" s="19"/>
      <c r="C853" s="19"/>
      <c r="D853" s="26" t="str">
        <f>D846</f>
        <v>10500</v>
      </c>
      <c r="E853" s="45">
        <v>0</v>
      </c>
      <c r="F853" s="45">
        <v>0</v>
      </c>
      <c r="G853" s="45">
        <v>2</v>
      </c>
      <c r="H853" s="19">
        <f>B852*2</f>
        <v>1.8</v>
      </c>
      <c r="I853" s="19"/>
      <c r="J853" s="19"/>
      <c r="K853" s="19"/>
      <c r="L853" s="19"/>
      <c r="M853" s="19"/>
      <c r="N853" s="28"/>
      <c r="O853" s="19"/>
      <c r="P853" s="19"/>
      <c r="Q853" s="19"/>
      <c r="R853" s="19"/>
    </row>
    <row r="854" spans="1:18" ht="14.25" customHeight="1" x14ac:dyDescent="0.2">
      <c r="A854" s="19"/>
      <c r="B854" s="19"/>
      <c r="C854" s="19"/>
      <c r="D854" s="19">
        <f>D852*D853</f>
        <v>8505</v>
      </c>
      <c r="E854" s="45">
        <f>E853*E851</f>
        <v>0</v>
      </c>
      <c r="F854" s="45">
        <f t="shared" ref="F854:H854" si="660">F851*F853</f>
        <v>0</v>
      </c>
      <c r="G854" s="45">
        <f t="shared" si="660"/>
        <v>7600</v>
      </c>
      <c r="H854" s="19">
        <f t="shared" si="660"/>
        <v>684</v>
      </c>
      <c r="I854" s="19">
        <f t="shared" ref="I854:N854" si="661">I851*I852</f>
        <v>1980.0000000000002</v>
      </c>
      <c r="J854" s="19">
        <f t="shared" si="661"/>
        <v>1000</v>
      </c>
      <c r="K854" s="19">
        <f t="shared" si="661"/>
        <v>375</v>
      </c>
      <c r="L854" s="19">
        <f t="shared" si="661"/>
        <v>526.5</v>
      </c>
      <c r="M854" s="19">
        <f t="shared" si="661"/>
        <v>1000</v>
      </c>
      <c r="N854" s="19">
        <f t="shared" si="661"/>
        <v>3168</v>
      </c>
      <c r="O854" s="19">
        <f>SUM(D854:N854)</f>
        <v>24838.5</v>
      </c>
      <c r="P854" s="19">
        <f>O854/A852</f>
        <v>24838.5</v>
      </c>
      <c r="Q854" s="19">
        <f>P854*Q851</f>
        <v>49677</v>
      </c>
      <c r="R854" s="19">
        <f>MROUND(Q854,100)</f>
        <v>49700</v>
      </c>
    </row>
    <row r="855" spans="1:18" ht="14.25" customHeight="1" x14ac:dyDescent="0.1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</row>
    <row r="856" spans="1:18" ht="14.25" customHeight="1" x14ac:dyDescent="0.3">
      <c r="A856" s="109" t="str">
        <f>PRICELIST!I337</f>
        <v>WSTK-LNR-S-LVP-900-G</v>
      </c>
      <c r="B856" s="87"/>
      <c r="C856" s="87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7"/>
    </row>
    <row r="857" spans="1:18" ht="14.25" customHeight="1" x14ac:dyDescent="0.15">
      <c r="A857" s="19" t="s">
        <v>57</v>
      </c>
      <c r="B857" s="19" t="s">
        <v>59</v>
      </c>
      <c r="C857" s="19" t="s">
        <v>62</v>
      </c>
      <c r="D857" s="19" t="s">
        <v>64</v>
      </c>
      <c r="E857" s="19">
        <v>1200</v>
      </c>
      <c r="F857" s="19">
        <v>900</v>
      </c>
      <c r="G857" s="19">
        <v>600</v>
      </c>
      <c r="H857" s="19" t="s">
        <v>67</v>
      </c>
      <c r="I857" s="19" t="s">
        <v>68</v>
      </c>
      <c r="J857" s="19" t="s">
        <v>69</v>
      </c>
      <c r="K857" s="19" t="s">
        <v>71</v>
      </c>
      <c r="L857" s="19" t="s">
        <v>72</v>
      </c>
      <c r="M857" s="19" t="s">
        <v>73</v>
      </c>
      <c r="N857" s="19" t="s">
        <v>75</v>
      </c>
      <c r="O857" s="19" t="s">
        <v>76</v>
      </c>
      <c r="P857" s="19" t="s">
        <v>78</v>
      </c>
      <c r="Q857" s="19" t="s">
        <v>79</v>
      </c>
      <c r="R857" s="19" t="s">
        <v>81</v>
      </c>
    </row>
    <row r="858" spans="1:18" ht="14.25" customHeight="1" x14ac:dyDescent="0.15">
      <c r="A858" s="21">
        <f t="shared" ref="A858:B858" si="662">A851</f>
        <v>0</v>
      </c>
      <c r="B858" s="21">
        <f t="shared" si="662"/>
        <v>0</v>
      </c>
      <c r="C858" s="44" t="s">
        <v>188</v>
      </c>
      <c r="D858" s="21">
        <f t="shared" ref="D858:H858" si="663">D851</f>
        <v>0</v>
      </c>
      <c r="E858" s="23" t="str">
        <f t="shared" si="663"/>
        <v>4200</v>
      </c>
      <c r="F858" s="23" t="str">
        <f t="shared" si="663"/>
        <v>4000</v>
      </c>
      <c r="G858" s="23" t="str">
        <f t="shared" si="663"/>
        <v>3800</v>
      </c>
      <c r="H858" s="23">
        <f t="shared" si="663"/>
        <v>380</v>
      </c>
      <c r="I858" s="23" t="str">
        <f>I837</f>
        <v>0</v>
      </c>
      <c r="J858" s="23" t="str">
        <f t="shared" ref="J858:Q858" si="664">J851</f>
        <v>1000</v>
      </c>
      <c r="K858" s="23">
        <f t="shared" si="664"/>
        <v>375</v>
      </c>
      <c r="L858" s="23">
        <f t="shared" si="664"/>
        <v>585</v>
      </c>
      <c r="M858" s="23" t="str">
        <f t="shared" si="664"/>
        <v>1000</v>
      </c>
      <c r="N858" s="23">
        <f t="shared" si="664"/>
        <v>3300</v>
      </c>
      <c r="O858" s="23">
        <f t="shared" si="664"/>
        <v>0</v>
      </c>
      <c r="P858" s="23">
        <f t="shared" si="664"/>
        <v>0</v>
      </c>
      <c r="Q858" s="23">
        <f t="shared" si="664"/>
        <v>2</v>
      </c>
      <c r="R858" s="21"/>
    </row>
    <row r="859" spans="1:18" ht="14.25" customHeight="1" x14ac:dyDescent="0.15">
      <c r="A859" s="19">
        <v>1</v>
      </c>
      <c r="B859" s="19">
        <v>0.9</v>
      </c>
      <c r="C859" s="19">
        <f>0.6+0.3</f>
        <v>0.89999999999999991</v>
      </c>
      <c r="D859" s="19">
        <f>B859*C859</f>
        <v>0.80999999999999994</v>
      </c>
      <c r="E859" s="19"/>
      <c r="F859" s="19"/>
      <c r="G859" s="19"/>
      <c r="H859" s="19"/>
      <c r="I859" s="19">
        <f>B859*0.4</f>
        <v>0.36000000000000004</v>
      </c>
      <c r="J859" s="19">
        <v>1</v>
      </c>
      <c r="K859" s="19">
        <f t="shared" ref="K859:L859" si="665">A859</f>
        <v>1</v>
      </c>
      <c r="L859" s="19">
        <f t="shared" si="665"/>
        <v>0.9</v>
      </c>
      <c r="M859" s="19">
        <f>A859</f>
        <v>1</v>
      </c>
      <c r="N859" s="19">
        <f>(1.2*0.4)*2</f>
        <v>0.96</v>
      </c>
      <c r="O859" s="19"/>
      <c r="P859" s="19"/>
      <c r="Q859" s="19"/>
      <c r="R859" s="19"/>
    </row>
    <row r="860" spans="1:18" ht="14.25" customHeight="1" x14ac:dyDescent="0.2">
      <c r="A860" s="19"/>
      <c r="B860" s="19"/>
      <c r="C860" s="19"/>
      <c r="D860" s="26" t="str">
        <f>D853</f>
        <v>10500</v>
      </c>
      <c r="E860" s="45">
        <v>0</v>
      </c>
      <c r="F860" s="45">
        <v>0</v>
      </c>
      <c r="G860" s="45">
        <v>2</v>
      </c>
      <c r="H860" s="19">
        <f>B859*2</f>
        <v>1.8</v>
      </c>
      <c r="I860" s="19"/>
      <c r="J860" s="19"/>
      <c r="K860" s="19"/>
      <c r="L860" s="19"/>
      <c r="M860" s="19"/>
      <c r="N860" s="28"/>
      <c r="O860" s="19"/>
      <c r="P860" s="19"/>
      <c r="Q860" s="19"/>
      <c r="R860" s="19"/>
    </row>
    <row r="861" spans="1:18" ht="14.25" customHeight="1" x14ac:dyDescent="0.2">
      <c r="A861" s="19"/>
      <c r="B861" s="19"/>
      <c r="C861" s="19"/>
      <c r="D861" s="19">
        <f>D859*D860</f>
        <v>8505</v>
      </c>
      <c r="E861" s="45">
        <f>E860*E858</f>
        <v>0</v>
      </c>
      <c r="F861" s="45">
        <f t="shared" ref="F861:H861" si="666">F858*F860</f>
        <v>0</v>
      </c>
      <c r="G861" s="45">
        <f t="shared" si="666"/>
        <v>7600</v>
      </c>
      <c r="H861" s="19">
        <f t="shared" si="666"/>
        <v>684</v>
      </c>
      <c r="I861" s="19">
        <f t="shared" ref="I861:N861" si="667">I858*I859</f>
        <v>0</v>
      </c>
      <c r="J861" s="19">
        <f t="shared" si="667"/>
        <v>1000</v>
      </c>
      <c r="K861" s="19">
        <f t="shared" si="667"/>
        <v>375</v>
      </c>
      <c r="L861" s="19">
        <f t="shared" si="667"/>
        <v>526.5</v>
      </c>
      <c r="M861" s="19">
        <f t="shared" si="667"/>
        <v>1000</v>
      </c>
      <c r="N861" s="19">
        <f t="shared" si="667"/>
        <v>3168</v>
      </c>
      <c r="O861" s="19">
        <f>SUM(D861:N861)</f>
        <v>22858.5</v>
      </c>
      <c r="P861" s="19">
        <f>O861/A859</f>
        <v>22858.5</v>
      </c>
      <c r="Q861" s="19">
        <f>P861*Q858</f>
        <v>45717</v>
      </c>
      <c r="R861" s="19">
        <f>MROUND(Q861,100)</f>
        <v>45700</v>
      </c>
    </row>
    <row r="862" spans="1:18" ht="14.25" customHeight="1" x14ac:dyDescent="0.1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</row>
    <row r="863" spans="1:18" ht="14.25" customHeight="1" x14ac:dyDescent="0.3">
      <c r="A863" s="109" t="str">
        <f>PRICELIST!I338</f>
        <v>WSTK-LNR-S-LVP-900-X</v>
      </c>
      <c r="B863" s="87"/>
      <c r="C863" s="87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7"/>
    </row>
    <row r="864" spans="1:18" ht="14.25" customHeight="1" x14ac:dyDescent="0.15">
      <c r="A864" s="19" t="s">
        <v>57</v>
      </c>
      <c r="B864" s="19" t="s">
        <v>59</v>
      </c>
      <c r="C864" s="19" t="s">
        <v>62</v>
      </c>
      <c r="D864" s="19" t="s">
        <v>64</v>
      </c>
      <c r="E864" s="19">
        <v>1200</v>
      </c>
      <c r="F864" s="19">
        <v>900</v>
      </c>
      <c r="G864" s="19">
        <v>600</v>
      </c>
      <c r="H864" s="19" t="s">
        <v>67</v>
      </c>
      <c r="I864" s="19" t="s">
        <v>68</v>
      </c>
      <c r="J864" s="19" t="s">
        <v>69</v>
      </c>
      <c r="K864" s="19" t="s">
        <v>71</v>
      </c>
      <c r="L864" s="19" t="s">
        <v>72</v>
      </c>
      <c r="M864" s="19" t="s">
        <v>73</v>
      </c>
      <c r="N864" s="19" t="s">
        <v>75</v>
      </c>
      <c r="O864" s="19" t="s">
        <v>76</v>
      </c>
      <c r="P864" s="19" t="s">
        <v>78</v>
      </c>
      <c r="Q864" s="19" t="s">
        <v>79</v>
      </c>
      <c r="R864" s="19" t="s">
        <v>81</v>
      </c>
    </row>
    <row r="865" spans="1:18" ht="14.25" customHeight="1" x14ac:dyDescent="0.15">
      <c r="A865" s="21">
        <f t="shared" ref="A865:B865" si="668">A858</f>
        <v>0</v>
      </c>
      <c r="B865" s="21">
        <f t="shared" si="668"/>
        <v>0</v>
      </c>
      <c r="C865" s="44" t="s">
        <v>188</v>
      </c>
      <c r="D865" s="21">
        <f t="shared" ref="D865:H865" si="669">D858</f>
        <v>0</v>
      </c>
      <c r="E865" s="23" t="str">
        <f t="shared" si="669"/>
        <v>4200</v>
      </c>
      <c r="F865" s="23" t="str">
        <f t="shared" si="669"/>
        <v>4000</v>
      </c>
      <c r="G865" s="23" t="str">
        <f t="shared" si="669"/>
        <v>3800</v>
      </c>
      <c r="H865" s="23">
        <f t="shared" si="669"/>
        <v>380</v>
      </c>
      <c r="I865" s="23" t="str">
        <f>I844</f>
        <v>4800</v>
      </c>
      <c r="J865" s="23" t="str">
        <f t="shared" ref="J865:Q865" si="670">J858</f>
        <v>1000</v>
      </c>
      <c r="K865" s="23">
        <f t="shared" si="670"/>
        <v>375</v>
      </c>
      <c r="L865" s="23">
        <f t="shared" si="670"/>
        <v>585</v>
      </c>
      <c r="M865" s="23" t="str">
        <f t="shared" si="670"/>
        <v>1000</v>
      </c>
      <c r="N865" s="23">
        <f t="shared" si="670"/>
        <v>3300</v>
      </c>
      <c r="O865" s="23">
        <f t="shared" si="670"/>
        <v>0</v>
      </c>
      <c r="P865" s="23">
        <f t="shared" si="670"/>
        <v>0</v>
      </c>
      <c r="Q865" s="23">
        <f t="shared" si="670"/>
        <v>2</v>
      </c>
      <c r="R865" s="21"/>
    </row>
    <row r="866" spans="1:18" ht="14.25" customHeight="1" x14ac:dyDescent="0.15">
      <c r="A866" s="19">
        <v>1</v>
      </c>
      <c r="B866" s="19">
        <v>0.9</v>
      </c>
      <c r="C866" s="19">
        <f>0.6+0.3</f>
        <v>0.89999999999999991</v>
      </c>
      <c r="D866" s="19">
        <f>B866*C866</f>
        <v>0.80999999999999994</v>
      </c>
      <c r="E866" s="19"/>
      <c r="F866" s="19"/>
      <c r="G866" s="19"/>
      <c r="H866" s="19"/>
      <c r="I866" s="19">
        <f>B866*0.4</f>
        <v>0.36000000000000004</v>
      </c>
      <c r="J866" s="19">
        <v>1</v>
      </c>
      <c r="K866" s="19">
        <f t="shared" ref="K866:L866" si="671">A866</f>
        <v>1</v>
      </c>
      <c r="L866" s="19">
        <f t="shared" si="671"/>
        <v>0.9</v>
      </c>
      <c r="M866" s="19">
        <f>A866</f>
        <v>1</v>
      </c>
      <c r="N866" s="19">
        <f>(1.2*0.4)*2</f>
        <v>0.96</v>
      </c>
      <c r="O866" s="19"/>
      <c r="P866" s="19"/>
      <c r="Q866" s="19"/>
      <c r="R866" s="19"/>
    </row>
    <row r="867" spans="1:18" ht="14.25" customHeight="1" x14ac:dyDescent="0.2">
      <c r="A867" s="19"/>
      <c r="B867" s="19"/>
      <c r="C867" s="19"/>
      <c r="D867" s="26" t="str">
        <f>D741</f>
        <v>16250</v>
      </c>
      <c r="E867" s="45">
        <v>0</v>
      </c>
      <c r="F867" s="45">
        <v>0</v>
      </c>
      <c r="G867" s="45">
        <v>2</v>
      </c>
      <c r="H867" s="19">
        <f>B866*2</f>
        <v>1.8</v>
      </c>
      <c r="I867" s="19"/>
      <c r="J867" s="19"/>
      <c r="K867" s="19"/>
      <c r="L867" s="19"/>
      <c r="M867" s="19"/>
      <c r="N867" s="28"/>
      <c r="O867" s="19"/>
      <c r="P867" s="19"/>
      <c r="Q867" s="19"/>
      <c r="R867" s="19"/>
    </row>
    <row r="868" spans="1:18" ht="14.25" customHeight="1" x14ac:dyDescent="0.2">
      <c r="A868" s="19"/>
      <c r="B868" s="19"/>
      <c r="C868" s="19"/>
      <c r="D868" s="19">
        <f>D866*D867</f>
        <v>13162.499999999998</v>
      </c>
      <c r="E868" s="45">
        <f>E867*E865</f>
        <v>0</v>
      </c>
      <c r="F868" s="45">
        <f t="shared" ref="F868:H868" si="672">F865*F867</f>
        <v>0</v>
      </c>
      <c r="G868" s="45">
        <f t="shared" si="672"/>
        <v>7600</v>
      </c>
      <c r="H868" s="19">
        <f t="shared" si="672"/>
        <v>684</v>
      </c>
      <c r="I868" s="19">
        <f t="shared" ref="I868:N868" si="673">I865*I866</f>
        <v>1728.0000000000002</v>
      </c>
      <c r="J868" s="19">
        <f t="shared" si="673"/>
        <v>1000</v>
      </c>
      <c r="K868" s="19">
        <f t="shared" si="673"/>
        <v>375</v>
      </c>
      <c r="L868" s="19">
        <f t="shared" si="673"/>
        <v>526.5</v>
      </c>
      <c r="M868" s="19">
        <f t="shared" si="673"/>
        <v>1000</v>
      </c>
      <c r="N868" s="19">
        <f t="shared" si="673"/>
        <v>3168</v>
      </c>
      <c r="O868" s="19">
        <f>SUM(D868:N868)</f>
        <v>29244</v>
      </c>
      <c r="P868" s="19">
        <f>O868/A866</f>
        <v>29244</v>
      </c>
      <c r="Q868" s="19">
        <f>P868*Q865</f>
        <v>58488</v>
      </c>
      <c r="R868" s="19">
        <f>MROUND(Q868,100)</f>
        <v>58500</v>
      </c>
    </row>
    <row r="869" spans="1:18" ht="14.25" customHeight="1" x14ac:dyDescent="0.1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</row>
    <row r="870" spans="1:18" ht="14.25" customHeight="1" x14ac:dyDescent="0.3">
      <c r="A870" s="109" t="str">
        <f>PRICELIST!I339</f>
        <v>WSTK-LNR-S-MB-900-F</v>
      </c>
      <c r="B870" s="87"/>
      <c r="C870" s="87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7"/>
    </row>
    <row r="871" spans="1:18" ht="14.25" customHeight="1" x14ac:dyDescent="0.15">
      <c r="A871" s="19" t="s">
        <v>57</v>
      </c>
      <c r="B871" s="19" t="s">
        <v>59</v>
      </c>
      <c r="C871" s="19" t="s">
        <v>62</v>
      </c>
      <c r="D871" s="19" t="s">
        <v>64</v>
      </c>
      <c r="E871" s="19">
        <v>1200</v>
      </c>
      <c r="F871" s="19">
        <v>900</v>
      </c>
      <c r="G871" s="19">
        <v>600</v>
      </c>
      <c r="H871" s="19" t="s">
        <v>67</v>
      </c>
      <c r="I871" s="19" t="s">
        <v>68</v>
      </c>
      <c r="J871" s="19" t="s">
        <v>69</v>
      </c>
      <c r="K871" s="19" t="s">
        <v>71</v>
      </c>
      <c r="L871" s="19" t="s">
        <v>72</v>
      </c>
      <c r="M871" s="19" t="s">
        <v>73</v>
      </c>
      <c r="N871" s="19" t="s">
        <v>75</v>
      </c>
      <c r="O871" s="19" t="s">
        <v>76</v>
      </c>
      <c r="P871" s="19" t="s">
        <v>78</v>
      </c>
      <c r="Q871" s="19" t="s">
        <v>79</v>
      </c>
      <c r="R871" s="19" t="s">
        <v>81</v>
      </c>
    </row>
    <row r="872" spans="1:18" ht="14.25" customHeight="1" x14ac:dyDescent="0.15">
      <c r="A872" s="21">
        <f t="shared" ref="A872:B872" si="674">A865</f>
        <v>0</v>
      </c>
      <c r="B872" s="21">
        <f t="shared" si="674"/>
        <v>0</v>
      </c>
      <c r="C872" s="44" t="s">
        <v>188</v>
      </c>
      <c r="D872" s="21">
        <f t="shared" ref="D872:H872" si="675">D865</f>
        <v>0</v>
      </c>
      <c r="E872" s="23" t="str">
        <f t="shared" si="675"/>
        <v>4200</v>
      </c>
      <c r="F872" s="23" t="str">
        <f t="shared" si="675"/>
        <v>4000</v>
      </c>
      <c r="G872" s="23" t="str">
        <f t="shared" si="675"/>
        <v>3800</v>
      </c>
      <c r="H872" s="23">
        <f t="shared" si="675"/>
        <v>380</v>
      </c>
      <c r="I872" s="23" t="str">
        <f>I851</f>
        <v>5500</v>
      </c>
      <c r="J872" s="23" t="str">
        <f t="shared" ref="J872:Q872" si="676">J865</f>
        <v>1000</v>
      </c>
      <c r="K872" s="23">
        <f t="shared" si="676"/>
        <v>375</v>
      </c>
      <c r="L872" s="23">
        <f t="shared" si="676"/>
        <v>585</v>
      </c>
      <c r="M872" s="23" t="str">
        <f t="shared" si="676"/>
        <v>1000</v>
      </c>
      <c r="N872" s="23">
        <f t="shared" si="676"/>
        <v>3300</v>
      </c>
      <c r="O872" s="23">
        <f t="shared" si="676"/>
        <v>0</v>
      </c>
      <c r="P872" s="23">
        <f t="shared" si="676"/>
        <v>0</v>
      </c>
      <c r="Q872" s="23">
        <f t="shared" si="676"/>
        <v>2</v>
      </c>
      <c r="R872" s="21"/>
    </row>
    <row r="873" spans="1:18" ht="14.25" customHeight="1" x14ac:dyDescent="0.15">
      <c r="A873" s="19">
        <v>1</v>
      </c>
      <c r="B873" s="19">
        <v>0.9</v>
      </c>
      <c r="C873" s="19">
        <f>0.6+0.3</f>
        <v>0.89999999999999991</v>
      </c>
      <c r="D873" s="19">
        <f>B873*C873</f>
        <v>0.80999999999999994</v>
      </c>
      <c r="E873" s="19"/>
      <c r="F873" s="19"/>
      <c r="G873" s="19"/>
      <c r="H873" s="19"/>
      <c r="I873" s="19">
        <f>B873*0.4</f>
        <v>0.36000000000000004</v>
      </c>
      <c r="J873" s="19">
        <v>1</v>
      </c>
      <c r="K873" s="19">
        <f t="shared" ref="K873:L873" si="677">A873</f>
        <v>1</v>
      </c>
      <c r="L873" s="19">
        <f t="shared" si="677"/>
        <v>0.9</v>
      </c>
      <c r="M873" s="19">
        <f>A873</f>
        <v>1</v>
      </c>
      <c r="N873" s="19">
        <f>(1.2*0.4)*2</f>
        <v>0.96</v>
      </c>
      <c r="O873" s="19"/>
      <c r="P873" s="19"/>
      <c r="Q873" s="19"/>
      <c r="R873" s="19"/>
    </row>
    <row r="874" spans="1:18" ht="14.25" customHeight="1" x14ac:dyDescent="0.2">
      <c r="A874" s="19"/>
      <c r="B874" s="19"/>
      <c r="C874" s="19"/>
      <c r="D874" s="26" t="str">
        <f>D867</f>
        <v>16250</v>
      </c>
      <c r="E874" s="45">
        <v>0</v>
      </c>
      <c r="F874" s="45">
        <v>0</v>
      </c>
      <c r="G874" s="45">
        <v>2</v>
      </c>
      <c r="H874" s="19">
        <f>B873*2</f>
        <v>1.8</v>
      </c>
      <c r="I874" s="19"/>
      <c r="J874" s="19"/>
      <c r="K874" s="19"/>
      <c r="L874" s="19"/>
      <c r="M874" s="19"/>
      <c r="N874" s="28"/>
      <c r="O874" s="19"/>
      <c r="P874" s="19"/>
      <c r="Q874" s="19"/>
      <c r="R874" s="19"/>
    </row>
    <row r="875" spans="1:18" ht="14.25" customHeight="1" x14ac:dyDescent="0.2">
      <c r="A875" s="19"/>
      <c r="B875" s="19"/>
      <c r="C875" s="19"/>
      <c r="D875" s="19">
        <f>D873*D874</f>
        <v>13162.499999999998</v>
      </c>
      <c r="E875" s="45">
        <f>E874*E872</f>
        <v>0</v>
      </c>
      <c r="F875" s="45">
        <f t="shared" ref="F875:H875" si="678">F872*F874</f>
        <v>0</v>
      </c>
      <c r="G875" s="45">
        <f t="shared" si="678"/>
        <v>7600</v>
      </c>
      <c r="H875" s="19">
        <f t="shared" si="678"/>
        <v>684</v>
      </c>
      <c r="I875" s="19">
        <f t="shared" ref="I875:N875" si="679">I872*I873</f>
        <v>1980.0000000000002</v>
      </c>
      <c r="J875" s="19">
        <f t="shared" si="679"/>
        <v>1000</v>
      </c>
      <c r="K875" s="19">
        <f t="shared" si="679"/>
        <v>375</v>
      </c>
      <c r="L875" s="19">
        <f t="shared" si="679"/>
        <v>526.5</v>
      </c>
      <c r="M875" s="19">
        <f t="shared" si="679"/>
        <v>1000</v>
      </c>
      <c r="N875" s="19">
        <f t="shared" si="679"/>
        <v>3168</v>
      </c>
      <c r="O875" s="19">
        <f>SUM(D875:N875)</f>
        <v>29496</v>
      </c>
      <c r="P875" s="19">
        <f>O875/A873</f>
        <v>29496</v>
      </c>
      <c r="Q875" s="19">
        <f>P875*Q872</f>
        <v>58992</v>
      </c>
      <c r="R875" s="19">
        <f>MROUND(Q875,100)</f>
        <v>59000</v>
      </c>
    </row>
    <row r="876" spans="1:18" ht="14.25" customHeight="1" x14ac:dyDescent="0.1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</row>
    <row r="877" spans="1:18" ht="14.25" customHeight="1" x14ac:dyDescent="0.3">
      <c r="A877" s="109" t="str">
        <f>PRICELIST!I340</f>
        <v>WSTK-LNR-S-MB-900-G</v>
      </c>
      <c r="B877" s="87"/>
      <c r="C877" s="87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7"/>
    </row>
    <row r="878" spans="1:18" ht="14.25" customHeight="1" x14ac:dyDescent="0.15">
      <c r="A878" s="19" t="s">
        <v>57</v>
      </c>
      <c r="B878" s="19" t="s">
        <v>59</v>
      </c>
      <c r="C878" s="19" t="s">
        <v>62</v>
      </c>
      <c r="D878" s="19" t="s">
        <v>64</v>
      </c>
      <c r="E878" s="19">
        <v>1200</v>
      </c>
      <c r="F878" s="19">
        <v>900</v>
      </c>
      <c r="G878" s="19">
        <v>600</v>
      </c>
      <c r="H878" s="19" t="s">
        <v>67</v>
      </c>
      <c r="I878" s="19" t="s">
        <v>68</v>
      </c>
      <c r="J878" s="19" t="s">
        <v>69</v>
      </c>
      <c r="K878" s="19" t="s">
        <v>71</v>
      </c>
      <c r="L878" s="19" t="s">
        <v>72</v>
      </c>
      <c r="M878" s="19" t="s">
        <v>73</v>
      </c>
      <c r="N878" s="19" t="s">
        <v>75</v>
      </c>
      <c r="O878" s="19" t="s">
        <v>76</v>
      </c>
      <c r="P878" s="19" t="s">
        <v>78</v>
      </c>
      <c r="Q878" s="19" t="s">
        <v>79</v>
      </c>
      <c r="R878" s="19" t="s">
        <v>81</v>
      </c>
    </row>
    <row r="879" spans="1:18" ht="14.25" customHeight="1" x14ac:dyDescent="0.15">
      <c r="A879" s="21">
        <f t="shared" ref="A879:B879" si="680">A872</f>
        <v>0</v>
      </c>
      <c r="B879" s="21">
        <f t="shared" si="680"/>
        <v>0</v>
      </c>
      <c r="C879" s="44" t="s">
        <v>188</v>
      </c>
      <c r="D879" s="21">
        <f t="shared" ref="D879:H879" si="681">D872</f>
        <v>0</v>
      </c>
      <c r="E879" s="23" t="str">
        <f t="shared" si="681"/>
        <v>4200</v>
      </c>
      <c r="F879" s="23" t="str">
        <f t="shared" si="681"/>
        <v>4000</v>
      </c>
      <c r="G879" s="23" t="str">
        <f t="shared" si="681"/>
        <v>3800</v>
      </c>
      <c r="H879" s="23">
        <f t="shared" si="681"/>
        <v>380</v>
      </c>
      <c r="I879" s="23" t="str">
        <f>I858</f>
        <v>0</v>
      </c>
      <c r="J879" s="23" t="str">
        <f t="shared" ref="J879:Q879" si="682">J872</f>
        <v>1000</v>
      </c>
      <c r="K879" s="23">
        <f t="shared" si="682"/>
        <v>375</v>
      </c>
      <c r="L879" s="23">
        <f t="shared" si="682"/>
        <v>585</v>
      </c>
      <c r="M879" s="23" t="str">
        <f t="shared" si="682"/>
        <v>1000</v>
      </c>
      <c r="N879" s="23">
        <f t="shared" si="682"/>
        <v>3300</v>
      </c>
      <c r="O879" s="23">
        <f t="shared" si="682"/>
        <v>0</v>
      </c>
      <c r="P879" s="23">
        <f t="shared" si="682"/>
        <v>0</v>
      </c>
      <c r="Q879" s="23">
        <f t="shared" si="682"/>
        <v>2</v>
      </c>
      <c r="R879" s="21"/>
    </row>
    <row r="880" spans="1:18" ht="14.25" customHeight="1" x14ac:dyDescent="0.15">
      <c r="A880" s="19">
        <v>1</v>
      </c>
      <c r="B880" s="19">
        <v>0.9</v>
      </c>
      <c r="C880" s="19">
        <f>0.6+0.3</f>
        <v>0.89999999999999991</v>
      </c>
      <c r="D880" s="19">
        <f>B880*C880</f>
        <v>0.80999999999999994</v>
      </c>
      <c r="E880" s="19"/>
      <c r="F880" s="19"/>
      <c r="G880" s="19"/>
      <c r="H880" s="19"/>
      <c r="I880" s="19">
        <f>B880*0.4</f>
        <v>0.36000000000000004</v>
      </c>
      <c r="J880" s="19">
        <v>1</v>
      </c>
      <c r="K880" s="19">
        <f t="shared" ref="K880:L880" si="683">A880</f>
        <v>1</v>
      </c>
      <c r="L880" s="19">
        <f t="shared" si="683"/>
        <v>0.9</v>
      </c>
      <c r="M880" s="19">
        <f>A880</f>
        <v>1</v>
      </c>
      <c r="N880" s="19">
        <f>(1.2*0.4)*2</f>
        <v>0.96</v>
      </c>
      <c r="O880" s="19"/>
      <c r="P880" s="19"/>
      <c r="Q880" s="19"/>
      <c r="R880" s="19"/>
    </row>
    <row r="881" spans="1:18" ht="14.25" customHeight="1" x14ac:dyDescent="0.2">
      <c r="A881" s="19"/>
      <c r="B881" s="19"/>
      <c r="C881" s="19"/>
      <c r="D881" s="26" t="str">
        <f>D874</f>
        <v>16250</v>
      </c>
      <c r="E881" s="45">
        <v>0</v>
      </c>
      <c r="F881" s="45">
        <v>0</v>
      </c>
      <c r="G881" s="45">
        <v>2</v>
      </c>
      <c r="H881" s="19">
        <f>B880*2</f>
        <v>1.8</v>
      </c>
      <c r="I881" s="19"/>
      <c r="J881" s="19"/>
      <c r="K881" s="19"/>
      <c r="L881" s="19"/>
      <c r="M881" s="19"/>
      <c r="N881" s="28"/>
      <c r="O881" s="19"/>
      <c r="P881" s="19"/>
      <c r="Q881" s="19"/>
      <c r="R881" s="19"/>
    </row>
    <row r="882" spans="1:18" ht="14.25" customHeight="1" x14ac:dyDescent="0.2">
      <c r="A882" s="19"/>
      <c r="B882" s="19"/>
      <c r="C882" s="19"/>
      <c r="D882" s="19">
        <f>D880*D881</f>
        <v>13162.499999999998</v>
      </c>
      <c r="E882" s="45">
        <f>E881*E879</f>
        <v>0</v>
      </c>
      <c r="F882" s="45">
        <f t="shared" ref="F882:H882" si="684">F879*F881</f>
        <v>0</v>
      </c>
      <c r="G882" s="45">
        <f t="shared" si="684"/>
        <v>7600</v>
      </c>
      <c r="H882" s="19">
        <f t="shared" si="684"/>
        <v>684</v>
      </c>
      <c r="I882" s="19">
        <f t="shared" ref="I882:N882" si="685">I879*I880</f>
        <v>0</v>
      </c>
      <c r="J882" s="19">
        <f t="shared" si="685"/>
        <v>1000</v>
      </c>
      <c r="K882" s="19">
        <f t="shared" si="685"/>
        <v>375</v>
      </c>
      <c r="L882" s="19">
        <f t="shared" si="685"/>
        <v>526.5</v>
      </c>
      <c r="M882" s="19">
        <f t="shared" si="685"/>
        <v>1000</v>
      </c>
      <c r="N882" s="19">
        <f t="shared" si="685"/>
        <v>3168</v>
      </c>
      <c r="O882" s="19">
        <f>SUM(D882:N882)</f>
        <v>27516</v>
      </c>
      <c r="P882" s="19">
        <f>O882/A880</f>
        <v>27516</v>
      </c>
      <c r="Q882" s="19">
        <f>P882*Q879</f>
        <v>55032</v>
      </c>
      <c r="R882" s="19">
        <f>MROUND(Q882,100)</f>
        <v>55000</v>
      </c>
    </row>
    <row r="883" spans="1:18" ht="14.25" customHeight="1" x14ac:dyDescent="0.1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</row>
    <row r="884" spans="1:18" ht="14.25" customHeight="1" x14ac:dyDescent="0.3">
      <c r="A884" s="109" t="str">
        <f>PRICELIST!I341</f>
        <v>WSTK-LNR-S-MB-900-X</v>
      </c>
      <c r="B884" s="87"/>
      <c r="C884" s="87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7"/>
    </row>
    <row r="885" spans="1:18" ht="14.25" customHeight="1" x14ac:dyDescent="0.15">
      <c r="A885" s="19" t="s">
        <v>57</v>
      </c>
      <c r="B885" s="19" t="s">
        <v>59</v>
      </c>
      <c r="C885" s="19" t="s">
        <v>62</v>
      </c>
      <c r="D885" s="19" t="s">
        <v>64</v>
      </c>
      <c r="E885" s="19">
        <v>1200</v>
      </c>
      <c r="F885" s="19">
        <v>900</v>
      </c>
      <c r="G885" s="19">
        <v>600</v>
      </c>
      <c r="H885" s="19" t="s">
        <v>67</v>
      </c>
      <c r="I885" s="19" t="s">
        <v>68</v>
      </c>
      <c r="J885" s="19" t="s">
        <v>69</v>
      </c>
      <c r="K885" s="19" t="s">
        <v>71</v>
      </c>
      <c r="L885" s="19" t="s">
        <v>72</v>
      </c>
      <c r="M885" s="19" t="s">
        <v>73</v>
      </c>
      <c r="N885" s="19" t="s">
        <v>75</v>
      </c>
      <c r="O885" s="19" t="s">
        <v>76</v>
      </c>
      <c r="P885" s="19" t="s">
        <v>78</v>
      </c>
      <c r="Q885" s="19" t="s">
        <v>79</v>
      </c>
      <c r="R885" s="19" t="s">
        <v>81</v>
      </c>
    </row>
    <row r="886" spans="1:18" ht="14.25" customHeight="1" x14ac:dyDescent="0.15">
      <c r="A886" s="21"/>
      <c r="B886" s="21"/>
      <c r="C886" s="44" t="s">
        <v>188</v>
      </c>
      <c r="D886" s="21"/>
      <c r="E886" s="23" t="str">
        <f t="shared" ref="E886:G886" si="686">E879</f>
        <v>4200</v>
      </c>
      <c r="F886" s="23" t="str">
        <f t="shared" si="686"/>
        <v>4000</v>
      </c>
      <c r="G886" s="23" t="str">
        <f t="shared" si="686"/>
        <v>3800</v>
      </c>
      <c r="H886" s="21">
        <v>380</v>
      </c>
      <c r="I886" s="23" t="str">
        <f>I865</f>
        <v>4800</v>
      </c>
      <c r="J886" s="23" t="str">
        <f>J879</f>
        <v>1000</v>
      </c>
      <c r="K886" s="21">
        <v>375</v>
      </c>
      <c r="L886" s="21">
        <v>585</v>
      </c>
      <c r="M886" s="23" t="str">
        <f>M879</f>
        <v>1000</v>
      </c>
      <c r="N886" s="21">
        <v>3300</v>
      </c>
      <c r="O886" s="21"/>
      <c r="P886" s="21"/>
      <c r="Q886" s="23">
        <f>Q879</f>
        <v>2</v>
      </c>
      <c r="R886" s="21"/>
    </row>
    <row r="887" spans="1:18" ht="14.25" customHeight="1" x14ac:dyDescent="0.15">
      <c r="A887" s="19">
        <v>1</v>
      </c>
      <c r="B887" s="19">
        <v>1.2</v>
      </c>
      <c r="C887" s="19">
        <f>0.6+0.3</f>
        <v>0.89999999999999991</v>
      </c>
      <c r="D887" s="19">
        <f>B887*C887</f>
        <v>1.0799999999999998</v>
      </c>
      <c r="E887" s="19"/>
      <c r="F887" s="19"/>
      <c r="G887" s="19"/>
      <c r="H887" s="19"/>
      <c r="I887" s="19">
        <f>B887*0.4</f>
        <v>0.48</v>
      </c>
      <c r="J887" s="19">
        <v>1</v>
      </c>
      <c r="K887" s="19">
        <f t="shared" ref="K887:L887" si="687">A887</f>
        <v>1</v>
      </c>
      <c r="L887" s="19">
        <f t="shared" si="687"/>
        <v>1.2</v>
      </c>
      <c r="M887" s="19">
        <f>A887</f>
        <v>1</v>
      </c>
      <c r="N887" s="19">
        <f>(1.2*0.4)*2</f>
        <v>0.96</v>
      </c>
      <c r="O887" s="19"/>
      <c r="P887" s="19"/>
      <c r="Q887" s="19"/>
      <c r="R887" s="19"/>
    </row>
    <row r="888" spans="1:18" ht="14.25" customHeight="1" x14ac:dyDescent="0.2">
      <c r="A888" s="19"/>
      <c r="B888" s="19"/>
      <c r="C888" s="19"/>
      <c r="D888" s="26" t="str">
        <f>D762</f>
        <v>2200</v>
      </c>
      <c r="E888" s="45">
        <v>0</v>
      </c>
      <c r="F888" s="45">
        <v>0</v>
      </c>
      <c r="G888" s="45">
        <v>2</v>
      </c>
      <c r="H888" s="19">
        <f>B887*2</f>
        <v>2.4</v>
      </c>
      <c r="I888" s="19"/>
      <c r="J888" s="19"/>
      <c r="K888" s="19"/>
      <c r="L888" s="19"/>
      <c r="M888" s="19"/>
      <c r="N888" s="28"/>
      <c r="O888" s="19"/>
      <c r="P888" s="19"/>
      <c r="Q888" s="19"/>
      <c r="R888" s="19"/>
    </row>
    <row r="889" spans="1:18" ht="14.25" customHeight="1" x14ac:dyDescent="0.2">
      <c r="A889" s="19"/>
      <c r="B889" s="19"/>
      <c r="C889" s="19"/>
      <c r="D889" s="19">
        <f>D887*D888</f>
        <v>2375.9999999999995</v>
      </c>
      <c r="E889" s="45">
        <f>E888*E886</f>
        <v>0</v>
      </c>
      <c r="F889" s="45">
        <f t="shared" ref="F889:H889" si="688">F886*F888</f>
        <v>0</v>
      </c>
      <c r="G889" s="45">
        <f t="shared" si="688"/>
        <v>7600</v>
      </c>
      <c r="H889" s="19">
        <f t="shared" si="688"/>
        <v>912</v>
      </c>
      <c r="I889" s="19">
        <f t="shared" ref="I889:N889" si="689">I886*I887</f>
        <v>2304</v>
      </c>
      <c r="J889" s="19">
        <f t="shared" si="689"/>
        <v>1000</v>
      </c>
      <c r="K889" s="19">
        <f t="shared" si="689"/>
        <v>375</v>
      </c>
      <c r="L889" s="19">
        <f t="shared" si="689"/>
        <v>702</v>
      </c>
      <c r="M889" s="19">
        <f t="shared" si="689"/>
        <v>1000</v>
      </c>
      <c r="N889" s="19">
        <f t="shared" si="689"/>
        <v>3168</v>
      </c>
      <c r="O889" s="19">
        <f>SUM(D889:N889)</f>
        <v>19437</v>
      </c>
      <c r="P889" s="19">
        <f>O889/A887</f>
        <v>19437</v>
      </c>
      <c r="Q889" s="19">
        <f>P889*Q886</f>
        <v>38874</v>
      </c>
      <c r="R889" s="19">
        <f>MROUND(Q889,100)</f>
        <v>38900</v>
      </c>
    </row>
    <row r="890" spans="1:18" ht="14.25" customHeight="1" x14ac:dyDescent="0.1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</row>
    <row r="891" spans="1:18" ht="14.25" customHeight="1" x14ac:dyDescent="0.3">
      <c r="A891" s="109" t="str">
        <f>PRICELIST!I342</f>
        <v>WSTK-LNR-S-PB-1200-F</v>
      </c>
      <c r="B891" s="87"/>
      <c r="C891" s="87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7"/>
    </row>
    <row r="892" spans="1:18" ht="14.25" customHeight="1" x14ac:dyDescent="0.15">
      <c r="A892" s="19" t="s">
        <v>57</v>
      </c>
      <c r="B892" s="19" t="s">
        <v>59</v>
      </c>
      <c r="C892" s="19" t="s">
        <v>62</v>
      </c>
      <c r="D892" s="19" t="s">
        <v>64</v>
      </c>
      <c r="E892" s="19">
        <v>1200</v>
      </c>
      <c r="F892" s="19">
        <v>900</v>
      </c>
      <c r="G892" s="19">
        <v>600</v>
      </c>
      <c r="H892" s="19" t="s">
        <v>67</v>
      </c>
      <c r="I892" s="19" t="s">
        <v>68</v>
      </c>
      <c r="J892" s="19" t="s">
        <v>69</v>
      </c>
      <c r="K892" s="19" t="s">
        <v>71</v>
      </c>
      <c r="L892" s="19" t="s">
        <v>72</v>
      </c>
      <c r="M892" s="19" t="s">
        <v>73</v>
      </c>
      <c r="N892" s="19" t="s">
        <v>75</v>
      </c>
      <c r="O892" s="19" t="s">
        <v>76</v>
      </c>
      <c r="P892" s="19" t="s">
        <v>78</v>
      </c>
      <c r="Q892" s="19" t="s">
        <v>79</v>
      </c>
      <c r="R892" s="19" t="s">
        <v>81</v>
      </c>
    </row>
    <row r="893" spans="1:18" ht="14.25" customHeight="1" x14ac:dyDescent="0.15">
      <c r="A893" s="21"/>
      <c r="B893" s="21"/>
      <c r="C893" s="44" t="s">
        <v>188</v>
      </c>
      <c r="D893" s="21"/>
      <c r="E893" s="23" t="str">
        <f t="shared" ref="E893:H893" si="690">E886</f>
        <v>4200</v>
      </c>
      <c r="F893" s="23" t="str">
        <f t="shared" si="690"/>
        <v>4000</v>
      </c>
      <c r="G893" s="23" t="str">
        <f t="shared" si="690"/>
        <v>3800</v>
      </c>
      <c r="H893" s="23">
        <f t="shared" si="690"/>
        <v>380</v>
      </c>
      <c r="I893" s="23" t="str">
        <f>I872</f>
        <v>5500</v>
      </c>
      <c r="J893" s="23" t="str">
        <f t="shared" ref="J893:R893" si="691">J886</f>
        <v>1000</v>
      </c>
      <c r="K893" s="23">
        <f t="shared" si="691"/>
        <v>375</v>
      </c>
      <c r="L893" s="23">
        <f t="shared" si="691"/>
        <v>585</v>
      </c>
      <c r="M893" s="23" t="str">
        <f t="shared" si="691"/>
        <v>1000</v>
      </c>
      <c r="N893" s="23">
        <f t="shared" si="691"/>
        <v>3300</v>
      </c>
      <c r="O893" s="23">
        <f t="shared" si="691"/>
        <v>0</v>
      </c>
      <c r="P893" s="23">
        <f t="shared" si="691"/>
        <v>0</v>
      </c>
      <c r="Q893" s="23">
        <f t="shared" si="691"/>
        <v>2</v>
      </c>
      <c r="R893" s="23">
        <f t="shared" si="691"/>
        <v>0</v>
      </c>
    </row>
    <row r="894" spans="1:18" ht="14.25" customHeight="1" x14ac:dyDescent="0.15">
      <c r="A894" s="19">
        <v>1</v>
      </c>
      <c r="B894" s="19">
        <v>1.2</v>
      </c>
      <c r="C894" s="19">
        <f>0.6+0.3</f>
        <v>0.89999999999999991</v>
      </c>
      <c r="D894" s="19">
        <f>B894*C894</f>
        <v>1.0799999999999998</v>
      </c>
      <c r="E894" s="19"/>
      <c r="F894" s="19"/>
      <c r="G894" s="19"/>
      <c r="H894" s="19"/>
      <c r="I894" s="19">
        <f>B894*0.4</f>
        <v>0.48</v>
      </c>
      <c r="J894" s="19">
        <v>1</v>
      </c>
      <c r="K894" s="19">
        <f t="shared" ref="K894:L894" si="692">A894</f>
        <v>1</v>
      </c>
      <c r="L894" s="19">
        <f t="shared" si="692"/>
        <v>1.2</v>
      </c>
      <c r="M894" s="19">
        <f>A894</f>
        <v>1</v>
      </c>
      <c r="N894" s="19">
        <f>(1.2*0.4)*2</f>
        <v>0.96</v>
      </c>
      <c r="O894" s="19"/>
      <c r="P894" s="19"/>
      <c r="Q894" s="19"/>
      <c r="R894" s="19"/>
    </row>
    <row r="895" spans="1:18" ht="14.25" customHeight="1" x14ac:dyDescent="0.2">
      <c r="A895" s="19"/>
      <c r="B895" s="19"/>
      <c r="C895" s="19"/>
      <c r="D895" s="26" t="str">
        <f>D888</f>
        <v>2200</v>
      </c>
      <c r="E895" s="45">
        <v>0</v>
      </c>
      <c r="F895" s="45">
        <v>0</v>
      </c>
      <c r="G895" s="45">
        <v>2</v>
      </c>
      <c r="H895" s="19">
        <f>B894*2</f>
        <v>2.4</v>
      </c>
      <c r="I895" s="19"/>
      <c r="J895" s="19"/>
      <c r="K895" s="19"/>
      <c r="L895" s="19"/>
      <c r="M895" s="19"/>
      <c r="N895" s="28"/>
      <c r="O895" s="19"/>
      <c r="P895" s="19"/>
      <c r="Q895" s="19"/>
      <c r="R895" s="19"/>
    </row>
    <row r="896" spans="1:18" ht="14.25" customHeight="1" x14ac:dyDescent="0.2">
      <c r="A896" s="19"/>
      <c r="B896" s="19"/>
      <c r="C896" s="19"/>
      <c r="D896" s="19">
        <f>D894*D895</f>
        <v>2375.9999999999995</v>
      </c>
      <c r="E896" s="45">
        <f>E895*E893</f>
        <v>0</v>
      </c>
      <c r="F896" s="45">
        <f t="shared" ref="F896:H896" si="693">F893*F895</f>
        <v>0</v>
      </c>
      <c r="G896" s="45">
        <f t="shared" si="693"/>
        <v>7600</v>
      </c>
      <c r="H896" s="19">
        <f t="shared" si="693"/>
        <v>912</v>
      </c>
      <c r="I896" s="19">
        <f t="shared" ref="I896:N896" si="694">I893*I894</f>
        <v>2640</v>
      </c>
      <c r="J896" s="19">
        <f t="shared" si="694"/>
        <v>1000</v>
      </c>
      <c r="K896" s="19">
        <f t="shared" si="694"/>
        <v>375</v>
      </c>
      <c r="L896" s="19">
        <f t="shared" si="694"/>
        <v>702</v>
      </c>
      <c r="M896" s="19">
        <f t="shared" si="694"/>
        <v>1000</v>
      </c>
      <c r="N896" s="19">
        <f t="shared" si="694"/>
        <v>3168</v>
      </c>
      <c r="O896" s="19">
        <f>SUM(D896:N896)</f>
        <v>19773</v>
      </c>
      <c r="P896" s="19">
        <f>O896/A894</f>
        <v>19773</v>
      </c>
      <c r="Q896" s="19">
        <f>P896*Q893</f>
        <v>39546</v>
      </c>
      <c r="R896" s="19">
        <f>MROUND(Q896,100)</f>
        <v>39500</v>
      </c>
    </row>
    <row r="897" spans="1:18" ht="14.25" customHeight="1" x14ac:dyDescent="0.1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</row>
    <row r="898" spans="1:18" ht="14.25" customHeight="1" x14ac:dyDescent="0.3">
      <c r="A898" s="109" t="str">
        <f>PRICELIST!I343</f>
        <v>WSTK-LNR-S-PB-1200-G</v>
      </c>
      <c r="B898" s="87"/>
      <c r="C898" s="87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7"/>
    </row>
    <row r="899" spans="1:18" ht="14.25" customHeight="1" x14ac:dyDescent="0.15">
      <c r="A899" s="19" t="s">
        <v>57</v>
      </c>
      <c r="B899" s="19" t="s">
        <v>59</v>
      </c>
      <c r="C899" s="19" t="s">
        <v>62</v>
      </c>
      <c r="D899" s="19" t="s">
        <v>64</v>
      </c>
      <c r="E899" s="19">
        <v>1200</v>
      </c>
      <c r="F899" s="19">
        <v>900</v>
      </c>
      <c r="G899" s="19">
        <v>600</v>
      </c>
      <c r="H899" s="19" t="s">
        <v>67</v>
      </c>
      <c r="I899" s="19" t="s">
        <v>68</v>
      </c>
      <c r="J899" s="19" t="s">
        <v>69</v>
      </c>
      <c r="K899" s="19" t="s">
        <v>71</v>
      </c>
      <c r="L899" s="19" t="s">
        <v>72</v>
      </c>
      <c r="M899" s="19" t="s">
        <v>73</v>
      </c>
      <c r="N899" s="19" t="s">
        <v>75</v>
      </c>
      <c r="O899" s="19" t="s">
        <v>76</v>
      </c>
      <c r="P899" s="19" t="s">
        <v>78</v>
      </c>
      <c r="Q899" s="19" t="s">
        <v>79</v>
      </c>
      <c r="R899" s="19" t="s">
        <v>81</v>
      </c>
    </row>
    <row r="900" spans="1:18" ht="14.25" customHeight="1" x14ac:dyDescent="0.15">
      <c r="A900" s="21">
        <f t="shared" ref="A900:B900" si="695">A893</f>
        <v>0</v>
      </c>
      <c r="B900" s="21">
        <f t="shared" si="695"/>
        <v>0</v>
      </c>
      <c r="C900" s="44" t="s">
        <v>188</v>
      </c>
      <c r="D900" s="21">
        <f t="shared" ref="D900:H900" si="696">D893</f>
        <v>0</v>
      </c>
      <c r="E900" s="23" t="str">
        <f t="shared" si="696"/>
        <v>4200</v>
      </c>
      <c r="F900" s="23" t="str">
        <f t="shared" si="696"/>
        <v>4000</v>
      </c>
      <c r="G900" s="23" t="str">
        <f t="shared" si="696"/>
        <v>3800</v>
      </c>
      <c r="H900" s="23">
        <f t="shared" si="696"/>
        <v>380</v>
      </c>
      <c r="I900" s="23" t="str">
        <f>I879</f>
        <v>0</v>
      </c>
      <c r="J900" s="23" t="str">
        <f t="shared" ref="J900:Q900" si="697">J893</f>
        <v>1000</v>
      </c>
      <c r="K900" s="23">
        <f t="shared" si="697"/>
        <v>375</v>
      </c>
      <c r="L900" s="23">
        <f t="shared" si="697"/>
        <v>585</v>
      </c>
      <c r="M900" s="23" t="str">
        <f t="shared" si="697"/>
        <v>1000</v>
      </c>
      <c r="N900" s="23">
        <f t="shared" si="697"/>
        <v>3300</v>
      </c>
      <c r="O900" s="23">
        <f t="shared" si="697"/>
        <v>0</v>
      </c>
      <c r="P900" s="23">
        <f t="shared" si="697"/>
        <v>0</v>
      </c>
      <c r="Q900" s="23">
        <f t="shared" si="697"/>
        <v>2</v>
      </c>
      <c r="R900" s="21"/>
    </row>
    <row r="901" spans="1:18" ht="14.25" customHeight="1" x14ac:dyDescent="0.15">
      <c r="A901" s="19">
        <v>1</v>
      </c>
      <c r="B901" s="19">
        <v>1.2</v>
      </c>
      <c r="C901" s="19">
        <f>0.6+0.3</f>
        <v>0.89999999999999991</v>
      </c>
      <c r="D901" s="19">
        <f>B901*C901</f>
        <v>1.0799999999999998</v>
      </c>
      <c r="E901" s="19"/>
      <c r="F901" s="19"/>
      <c r="G901" s="19"/>
      <c r="H901" s="19"/>
      <c r="I901" s="19">
        <f>B901*0.4</f>
        <v>0.48</v>
      </c>
      <c r="J901" s="19">
        <v>1</v>
      </c>
      <c r="K901" s="19">
        <f t="shared" ref="K901:L901" si="698">A901</f>
        <v>1</v>
      </c>
      <c r="L901" s="19">
        <f t="shared" si="698"/>
        <v>1.2</v>
      </c>
      <c r="M901" s="19">
        <f>A901</f>
        <v>1</v>
      </c>
      <c r="N901" s="19">
        <f>(1.2*0.4)*2</f>
        <v>0.96</v>
      </c>
      <c r="O901" s="19"/>
      <c r="P901" s="19"/>
      <c r="Q901" s="19"/>
      <c r="R901" s="19"/>
    </row>
    <row r="902" spans="1:18" ht="14.25" customHeight="1" x14ac:dyDescent="0.2">
      <c r="A902" s="19"/>
      <c r="B902" s="19"/>
      <c r="C902" s="19"/>
      <c r="D902" s="26" t="str">
        <f>D895</f>
        <v>2200</v>
      </c>
      <c r="E902" s="45">
        <v>0</v>
      </c>
      <c r="F902" s="45">
        <v>0</v>
      </c>
      <c r="G902" s="45">
        <v>2</v>
      </c>
      <c r="H902" s="19">
        <f>B901*2</f>
        <v>2.4</v>
      </c>
      <c r="I902" s="19"/>
      <c r="J902" s="19"/>
      <c r="K902" s="19"/>
      <c r="L902" s="19"/>
      <c r="M902" s="19"/>
      <c r="N902" s="28"/>
      <c r="O902" s="19"/>
      <c r="P902" s="19"/>
      <c r="Q902" s="19"/>
      <c r="R902" s="19"/>
    </row>
    <row r="903" spans="1:18" ht="14.25" customHeight="1" x14ac:dyDescent="0.2">
      <c r="A903" s="19"/>
      <c r="B903" s="19"/>
      <c r="C903" s="19"/>
      <c r="D903" s="19">
        <f>D901*D902</f>
        <v>2375.9999999999995</v>
      </c>
      <c r="E903" s="45">
        <f>E902*E900</f>
        <v>0</v>
      </c>
      <c r="F903" s="45">
        <f t="shared" ref="F903:H903" si="699">F900*F902</f>
        <v>0</v>
      </c>
      <c r="G903" s="45">
        <f t="shared" si="699"/>
        <v>7600</v>
      </c>
      <c r="H903" s="19">
        <f t="shared" si="699"/>
        <v>912</v>
      </c>
      <c r="I903" s="19">
        <f t="shared" ref="I903:N903" si="700">I900*I901</f>
        <v>0</v>
      </c>
      <c r="J903" s="19">
        <f t="shared" si="700"/>
        <v>1000</v>
      </c>
      <c r="K903" s="19">
        <f t="shared" si="700"/>
        <v>375</v>
      </c>
      <c r="L903" s="19">
        <f t="shared" si="700"/>
        <v>702</v>
      </c>
      <c r="M903" s="19">
        <f t="shared" si="700"/>
        <v>1000</v>
      </c>
      <c r="N903" s="19">
        <f t="shared" si="700"/>
        <v>3168</v>
      </c>
      <c r="O903" s="19">
        <f>SUM(D903:N903)</f>
        <v>17133</v>
      </c>
      <c r="P903" s="19">
        <f>O903/A901</f>
        <v>17133</v>
      </c>
      <c r="Q903" s="19">
        <f>P903*Q900</f>
        <v>34266</v>
      </c>
      <c r="R903" s="19">
        <f>MROUND(Q903,100)</f>
        <v>34300</v>
      </c>
    </row>
    <row r="904" spans="1:18" ht="14.25" customHeight="1" x14ac:dyDescent="0.1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</row>
    <row r="905" spans="1:18" ht="14.25" customHeight="1" x14ac:dyDescent="0.3">
      <c r="A905" s="109" t="str">
        <f>PRICELIST!I344</f>
        <v>WSTK-LNR-S-PB-1200-X</v>
      </c>
      <c r="B905" s="87"/>
      <c r="C905" s="87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7"/>
    </row>
    <row r="906" spans="1:18" ht="14.25" customHeight="1" x14ac:dyDescent="0.15">
      <c r="A906" s="19" t="s">
        <v>57</v>
      </c>
      <c r="B906" s="19" t="s">
        <v>59</v>
      </c>
      <c r="C906" s="19" t="s">
        <v>62</v>
      </c>
      <c r="D906" s="19" t="s">
        <v>64</v>
      </c>
      <c r="E906" s="19">
        <v>1200</v>
      </c>
      <c r="F906" s="19">
        <v>900</v>
      </c>
      <c r="G906" s="19">
        <v>600</v>
      </c>
      <c r="H906" s="19" t="s">
        <v>67</v>
      </c>
      <c r="I906" s="19" t="s">
        <v>68</v>
      </c>
      <c r="J906" s="19" t="s">
        <v>69</v>
      </c>
      <c r="K906" s="19" t="s">
        <v>71</v>
      </c>
      <c r="L906" s="19" t="s">
        <v>72</v>
      </c>
      <c r="M906" s="19" t="s">
        <v>73</v>
      </c>
      <c r="N906" s="19" t="s">
        <v>75</v>
      </c>
      <c r="O906" s="19" t="s">
        <v>76</v>
      </c>
      <c r="P906" s="19" t="s">
        <v>78</v>
      </c>
      <c r="Q906" s="19" t="s">
        <v>79</v>
      </c>
      <c r="R906" s="19" t="s">
        <v>81</v>
      </c>
    </row>
    <row r="907" spans="1:18" ht="14.25" customHeight="1" x14ac:dyDescent="0.15">
      <c r="A907" s="21">
        <f t="shared" ref="A907:B907" si="701">A900</f>
        <v>0</v>
      </c>
      <c r="B907" s="21">
        <f t="shared" si="701"/>
        <v>0</v>
      </c>
      <c r="C907" s="44" t="s">
        <v>188</v>
      </c>
      <c r="D907" s="21">
        <f t="shared" ref="D907:H907" si="702">D900</f>
        <v>0</v>
      </c>
      <c r="E907" s="23" t="str">
        <f t="shared" si="702"/>
        <v>4200</v>
      </c>
      <c r="F907" s="23" t="str">
        <f t="shared" si="702"/>
        <v>4000</v>
      </c>
      <c r="G907" s="23" t="str">
        <f t="shared" si="702"/>
        <v>3800</v>
      </c>
      <c r="H907" s="23">
        <f t="shared" si="702"/>
        <v>380</v>
      </c>
      <c r="I907" s="23" t="str">
        <f>I886</f>
        <v>4800</v>
      </c>
      <c r="J907" s="23" t="str">
        <f t="shared" ref="J907:Q907" si="703">J900</f>
        <v>1000</v>
      </c>
      <c r="K907" s="23">
        <f t="shared" si="703"/>
        <v>375</v>
      </c>
      <c r="L907" s="23">
        <f t="shared" si="703"/>
        <v>585</v>
      </c>
      <c r="M907" s="23" t="str">
        <f t="shared" si="703"/>
        <v>1000</v>
      </c>
      <c r="N907" s="23">
        <f t="shared" si="703"/>
        <v>3300</v>
      </c>
      <c r="O907" s="23">
        <f t="shared" si="703"/>
        <v>0</v>
      </c>
      <c r="P907" s="23">
        <f t="shared" si="703"/>
        <v>0</v>
      </c>
      <c r="Q907" s="23">
        <f t="shared" si="703"/>
        <v>2</v>
      </c>
      <c r="R907" s="21"/>
    </row>
    <row r="908" spans="1:18" ht="14.25" customHeight="1" x14ac:dyDescent="0.15">
      <c r="A908" s="19">
        <v>1</v>
      </c>
      <c r="B908" s="19">
        <v>1.2</v>
      </c>
      <c r="C908" s="19">
        <f>0.6+0.3</f>
        <v>0.89999999999999991</v>
      </c>
      <c r="D908" s="19">
        <f>B908*C908</f>
        <v>1.0799999999999998</v>
      </c>
      <c r="E908" s="19"/>
      <c r="F908" s="19"/>
      <c r="G908" s="19"/>
      <c r="H908" s="19"/>
      <c r="I908" s="19">
        <f>B908*0.4</f>
        <v>0.48</v>
      </c>
      <c r="J908" s="19">
        <v>1</v>
      </c>
      <c r="K908" s="19">
        <f t="shared" ref="K908:L908" si="704">A908</f>
        <v>1</v>
      </c>
      <c r="L908" s="19">
        <f t="shared" si="704"/>
        <v>1.2</v>
      </c>
      <c r="M908" s="19">
        <f>A908</f>
        <v>1</v>
      </c>
      <c r="N908" s="19">
        <f>(1.2*0.4)*2</f>
        <v>0.96</v>
      </c>
      <c r="O908" s="19"/>
      <c r="P908" s="19"/>
      <c r="Q908" s="19"/>
      <c r="R908" s="19"/>
    </row>
    <row r="909" spans="1:18" ht="14.25" customHeight="1" x14ac:dyDescent="0.2">
      <c r="A909" s="19"/>
      <c r="B909" s="19"/>
      <c r="C909" s="19"/>
      <c r="D909" s="26" t="str">
        <f>D797</f>
        <v>3000</v>
      </c>
      <c r="E909" s="45">
        <v>0</v>
      </c>
      <c r="F909" s="45">
        <v>0</v>
      </c>
      <c r="G909" s="45">
        <v>2</v>
      </c>
      <c r="H909" s="19">
        <f>B908*2</f>
        <v>2.4</v>
      </c>
      <c r="I909" s="19"/>
      <c r="J909" s="19"/>
      <c r="K909" s="19"/>
      <c r="L909" s="19"/>
      <c r="M909" s="19"/>
      <c r="N909" s="28"/>
      <c r="O909" s="19"/>
      <c r="P909" s="19"/>
      <c r="Q909" s="19"/>
      <c r="R909" s="19"/>
    </row>
    <row r="910" spans="1:18" ht="14.25" customHeight="1" x14ac:dyDescent="0.2">
      <c r="A910" s="19"/>
      <c r="B910" s="19"/>
      <c r="C910" s="19"/>
      <c r="D910" s="19">
        <f>D908*D909</f>
        <v>3239.9999999999995</v>
      </c>
      <c r="E910" s="45">
        <f>E909*E907</f>
        <v>0</v>
      </c>
      <c r="F910" s="45">
        <f t="shared" ref="F910:H910" si="705">F907*F909</f>
        <v>0</v>
      </c>
      <c r="G910" s="45">
        <f t="shared" si="705"/>
        <v>7600</v>
      </c>
      <c r="H910" s="19">
        <f t="shared" si="705"/>
        <v>912</v>
      </c>
      <c r="I910" s="19">
        <f t="shared" ref="I910:N910" si="706">I907*I908</f>
        <v>2304</v>
      </c>
      <c r="J910" s="19">
        <f t="shared" si="706"/>
        <v>1000</v>
      </c>
      <c r="K910" s="19">
        <f t="shared" si="706"/>
        <v>375</v>
      </c>
      <c r="L910" s="19">
        <f t="shared" si="706"/>
        <v>702</v>
      </c>
      <c r="M910" s="19">
        <f t="shared" si="706"/>
        <v>1000</v>
      </c>
      <c r="N910" s="19">
        <f t="shared" si="706"/>
        <v>3168</v>
      </c>
      <c r="O910" s="19">
        <f>SUM(D910:N910)</f>
        <v>20301</v>
      </c>
      <c r="P910" s="19">
        <f>O910/A908</f>
        <v>20301</v>
      </c>
      <c r="Q910" s="19">
        <f>P910*Q907</f>
        <v>40602</v>
      </c>
      <c r="R910" s="19">
        <f>MROUND(Q910,100)</f>
        <v>40600</v>
      </c>
    </row>
    <row r="911" spans="1:18" ht="14.25" customHeight="1" x14ac:dyDescent="0.1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</row>
    <row r="912" spans="1:18" ht="14.25" customHeight="1" x14ac:dyDescent="0.3">
      <c r="A912" s="109" t="str">
        <f>PRICELIST!I345</f>
        <v>WSTK-LNR-S-PLM-1200-F</v>
      </c>
      <c r="B912" s="87"/>
      <c r="C912" s="87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7"/>
    </row>
    <row r="913" spans="1:18" ht="14.25" customHeight="1" x14ac:dyDescent="0.15">
      <c r="A913" s="19" t="s">
        <v>57</v>
      </c>
      <c r="B913" s="19" t="s">
        <v>59</v>
      </c>
      <c r="C913" s="19" t="s">
        <v>62</v>
      </c>
      <c r="D913" s="19" t="s">
        <v>64</v>
      </c>
      <c r="E913" s="19">
        <v>1200</v>
      </c>
      <c r="F913" s="19">
        <v>900</v>
      </c>
      <c r="G913" s="19">
        <v>600</v>
      </c>
      <c r="H913" s="19" t="s">
        <v>67</v>
      </c>
      <c r="I913" s="19" t="s">
        <v>68</v>
      </c>
      <c r="J913" s="19" t="s">
        <v>69</v>
      </c>
      <c r="K913" s="19" t="s">
        <v>71</v>
      </c>
      <c r="L913" s="19" t="s">
        <v>72</v>
      </c>
      <c r="M913" s="19" t="s">
        <v>73</v>
      </c>
      <c r="N913" s="19" t="s">
        <v>75</v>
      </c>
      <c r="O913" s="19" t="s">
        <v>76</v>
      </c>
      <c r="P913" s="19" t="s">
        <v>78</v>
      </c>
      <c r="Q913" s="19" t="s">
        <v>79</v>
      </c>
      <c r="R913" s="19" t="s">
        <v>81</v>
      </c>
    </row>
    <row r="914" spans="1:18" ht="14.25" customHeight="1" x14ac:dyDescent="0.15">
      <c r="A914" s="21">
        <f t="shared" ref="A914:B914" si="707">A907</f>
        <v>0</v>
      </c>
      <c r="B914" s="21">
        <f t="shared" si="707"/>
        <v>0</v>
      </c>
      <c r="C914" s="44" t="s">
        <v>188</v>
      </c>
      <c r="D914" s="21">
        <f t="shared" ref="D914:H914" si="708">D907</f>
        <v>0</v>
      </c>
      <c r="E914" s="23" t="str">
        <f t="shared" si="708"/>
        <v>4200</v>
      </c>
      <c r="F914" s="23" t="str">
        <f t="shared" si="708"/>
        <v>4000</v>
      </c>
      <c r="G914" s="23" t="str">
        <f t="shared" si="708"/>
        <v>3800</v>
      </c>
      <c r="H914" s="23">
        <f t="shared" si="708"/>
        <v>380</v>
      </c>
      <c r="I914" s="23" t="str">
        <f>I893</f>
        <v>5500</v>
      </c>
      <c r="J914" s="23" t="str">
        <f t="shared" ref="J914:Q914" si="709">J907</f>
        <v>1000</v>
      </c>
      <c r="K914" s="23">
        <f t="shared" si="709"/>
        <v>375</v>
      </c>
      <c r="L914" s="23">
        <f t="shared" si="709"/>
        <v>585</v>
      </c>
      <c r="M914" s="23" t="str">
        <f t="shared" si="709"/>
        <v>1000</v>
      </c>
      <c r="N914" s="23">
        <f t="shared" si="709"/>
        <v>3300</v>
      </c>
      <c r="O914" s="23">
        <f t="shared" si="709"/>
        <v>0</v>
      </c>
      <c r="P914" s="23">
        <f t="shared" si="709"/>
        <v>0</v>
      </c>
      <c r="Q914" s="23">
        <f t="shared" si="709"/>
        <v>2</v>
      </c>
      <c r="R914" s="21"/>
    </row>
    <row r="915" spans="1:18" ht="14.25" customHeight="1" x14ac:dyDescent="0.15">
      <c r="A915" s="19">
        <v>1</v>
      </c>
      <c r="B915" s="19">
        <v>1.2</v>
      </c>
      <c r="C915" s="19">
        <f>0.6+0.3</f>
        <v>0.89999999999999991</v>
      </c>
      <c r="D915" s="19">
        <f>B915*C915</f>
        <v>1.0799999999999998</v>
      </c>
      <c r="E915" s="19"/>
      <c r="F915" s="19"/>
      <c r="G915" s="19"/>
      <c r="H915" s="19"/>
      <c r="I915" s="19">
        <f>B915*0.4</f>
        <v>0.48</v>
      </c>
      <c r="J915" s="19">
        <v>1</v>
      </c>
      <c r="K915" s="19">
        <f t="shared" ref="K915:L915" si="710">A915</f>
        <v>1</v>
      </c>
      <c r="L915" s="19">
        <f t="shared" si="710"/>
        <v>1.2</v>
      </c>
      <c r="M915" s="19">
        <f>A915</f>
        <v>1</v>
      </c>
      <c r="N915" s="19">
        <f>(1.2*0.4)*2</f>
        <v>0.96</v>
      </c>
      <c r="O915" s="19"/>
      <c r="P915" s="19"/>
      <c r="Q915" s="19"/>
      <c r="R915" s="19"/>
    </row>
    <row r="916" spans="1:18" ht="14.25" customHeight="1" x14ac:dyDescent="0.2">
      <c r="A916" s="19"/>
      <c r="B916" s="19"/>
      <c r="C916" s="19"/>
      <c r="D916" s="26" t="str">
        <f>D909</f>
        <v>3000</v>
      </c>
      <c r="E916" s="45">
        <v>0</v>
      </c>
      <c r="F916" s="45">
        <v>0</v>
      </c>
      <c r="G916" s="45">
        <v>2</v>
      </c>
      <c r="H916" s="19">
        <f>B915*2</f>
        <v>2.4</v>
      </c>
      <c r="I916" s="19"/>
      <c r="J916" s="19"/>
      <c r="K916" s="19"/>
      <c r="L916" s="19"/>
      <c r="M916" s="19"/>
      <c r="N916" s="28"/>
      <c r="O916" s="19"/>
      <c r="P916" s="19"/>
      <c r="Q916" s="19"/>
      <c r="R916" s="19"/>
    </row>
    <row r="917" spans="1:18" ht="14.25" customHeight="1" x14ac:dyDescent="0.2">
      <c r="A917" s="19"/>
      <c r="B917" s="19"/>
      <c r="C917" s="19"/>
      <c r="D917" s="19">
        <f>D915*D916</f>
        <v>3239.9999999999995</v>
      </c>
      <c r="E917" s="45">
        <f>E916*E914</f>
        <v>0</v>
      </c>
      <c r="F917" s="45">
        <f t="shared" ref="F917:H917" si="711">F914*F916</f>
        <v>0</v>
      </c>
      <c r="G917" s="45">
        <f t="shared" si="711"/>
        <v>7600</v>
      </c>
      <c r="H917" s="19">
        <f t="shared" si="711"/>
        <v>912</v>
      </c>
      <c r="I917" s="19">
        <f t="shared" ref="I917:N917" si="712">I914*I915</f>
        <v>2640</v>
      </c>
      <c r="J917" s="19">
        <f t="shared" si="712"/>
        <v>1000</v>
      </c>
      <c r="K917" s="19">
        <f t="shared" si="712"/>
        <v>375</v>
      </c>
      <c r="L917" s="19">
        <f t="shared" si="712"/>
        <v>702</v>
      </c>
      <c r="M917" s="19">
        <f t="shared" si="712"/>
        <v>1000</v>
      </c>
      <c r="N917" s="19">
        <f t="shared" si="712"/>
        <v>3168</v>
      </c>
      <c r="O917" s="19">
        <f>SUM(D917:N917)</f>
        <v>20637</v>
      </c>
      <c r="P917" s="19">
        <f>O917/A915</f>
        <v>20637</v>
      </c>
      <c r="Q917" s="19">
        <f>P917*Q914</f>
        <v>41274</v>
      </c>
      <c r="R917" s="19">
        <f>MROUND(Q917,100)</f>
        <v>41300</v>
      </c>
    </row>
    <row r="918" spans="1:18" ht="14.25" customHeight="1" x14ac:dyDescent="0.1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</row>
    <row r="919" spans="1:18" ht="14.25" customHeight="1" x14ac:dyDescent="0.3">
      <c r="A919" s="109" t="str">
        <f>PRICELIST!I346</f>
        <v>WSTK-LNR-S-PLM-1200-G</v>
      </c>
      <c r="B919" s="87"/>
      <c r="C919" s="87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7"/>
    </row>
    <row r="920" spans="1:18" ht="14.25" customHeight="1" x14ac:dyDescent="0.15">
      <c r="A920" s="19" t="s">
        <v>57</v>
      </c>
      <c r="B920" s="19" t="s">
        <v>59</v>
      </c>
      <c r="C920" s="19" t="s">
        <v>62</v>
      </c>
      <c r="D920" s="19" t="s">
        <v>64</v>
      </c>
      <c r="E920" s="19">
        <v>1200</v>
      </c>
      <c r="F920" s="19">
        <v>900</v>
      </c>
      <c r="G920" s="19">
        <v>600</v>
      </c>
      <c r="H920" s="19" t="s">
        <v>67</v>
      </c>
      <c r="I920" s="19" t="s">
        <v>68</v>
      </c>
      <c r="J920" s="19" t="s">
        <v>69</v>
      </c>
      <c r="K920" s="19" t="s">
        <v>71</v>
      </c>
      <c r="L920" s="19" t="s">
        <v>72</v>
      </c>
      <c r="M920" s="19" t="s">
        <v>73</v>
      </c>
      <c r="N920" s="19" t="s">
        <v>75</v>
      </c>
      <c r="O920" s="19" t="s">
        <v>76</v>
      </c>
      <c r="P920" s="19" t="s">
        <v>78</v>
      </c>
      <c r="Q920" s="19" t="s">
        <v>79</v>
      </c>
      <c r="R920" s="19" t="s">
        <v>81</v>
      </c>
    </row>
    <row r="921" spans="1:18" ht="14.25" customHeight="1" x14ac:dyDescent="0.15">
      <c r="A921" s="21">
        <f t="shared" ref="A921:B921" si="713">A914</f>
        <v>0</v>
      </c>
      <c r="B921" s="21">
        <f t="shared" si="713"/>
        <v>0</v>
      </c>
      <c r="C921" s="44" t="s">
        <v>188</v>
      </c>
      <c r="D921" s="21">
        <f t="shared" ref="D921:H921" si="714">D914</f>
        <v>0</v>
      </c>
      <c r="E921" s="23" t="str">
        <f t="shared" si="714"/>
        <v>4200</v>
      </c>
      <c r="F921" s="23" t="str">
        <f t="shared" si="714"/>
        <v>4000</v>
      </c>
      <c r="G921" s="23" t="str">
        <f t="shared" si="714"/>
        <v>3800</v>
      </c>
      <c r="H921" s="23">
        <f t="shared" si="714"/>
        <v>380</v>
      </c>
      <c r="I921" s="23" t="str">
        <f>I900</f>
        <v>0</v>
      </c>
      <c r="J921" s="23" t="str">
        <f t="shared" ref="J921:Q921" si="715">J914</f>
        <v>1000</v>
      </c>
      <c r="K921" s="23">
        <f t="shared" si="715"/>
        <v>375</v>
      </c>
      <c r="L921" s="23">
        <f t="shared" si="715"/>
        <v>585</v>
      </c>
      <c r="M921" s="23" t="str">
        <f t="shared" si="715"/>
        <v>1000</v>
      </c>
      <c r="N921" s="23">
        <f t="shared" si="715"/>
        <v>3300</v>
      </c>
      <c r="O921" s="23">
        <f t="shared" si="715"/>
        <v>0</v>
      </c>
      <c r="P921" s="23">
        <f t="shared" si="715"/>
        <v>0</v>
      </c>
      <c r="Q921" s="23">
        <f t="shared" si="715"/>
        <v>2</v>
      </c>
      <c r="R921" s="21"/>
    </row>
    <row r="922" spans="1:18" ht="14.25" customHeight="1" x14ac:dyDescent="0.15">
      <c r="A922" s="19">
        <v>1</v>
      </c>
      <c r="B922" s="19">
        <v>1.2</v>
      </c>
      <c r="C922" s="19">
        <f>0.6+0.3</f>
        <v>0.89999999999999991</v>
      </c>
      <c r="D922" s="19">
        <f>B922*C922</f>
        <v>1.0799999999999998</v>
      </c>
      <c r="E922" s="19"/>
      <c r="F922" s="19"/>
      <c r="G922" s="19"/>
      <c r="H922" s="19"/>
      <c r="I922" s="19">
        <f>B922*0.4</f>
        <v>0.48</v>
      </c>
      <c r="J922" s="19">
        <v>1</v>
      </c>
      <c r="K922" s="19">
        <f t="shared" ref="K922:L922" si="716">A922</f>
        <v>1</v>
      </c>
      <c r="L922" s="19">
        <f t="shared" si="716"/>
        <v>1.2</v>
      </c>
      <c r="M922" s="19">
        <f>A922</f>
        <v>1</v>
      </c>
      <c r="N922" s="19">
        <f>(1.2*0.4)*2</f>
        <v>0.96</v>
      </c>
      <c r="O922" s="19"/>
      <c r="P922" s="19"/>
      <c r="Q922" s="19"/>
      <c r="R922" s="19"/>
    </row>
    <row r="923" spans="1:18" ht="14.25" customHeight="1" x14ac:dyDescent="0.2">
      <c r="A923" s="19"/>
      <c r="B923" s="19"/>
      <c r="C923" s="19"/>
      <c r="D923" s="26" t="str">
        <f>D916</f>
        <v>3000</v>
      </c>
      <c r="E923" s="45">
        <v>0</v>
      </c>
      <c r="F923" s="45">
        <v>0</v>
      </c>
      <c r="G923" s="45">
        <v>2</v>
      </c>
      <c r="H923" s="19">
        <f>B922*2</f>
        <v>2.4</v>
      </c>
      <c r="I923" s="19"/>
      <c r="J923" s="19"/>
      <c r="K923" s="19"/>
      <c r="L923" s="19"/>
      <c r="M923" s="19"/>
      <c r="N923" s="28"/>
      <c r="O923" s="19"/>
      <c r="P923" s="19"/>
      <c r="Q923" s="19"/>
      <c r="R923" s="19"/>
    </row>
    <row r="924" spans="1:18" ht="14.25" customHeight="1" x14ac:dyDescent="0.2">
      <c r="A924" s="19"/>
      <c r="B924" s="19"/>
      <c r="C924" s="19"/>
      <c r="D924" s="19">
        <f>D922*D923</f>
        <v>3239.9999999999995</v>
      </c>
      <c r="E924" s="45">
        <f>E923*E921</f>
        <v>0</v>
      </c>
      <c r="F924" s="45">
        <f t="shared" ref="F924:H924" si="717">F921*F923</f>
        <v>0</v>
      </c>
      <c r="G924" s="45">
        <f t="shared" si="717"/>
        <v>7600</v>
      </c>
      <c r="H924" s="19">
        <f t="shared" si="717"/>
        <v>912</v>
      </c>
      <c r="I924" s="19">
        <f t="shared" ref="I924:N924" si="718">I921*I922</f>
        <v>0</v>
      </c>
      <c r="J924" s="19">
        <f t="shared" si="718"/>
        <v>1000</v>
      </c>
      <c r="K924" s="19">
        <f t="shared" si="718"/>
        <v>375</v>
      </c>
      <c r="L924" s="19">
        <f t="shared" si="718"/>
        <v>702</v>
      </c>
      <c r="M924" s="19">
        <f t="shared" si="718"/>
        <v>1000</v>
      </c>
      <c r="N924" s="19">
        <f t="shared" si="718"/>
        <v>3168</v>
      </c>
      <c r="O924" s="19">
        <f>SUM(D924:N924)</f>
        <v>17997</v>
      </c>
      <c r="P924" s="19">
        <f>O924/A922</f>
        <v>17997</v>
      </c>
      <c r="Q924" s="19">
        <f>P924*Q921</f>
        <v>35994</v>
      </c>
      <c r="R924" s="19">
        <f>MROUND(Q924,100)</f>
        <v>36000</v>
      </c>
    </row>
    <row r="925" spans="1:18" ht="14.25" customHeight="1" x14ac:dyDescent="0.1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</row>
    <row r="926" spans="1:18" ht="14.25" customHeight="1" x14ac:dyDescent="0.3">
      <c r="A926" s="109" t="str">
        <f>PRICELIST!I347</f>
        <v>WSTK-LNR-S-PLM-1200-X</v>
      </c>
      <c r="B926" s="87"/>
      <c r="C926" s="87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7"/>
    </row>
    <row r="927" spans="1:18" ht="14.25" customHeight="1" x14ac:dyDescent="0.15">
      <c r="A927" s="19" t="s">
        <v>57</v>
      </c>
      <c r="B927" s="19" t="s">
        <v>59</v>
      </c>
      <c r="C927" s="19" t="s">
        <v>62</v>
      </c>
      <c r="D927" s="19" t="s">
        <v>64</v>
      </c>
      <c r="E927" s="19">
        <v>1200</v>
      </c>
      <c r="F927" s="19">
        <v>900</v>
      </c>
      <c r="G927" s="19">
        <v>600</v>
      </c>
      <c r="H927" s="19" t="s">
        <v>67</v>
      </c>
      <c r="I927" s="19" t="s">
        <v>68</v>
      </c>
      <c r="J927" s="19" t="s">
        <v>69</v>
      </c>
      <c r="K927" s="19" t="s">
        <v>71</v>
      </c>
      <c r="L927" s="19" t="s">
        <v>72</v>
      </c>
      <c r="M927" s="19" t="s">
        <v>73</v>
      </c>
      <c r="N927" s="19" t="s">
        <v>75</v>
      </c>
      <c r="O927" s="19" t="s">
        <v>76</v>
      </c>
      <c r="P927" s="19" t="s">
        <v>78</v>
      </c>
      <c r="Q927" s="19" t="s">
        <v>79</v>
      </c>
      <c r="R927" s="19" t="s">
        <v>81</v>
      </c>
    </row>
    <row r="928" spans="1:18" ht="14.25" customHeight="1" x14ac:dyDescent="0.15">
      <c r="A928" s="21">
        <f t="shared" ref="A928:B928" si="719">A921</f>
        <v>0</v>
      </c>
      <c r="B928" s="21">
        <f t="shared" si="719"/>
        <v>0</v>
      </c>
      <c r="C928" s="44" t="s">
        <v>188</v>
      </c>
      <c r="D928" s="21">
        <f t="shared" ref="D928:H928" si="720">D921</f>
        <v>0</v>
      </c>
      <c r="E928" s="23" t="str">
        <f t="shared" si="720"/>
        <v>4200</v>
      </c>
      <c r="F928" s="23" t="str">
        <f t="shared" si="720"/>
        <v>4000</v>
      </c>
      <c r="G928" s="23" t="str">
        <f t="shared" si="720"/>
        <v>3800</v>
      </c>
      <c r="H928" s="23">
        <f t="shared" si="720"/>
        <v>380</v>
      </c>
      <c r="I928" s="23" t="str">
        <f>I907</f>
        <v>4800</v>
      </c>
      <c r="J928" s="23" t="str">
        <f t="shared" ref="J928:Q928" si="721">J921</f>
        <v>1000</v>
      </c>
      <c r="K928" s="23">
        <f t="shared" si="721"/>
        <v>375</v>
      </c>
      <c r="L928" s="23">
        <f t="shared" si="721"/>
        <v>585</v>
      </c>
      <c r="M928" s="23" t="str">
        <f t="shared" si="721"/>
        <v>1000</v>
      </c>
      <c r="N928" s="23">
        <f t="shared" si="721"/>
        <v>3300</v>
      </c>
      <c r="O928" s="23">
        <f t="shared" si="721"/>
        <v>0</v>
      </c>
      <c r="P928" s="23">
        <f t="shared" si="721"/>
        <v>0</v>
      </c>
      <c r="Q928" s="23">
        <f t="shared" si="721"/>
        <v>2</v>
      </c>
      <c r="R928" s="21"/>
    </row>
    <row r="929" spans="1:18" ht="14.25" customHeight="1" x14ac:dyDescent="0.15">
      <c r="A929" s="19">
        <v>1</v>
      </c>
      <c r="B929" s="19">
        <v>1.2</v>
      </c>
      <c r="C929" s="19">
        <f>0.6+0.3</f>
        <v>0.89999999999999991</v>
      </c>
      <c r="D929" s="19">
        <f>B929*C929</f>
        <v>1.0799999999999998</v>
      </c>
      <c r="E929" s="19"/>
      <c r="F929" s="19"/>
      <c r="G929" s="19"/>
      <c r="H929" s="19"/>
      <c r="I929" s="19">
        <f>B929*0.4</f>
        <v>0.48</v>
      </c>
      <c r="J929" s="19">
        <v>1</v>
      </c>
      <c r="K929" s="19">
        <f t="shared" ref="K929:L929" si="722">A929</f>
        <v>1</v>
      </c>
      <c r="L929" s="19">
        <f t="shared" si="722"/>
        <v>1.2</v>
      </c>
      <c r="M929" s="19">
        <f>A929</f>
        <v>1</v>
      </c>
      <c r="N929" s="19">
        <f>(1.2*0.4)*2</f>
        <v>0.96</v>
      </c>
      <c r="O929" s="19"/>
      <c r="P929" s="19"/>
      <c r="Q929" s="19"/>
      <c r="R929" s="19"/>
    </row>
    <row r="930" spans="1:18" ht="14.25" customHeight="1" x14ac:dyDescent="0.2">
      <c r="A930" s="19"/>
      <c r="B930" s="19"/>
      <c r="C930" s="19"/>
      <c r="D930" s="26" t="str">
        <f>D818</f>
        <v>7500</v>
      </c>
      <c r="E930" s="45">
        <v>0</v>
      </c>
      <c r="F930" s="45">
        <v>0</v>
      </c>
      <c r="G930" s="45">
        <v>2</v>
      </c>
      <c r="H930" s="19">
        <f>B929*2</f>
        <v>2.4</v>
      </c>
      <c r="I930" s="19"/>
      <c r="J930" s="19"/>
      <c r="K930" s="19"/>
      <c r="L930" s="19"/>
      <c r="M930" s="19"/>
      <c r="N930" s="28"/>
      <c r="O930" s="19"/>
      <c r="P930" s="19"/>
      <c r="Q930" s="19"/>
      <c r="R930" s="19"/>
    </row>
    <row r="931" spans="1:18" ht="14.25" customHeight="1" x14ac:dyDescent="0.2">
      <c r="A931" s="19"/>
      <c r="B931" s="19"/>
      <c r="C931" s="19"/>
      <c r="D931" s="19">
        <f>D929*D930</f>
        <v>8099.9999999999991</v>
      </c>
      <c r="E931" s="45">
        <f>E930*E928</f>
        <v>0</v>
      </c>
      <c r="F931" s="45">
        <f t="shared" ref="F931:H931" si="723">F928*F930</f>
        <v>0</v>
      </c>
      <c r="G931" s="45">
        <f t="shared" si="723"/>
        <v>7600</v>
      </c>
      <c r="H931" s="19">
        <f t="shared" si="723"/>
        <v>912</v>
      </c>
      <c r="I931" s="19">
        <f t="shared" ref="I931:N931" si="724">I928*I929</f>
        <v>2304</v>
      </c>
      <c r="J931" s="19">
        <f t="shared" si="724"/>
        <v>1000</v>
      </c>
      <c r="K931" s="19">
        <f t="shared" si="724"/>
        <v>375</v>
      </c>
      <c r="L931" s="19">
        <f t="shared" si="724"/>
        <v>702</v>
      </c>
      <c r="M931" s="19">
        <f t="shared" si="724"/>
        <v>1000</v>
      </c>
      <c r="N931" s="19">
        <f t="shared" si="724"/>
        <v>3168</v>
      </c>
      <c r="O931" s="19">
        <f>SUM(D931:N931)</f>
        <v>25161</v>
      </c>
      <c r="P931" s="19">
        <f>O931/A929</f>
        <v>25161</v>
      </c>
      <c r="Q931" s="19">
        <f>P931*Q928</f>
        <v>50322</v>
      </c>
      <c r="R931" s="19">
        <f>MROUND(Q931,100)</f>
        <v>50300</v>
      </c>
    </row>
    <row r="932" spans="1:18" ht="14.25" customHeight="1" x14ac:dyDescent="0.1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</row>
    <row r="933" spans="1:18" ht="14.25" customHeight="1" x14ac:dyDescent="0.3">
      <c r="A933" s="109" t="str">
        <f>PRICELIST!I348</f>
        <v>WSTK-LNR-S-PoLM-1200-F</v>
      </c>
      <c r="B933" s="87"/>
      <c r="C933" s="87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7"/>
    </row>
    <row r="934" spans="1:18" ht="14.25" customHeight="1" x14ac:dyDescent="0.15">
      <c r="A934" s="19" t="s">
        <v>57</v>
      </c>
      <c r="B934" s="19" t="s">
        <v>59</v>
      </c>
      <c r="C934" s="19" t="s">
        <v>62</v>
      </c>
      <c r="D934" s="19" t="s">
        <v>64</v>
      </c>
      <c r="E934" s="19">
        <v>1200</v>
      </c>
      <c r="F934" s="19">
        <v>900</v>
      </c>
      <c r="G934" s="19">
        <v>600</v>
      </c>
      <c r="H934" s="19" t="s">
        <v>67</v>
      </c>
      <c r="I934" s="19" t="s">
        <v>68</v>
      </c>
      <c r="J934" s="19" t="s">
        <v>69</v>
      </c>
      <c r="K934" s="19" t="s">
        <v>71</v>
      </c>
      <c r="L934" s="19" t="s">
        <v>72</v>
      </c>
      <c r="M934" s="19" t="s">
        <v>73</v>
      </c>
      <c r="N934" s="19" t="s">
        <v>75</v>
      </c>
      <c r="O934" s="19" t="s">
        <v>76</v>
      </c>
      <c r="P934" s="19" t="s">
        <v>78</v>
      </c>
      <c r="Q934" s="19" t="s">
        <v>79</v>
      </c>
      <c r="R934" s="19" t="s">
        <v>81</v>
      </c>
    </row>
    <row r="935" spans="1:18" ht="14.25" customHeight="1" x14ac:dyDescent="0.15">
      <c r="A935" s="21">
        <f t="shared" ref="A935:B935" si="725">A928</f>
        <v>0</v>
      </c>
      <c r="B935" s="21">
        <f t="shared" si="725"/>
        <v>0</v>
      </c>
      <c r="C935" s="44" t="s">
        <v>188</v>
      </c>
      <c r="D935" s="21">
        <f t="shared" ref="D935:H935" si="726">D928</f>
        <v>0</v>
      </c>
      <c r="E935" s="23" t="str">
        <f t="shared" si="726"/>
        <v>4200</v>
      </c>
      <c r="F935" s="23" t="str">
        <f t="shared" si="726"/>
        <v>4000</v>
      </c>
      <c r="G935" s="23" t="str">
        <f t="shared" si="726"/>
        <v>3800</v>
      </c>
      <c r="H935" s="23">
        <f t="shared" si="726"/>
        <v>380</v>
      </c>
      <c r="I935" s="23" t="str">
        <f>I914</f>
        <v>5500</v>
      </c>
      <c r="J935" s="23" t="str">
        <f t="shared" ref="J935:Q935" si="727">J928</f>
        <v>1000</v>
      </c>
      <c r="K935" s="23">
        <f t="shared" si="727"/>
        <v>375</v>
      </c>
      <c r="L935" s="23">
        <f t="shared" si="727"/>
        <v>585</v>
      </c>
      <c r="M935" s="23" t="str">
        <f t="shared" si="727"/>
        <v>1000</v>
      </c>
      <c r="N935" s="23">
        <f t="shared" si="727"/>
        <v>3300</v>
      </c>
      <c r="O935" s="23">
        <f t="shared" si="727"/>
        <v>0</v>
      </c>
      <c r="P935" s="23">
        <f t="shared" si="727"/>
        <v>0</v>
      </c>
      <c r="Q935" s="23">
        <f t="shared" si="727"/>
        <v>2</v>
      </c>
      <c r="R935" s="21"/>
    </row>
    <row r="936" spans="1:18" ht="14.25" customHeight="1" x14ac:dyDescent="0.15">
      <c r="A936" s="19">
        <v>1</v>
      </c>
      <c r="B936" s="19">
        <v>1.2</v>
      </c>
      <c r="C936" s="19">
        <f>0.6+0.3</f>
        <v>0.89999999999999991</v>
      </c>
      <c r="D936" s="19">
        <f>B936*C936</f>
        <v>1.0799999999999998</v>
      </c>
      <c r="E936" s="19"/>
      <c r="F936" s="19"/>
      <c r="G936" s="19"/>
      <c r="H936" s="19"/>
      <c r="I936" s="19">
        <f>B936*0.4</f>
        <v>0.48</v>
      </c>
      <c r="J936" s="19">
        <v>1</v>
      </c>
      <c r="K936" s="19">
        <f t="shared" ref="K936:L936" si="728">A936</f>
        <v>1</v>
      </c>
      <c r="L936" s="19">
        <f t="shared" si="728"/>
        <v>1.2</v>
      </c>
      <c r="M936" s="19">
        <f>A936</f>
        <v>1</v>
      </c>
      <c r="N936" s="19">
        <f>(1.2*0.4)*2</f>
        <v>0.96</v>
      </c>
      <c r="O936" s="19"/>
      <c r="P936" s="19"/>
      <c r="Q936" s="19"/>
      <c r="R936" s="19"/>
    </row>
    <row r="937" spans="1:18" ht="14.25" customHeight="1" x14ac:dyDescent="0.2">
      <c r="A937" s="19"/>
      <c r="B937" s="19"/>
      <c r="C937" s="19"/>
      <c r="D937" s="26" t="str">
        <f>D930</f>
        <v>7500</v>
      </c>
      <c r="E937" s="45">
        <v>0</v>
      </c>
      <c r="F937" s="45">
        <v>0</v>
      </c>
      <c r="G937" s="45">
        <v>2</v>
      </c>
      <c r="H937" s="19">
        <f>B936*2</f>
        <v>2.4</v>
      </c>
      <c r="I937" s="19"/>
      <c r="J937" s="19"/>
      <c r="K937" s="19"/>
      <c r="L937" s="19"/>
      <c r="M937" s="19"/>
      <c r="N937" s="28"/>
      <c r="O937" s="19"/>
      <c r="P937" s="19"/>
      <c r="Q937" s="19"/>
      <c r="R937" s="19"/>
    </row>
    <row r="938" spans="1:18" ht="14.25" customHeight="1" x14ac:dyDescent="0.2">
      <c r="A938" s="19"/>
      <c r="B938" s="19"/>
      <c r="C938" s="19"/>
      <c r="D938" s="19">
        <f>D936*D937</f>
        <v>8099.9999999999991</v>
      </c>
      <c r="E938" s="45">
        <f>E937*E935</f>
        <v>0</v>
      </c>
      <c r="F938" s="45">
        <f t="shared" ref="F938:H938" si="729">F935*F937</f>
        <v>0</v>
      </c>
      <c r="G938" s="45">
        <f t="shared" si="729"/>
        <v>7600</v>
      </c>
      <c r="H938" s="19">
        <f t="shared" si="729"/>
        <v>912</v>
      </c>
      <c r="I938" s="19">
        <f t="shared" ref="I938:N938" si="730">I935*I936</f>
        <v>2640</v>
      </c>
      <c r="J938" s="19">
        <f t="shared" si="730"/>
        <v>1000</v>
      </c>
      <c r="K938" s="19">
        <f t="shared" si="730"/>
        <v>375</v>
      </c>
      <c r="L938" s="19">
        <f t="shared" si="730"/>
        <v>702</v>
      </c>
      <c r="M938" s="19">
        <f t="shared" si="730"/>
        <v>1000</v>
      </c>
      <c r="N938" s="19">
        <f t="shared" si="730"/>
        <v>3168</v>
      </c>
      <c r="O938" s="19">
        <f>SUM(D938:N938)</f>
        <v>25497</v>
      </c>
      <c r="P938" s="19">
        <f>O938/A936</f>
        <v>25497</v>
      </c>
      <c r="Q938" s="19">
        <f>P938*Q935</f>
        <v>50994</v>
      </c>
      <c r="R938" s="19">
        <f>MROUND(Q938,100)</f>
        <v>51000</v>
      </c>
    </row>
    <row r="939" spans="1:18" ht="14.25" customHeight="1" x14ac:dyDescent="0.1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</row>
    <row r="940" spans="1:18" ht="14.25" customHeight="1" x14ac:dyDescent="0.3">
      <c r="A940" s="109" t="str">
        <f>PRICELIST!I349</f>
        <v>WSTK-LNR-S-PoLM-1200-G</v>
      </c>
      <c r="B940" s="87"/>
      <c r="C940" s="87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7"/>
    </row>
    <row r="941" spans="1:18" ht="14.25" customHeight="1" x14ac:dyDescent="0.15">
      <c r="A941" s="19" t="s">
        <v>57</v>
      </c>
      <c r="B941" s="19" t="s">
        <v>59</v>
      </c>
      <c r="C941" s="19" t="s">
        <v>62</v>
      </c>
      <c r="D941" s="19" t="s">
        <v>64</v>
      </c>
      <c r="E941" s="19">
        <v>1200</v>
      </c>
      <c r="F941" s="19">
        <v>900</v>
      </c>
      <c r="G941" s="19">
        <v>600</v>
      </c>
      <c r="H941" s="19" t="s">
        <v>67</v>
      </c>
      <c r="I941" s="19" t="s">
        <v>68</v>
      </c>
      <c r="J941" s="19" t="s">
        <v>69</v>
      </c>
      <c r="K941" s="19" t="s">
        <v>71</v>
      </c>
      <c r="L941" s="19" t="s">
        <v>72</v>
      </c>
      <c r="M941" s="19" t="s">
        <v>73</v>
      </c>
      <c r="N941" s="19" t="s">
        <v>75</v>
      </c>
      <c r="O941" s="19" t="s">
        <v>76</v>
      </c>
      <c r="P941" s="19" t="s">
        <v>78</v>
      </c>
      <c r="Q941" s="19" t="s">
        <v>79</v>
      </c>
      <c r="R941" s="19" t="s">
        <v>81</v>
      </c>
    </row>
    <row r="942" spans="1:18" ht="14.25" customHeight="1" x14ac:dyDescent="0.15">
      <c r="A942" s="21">
        <f t="shared" ref="A942:B942" si="731">A935</f>
        <v>0</v>
      </c>
      <c r="B942" s="21">
        <f t="shared" si="731"/>
        <v>0</v>
      </c>
      <c r="C942" s="44" t="s">
        <v>188</v>
      </c>
      <c r="D942" s="21">
        <f t="shared" ref="D942:H942" si="732">D935</f>
        <v>0</v>
      </c>
      <c r="E942" s="23" t="str">
        <f t="shared" si="732"/>
        <v>4200</v>
      </c>
      <c r="F942" s="23" t="str">
        <f t="shared" si="732"/>
        <v>4000</v>
      </c>
      <c r="G942" s="23" t="str">
        <f t="shared" si="732"/>
        <v>3800</v>
      </c>
      <c r="H942" s="23">
        <f t="shared" si="732"/>
        <v>380</v>
      </c>
      <c r="I942" s="23" t="str">
        <f>I921</f>
        <v>0</v>
      </c>
      <c r="J942" s="23" t="str">
        <f t="shared" ref="J942:Q942" si="733">J935</f>
        <v>1000</v>
      </c>
      <c r="K942" s="23">
        <f t="shared" si="733"/>
        <v>375</v>
      </c>
      <c r="L942" s="23">
        <f t="shared" si="733"/>
        <v>585</v>
      </c>
      <c r="M942" s="23" t="str">
        <f t="shared" si="733"/>
        <v>1000</v>
      </c>
      <c r="N942" s="23">
        <f t="shared" si="733"/>
        <v>3300</v>
      </c>
      <c r="O942" s="23">
        <f t="shared" si="733"/>
        <v>0</v>
      </c>
      <c r="P942" s="23">
        <f t="shared" si="733"/>
        <v>0</v>
      </c>
      <c r="Q942" s="23">
        <f t="shared" si="733"/>
        <v>2</v>
      </c>
      <c r="R942" s="21"/>
    </row>
    <row r="943" spans="1:18" ht="14.25" customHeight="1" x14ac:dyDescent="0.15">
      <c r="A943" s="19">
        <v>1</v>
      </c>
      <c r="B943" s="19">
        <v>1.2</v>
      </c>
      <c r="C943" s="19">
        <f>0.6+0.3</f>
        <v>0.89999999999999991</v>
      </c>
      <c r="D943" s="19">
        <f>B943*C943</f>
        <v>1.0799999999999998</v>
      </c>
      <c r="E943" s="19"/>
      <c r="F943" s="19"/>
      <c r="G943" s="19"/>
      <c r="H943" s="19"/>
      <c r="I943" s="19">
        <f>B943*0.4</f>
        <v>0.48</v>
      </c>
      <c r="J943" s="19">
        <v>1</v>
      </c>
      <c r="K943" s="19">
        <f t="shared" ref="K943:L943" si="734">A943</f>
        <v>1</v>
      </c>
      <c r="L943" s="19">
        <f t="shared" si="734"/>
        <v>1.2</v>
      </c>
      <c r="M943" s="19">
        <f>A943</f>
        <v>1</v>
      </c>
      <c r="N943" s="19">
        <f>(1.2*0.4)*2</f>
        <v>0.96</v>
      </c>
      <c r="O943" s="19"/>
      <c r="P943" s="19"/>
      <c r="Q943" s="19"/>
      <c r="R943" s="19"/>
    </row>
    <row r="944" spans="1:18" ht="14.25" customHeight="1" x14ac:dyDescent="0.2">
      <c r="A944" s="19"/>
      <c r="B944" s="19"/>
      <c r="C944" s="19"/>
      <c r="D944" s="26" t="str">
        <f>D937</f>
        <v>7500</v>
      </c>
      <c r="E944" s="45">
        <v>0</v>
      </c>
      <c r="F944" s="45">
        <v>0</v>
      </c>
      <c r="G944" s="45">
        <v>2</v>
      </c>
      <c r="H944" s="19">
        <f>B943*2</f>
        <v>2.4</v>
      </c>
      <c r="I944" s="19"/>
      <c r="J944" s="19"/>
      <c r="K944" s="19"/>
      <c r="L944" s="19"/>
      <c r="M944" s="19"/>
      <c r="N944" s="28"/>
      <c r="O944" s="19"/>
      <c r="P944" s="19"/>
      <c r="Q944" s="19"/>
      <c r="R944" s="19"/>
    </row>
    <row r="945" spans="1:18" ht="14.25" customHeight="1" x14ac:dyDescent="0.2">
      <c r="A945" s="19"/>
      <c r="B945" s="19"/>
      <c r="C945" s="19"/>
      <c r="D945" s="19">
        <f>D943*D944</f>
        <v>8099.9999999999991</v>
      </c>
      <c r="E945" s="45">
        <f>E944*E942</f>
        <v>0</v>
      </c>
      <c r="F945" s="45">
        <f t="shared" ref="F945:H945" si="735">F942*F944</f>
        <v>0</v>
      </c>
      <c r="G945" s="45">
        <f t="shared" si="735"/>
        <v>7600</v>
      </c>
      <c r="H945" s="19">
        <f t="shared" si="735"/>
        <v>912</v>
      </c>
      <c r="I945" s="19">
        <f t="shared" ref="I945:N945" si="736">I942*I943</f>
        <v>0</v>
      </c>
      <c r="J945" s="19">
        <f t="shared" si="736"/>
        <v>1000</v>
      </c>
      <c r="K945" s="19">
        <f t="shared" si="736"/>
        <v>375</v>
      </c>
      <c r="L945" s="19">
        <f t="shared" si="736"/>
        <v>702</v>
      </c>
      <c r="M945" s="19">
        <f t="shared" si="736"/>
        <v>1000</v>
      </c>
      <c r="N945" s="19">
        <f t="shared" si="736"/>
        <v>3168</v>
      </c>
      <c r="O945" s="19">
        <f>SUM(D945:N945)</f>
        <v>22857</v>
      </c>
      <c r="P945" s="19">
        <f>O945/A943</f>
        <v>22857</v>
      </c>
      <c r="Q945" s="19">
        <f>P945*Q942</f>
        <v>45714</v>
      </c>
      <c r="R945" s="19">
        <f>MROUND(Q945,100)</f>
        <v>45700</v>
      </c>
    </row>
    <row r="946" spans="1:18" ht="14.25" customHeight="1" x14ac:dyDescent="0.1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</row>
    <row r="947" spans="1:18" ht="14.25" customHeight="1" x14ac:dyDescent="0.3">
      <c r="A947" s="109" t="str">
        <f>PRICELIST!I350</f>
        <v>WSTK-LNR-S-PoLM-1200-X</v>
      </c>
      <c r="B947" s="87"/>
      <c r="C947" s="87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7"/>
    </row>
    <row r="948" spans="1:18" ht="14.25" customHeight="1" x14ac:dyDescent="0.15">
      <c r="A948" s="19" t="s">
        <v>57</v>
      </c>
      <c r="B948" s="19" t="s">
        <v>59</v>
      </c>
      <c r="C948" s="19" t="s">
        <v>62</v>
      </c>
      <c r="D948" s="19" t="s">
        <v>64</v>
      </c>
      <c r="E948" s="19">
        <v>1200</v>
      </c>
      <c r="F948" s="19">
        <v>900</v>
      </c>
      <c r="G948" s="19">
        <v>600</v>
      </c>
      <c r="H948" s="19" t="s">
        <v>67</v>
      </c>
      <c r="I948" s="19" t="s">
        <v>68</v>
      </c>
      <c r="J948" s="19" t="s">
        <v>69</v>
      </c>
      <c r="K948" s="19" t="s">
        <v>71</v>
      </c>
      <c r="L948" s="19" t="s">
        <v>72</v>
      </c>
      <c r="M948" s="19" t="s">
        <v>73</v>
      </c>
      <c r="N948" s="19" t="s">
        <v>75</v>
      </c>
      <c r="O948" s="19" t="s">
        <v>76</v>
      </c>
      <c r="P948" s="19" t="s">
        <v>78</v>
      </c>
      <c r="Q948" s="19" t="s">
        <v>79</v>
      </c>
      <c r="R948" s="19" t="s">
        <v>81</v>
      </c>
    </row>
    <row r="949" spans="1:18" ht="14.25" customHeight="1" x14ac:dyDescent="0.15">
      <c r="A949" s="21">
        <f t="shared" ref="A949:B949" si="737">A942</f>
        <v>0</v>
      </c>
      <c r="B949" s="21">
        <f t="shared" si="737"/>
        <v>0</v>
      </c>
      <c r="C949" s="44" t="s">
        <v>188</v>
      </c>
      <c r="D949" s="21">
        <f t="shared" ref="D949:H949" si="738">D942</f>
        <v>0</v>
      </c>
      <c r="E949" s="23" t="str">
        <f t="shared" si="738"/>
        <v>4200</v>
      </c>
      <c r="F949" s="23" t="str">
        <f t="shared" si="738"/>
        <v>4000</v>
      </c>
      <c r="G949" s="23" t="str">
        <f t="shared" si="738"/>
        <v>3800</v>
      </c>
      <c r="H949" s="23">
        <f t="shared" si="738"/>
        <v>380</v>
      </c>
      <c r="I949" s="23" t="str">
        <f>I928</f>
        <v>4800</v>
      </c>
      <c r="J949" s="23" t="str">
        <f t="shared" ref="J949:Q949" si="739">J942</f>
        <v>1000</v>
      </c>
      <c r="K949" s="23">
        <f t="shared" si="739"/>
        <v>375</v>
      </c>
      <c r="L949" s="23">
        <f t="shared" si="739"/>
        <v>585</v>
      </c>
      <c r="M949" s="23" t="str">
        <f t="shared" si="739"/>
        <v>1000</v>
      </c>
      <c r="N949" s="23">
        <f t="shared" si="739"/>
        <v>3300</v>
      </c>
      <c r="O949" s="23">
        <f t="shared" si="739"/>
        <v>0</v>
      </c>
      <c r="P949" s="23">
        <f t="shared" si="739"/>
        <v>0</v>
      </c>
      <c r="Q949" s="23">
        <f t="shared" si="739"/>
        <v>2</v>
      </c>
      <c r="R949" s="21"/>
    </row>
    <row r="950" spans="1:18" ht="14.25" customHeight="1" x14ac:dyDescent="0.15">
      <c r="A950" s="19">
        <v>1</v>
      </c>
      <c r="B950" s="19">
        <v>1.2</v>
      </c>
      <c r="C950" s="19">
        <f>0.6+0.3</f>
        <v>0.89999999999999991</v>
      </c>
      <c r="D950" s="19">
        <f>B950*C950</f>
        <v>1.0799999999999998</v>
      </c>
      <c r="E950" s="19"/>
      <c r="F950" s="19"/>
      <c r="G950" s="19"/>
      <c r="H950" s="19"/>
      <c r="I950" s="19">
        <f>B950*0.4</f>
        <v>0.48</v>
      </c>
      <c r="J950" s="19">
        <v>1</v>
      </c>
      <c r="K950" s="19">
        <f t="shared" ref="K950:L950" si="740">A950</f>
        <v>1</v>
      </c>
      <c r="L950" s="19">
        <f t="shared" si="740"/>
        <v>1.2</v>
      </c>
      <c r="M950" s="19">
        <f>A950</f>
        <v>1</v>
      </c>
      <c r="N950" s="19">
        <f>(1.2*0.4)*2</f>
        <v>0.96</v>
      </c>
      <c r="O950" s="19"/>
      <c r="P950" s="19"/>
      <c r="Q950" s="19"/>
      <c r="R950" s="19"/>
    </row>
    <row r="951" spans="1:18" ht="14.25" customHeight="1" x14ac:dyDescent="0.2">
      <c r="A951" s="19"/>
      <c r="B951" s="19"/>
      <c r="C951" s="19"/>
      <c r="D951" s="26" t="str">
        <f>D839</f>
        <v>9500</v>
      </c>
      <c r="E951" s="45">
        <v>0</v>
      </c>
      <c r="F951" s="45">
        <v>0</v>
      </c>
      <c r="G951" s="45">
        <v>2</v>
      </c>
      <c r="H951" s="19">
        <f>B950*2</f>
        <v>2.4</v>
      </c>
      <c r="I951" s="19"/>
      <c r="J951" s="19"/>
      <c r="K951" s="19"/>
      <c r="L951" s="19"/>
      <c r="M951" s="19"/>
      <c r="N951" s="28"/>
      <c r="O951" s="19"/>
      <c r="P951" s="19"/>
      <c r="Q951" s="19"/>
      <c r="R951" s="19"/>
    </row>
    <row r="952" spans="1:18" ht="14.25" customHeight="1" x14ac:dyDescent="0.2">
      <c r="A952" s="19"/>
      <c r="B952" s="19"/>
      <c r="C952" s="19"/>
      <c r="D952" s="19">
        <f>D950*D951</f>
        <v>10259.999999999998</v>
      </c>
      <c r="E952" s="45">
        <f>E951*E949</f>
        <v>0</v>
      </c>
      <c r="F952" s="45">
        <f t="shared" ref="F952:H952" si="741">F949*F951</f>
        <v>0</v>
      </c>
      <c r="G952" s="45">
        <f t="shared" si="741"/>
        <v>7600</v>
      </c>
      <c r="H952" s="19">
        <f t="shared" si="741"/>
        <v>912</v>
      </c>
      <c r="I952" s="19">
        <f t="shared" ref="I952:N952" si="742">I949*I950</f>
        <v>2304</v>
      </c>
      <c r="J952" s="19">
        <f t="shared" si="742"/>
        <v>1000</v>
      </c>
      <c r="K952" s="19">
        <f t="shared" si="742"/>
        <v>375</v>
      </c>
      <c r="L952" s="19">
        <f t="shared" si="742"/>
        <v>702</v>
      </c>
      <c r="M952" s="19">
        <f t="shared" si="742"/>
        <v>1000</v>
      </c>
      <c r="N952" s="19">
        <f t="shared" si="742"/>
        <v>3168</v>
      </c>
      <c r="O952" s="19">
        <f>SUM(D952:N952)</f>
        <v>27321</v>
      </c>
      <c r="P952" s="19">
        <f>O952/A950</f>
        <v>27321</v>
      </c>
      <c r="Q952" s="19">
        <f>P952*Q949</f>
        <v>54642</v>
      </c>
      <c r="R952" s="19">
        <f>MROUND(Q952,100)</f>
        <v>54600</v>
      </c>
    </row>
    <row r="953" spans="1:18" ht="14.25" customHeight="1" x14ac:dyDescent="0.1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</row>
    <row r="954" spans="1:18" ht="14.25" customHeight="1" x14ac:dyDescent="0.3">
      <c r="A954" s="109" t="str">
        <f>PRICELIST!I351</f>
        <v>WSTK-LNR-S-LVM-1200-F</v>
      </c>
      <c r="B954" s="87"/>
      <c r="C954" s="87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7"/>
    </row>
    <row r="955" spans="1:18" ht="14.25" customHeight="1" x14ac:dyDescent="0.15">
      <c r="A955" s="19" t="s">
        <v>57</v>
      </c>
      <c r="B955" s="19" t="s">
        <v>59</v>
      </c>
      <c r="C955" s="19" t="s">
        <v>62</v>
      </c>
      <c r="D955" s="19" t="s">
        <v>64</v>
      </c>
      <c r="E955" s="19">
        <v>1200</v>
      </c>
      <c r="F955" s="19">
        <v>900</v>
      </c>
      <c r="G955" s="19">
        <v>600</v>
      </c>
      <c r="H955" s="19" t="s">
        <v>67</v>
      </c>
      <c r="I955" s="19" t="s">
        <v>68</v>
      </c>
      <c r="J955" s="19" t="s">
        <v>69</v>
      </c>
      <c r="K955" s="19" t="s">
        <v>71</v>
      </c>
      <c r="L955" s="19" t="s">
        <v>72</v>
      </c>
      <c r="M955" s="19" t="s">
        <v>73</v>
      </c>
      <c r="N955" s="19" t="s">
        <v>75</v>
      </c>
      <c r="O955" s="19" t="s">
        <v>76</v>
      </c>
      <c r="P955" s="19" t="s">
        <v>78</v>
      </c>
      <c r="Q955" s="19" t="s">
        <v>79</v>
      </c>
      <c r="R955" s="19" t="s">
        <v>81</v>
      </c>
    </row>
    <row r="956" spans="1:18" ht="14.25" customHeight="1" x14ac:dyDescent="0.15">
      <c r="A956" s="21">
        <f t="shared" ref="A956:B956" si="743">A949</f>
        <v>0</v>
      </c>
      <c r="B956" s="21">
        <f t="shared" si="743"/>
        <v>0</v>
      </c>
      <c r="C956" s="44" t="s">
        <v>188</v>
      </c>
      <c r="D956" s="21">
        <f t="shared" ref="D956:H956" si="744">D949</f>
        <v>0</v>
      </c>
      <c r="E956" s="23" t="str">
        <f t="shared" si="744"/>
        <v>4200</v>
      </c>
      <c r="F956" s="23" t="str">
        <f t="shared" si="744"/>
        <v>4000</v>
      </c>
      <c r="G956" s="23" t="str">
        <f t="shared" si="744"/>
        <v>3800</v>
      </c>
      <c r="H956" s="23">
        <f t="shared" si="744"/>
        <v>380</v>
      </c>
      <c r="I956" s="23" t="str">
        <f>I935</f>
        <v>5500</v>
      </c>
      <c r="J956" s="23" t="str">
        <f t="shared" ref="J956:Q956" si="745">J949</f>
        <v>1000</v>
      </c>
      <c r="K956" s="23">
        <f t="shared" si="745"/>
        <v>375</v>
      </c>
      <c r="L956" s="23">
        <f t="shared" si="745"/>
        <v>585</v>
      </c>
      <c r="M956" s="23" t="str">
        <f t="shared" si="745"/>
        <v>1000</v>
      </c>
      <c r="N956" s="23">
        <f t="shared" si="745"/>
        <v>3300</v>
      </c>
      <c r="O956" s="23">
        <f t="shared" si="745"/>
        <v>0</v>
      </c>
      <c r="P956" s="23">
        <f t="shared" si="745"/>
        <v>0</v>
      </c>
      <c r="Q956" s="23">
        <f t="shared" si="745"/>
        <v>2</v>
      </c>
      <c r="R956" s="21"/>
    </row>
    <row r="957" spans="1:18" ht="14.25" customHeight="1" x14ac:dyDescent="0.15">
      <c r="A957" s="19">
        <v>1</v>
      </c>
      <c r="B957" s="19">
        <v>1.2</v>
      </c>
      <c r="C957" s="19">
        <f>0.6+0.3</f>
        <v>0.89999999999999991</v>
      </c>
      <c r="D957" s="19">
        <f>B957*C957</f>
        <v>1.0799999999999998</v>
      </c>
      <c r="E957" s="19"/>
      <c r="F957" s="19"/>
      <c r="G957" s="19"/>
      <c r="H957" s="19"/>
      <c r="I957" s="19">
        <f>B957*0.4</f>
        <v>0.48</v>
      </c>
      <c r="J957" s="19">
        <v>1</v>
      </c>
      <c r="K957" s="19">
        <f t="shared" ref="K957:L957" si="746">A957</f>
        <v>1</v>
      </c>
      <c r="L957" s="19">
        <f t="shared" si="746"/>
        <v>1.2</v>
      </c>
      <c r="M957" s="19">
        <f>A957</f>
        <v>1</v>
      </c>
      <c r="N957" s="19">
        <f>(1.2*0.4)*2</f>
        <v>0.96</v>
      </c>
      <c r="O957" s="19"/>
      <c r="P957" s="19"/>
      <c r="Q957" s="19"/>
      <c r="R957" s="19"/>
    </row>
    <row r="958" spans="1:18" ht="14.25" customHeight="1" x14ac:dyDescent="0.2">
      <c r="A958" s="19"/>
      <c r="B958" s="19"/>
      <c r="C958" s="19"/>
      <c r="D958" s="26" t="str">
        <f>D951</f>
        <v>9500</v>
      </c>
      <c r="E958" s="45">
        <v>0</v>
      </c>
      <c r="F958" s="45">
        <v>0</v>
      </c>
      <c r="G958" s="45">
        <v>2</v>
      </c>
      <c r="H958" s="19">
        <f>B957*2</f>
        <v>2.4</v>
      </c>
      <c r="I958" s="19"/>
      <c r="J958" s="19"/>
      <c r="K958" s="19"/>
      <c r="L958" s="19"/>
      <c r="M958" s="19"/>
      <c r="N958" s="28"/>
      <c r="O958" s="19"/>
      <c r="P958" s="19"/>
      <c r="Q958" s="19"/>
      <c r="R958" s="19"/>
    </row>
    <row r="959" spans="1:18" ht="14.25" customHeight="1" x14ac:dyDescent="0.2">
      <c r="A959" s="19"/>
      <c r="B959" s="19"/>
      <c r="C959" s="19"/>
      <c r="D959" s="19">
        <f>D957*D958</f>
        <v>10259.999999999998</v>
      </c>
      <c r="E959" s="45">
        <f>E958*E956</f>
        <v>0</v>
      </c>
      <c r="F959" s="45">
        <f t="shared" ref="F959:H959" si="747">F956*F958</f>
        <v>0</v>
      </c>
      <c r="G959" s="45">
        <f t="shared" si="747"/>
        <v>7600</v>
      </c>
      <c r="H959" s="19">
        <f t="shared" si="747"/>
        <v>912</v>
      </c>
      <c r="I959" s="19">
        <f t="shared" ref="I959:N959" si="748">I956*I957</f>
        <v>2640</v>
      </c>
      <c r="J959" s="19">
        <f t="shared" si="748"/>
        <v>1000</v>
      </c>
      <c r="K959" s="19">
        <f t="shared" si="748"/>
        <v>375</v>
      </c>
      <c r="L959" s="19">
        <f t="shared" si="748"/>
        <v>702</v>
      </c>
      <c r="M959" s="19">
        <f t="shared" si="748"/>
        <v>1000</v>
      </c>
      <c r="N959" s="19">
        <f t="shared" si="748"/>
        <v>3168</v>
      </c>
      <c r="O959" s="19">
        <f>SUM(D959:N959)</f>
        <v>27657</v>
      </c>
      <c r="P959" s="19">
        <f>O959/A957</f>
        <v>27657</v>
      </c>
      <c r="Q959" s="19">
        <f>P959*Q956</f>
        <v>55314</v>
      </c>
      <c r="R959" s="19">
        <f>MROUND(Q959,100)</f>
        <v>55300</v>
      </c>
    </row>
    <row r="960" spans="1:18" ht="14.25" customHeight="1" x14ac:dyDescent="0.1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</row>
    <row r="961" spans="1:18" ht="14.25" customHeight="1" x14ac:dyDescent="0.3">
      <c r="A961" s="109" t="str">
        <f>PRICELIST!I352</f>
        <v>WSTK-LNR-S-LVM-1200-G</v>
      </c>
      <c r="B961" s="87"/>
      <c r="C961" s="87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7"/>
    </row>
    <row r="962" spans="1:18" ht="14.25" customHeight="1" x14ac:dyDescent="0.15">
      <c r="A962" s="19" t="s">
        <v>57</v>
      </c>
      <c r="B962" s="19" t="s">
        <v>59</v>
      </c>
      <c r="C962" s="19" t="s">
        <v>62</v>
      </c>
      <c r="D962" s="19" t="s">
        <v>64</v>
      </c>
      <c r="E962" s="19">
        <v>1200</v>
      </c>
      <c r="F962" s="19">
        <v>900</v>
      </c>
      <c r="G962" s="19">
        <v>600</v>
      </c>
      <c r="H962" s="19" t="s">
        <v>67</v>
      </c>
      <c r="I962" s="19" t="s">
        <v>68</v>
      </c>
      <c r="J962" s="19" t="s">
        <v>69</v>
      </c>
      <c r="K962" s="19" t="s">
        <v>71</v>
      </c>
      <c r="L962" s="19" t="s">
        <v>72</v>
      </c>
      <c r="M962" s="19" t="s">
        <v>73</v>
      </c>
      <c r="N962" s="19" t="s">
        <v>75</v>
      </c>
      <c r="O962" s="19" t="s">
        <v>76</v>
      </c>
      <c r="P962" s="19" t="s">
        <v>78</v>
      </c>
      <c r="Q962" s="19" t="s">
        <v>79</v>
      </c>
      <c r="R962" s="19" t="s">
        <v>81</v>
      </c>
    </row>
    <row r="963" spans="1:18" ht="14.25" customHeight="1" x14ac:dyDescent="0.15">
      <c r="A963" s="21">
        <f t="shared" ref="A963:B963" si="749">A956</f>
        <v>0</v>
      </c>
      <c r="B963" s="21">
        <f t="shared" si="749"/>
        <v>0</v>
      </c>
      <c r="C963" s="44" t="s">
        <v>188</v>
      </c>
      <c r="D963" s="21">
        <f t="shared" ref="D963:H963" si="750">D956</f>
        <v>0</v>
      </c>
      <c r="E963" s="23" t="str">
        <f t="shared" si="750"/>
        <v>4200</v>
      </c>
      <c r="F963" s="23" t="str">
        <f t="shared" si="750"/>
        <v>4000</v>
      </c>
      <c r="G963" s="23" t="str">
        <f t="shared" si="750"/>
        <v>3800</v>
      </c>
      <c r="H963" s="23">
        <f t="shared" si="750"/>
        <v>380</v>
      </c>
      <c r="I963" s="23" t="str">
        <f>I942</f>
        <v>0</v>
      </c>
      <c r="J963" s="23" t="str">
        <f t="shared" ref="J963:Q963" si="751">J956</f>
        <v>1000</v>
      </c>
      <c r="K963" s="23">
        <f t="shared" si="751"/>
        <v>375</v>
      </c>
      <c r="L963" s="23">
        <f t="shared" si="751"/>
        <v>585</v>
      </c>
      <c r="M963" s="23" t="str">
        <f t="shared" si="751"/>
        <v>1000</v>
      </c>
      <c r="N963" s="23">
        <f t="shared" si="751"/>
        <v>3300</v>
      </c>
      <c r="O963" s="23">
        <f t="shared" si="751"/>
        <v>0</v>
      </c>
      <c r="P963" s="23">
        <f t="shared" si="751"/>
        <v>0</v>
      </c>
      <c r="Q963" s="23">
        <f t="shared" si="751"/>
        <v>2</v>
      </c>
      <c r="R963" s="21"/>
    </row>
    <row r="964" spans="1:18" ht="14.25" customHeight="1" x14ac:dyDescent="0.15">
      <c r="A964" s="19">
        <v>1</v>
      </c>
      <c r="B964" s="19">
        <v>1.2</v>
      </c>
      <c r="C964" s="19">
        <f>0.6+0.3</f>
        <v>0.89999999999999991</v>
      </c>
      <c r="D964" s="19">
        <f>B964*C964</f>
        <v>1.0799999999999998</v>
      </c>
      <c r="E964" s="19"/>
      <c r="F964" s="19"/>
      <c r="G964" s="19"/>
      <c r="H964" s="19"/>
      <c r="I964" s="19">
        <f>B964*0.4</f>
        <v>0.48</v>
      </c>
      <c r="J964" s="19">
        <v>1</v>
      </c>
      <c r="K964" s="19">
        <f t="shared" ref="K964:L964" si="752">A964</f>
        <v>1</v>
      </c>
      <c r="L964" s="19">
        <f t="shared" si="752"/>
        <v>1.2</v>
      </c>
      <c r="M964" s="19">
        <f>A964</f>
        <v>1</v>
      </c>
      <c r="N964" s="19">
        <f>(1.2*0.4)*2</f>
        <v>0.96</v>
      </c>
      <c r="O964" s="19"/>
      <c r="P964" s="19"/>
      <c r="Q964" s="19"/>
      <c r="R964" s="19"/>
    </row>
    <row r="965" spans="1:18" ht="14.25" customHeight="1" x14ac:dyDescent="0.2">
      <c r="A965" s="19"/>
      <c r="B965" s="19"/>
      <c r="C965" s="19"/>
      <c r="D965" s="26" t="str">
        <f>D958</f>
        <v>9500</v>
      </c>
      <c r="E965" s="45">
        <v>0</v>
      </c>
      <c r="F965" s="45">
        <v>0</v>
      </c>
      <c r="G965" s="45">
        <v>2</v>
      </c>
      <c r="H965" s="19">
        <f>B964*2</f>
        <v>2.4</v>
      </c>
      <c r="I965" s="19"/>
      <c r="J965" s="19"/>
      <c r="K965" s="19"/>
      <c r="L965" s="19"/>
      <c r="M965" s="19"/>
      <c r="N965" s="28"/>
      <c r="O965" s="19"/>
      <c r="P965" s="19"/>
      <c r="Q965" s="19"/>
      <c r="R965" s="19"/>
    </row>
    <row r="966" spans="1:18" ht="14.25" customHeight="1" x14ac:dyDescent="0.2">
      <c r="A966" s="19"/>
      <c r="B966" s="19"/>
      <c r="C966" s="19"/>
      <c r="D966" s="19">
        <f>D964*D965</f>
        <v>10259.999999999998</v>
      </c>
      <c r="E966" s="45">
        <f>E965*E963</f>
        <v>0</v>
      </c>
      <c r="F966" s="45">
        <f t="shared" ref="F966:H966" si="753">F963*F965</f>
        <v>0</v>
      </c>
      <c r="G966" s="45">
        <f t="shared" si="753"/>
        <v>7600</v>
      </c>
      <c r="H966" s="19">
        <f t="shared" si="753"/>
        <v>912</v>
      </c>
      <c r="I966" s="19">
        <f t="shared" ref="I966:N966" si="754">I963*I964</f>
        <v>0</v>
      </c>
      <c r="J966" s="19">
        <f t="shared" si="754"/>
        <v>1000</v>
      </c>
      <c r="K966" s="19">
        <f t="shared" si="754"/>
        <v>375</v>
      </c>
      <c r="L966" s="19">
        <f t="shared" si="754"/>
        <v>702</v>
      </c>
      <c r="M966" s="19">
        <f t="shared" si="754"/>
        <v>1000</v>
      </c>
      <c r="N966" s="19">
        <f t="shared" si="754"/>
        <v>3168</v>
      </c>
      <c r="O966" s="19">
        <f>SUM(D966:N966)</f>
        <v>25017</v>
      </c>
      <c r="P966" s="19">
        <f>O966/A964</f>
        <v>25017</v>
      </c>
      <c r="Q966" s="19">
        <f>P966*Q963</f>
        <v>50034</v>
      </c>
      <c r="R966" s="19">
        <f>MROUND(Q966,100)</f>
        <v>50000</v>
      </c>
    </row>
    <row r="967" spans="1:18" ht="14.25" customHeight="1" x14ac:dyDescent="0.1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</row>
    <row r="968" spans="1:18" ht="14.25" customHeight="1" x14ac:dyDescent="0.3">
      <c r="A968" s="109" t="str">
        <f>PRICELIST!I353</f>
        <v>WSTK-LNR-S-LVM-1200-X</v>
      </c>
      <c r="B968" s="87"/>
      <c r="C968" s="87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7"/>
    </row>
    <row r="969" spans="1:18" ht="14.25" customHeight="1" x14ac:dyDescent="0.15">
      <c r="A969" s="19" t="s">
        <v>57</v>
      </c>
      <c r="B969" s="19" t="s">
        <v>59</v>
      </c>
      <c r="C969" s="19" t="s">
        <v>62</v>
      </c>
      <c r="D969" s="19" t="s">
        <v>64</v>
      </c>
      <c r="E969" s="19">
        <v>1200</v>
      </c>
      <c r="F969" s="19">
        <v>900</v>
      </c>
      <c r="G969" s="19">
        <v>600</v>
      </c>
      <c r="H969" s="19" t="s">
        <v>67</v>
      </c>
      <c r="I969" s="19" t="s">
        <v>68</v>
      </c>
      <c r="J969" s="19" t="s">
        <v>69</v>
      </c>
      <c r="K969" s="19" t="s">
        <v>71</v>
      </c>
      <c r="L969" s="19" t="s">
        <v>72</v>
      </c>
      <c r="M969" s="19" t="s">
        <v>73</v>
      </c>
      <c r="N969" s="19" t="s">
        <v>75</v>
      </c>
      <c r="O969" s="19" t="s">
        <v>76</v>
      </c>
      <c r="P969" s="19" t="s">
        <v>78</v>
      </c>
      <c r="Q969" s="19" t="s">
        <v>79</v>
      </c>
      <c r="R969" s="19" t="s">
        <v>81</v>
      </c>
    </row>
    <row r="970" spans="1:18" ht="14.25" customHeight="1" x14ac:dyDescent="0.15">
      <c r="A970" s="21">
        <f t="shared" ref="A970:B970" si="755">A963</f>
        <v>0</v>
      </c>
      <c r="B970" s="21">
        <f t="shared" si="755"/>
        <v>0</v>
      </c>
      <c r="C970" s="44" t="s">
        <v>188</v>
      </c>
      <c r="D970" s="21">
        <f t="shared" ref="D970:H970" si="756">D963</f>
        <v>0</v>
      </c>
      <c r="E970" s="23" t="str">
        <f t="shared" si="756"/>
        <v>4200</v>
      </c>
      <c r="F970" s="23" t="str">
        <f t="shared" si="756"/>
        <v>4000</v>
      </c>
      <c r="G970" s="23" t="str">
        <f t="shared" si="756"/>
        <v>3800</v>
      </c>
      <c r="H970" s="23">
        <f t="shared" si="756"/>
        <v>380</v>
      </c>
      <c r="I970" s="23" t="str">
        <f>I949</f>
        <v>4800</v>
      </c>
      <c r="J970" s="23" t="str">
        <f t="shared" ref="J970:Q970" si="757">J963</f>
        <v>1000</v>
      </c>
      <c r="K970" s="23">
        <f t="shared" si="757"/>
        <v>375</v>
      </c>
      <c r="L970" s="23">
        <f t="shared" si="757"/>
        <v>585</v>
      </c>
      <c r="M970" s="23" t="str">
        <f t="shared" si="757"/>
        <v>1000</v>
      </c>
      <c r="N970" s="23">
        <f t="shared" si="757"/>
        <v>3300</v>
      </c>
      <c r="O970" s="23">
        <f t="shared" si="757"/>
        <v>0</v>
      </c>
      <c r="P970" s="23">
        <f t="shared" si="757"/>
        <v>0</v>
      </c>
      <c r="Q970" s="23">
        <f t="shared" si="757"/>
        <v>2</v>
      </c>
      <c r="R970" s="21"/>
    </row>
    <row r="971" spans="1:18" ht="14.25" customHeight="1" x14ac:dyDescent="0.15">
      <c r="A971" s="19">
        <v>1</v>
      </c>
      <c r="B971" s="19">
        <v>1.2</v>
      </c>
      <c r="C971" s="19">
        <f>0.6+0.3</f>
        <v>0.89999999999999991</v>
      </c>
      <c r="D971" s="19">
        <f>B971*C971</f>
        <v>1.0799999999999998</v>
      </c>
      <c r="E971" s="19"/>
      <c r="F971" s="19"/>
      <c r="G971" s="19"/>
      <c r="H971" s="19"/>
      <c r="I971" s="19">
        <f>B971*0.4</f>
        <v>0.48</v>
      </c>
      <c r="J971" s="19">
        <v>1</v>
      </c>
      <c r="K971" s="19">
        <f t="shared" ref="K971:L971" si="758">A971</f>
        <v>1</v>
      </c>
      <c r="L971" s="19">
        <f t="shared" si="758"/>
        <v>1.2</v>
      </c>
      <c r="M971" s="19">
        <f>A971</f>
        <v>1</v>
      </c>
      <c r="N971" s="19">
        <f>(1.2*0.4)*2</f>
        <v>0.96</v>
      </c>
      <c r="O971" s="19"/>
      <c r="P971" s="19"/>
      <c r="Q971" s="19"/>
      <c r="R971" s="19"/>
    </row>
    <row r="972" spans="1:18" ht="14.25" customHeight="1" x14ac:dyDescent="0.2">
      <c r="A972" s="19"/>
      <c r="B972" s="19"/>
      <c r="C972" s="19"/>
      <c r="D972" s="26" t="str">
        <f>D853</f>
        <v>10500</v>
      </c>
      <c r="E972" s="45">
        <v>0</v>
      </c>
      <c r="F972" s="45">
        <v>0</v>
      </c>
      <c r="G972" s="45">
        <v>2</v>
      </c>
      <c r="H972" s="19">
        <f>B971*2</f>
        <v>2.4</v>
      </c>
      <c r="I972" s="19"/>
      <c r="J972" s="19"/>
      <c r="K972" s="19"/>
      <c r="L972" s="19"/>
      <c r="M972" s="19"/>
      <c r="N972" s="28"/>
      <c r="O972" s="19"/>
      <c r="P972" s="19"/>
      <c r="Q972" s="19"/>
      <c r="R972" s="19"/>
    </row>
    <row r="973" spans="1:18" ht="14.25" customHeight="1" x14ac:dyDescent="0.2">
      <c r="A973" s="19"/>
      <c r="B973" s="19"/>
      <c r="C973" s="19"/>
      <c r="D973" s="19">
        <f>D971*D972</f>
        <v>11339.999999999998</v>
      </c>
      <c r="E973" s="45">
        <f>E972*E970</f>
        <v>0</v>
      </c>
      <c r="F973" s="45">
        <f t="shared" ref="F973:H973" si="759">F970*F972</f>
        <v>0</v>
      </c>
      <c r="G973" s="45">
        <f t="shared" si="759"/>
        <v>7600</v>
      </c>
      <c r="H973" s="19">
        <f t="shared" si="759"/>
        <v>912</v>
      </c>
      <c r="I973" s="19">
        <f t="shared" ref="I973:N973" si="760">I970*I971</f>
        <v>2304</v>
      </c>
      <c r="J973" s="19">
        <f t="shared" si="760"/>
        <v>1000</v>
      </c>
      <c r="K973" s="19">
        <f t="shared" si="760"/>
        <v>375</v>
      </c>
      <c r="L973" s="19">
        <f t="shared" si="760"/>
        <v>702</v>
      </c>
      <c r="M973" s="19">
        <f t="shared" si="760"/>
        <v>1000</v>
      </c>
      <c r="N973" s="19">
        <f t="shared" si="760"/>
        <v>3168</v>
      </c>
      <c r="O973" s="19">
        <f>SUM(D973:N973)</f>
        <v>28401</v>
      </c>
      <c r="P973" s="19">
        <f>O973/A971</f>
        <v>28401</v>
      </c>
      <c r="Q973" s="19">
        <f>P973*Q970</f>
        <v>56802</v>
      </c>
      <c r="R973" s="19">
        <f>MROUND(Q973,100)</f>
        <v>56800</v>
      </c>
    </row>
    <row r="974" spans="1:18" ht="14.25" customHeight="1" x14ac:dyDescent="0.1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</row>
    <row r="975" spans="1:18" ht="14.25" customHeight="1" x14ac:dyDescent="0.3">
      <c r="A975" s="109" t="str">
        <f>PRICELIST!I354</f>
        <v>WSTK-LNR-S-LVP-1200-F</v>
      </c>
      <c r="B975" s="87"/>
      <c r="C975" s="87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7"/>
    </row>
    <row r="976" spans="1:18" ht="14.25" customHeight="1" x14ac:dyDescent="0.15">
      <c r="A976" s="19" t="s">
        <v>57</v>
      </c>
      <c r="B976" s="19" t="s">
        <v>59</v>
      </c>
      <c r="C976" s="19" t="s">
        <v>62</v>
      </c>
      <c r="D976" s="19" t="s">
        <v>64</v>
      </c>
      <c r="E976" s="19">
        <v>1200</v>
      </c>
      <c r="F976" s="19">
        <v>900</v>
      </c>
      <c r="G976" s="19">
        <v>600</v>
      </c>
      <c r="H976" s="19" t="s">
        <v>67</v>
      </c>
      <c r="I976" s="19" t="s">
        <v>68</v>
      </c>
      <c r="J976" s="19" t="s">
        <v>69</v>
      </c>
      <c r="K976" s="19" t="s">
        <v>71</v>
      </c>
      <c r="L976" s="19" t="s">
        <v>72</v>
      </c>
      <c r="M976" s="19" t="s">
        <v>73</v>
      </c>
      <c r="N976" s="19" t="s">
        <v>75</v>
      </c>
      <c r="O976" s="19" t="s">
        <v>76</v>
      </c>
      <c r="P976" s="19" t="s">
        <v>78</v>
      </c>
      <c r="Q976" s="19" t="s">
        <v>79</v>
      </c>
      <c r="R976" s="19" t="s">
        <v>81</v>
      </c>
    </row>
    <row r="977" spans="1:18" ht="14.25" customHeight="1" x14ac:dyDescent="0.15">
      <c r="A977" s="21">
        <f t="shared" ref="A977:B977" si="761">A970</f>
        <v>0</v>
      </c>
      <c r="B977" s="21">
        <f t="shared" si="761"/>
        <v>0</v>
      </c>
      <c r="C977" s="44" t="s">
        <v>188</v>
      </c>
      <c r="D977" s="21">
        <f t="shared" ref="D977:H977" si="762">D970</f>
        <v>0</v>
      </c>
      <c r="E977" s="23" t="str">
        <f t="shared" si="762"/>
        <v>4200</v>
      </c>
      <c r="F977" s="23" t="str">
        <f t="shared" si="762"/>
        <v>4000</v>
      </c>
      <c r="G977" s="23" t="str">
        <f t="shared" si="762"/>
        <v>3800</v>
      </c>
      <c r="H977" s="23">
        <f t="shared" si="762"/>
        <v>380</v>
      </c>
      <c r="I977" s="23" t="str">
        <f>I956</f>
        <v>5500</v>
      </c>
      <c r="J977" s="23" t="str">
        <f t="shared" ref="J977:Q977" si="763">J970</f>
        <v>1000</v>
      </c>
      <c r="K977" s="23">
        <f t="shared" si="763"/>
        <v>375</v>
      </c>
      <c r="L977" s="23">
        <f t="shared" si="763"/>
        <v>585</v>
      </c>
      <c r="M977" s="23" t="str">
        <f t="shared" si="763"/>
        <v>1000</v>
      </c>
      <c r="N977" s="23">
        <f t="shared" si="763"/>
        <v>3300</v>
      </c>
      <c r="O977" s="23">
        <f t="shared" si="763"/>
        <v>0</v>
      </c>
      <c r="P977" s="23">
        <f t="shared" si="763"/>
        <v>0</v>
      </c>
      <c r="Q977" s="23">
        <f t="shared" si="763"/>
        <v>2</v>
      </c>
      <c r="R977" s="21"/>
    </row>
    <row r="978" spans="1:18" ht="14.25" customHeight="1" x14ac:dyDescent="0.15">
      <c r="A978" s="19">
        <v>1</v>
      </c>
      <c r="B978" s="19">
        <v>1.2</v>
      </c>
      <c r="C978" s="19">
        <f>0.6+0.3</f>
        <v>0.89999999999999991</v>
      </c>
      <c r="D978" s="19">
        <f>B978*C978</f>
        <v>1.0799999999999998</v>
      </c>
      <c r="E978" s="19"/>
      <c r="F978" s="19"/>
      <c r="G978" s="19"/>
      <c r="H978" s="19"/>
      <c r="I978" s="19">
        <f>B978*0.4</f>
        <v>0.48</v>
      </c>
      <c r="J978" s="19">
        <v>1</v>
      </c>
      <c r="K978" s="19">
        <f t="shared" ref="K978:L978" si="764">A978</f>
        <v>1</v>
      </c>
      <c r="L978" s="19">
        <f t="shared" si="764"/>
        <v>1.2</v>
      </c>
      <c r="M978" s="19">
        <f>A978</f>
        <v>1</v>
      </c>
      <c r="N978" s="19">
        <f>(1.2*0.4)*2</f>
        <v>0.96</v>
      </c>
      <c r="O978" s="19"/>
      <c r="P978" s="19"/>
      <c r="Q978" s="19"/>
      <c r="R978" s="19"/>
    </row>
    <row r="979" spans="1:18" ht="14.25" customHeight="1" x14ac:dyDescent="0.2">
      <c r="A979" s="19"/>
      <c r="B979" s="19"/>
      <c r="C979" s="19"/>
      <c r="D979" s="26" t="str">
        <f>D972</f>
        <v>10500</v>
      </c>
      <c r="E979" s="45">
        <v>0</v>
      </c>
      <c r="F979" s="45">
        <v>0</v>
      </c>
      <c r="G979" s="45">
        <v>2</v>
      </c>
      <c r="H979" s="19">
        <f>B978*2</f>
        <v>2.4</v>
      </c>
      <c r="I979" s="19"/>
      <c r="J979" s="19"/>
      <c r="K979" s="19"/>
      <c r="L979" s="19"/>
      <c r="M979" s="19"/>
      <c r="N979" s="28"/>
      <c r="O979" s="19"/>
      <c r="P979" s="19"/>
      <c r="Q979" s="19"/>
      <c r="R979" s="19"/>
    </row>
    <row r="980" spans="1:18" ht="14.25" customHeight="1" x14ac:dyDescent="0.2">
      <c r="A980" s="19"/>
      <c r="B980" s="19"/>
      <c r="C980" s="19"/>
      <c r="D980" s="19">
        <f>D978*D979</f>
        <v>11339.999999999998</v>
      </c>
      <c r="E980" s="45">
        <f>E979*E977</f>
        <v>0</v>
      </c>
      <c r="F980" s="45">
        <f t="shared" ref="F980:H980" si="765">F977*F979</f>
        <v>0</v>
      </c>
      <c r="G980" s="45">
        <f t="shared" si="765"/>
        <v>7600</v>
      </c>
      <c r="H980" s="19">
        <f t="shared" si="765"/>
        <v>912</v>
      </c>
      <c r="I980" s="19">
        <f t="shared" ref="I980:N980" si="766">I977*I978</f>
        <v>2640</v>
      </c>
      <c r="J980" s="19">
        <f t="shared" si="766"/>
        <v>1000</v>
      </c>
      <c r="K980" s="19">
        <f t="shared" si="766"/>
        <v>375</v>
      </c>
      <c r="L980" s="19">
        <f t="shared" si="766"/>
        <v>702</v>
      </c>
      <c r="M980" s="19">
        <f t="shared" si="766"/>
        <v>1000</v>
      </c>
      <c r="N980" s="19">
        <f t="shared" si="766"/>
        <v>3168</v>
      </c>
      <c r="O980" s="19">
        <f>SUM(D980:N980)</f>
        <v>28737</v>
      </c>
      <c r="P980" s="19">
        <f>O980/A978</f>
        <v>28737</v>
      </c>
      <c r="Q980" s="19">
        <f>P980*Q977</f>
        <v>57474</v>
      </c>
      <c r="R980" s="19">
        <f>MROUND(Q980,100)</f>
        <v>57500</v>
      </c>
    </row>
    <row r="981" spans="1:18" ht="14.25" customHeight="1" x14ac:dyDescent="0.1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</row>
    <row r="982" spans="1:18" ht="14.25" customHeight="1" x14ac:dyDescent="0.3">
      <c r="A982" s="109" t="str">
        <f>PRICELIST!I355</f>
        <v>WSTK-LNR-S-LVP-1200-G</v>
      </c>
      <c r="B982" s="87"/>
      <c r="C982" s="87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7"/>
    </row>
    <row r="983" spans="1:18" ht="14.25" customHeight="1" x14ac:dyDescent="0.15">
      <c r="A983" s="19" t="s">
        <v>57</v>
      </c>
      <c r="B983" s="19" t="s">
        <v>59</v>
      </c>
      <c r="C983" s="19" t="s">
        <v>62</v>
      </c>
      <c r="D983" s="19" t="s">
        <v>64</v>
      </c>
      <c r="E983" s="19">
        <v>1200</v>
      </c>
      <c r="F983" s="19">
        <v>900</v>
      </c>
      <c r="G983" s="19">
        <v>600</v>
      </c>
      <c r="H983" s="19" t="s">
        <v>67</v>
      </c>
      <c r="I983" s="19" t="s">
        <v>68</v>
      </c>
      <c r="J983" s="19" t="s">
        <v>69</v>
      </c>
      <c r="K983" s="19" t="s">
        <v>71</v>
      </c>
      <c r="L983" s="19" t="s">
        <v>72</v>
      </c>
      <c r="M983" s="19" t="s">
        <v>73</v>
      </c>
      <c r="N983" s="19" t="s">
        <v>75</v>
      </c>
      <c r="O983" s="19" t="s">
        <v>76</v>
      </c>
      <c r="P983" s="19" t="s">
        <v>78</v>
      </c>
      <c r="Q983" s="19" t="s">
        <v>79</v>
      </c>
      <c r="R983" s="19" t="s">
        <v>81</v>
      </c>
    </row>
    <row r="984" spans="1:18" ht="14.25" customHeight="1" x14ac:dyDescent="0.15">
      <c r="A984" s="21">
        <f t="shared" ref="A984:B984" si="767">A977</f>
        <v>0</v>
      </c>
      <c r="B984" s="21">
        <f t="shared" si="767"/>
        <v>0</v>
      </c>
      <c r="C984" s="44" t="s">
        <v>188</v>
      </c>
      <c r="D984" s="21">
        <f t="shared" ref="D984:H984" si="768">D977</f>
        <v>0</v>
      </c>
      <c r="E984" s="23" t="str">
        <f t="shared" si="768"/>
        <v>4200</v>
      </c>
      <c r="F984" s="23" t="str">
        <f t="shared" si="768"/>
        <v>4000</v>
      </c>
      <c r="G984" s="23" t="str">
        <f t="shared" si="768"/>
        <v>3800</v>
      </c>
      <c r="H984" s="23">
        <f t="shared" si="768"/>
        <v>380</v>
      </c>
      <c r="I984" s="23" t="str">
        <f>I963</f>
        <v>0</v>
      </c>
      <c r="J984" s="23" t="str">
        <f t="shared" ref="J984:Q984" si="769">J977</f>
        <v>1000</v>
      </c>
      <c r="K984" s="23">
        <f t="shared" si="769"/>
        <v>375</v>
      </c>
      <c r="L984" s="23">
        <f t="shared" si="769"/>
        <v>585</v>
      </c>
      <c r="M984" s="23" t="str">
        <f t="shared" si="769"/>
        <v>1000</v>
      </c>
      <c r="N984" s="23">
        <f t="shared" si="769"/>
        <v>3300</v>
      </c>
      <c r="O984" s="23">
        <f t="shared" si="769"/>
        <v>0</v>
      </c>
      <c r="P984" s="23">
        <f t="shared" si="769"/>
        <v>0</v>
      </c>
      <c r="Q984" s="23">
        <f t="shared" si="769"/>
        <v>2</v>
      </c>
      <c r="R984" s="21"/>
    </row>
    <row r="985" spans="1:18" ht="14.25" customHeight="1" x14ac:dyDescent="0.15">
      <c r="A985" s="19">
        <v>1</v>
      </c>
      <c r="B985" s="19">
        <v>1.2</v>
      </c>
      <c r="C985" s="19">
        <f>0.6+0.3</f>
        <v>0.89999999999999991</v>
      </c>
      <c r="D985" s="19">
        <f>B985*C985</f>
        <v>1.0799999999999998</v>
      </c>
      <c r="E985" s="19"/>
      <c r="F985" s="19"/>
      <c r="G985" s="19"/>
      <c r="H985" s="19"/>
      <c r="I985" s="19">
        <f>B985*0.4</f>
        <v>0.48</v>
      </c>
      <c r="J985" s="19">
        <v>1</v>
      </c>
      <c r="K985" s="19">
        <f t="shared" ref="K985:L985" si="770">A985</f>
        <v>1</v>
      </c>
      <c r="L985" s="19">
        <f t="shared" si="770"/>
        <v>1.2</v>
      </c>
      <c r="M985" s="19">
        <f>A985</f>
        <v>1</v>
      </c>
      <c r="N985" s="19">
        <f>(1.2*0.4)*2</f>
        <v>0.96</v>
      </c>
      <c r="O985" s="19"/>
      <c r="P985" s="19"/>
      <c r="Q985" s="19"/>
      <c r="R985" s="19"/>
    </row>
    <row r="986" spans="1:18" ht="14.25" customHeight="1" x14ac:dyDescent="0.2">
      <c r="A986" s="19"/>
      <c r="B986" s="19"/>
      <c r="C986" s="19"/>
      <c r="D986" s="26" t="str">
        <f>D979</f>
        <v>10500</v>
      </c>
      <c r="E986" s="45">
        <v>0</v>
      </c>
      <c r="F986" s="45">
        <v>0</v>
      </c>
      <c r="G986" s="45">
        <v>2</v>
      </c>
      <c r="H986" s="19">
        <f>B985*2</f>
        <v>2.4</v>
      </c>
      <c r="I986" s="19"/>
      <c r="J986" s="19"/>
      <c r="K986" s="19"/>
      <c r="L986" s="19"/>
      <c r="M986" s="19"/>
      <c r="N986" s="28"/>
      <c r="O986" s="19"/>
      <c r="P986" s="19"/>
      <c r="Q986" s="19"/>
      <c r="R986" s="19"/>
    </row>
    <row r="987" spans="1:18" ht="14.25" customHeight="1" x14ac:dyDescent="0.2">
      <c r="A987" s="19"/>
      <c r="B987" s="19"/>
      <c r="C987" s="19"/>
      <c r="D987" s="19">
        <f>D985*D986</f>
        <v>11339.999999999998</v>
      </c>
      <c r="E987" s="45">
        <f>E986*E984</f>
        <v>0</v>
      </c>
      <c r="F987" s="45">
        <f t="shared" ref="F987:H987" si="771">F984*F986</f>
        <v>0</v>
      </c>
      <c r="G987" s="45">
        <f t="shared" si="771"/>
        <v>7600</v>
      </c>
      <c r="H987" s="19">
        <f t="shared" si="771"/>
        <v>912</v>
      </c>
      <c r="I987" s="19">
        <f t="shared" ref="I987:N987" si="772">I984*I985</f>
        <v>0</v>
      </c>
      <c r="J987" s="19">
        <f t="shared" si="772"/>
        <v>1000</v>
      </c>
      <c r="K987" s="19">
        <f t="shared" si="772"/>
        <v>375</v>
      </c>
      <c r="L987" s="19">
        <f t="shared" si="772"/>
        <v>702</v>
      </c>
      <c r="M987" s="19">
        <f t="shared" si="772"/>
        <v>1000</v>
      </c>
      <c r="N987" s="19">
        <f t="shared" si="772"/>
        <v>3168</v>
      </c>
      <c r="O987" s="19">
        <f>SUM(D987:N987)</f>
        <v>26097</v>
      </c>
      <c r="P987" s="19">
        <f>O987/A985</f>
        <v>26097</v>
      </c>
      <c r="Q987" s="19">
        <f>P987*Q984</f>
        <v>52194</v>
      </c>
      <c r="R987" s="19">
        <f>MROUND(Q987,100)</f>
        <v>52200</v>
      </c>
    </row>
    <row r="988" spans="1:18" ht="14.25" customHeight="1" x14ac:dyDescent="0.1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</row>
    <row r="989" spans="1:18" ht="14.25" customHeight="1" x14ac:dyDescent="0.3">
      <c r="A989" s="109" t="str">
        <f>PRICELIST!I356</f>
        <v>WSTK-LNR-S-LVP-1200-X</v>
      </c>
      <c r="B989" s="87"/>
      <c r="C989" s="87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7"/>
    </row>
    <row r="990" spans="1:18" ht="14.25" customHeight="1" x14ac:dyDescent="0.15">
      <c r="A990" s="19" t="s">
        <v>57</v>
      </c>
      <c r="B990" s="19" t="s">
        <v>59</v>
      </c>
      <c r="C990" s="19" t="s">
        <v>62</v>
      </c>
      <c r="D990" s="19" t="s">
        <v>64</v>
      </c>
      <c r="E990" s="19">
        <v>1200</v>
      </c>
      <c r="F990" s="19">
        <v>900</v>
      </c>
      <c r="G990" s="19">
        <v>600</v>
      </c>
      <c r="H990" s="19" t="s">
        <v>67</v>
      </c>
      <c r="I990" s="19" t="s">
        <v>68</v>
      </c>
      <c r="J990" s="19" t="s">
        <v>69</v>
      </c>
      <c r="K990" s="19" t="s">
        <v>71</v>
      </c>
      <c r="L990" s="19" t="s">
        <v>72</v>
      </c>
      <c r="M990" s="19" t="s">
        <v>73</v>
      </c>
      <c r="N990" s="19" t="s">
        <v>75</v>
      </c>
      <c r="O990" s="19" t="s">
        <v>76</v>
      </c>
      <c r="P990" s="19" t="s">
        <v>78</v>
      </c>
      <c r="Q990" s="19" t="s">
        <v>79</v>
      </c>
      <c r="R990" s="19" t="s">
        <v>81</v>
      </c>
    </row>
    <row r="991" spans="1:18" ht="14.25" customHeight="1" x14ac:dyDescent="0.15">
      <c r="A991" s="21">
        <f t="shared" ref="A991:B991" si="773">A984</f>
        <v>0</v>
      </c>
      <c r="B991" s="21">
        <f t="shared" si="773"/>
        <v>0</v>
      </c>
      <c r="C991" s="44" t="s">
        <v>188</v>
      </c>
      <c r="D991" s="21">
        <f t="shared" ref="D991:H991" si="774">D984</f>
        <v>0</v>
      </c>
      <c r="E991" s="23" t="str">
        <f t="shared" si="774"/>
        <v>4200</v>
      </c>
      <c r="F991" s="23" t="str">
        <f t="shared" si="774"/>
        <v>4000</v>
      </c>
      <c r="G991" s="23" t="str">
        <f t="shared" si="774"/>
        <v>3800</v>
      </c>
      <c r="H991" s="23">
        <f t="shared" si="774"/>
        <v>380</v>
      </c>
      <c r="I991" s="23" t="str">
        <f>I970</f>
        <v>4800</v>
      </c>
      <c r="J991" s="23" t="str">
        <f t="shared" ref="J991:Q991" si="775">J984</f>
        <v>1000</v>
      </c>
      <c r="K991" s="23">
        <f t="shared" si="775"/>
        <v>375</v>
      </c>
      <c r="L991" s="23">
        <f t="shared" si="775"/>
        <v>585</v>
      </c>
      <c r="M991" s="23" t="str">
        <f t="shared" si="775"/>
        <v>1000</v>
      </c>
      <c r="N991" s="23">
        <f t="shared" si="775"/>
        <v>3300</v>
      </c>
      <c r="O991" s="23">
        <f t="shared" si="775"/>
        <v>0</v>
      </c>
      <c r="P991" s="23">
        <f t="shared" si="775"/>
        <v>0</v>
      </c>
      <c r="Q991" s="23">
        <f t="shared" si="775"/>
        <v>2</v>
      </c>
      <c r="R991" s="21"/>
    </row>
    <row r="992" spans="1:18" ht="14.25" customHeight="1" x14ac:dyDescent="0.15">
      <c r="A992" s="19">
        <v>1</v>
      </c>
      <c r="B992" s="19">
        <v>1.2</v>
      </c>
      <c r="C992" s="19">
        <f>0.6+0.3</f>
        <v>0.89999999999999991</v>
      </c>
      <c r="D992" s="19">
        <f>B992*C992</f>
        <v>1.0799999999999998</v>
      </c>
      <c r="E992" s="19"/>
      <c r="F992" s="19"/>
      <c r="G992" s="19"/>
      <c r="H992" s="19"/>
      <c r="I992" s="19">
        <f>B992*0.4</f>
        <v>0.48</v>
      </c>
      <c r="J992" s="19">
        <v>1</v>
      </c>
      <c r="K992" s="19">
        <f t="shared" ref="K992:L992" si="776">A992</f>
        <v>1</v>
      </c>
      <c r="L992" s="19">
        <f t="shared" si="776"/>
        <v>1.2</v>
      </c>
      <c r="M992" s="19">
        <f>A992</f>
        <v>1</v>
      </c>
      <c r="N992" s="19">
        <f>(1.2*0.4)*2</f>
        <v>0.96</v>
      </c>
      <c r="O992" s="19"/>
      <c r="P992" s="19"/>
      <c r="Q992" s="19"/>
      <c r="R992" s="19"/>
    </row>
    <row r="993" spans="1:18" ht="14.25" customHeight="1" x14ac:dyDescent="0.2">
      <c r="A993" s="19"/>
      <c r="B993" s="19"/>
      <c r="C993" s="19"/>
      <c r="D993" s="26" t="str">
        <f>D867</f>
        <v>16250</v>
      </c>
      <c r="E993" s="45">
        <v>0</v>
      </c>
      <c r="F993" s="45">
        <v>0</v>
      </c>
      <c r="G993" s="45">
        <v>2</v>
      </c>
      <c r="H993" s="19">
        <f>B992*2</f>
        <v>2.4</v>
      </c>
      <c r="I993" s="19"/>
      <c r="J993" s="19"/>
      <c r="K993" s="19"/>
      <c r="L993" s="19"/>
      <c r="M993" s="19"/>
      <c r="N993" s="28"/>
      <c r="O993" s="19"/>
      <c r="P993" s="19"/>
      <c r="Q993" s="19"/>
      <c r="R993" s="19"/>
    </row>
    <row r="994" spans="1:18" ht="14.25" customHeight="1" x14ac:dyDescent="0.2">
      <c r="A994" s="19"/>
      <c r="B994" s="19"/>
      <c r="C994" s="19"/>
      <c r="D994" s="19">
        <f>D992*D993</f>
        <v>17549.999999999996</v>
      </c>
      <c r="E994" s="45">
        <f>E993*E991</f>
        <v>0</v>
      </c>
      <c r="F994" s="45">
        <f t="shared" ref="F994:H994" si="777">F991*F993</f>
        <v>0</v>
      </c>
      <c r="G994" s="45">
        <f t="shared" si="777"/>
        <v>7600</v>
      </c>
      <c r="H994" s="19">
        <f t="shared" si="777"/>
        <v>912</v>
      </c>
      <c r="I994" s="19">
        <f t="shared" ref="I994:N994" si="778">I991*I992</f>
        <v>2304</v>
      </c>
      <c r="J994" s="19">
        <f t="shared" si="778"/>
        <v>1000</v>
      </c>
      <c r="K994" s="19">
        <f t="shared" si="778"/>
        <v>375</v>
      </c>
      <c r="L994" s="19">
        <f t="shared" si="778"/>
        <v>702</v>
      </c>
      <c r="M994" s="19">
        <f t="shared" si="778"/>
        <v>1000</v>
      </c>
      <c r="N994" s="19">
        <f t="shared" si="778"/>
        <v>3168</v>
      </c>
      <c r="O994" s="19">
        <f>SUM(D994:N994)</f>
        <v>34611</v>
      </c>
      <c r="P994" s="19">
        <f>O994/A992</f>
        <v>34611</v>
      </c>
      <c r="Q994" s="19">
        <f>P994*Q991</f>
        <v>69222</v>
      </c>
      <c r="R994" s="19">
        <f>MROUND(Q994,100)</f>
        <v>69200</v>
      </c>
    </row>
    <row r="995" spans="1:18" ht="14.25" customHeight="1" x14ac:dyDescent="0.1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</row>
    <row r="996" spans="1:18" ht="14.25" customHeight="1" x14ac:dyDescent="0.3">
      <c r="A996" s="109" t="str">
        <f>PRICELIST!I357</f>
        <v>WSTK-LNR-S-MB-1200-F</v>
      </c>
      <c r="B996" s="87"/>
      <c r="C996" s="87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7"/>
    </row>
    <row r="997" spans="1:18" ht="14.25" customHeight="1" x14ac:dyDescent="0.15">
      <c r="A997" s="19" t="s">
        <v>57</v>
      </c>
      <c r="B997" s="19" t="s">
        <v>59</v>
      </c>
      <c r="C997" s="19" t="s">
        <v>62</v>
      </c>
      <c r="D997" s="19" t="s">
        <v>64</v>
      </c>
      <c r="E997" s="19">
        <v>1200</v>
      </c>
      <c r="F997" s="19">
        <v>900</v>
      </c>
      <c r="G997" s="19">
        <v>600</v>
      </c>
      <c r="H997" s="19" t="s">
        <v>67</v>
      </c>
      <c r="I997" s="19" t="s">
        <v>68</v>
      </c>
      <c r="J997" s="19" t="s">
        <v>69</v>
      </c>
      <c r="K997" s="19" t="s">
        <v>71</v>
      </c>
      <c r="L997" s="19" t="s">
        <v>72</v>
      </c>
      <c r="M997" s="19" t="s">
        <v>73</v>
      </c>
      <c r="N997" s="19" t="s">
        <v>75</v>
      </c>
      <c r="O997" s="19" t="s">
        <v>76</v>
      </c>
      <c r="P997" s="19" t="s">
        <v>78</v>
      </c>
      <c r="Q997" s="19" t="s">
        <v>79</v>
      </c>
      <c r="R997" s="19" t="s">
        <v>81</v>
      </c>
    </row>
    <row r="998" spans="1:18" ht="14.25" customHeight="1" x14ac:dyDescent="0.15">
      <c r="A998" s="21">
        <f t="shared" ref="A998:B998" si="779">A991</f>
        <v>0</v>
      </c>
      <c r="B998" s="21">
        <f t="shared" si="779"/>
        <v>0</v>
      </c>
      <c r="C998" s="44" t="s">
        <v>188</v>
      </c>
      <c r="D998" s="21">
        <f t="shared" ref="D998:H998" si="780">D991</f>
        <v>0</v>
      </c>
      <c r="E998" s="23" t="str">
        <f t="shared" si="780"/>
        <v>4200</v>
      </c>
      <c r="F998" s="23" t="str">
        <f t="shared" si="780"/>
        <v>4000</v>
      </c>
      <c r="G998" s="23" t="str">
        <f t="shared" si="780"/>
        <v>3800</v>
      </c>
      <c r="H998" s="23">
        <f t="shared" si="780"/>
        <v>380</v>
      </c>
      <c r="I998" s="23" t="str">
        <f>I977</f>
        <v>5500</v>
      </c>
      <c r="J998" s="23" t="str">
        <f t="shared" ref="J998:Q998" si="781">J991</f>
        <v>1000</v>
      </c>
      <c r="K998" s="23">
        <f t="shared" si="781"/>
        <v>375</v>
      </c>
      <c r="L998" s="23">
        <f t="shared" si="781"/>
        <v>585</v>
      </c>
      <c r="M998" s="23" t="str">
        <f t="shared" si="781"/>
        <v>1000</v>
      </c>
      <c r="N998" s="23">
        <f t="shared" si="781"/>
        <v>3300</v>
      </c>
      <c r="O998" s="23">
        <f t="shared" si="781"/>
        <v>0</v>
      </c>
      <c r="P998" s="23">
        <f t="shared" si="781"/>
        <v>0</v>
      </c>
      <c r="Q998" s="23">
        <f t="shared" si="781"/>
        <v>2</v>
      </c>
      <c r="R998" s="21"/>
    </row>
    <row r="999" spans="1:18" ht="14.25" customHeight="1" x14ac:dyDescent="0.15">
      <c r="A999" s="19">
        <v>1</v>
      </c>
      <c r="B999" s="19">
        <v>1.2</v>
      </c>
      <c r="C999" s="19">
        <f>0.6+0.3</f>
        <v>0.89999999999999991</v>
      </c>
      <c r="D999" s="19">
        <f>B999*C999</f>
        <v>1.0799999999999998</v>
      </c>
      <c r="E999" s="19"/>
      <c r="F999" s="19"/>
      <c r="G999" s="19"/>
      <c r="H999" s="19"/>
      <c r="I999" s="19">
        <f>B999*0.4</f>
        <v>0.48</v>
      </c>
      <c r="J999" s="19">
        <v>1</v>
      </c>
      <c r="K999" s="19">
        <f t="shared" ref="K999:L999" si="782">A999</f>
        <v>1</v>
      </c>
      <c r="L999" s="19">
        <f t="shared" si="782"/>
        <v>1.2</v>
      </c>
      <c r="M999" s="19">
        <f>A999</f>
        <v>1</v>
      </c>
      <c r="N999" s="19">
        <f>(1.2*0.4)*2</f>
        <v>0.96</v>
      </c>
      <c r="O999" s="19"/>
      <c r="P999" s="19"/>
      <c r="Q999" s="19"/>
      <c r="R999" s="19"/>
    </row>
    <row r="1000" spans="1:18" ht="14.25" customHeight="1" x14ac:dyDescent="0.2">
      <c r="A1000" s="19"/>
      <c r="B1000" s="19"/>
      <c r="C1000" s="19"/>
      <c r="D1000" s="26" t="str">
        <f>D993</f>
        <v>16250</v>
      </c>
      <c r="E1000" s="45">
        <v>0</v>
      </c>
      <c r="F1000" s="45">
        <v>0</v>
      </c>
      <c r="G1000" s="45">
        <v>2</v>
      </c>
      <c r="H1000" s="19">
        <f>B999*2</f>
        <v>2.4</v>
      </c>
      <c r="I1000" s="19"/>
      <c r="J1000" s="19"/>
      <c r="K1000" s="19"/>
      <c r="L1000" s="19"/>
      <c r="M1000" s="19"/>
      <c r="N1000" s="28"/>
      <c r="O1000" s="19"/>
      <c r="P1000" s="19"/>
      <c r="Q1000" s="19"/>
      <c r="R1000" s="19"/>
    </row>
    <row r="1001" spans="1:18" ht="14.25" customHeight="1" x14ac:dyDescent="0.2">
      <c r="A1001" s="19"/>
      <c r="B1001" s="19"/>
      <c r="C1001" s="19"/>
      <c r="D1001" s="19">
        <f>D999*D1000</f>
        <v>17549.999999999996</v>
      </c>
      <c r="E1001" s="45">
        <f>E1000*E998</f>
        <v>0</v>
      </c>
      <c r="F1001" s="45">
        <f t="shared" ref="F1001:H1001" si="783">F998*F1000</f>
        <v>0</v>
      </c>
      <c r="G1001" s="45">
        <f t="shared" si="783"/>
        <v>7600</v>
      </c>
      <c r="H1001" s="19">
        <f t="shared" si="783"/>
        <v>912</v>
      </c>
      <c r="I1001" s="19">
        <f t="shared" ref="I1001:N1001" si="784">I998*I999</f>
        <v>2640</v>
      </c>
      <c r="J1001" s="19">
        <f t="shared" si="784"/>
        <v>1000</v>
      </c>
      <c r="K1001" s="19">
        <f t="shared" si="784"/>
        <v>375</v>
      </c>
      <c r="L1001" s="19">
        <f t="shared" si="784"/>
        <v>702</v>
      </c>
      <c r="M1001" s="19">
        <f t="shared" si="784"/>
        <v>1000</v>
      </c>
      <c r="N1001" s="19">
        <f t="shared" si="784"/>
        <v>3168</v>
      </c>
      <c r="O1001" s="19">
        <f>SUM(D1001:N1001)</f>
        <v>34947</v>
      </c>
      <c r="P1001" s="19">
        <f>O1001/A999</f>
        <v>34947</v>
      </c>
      <c r="Q1001" s="19">
        <f>P1001*Q998</f>
        <v>69894</v>
      </c>
      <c r="R1001" s="19">
        <f>MROUND(Q1001,100)</f>
        <v>69900</v>
      </c>
    </row>
    <row r="1002" spans="1:18" ht="14.25" customHeight="1" x14ac:dyDescent="0.15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</row>
    <row r="1003" spans="1:18" ht="14.25" customHeight="1" x14ac:dyDescent="0.3">
      <c r="A1003" s="109" t="str">
        <f>PRICELIST!I358</f>
        <v>WSTK-LNR-S-MB-1200-G</v>
      </c>
      <c r="B1003" s="87"/>
      <c r="C1003" s="87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7"/>
    </row>
    <row r="1004" spans="1:18" ht="14.25" customHeight="1" x14ac:dyDescent="0.15">
      <c r="A1004" s="19" t="s">
        <v>57</v>
      </c>
      <c r="B1004" s="19" t="s">
        <v>59</v>
      </c>
      <c r="C1004" s="19" t="s">
        <v>62</v>
      </c>
      <c r="D1004" s="19" t="s">
        <v>64</v>
      </c>
      <c r="E1004" s="19">
        <v>1200</v>
      </c>
      <c r="F1004" s="19">
        <v>900</v>
      </c>
      <c r="G1004" s="19">
        <v>600</v>
      </c>
      <c r="H1004" s="19" t="s">
        <v>67</v>
      </c>
      <c r="I1004" s="19" t="s">
        <v>68</v>
      </c>
      <c r="J1004" s="19" t="s">
        <v>69</v>
      </c>
      <c r="K1004" s="19" t="s">
        <v>71</v>
      </c>
      <c r="L1004" s="19" t="s">
        <v>72</v>
      </c>
      <c r="M1004" s="19" t="s">
        <v>73</v>
      </c>
      <c r="N1004" s="19" t="s">
        <v>75</v>
      </c>
      <c r="O1004" s="19" t="s">
        <v>76</v>
      </c>
      <c r="P1004" s="19" t="s">
        <v>78</v>
      </c>
      <c r="Q1004" s="19" t="s">
        <v>79</v>
      </c>
      <c r="R1004" s="19" t="s">
        <v>81</v>
      </c>
    </row>
    <row r="1005" spans="1:18" ht="14.25" customHeight="1" x14ac:dyDescent="0.15">
      <c r="A1005" s="21">
        <f t="shared" ref="A1005:B1005" si="785">A998</f>
        <v>0</v>
      </c>
      <c r="B1005" s="21">
        <f t="shared" si="785"/>
        <v>0</v>
      </c>
      <c r="C1005" s="44" t="s">
        <v>188</v>
      </c>
      <c r="D1005" s="21">
        <f t="shared" ref="D1005:H1005" si="786">D998</f>
        <v>0</v>
      </c>
      <c r="E1005" s="23" t="str">
        <f t="shared" si="786"/>
        <v>4200</v>
      </c>
      <c r="F1005" s="23" t="str">
        <f t="shared" si="786"/>
        <v>4000</v>
      </c>
      <c r="G1005" s="23" t="str">
        <f t="shared" si="786"/>
        <v>3800</v>
      </c>
      <c r="H1005" s="23">
        <f t="shared" si="786"/>
        <v>380</v>
      </c>
      <c r="I1005" s="23" t="str">
        <f>I984</f>
        <v>0</v>
      </c>
      <c r="J1005" s="23" t="str">
        <f t="shared" ref="J1005:Q1005" si="787">J998</f>
        <v>1000</v>
      </c>
      <c r="K1005" s="23">
        <f t="shared" si="787"/>
        <v>375</v>
      </c>
      <c r="L1005" s="23">
        <f t="shared" si="787"/>
        <v>585</v>
      </c>
      <c r="M1005" s="23" t="str">
        <f t="shared" si="787"/>
        <v>1000</v>
      </c>
      <c r="N1005" s="23">
        <f t="shared" si="787"/>
        <v>3300</v>
      </c>
      <c r="O1005" s="23">
        <f t="shared" si="787"/>
        <v>0</v>
      </c>
      <c r="P1005" s="23">
        <f t="shared" si="787"/>
        <v>0</v>
      </c>
      <c r="Q1005" s="23">
        <f t="shared" si="787"/>
        <v>2</v>
      </c>
      <c r="R1005" s="21"/>
    </row>
    <row r="1006" spans="1:18" ht="14.25" customHeight="1" x14ac:dyDescent="0.15">
      <c r="A1006" s="19">
        <v>1</v>
      </c>
      <c r="B1006" s="19">
        <v>1.2</v>
      </c>
      <c r="C1006" s="19">
        <f>0.6+0.3</f>
        <v>0.89999999999999991</v>
      </c>
      <c r="D1006" s="19">
        <f>B1006*C1006</f>
        <v>1.0799999999999998</v>
      </c>
      <c r="E1006" s="19"/>
      <c r="F1006" s="19"/>
      <c r="G1006" s="19"/>
      <c r="H1006" s="19"/>
      <c r="I1006" s="19">
        <f>B1006*0.4</f>
        <v>0.48</v>
      </c>
      <c r="J1006" s="19">
        <v>1</v>
      </c>
      <c r="K1006" s="19">
        <f t="shared" ref="K1006:L1006" si="788">A1006</f>
        <v>1</v>
      </c>
      <c r="L1006" s="19">
        <f t="shared" si="788"/>
        <v>1.2</v>
      </c>
      <c r="M1006" s="19">
        <f>A1006</f>
        <v>1</v>
      </c>
      <c r="N1006" s="19">
        <f>(1.2*0.4)*2</f>
        <v>0.96</v>
      </c>
      <c r="O1006" s="19"/>
      <c r="P1006" s="19"/>
      <c r="Q1006" s="19"/>
      <c r="R1006" s="19"/>
    </row>
    <row r="1007" spans="1:18" ht="14.25" customHeight="1" x14ac:dyDescent="0.2">
      <c r="A1007" s="19"/>
      <c r="B1007" s="19"/>
      <c r="C1007" s="19"/>
      <c r="D1007" s="26" t="str">
        <f>D1000</f>
        <v>16250</v>
      </c>
      <c r="E1007" s="45">
        <v>0</v>
      </c>
      <c r="F1007" s="45">
        <v>0</v>
      </c>
      <c r="G1007" s="45">
        <v>2</v>
      </c>
      <c r="H1007" s="19">
        <f>B1006*2</f>
        <v>2.4</v>
      </c>
      <c r="I1007" s="19"/>
      <c r="J1007" s="19"/>
      <c r="K1007" s="19"/>
      <c r="L1007" s="19"/>
      <c r="M1007" s="19"/>
      <c r="N1007" s="28"/>
      <c r="O1007" s="19"/>
      <c r="P1007" s="19"/>
      <c r="Q1007" s="19"/>
      <c r="R1007" s="19"/>
    </row>
    <row r="1008" spans="1:18" ht="14.25" customHeight="1" x14ac:dyDescent="0.2">
      <c r="A1008" s="19"/>
      <c r="B1008" s="19"/>
      <c r="C1008" s="19"/>
      <c r="D1008" s="19">
        <f>D1006*D1007</f>
        <v>17549.999999999996</v>
      </c>
      <c r="E1008" s="45">
        <f>E1007*E1005</f>
        <v>0</v>
      </c>
      <c r="F1008" s="45">
        <f t="shared" ref="F1008:H1008" si="789">F1005*F1007</f>
        <v>0</v>
      </c>
      <c r="G1008" s="45">
        <f t="shared" si="789"/>
        <v>7600</v>
      </c>
      <c r="H1008" s="19">
        <f t="shared" si="789"/>
        <v>912</v>
      </c>
      <c r="I1008" s="19">
        <f t="shared" ref="I1008:N1008" si="790">I1005*I1006</f>
        <v>0</v>
      </c>
      <c r="J1008" s="19">
        <f t="shared" si="790"/>
        <v>1000</v>
      </c>
      <c r="K1008" s="19">
        <f t="shared" si="790"/>
        <v>375</v>
      </c>
      <c r="L1008" s="19">
        <f t="shared" si="790"/>
        <v>702</v>
      </c>
      <c r="M1008" s="19">
        <f t="shared" si="790"/>
        <v>1000</v>
      </c>
      <c r="N1008" s="19">
        <f t="shared" si="790"/>
        <v>3168</v>
      </c>
      <c r="O1008" s="19">
        <f>SUM(D1008:N1008)</f>
        <v>32306.999999999996</v>
      </c>
      <c r="P1008" s="19">
        <f>O1008/A1006</f>
        <v>32306.999999999996</v>
      </c>
      <c r="Q1008" s="19">
        <f>P1008*Q1005</f>
        <v>64613.999999999993</v>
      </c>
      <c r="R1008" s="19">
        <f>MROUND(Q1008,100)</f>
        <v>64600</v>
      </c>
    </row>
    <row r="1009" spans="1:18" ht="14.25" customHeight="1" x14ac:dyDescent="0.15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</row>
    <row r="1010" spans="1:18" ht="14.25" customHeight="1" x14ac:dyDescent="0.3">
      <c r="A1010" s="109" t="str">
        <f>PRICELIST!I359</f>
        <v>WSTK-LNR-S-MB-1200-X</v>
      </c>
      <c r="B1010" s="87"/>
      <c r="C1010" s="87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7"/>
    </row>
    <row r="1011" spans="1:18" ht="14.25" customHeight="1" x14ac:dyDescent="0.15">
      <c r="A1011" s="19" t="s">
        <v>57</v>
      </c>
      <c r="B1011" s="19" t="s">
        <v>59</v>
      </c>
      <c r="C1011" s="19" t="s">
        <v>62</v>
      </c>
      <c r="D1011" s="19" t="s">
        <v>64</v>
      </c>
      <c r="E1011" s="19">
        <v>1200</v>
      </c>
      <c r="F1011" s="19">
        <v>900</v>
      </c>
      <c r="G1011" s="19">
        <v>600</v>
      </c>
      <c r="H1011" s="19" t="s">
        <v>67</v>
      </c>
      <c r="I1011" s="19" t="s">
        <v>68</v>
      </c>
      <c r="J1011" s="19" t="s">
        <v>69</v>
      </c>
      <c r="K1011" s="19" t="s">
        <v>71</v>
      </c>
      <c r="L1011" s="19" t="s">
        <v>72</v>
      </c>
      <c r="M1011" s="19" t="s">
        <v>73</v>
      </c>
      <c r="N1011" s="19" t="s">
        <v>75</v>
      </c>
      <c r="O1011" s="19" t="s">
        <v>76</v>
      </c>
      <c r="P1011" s="19" t="s">
        <v>78</v>
      </c>
      <c r="Q1011" s="19" t="s">
        <v>79</v>
      </c>
      <c r="R1011" s="19" t="s">
        <v>81</v>
      </c>
    </row>
    <row r="1012" spans="1:18" ht="14.25" customHeight="1" x14ac:dyDescent="0.15">
      <c r="A1012" s="21"/>
      <c r="B1012" s="21"/>
      <c r="C1012" s="44" t="s">
        <v>188</v>
      </c>
      <c r="D1012" s="21"/>
      <c r="E1012" s="23" t="str">
        <f t="shared" ref="E1012:G1012" si="791">E1005</f>
        <v>4200</v>
      </c>
      <c r="F1012" s="23" t="str">
        <f t="shared" si="791"/>
        <v>4000</v>
      </c>
      <c r="G1012" s="23" t="str">
        <f t="shared" si="791"/>
        <v>3800</v>
      </c>
      <c r="H1012" s="21">
        <v>380</v>
      </c>
      <c r="I1012" s="23" t="str">
        <f>I991</f>
        <v>4800</v>
      </c>
      <c r="J1012" s="23" t="str">
        <f>J1005</f>
        <v>1000</v>
      </c>
      <c r="K1012" s="21">
        <v>375</v>
      </c>
      <c r="L1012" s="21">
        <v>585</v>
      </c>
      <c r="M1012" s="23" t="str">
        <f>M1005</f>
        <v>1000</v>
      </c>
      <c r="N1012" s="21">
        <v>3300</v>
      </c>
      <c r="O1012" s="21"/>
      <c r="P1012" s="21"/>
      <c r="Q1012" s="23">
        <f>Q1005</f>
        <v>2</v>
      </c>
      <c r="R1012" s="21"/>
    </row>
    <row r="1013" spans="1:18" ht="14.25" customHeight="1" x14ac:dyDescent="0.15">
      <c r="A1013" s="19">
        <v>1</v>
      </c>
      <c r="B1013" s="19">
        <v>1.5</v>
      </c>
      <c r="C1013" s="19">
        <f>0.6+0.3</f>
        <v>0.89999999999999991</v>
      </c>
      <c r="D1013" s="19">
        <f>B1013*C1013</f>
        <v>1.3499999999999999</v>
      </c>
      <c r="E1013" s="19"/>
      <c r="F1013" s="19"/>
      <c r="G1013" s="19"/>
      <c r="H1013" s="19"/>
      <c r="I1013" s="19">
        <f>B1013*0.4</f>
        <v>0.60000000000000009</v>
      </c>
      <c r="J1013" s="19">
        <v>1</v>
      </c>
      <c r="K1013" s="19">
        <f t="shared" ref="K1013:L1013" si="792">A1013</f>
        <v>1</v>
      </c>
      <c r="L1013" s="19">
        <f t="shared" si="792"/>
        <v>1.5</v>
      </c>
      <c r="M1013" s="19">
        <f>A1013</f>
        <v>1</v>
      </c>
      <c r="N1013" s="19">
        <f>(1.2*0.4)*2</f>
        <v>0.96</v>
      </c>
      <c r="O1013" s="19"/>
      <c r="P1013" s="19"/>
      <c r="Q1013" s="19"/>
      <c r="R1013" s="19"/>
    </row>
    <row r="1014" spans="1:18" ht="14.25" customHeight="1" x14ac:dyDescent="0.2">
      <c r="A1014" s="19"/>
      <c r="B1014" s="19"/>
      <c r="C1014" s="19"/>
      <c r="D1014" s="26" t="str">
        <f>D888</f>
        <v>2200</v>
      </c>
      <c r="E1014" s="45">
        <v>0</v>
      </c>
      <c r="F1014" s="45">
        <v>0</v>
      </c>
      <c r="G1014" s="45">
        <v>2</v>
      </c>
      <c r="H1014" s="19">
        <f>B1013*2</f>
        <v>3</v>
      </c>
      <c r="I1014" s="19"/>
      <c r="J1014" s="19"/>
      <c r="K1014" s="19"/>
      <c r="L1014" s="19"/>
      <c r="M1014" s="19"/>
      <c r="N1014" s="28"/>
      <c r="O1014" s="19"/>
      <c r="P1014" s="19"/>
      <c r="Q1014" s="19"/>
      <c r="R1014" s="19"/>
    </row>
    <row r="1015" spans="1:18" ht="14.25" customHeight="1" x14ac:dyDescent="0.2">
      <c r="A1015" s="19"/>
      <c r="B1015" s="19"/>
      <c r="C1015" s="19"/>
      <c r="D1015" s="19">
        <f>D1013*D1014</f>
        <v>2969.9999999999995</v>
      </c>
      <c r="E1015" s="45">
        <f>E1014*E1012</f>
        <v>0</v>
      </c>
      <c r="F1015" s="45">
        <f t="shared" ref="F1015:H1015" si="793">F1012*F1014</f>
        <v>0</v>
      </c>
      <c r="G1015" s="45">
        <f t="shared" si="793"/>
        <v>7600</v>
      </c>
      <c r="H1015" s="19">
        <f t="shared" si="793"/>
        <v>1140</v>
      </c>
      <c r="I1015" s="19">
        <f t="shared" ref="I1015:N1015" si="794">I1012*I1013</f>
        <v>2880.0000000000005</v>
      </c>
      <c r="J1015" s="19">
        <f t="shared" si="794"/>
        <v>1000</v>
      </c>
      <c r="K1015" s="19">
        <f t="shared" si="794"/>
        <v>375</v>
      </c>
      <c r="L1015" s="19">
        <f t="shared" si="794"/>
        <v>877.5</v>
      </c>
      <c r="M1015" s="19">
        <f t="shared" si="794"/>
        <v>1000</v>
      </c>
      <c r="N1015" s="19">
        <f t="shared" si="794"/>
        <v>3168</v>
      </c>
      <c r="O1015" s="19">
        <f>SUM(D1015:N1015)</f>
        <v>21010.5</v>
      </c>
      <c r="P1015" s="19">
        <f>O1015/A1013</f>
        <v>21010.5</v>
      </c>
      <c r="Q1015" s="19">
        <f>P1015*Q1012</f>
        <v>42021</v>
      </c>
      <c r="R1015" s="19">
        <f>MROUND(Q1015,100)</f>
        <v>42000</v>
      </c>
    </row>
    <row r="1016" spans="1:18" ht="14.25" customHeight="1" x14ac:dyDescent="0.15">
      <c r="A1016" s="30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</row>
    <row r="1017" spans="1:18" ht="14.25" customHeight="1" x14ac:dyDescent="0.3">
      <c r="A1017" s="109" t="str">
        <f>PRICELIST!I360</f>
        <v>WSTK-LNR-S-PB-1500-F</v>
      </c>
      <c r="B1017" s="87"/>
      <c r="C1017" s="87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7"/>
    </row>
    <row r="1018" spans="1:18" ht="14.25" customHeight="1" x14ac:dyDescent="0.15">
      <c r="A1018" s="19" t="s">
        <v>57</v>
      </c>
      <c r="B1018" s="19" t="s">
        <v>59</v>
      </c>
      <c r="C1018" s="19" t="s">
        <v>62</v>
      </c>
      <c r="D1018" s="19" t="s">
        <v>64</v>
      </c>
      <c r="E1018" s="19">
        <v>1200</v>
      </c>
      <c r="F1018" s="19">
        <v>900</v>
      </c>
      <c r="G1018" s="19">
        <v>600</v>
      </c>
      <c r="H1018" s="19" t="s">
        <v>67</v>
      </c>
      <c r="I1018" s="19" t="s">
        <v>68</v>
      </c>
      <c r="J1018" s="19" t="s">
        <v>69</v>
      </c>
      <c r="K1018" s="19" t="s">
        <v>71</v>
      </c>
      <c r="L1018" s="19" t="s">
        <v>72</v>
      </c>
      <c r="M1018" s="19" t="s">
        <v>73</v>
      </c>
      <c r="N1018" s="19" t="s">
        <v>75</v>
      </c>
      <c r="O1018" s="19" t="s">
        <v>76</v>
      </c>
      <c r="P1018" s="19" t="s">
        <v>78</v>
      </c>
      <c r="Q1018" s="19" t="s">
        <v>79</v>
      </c>
      <c r="R1018" s="19" t="s">
        <v>81</v>
      </c>
    </row>
    <row r="1019" spans="1:18" ht="14.25" customHeight="1" x14ac:dyDescent="0.15">
      <c r="A1019" s="21"/>
      <c r="B1019" s="21"/>
      <c r="C1019" s="44" t="s">
        <v>188</v>
      </c>
      <c r="D1019" s="21"/>
      <c r="E1019" s="23" t="str">
        <f t="shared" ref="E1019:H1019" si="795">E1012</f>
        <v>4200</v>
      </c>
      <c r="F1019" s="23" t="str">
        <f t="shared" si="795"/>
        <v>4000</v>
      </c>
      <c r="G1019" s="23" t="str">
        <f t="shared" si="795"/>
        <v>3800</v>
      </c>
      <c r="H1019" s="23">
        <f t="shared" si="795"/>
        <v>380</v>
      </c>
      <c r="I1019" s="23" t="str">
        <f>I998</f>
        <v>5500</v>
      </c>
      <c r="J1019" s="23" t="str">
        <f t="shared" ref="J1019:R1019" si="796">J1012</f>
        <v>1000</v>
      </c>
      <c r="K1019" s="23">
        <f t="shared" si="796"/>
        <v>375</v>
      </c>
      <c r="L1019" s="23">
        <f t="shared" si="796"/>
        <v>585</v>
      </c>
      <c r="M1019" s="23" t="str">
        <f t="shared" si="796"/>
        <v>1000</v>
      </c>
      <c r="N1019" s="23">
        <f t="shared" si="796"/>
        <v>3300</v>
      </c>
      <c r="O1019" s="23">
        <f t="shared" si="796"/>
        <v>0</v>
      </c>
      <c r="P1019" s="23">
        <f t="shared" si="796"/>
        <v>0</v>
      </c>
      <c r="Q1019" s="23">
        <f t="shared" si="796"/>
        <v>2</v>
      </c>
      <c r="R1019" s="23">
        <f t="shared" si="796"/>
        <v>0</v>
      </c>
    </row>
    <row r="1020" spans="1:18" ht="14.25" customHeight="1" x14ac:dyDescent="0.15">
      <c r="A1020" s="19">
        <v>1</v>
      </c>
      <c r="B1020" s="19">
        <v>1.5</v>
      </c>
      <c r="C1020" s="19">
        <f>0.6+0.3</f>
        <v>0.89999999999999991</v>
      </c>
      <c r="D1020" s="19">
        <f>B1020*C1020</f>
        <v>1.3499999999999999</v>
      </c>
      <c r="E1020" s="19"/>
      <c r="F1020" s="19"/>
      <c r="G1020" s="19"/>
      <c r="H1020" s="19"/>
      <c r="I1020" s="19">
        <f>B1020*0.4</f>
        <v>0.60000000000000009</v>
      </c>
      <c r="J1020" s="19">
        <v>1</v>
      </c>
      <c r="K1020" s="19">
        <f t="shared" ref="K1020:L1020" si="797">A1020</f>
        <v>1</v>
      </c>
      <c r="L1020" s="19">
        <f t="shared" si="797"/>
        <v>1.5</v>
      </c>
      <c r="M1020" s="19">
        <f>A1020</f>
        <v>1</v>
      </c>
      <c r="N1020" s="19">
        <f>(1.2*0.4)*2</f>
        <v>0.96</v>
      </c>
      <c r="O1020" s="19"/>
      <c r="P1020" s="19"/>
      <c r="Q1020" s="19"/>
      <c r="R1020" s="19"/>
    </row>
    <row r="1021" spans="1:18" ht="14.25" customHeight="1" x14ac:dyDescent="0.2">
      <c r="A1021" s="19"/>
      <c r="B1021" s="19"/>
      <c r="C1021" s="19"/>
      <c r="D1021" s="26" t="str">
        <f>D1014</f>
        <v>2200</v>
      </c>
      <c r="E1021" s="45">
        <v>0</v>
      </c>
      <c r="F1021" s="45">
        <v>0</v>
      </c>
      <c r="G1021" s="45">
        <v>2</v>
      </c>
      <c r="H1021" s="19">
        <f>B1020*2</f>
        <v>3</v>
      </c>
      <c r="I1021" s="19"/>
      <c r="J1021" s="19"/>
      <c r="K1021" s="19"/>
      <c r="L1021" s="19"/>
      <c r="M1021" s="19"/>
      <c r="N1021" s="28"/>
      <c r="O1021" s="19"/>
      <c r="P1021" s="19"/>
      <c r="Q1021" s="19"/>
      <c r="R1021" s="19"/>
    </row>
    <row r="1022" spans="1:18" ht="14.25" customHeight="1" x14ac:dyDescent="0.2">
      <c r="A1022" s="19"/>
      <c r="B1022" s="19"/>
      <c r="C1022" s="19"/>
      <c r="D1022" s="19">
        <f>D1020*D1021</f>
        <v>2969.9999999999995</v>
      </c>
      <c r="E1022" s="45">
        <f>E1021*E1019</f>
        <v>0</v>
      </c>
      <c r="F1022" s="45">
        <f t="shared" ref="F1022:H1022" si="798">F1019*F1021</f>
        <v>0</v>
      </c>
      <c r="G1022" s="45">
        <f t="shared" si="798"/>
        <v>7600</v>
      </c>
      <c r="H1022" s="19">
        <f t="shared" si="798"/>
        <v>1140</v>
      </c>
      <c r="I1022" s="19">
        <f t="shared" ref="I1022:N1022" si="799">I1019*I1020</f>
        <v>3300.0000000000005</v>
      </c>
      <c r="J1022" s="19">
        <f t="shared" si="799"/>
        <v>1000</v>
      </c>
      <c r="K1022" s="19">
        <f t="shared" si="799"/>
        <v>375</v>
      </c>
      <c r="L1022" s="19">
        <f t="shared" si="799"/>
        <v>877.5</v>
      </c>
      <c r="M1022" s="19">
        <f t="shared" si="799"/>
        <v>1000</v>
      </c>
      <c r="N1022" s="19">
        <f t="shared" si="799"/>
        <v>3168</v>
      </c>
      <c r="O1022" s="19">
        <f>SUM(D1022:N1022)</f>
        <v>21430.5</v>
      </c>
      <c r="P1022" s="19">
        <f>O1022/A1020</f>
        <v>21430.5</v>
      </c>
      <c r="Q1022" s="19">
        <f>P1022*Q1019</f>
        <v>42861</v>
      </c>
      <c r="R1022" s="19">
        <f>MROUND(Q1022,100)</f>
        <v>42900</v>
      </c>
    </row>
    <row r="1023" spans="1:18" ht="14.25" customHeight="1" x14ac:dyDescent="0.15">
      <c r="A1023" s="30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</row>
    <row r="1024" spans="1:18" ht="14.25" customHeight="1" x14ac:dyDescent="0.3">
      <c r="A1024" s="109" t="str">
        <f>PRICELIST!I361</f>
        <v>WSTK-LNR-S-PB-1500-G</v>
      </c>
      <c r="B1024" s="87"/>
      <c r="C1024" s="87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7"/>
    </row>
    <row r="1025" spans="1:18" ht="14.25" customHeight="1" x14ac:dyDescent="0.15">
      <c r="A1025" s="19" t="s">
        <v>57</v>
      </c>
      <c r="B1025" s="19" t="s">
        <v>59</v>
      </c>
      <c r="C1025" s="19" t="s">
        <v>62</v>
      </c>
      <c r="D1025" s="19" t="s">
        <v>64</v>
      </c>
      <c r="E1025" s="19">
        <v>1200</v>
      </c>
      <c r="F1025" s="19">
        <v>900</v>
      </c>
      <c r="G1025" s="19">
        <v>600</v>
      </c>
      <c r="H1025" s="19" t="s">
        <v>67</v>
      </c>
      <c r="I1025" s="19" t="s">
        <v>68</v>
      </c>
      <c r="J1025" s="19" t="s">
        <v>69</v>
      </c>
      <c r="K1025" s="19" t="s">
        <v>71</v>
      </c>
      <c r="L1025" s="19" t="s">
        <v>72</v>
      </c>
      <c r="M1025" s="19" t="s">
        <v>73</v>
      </c>
      <c r="N1025" s="19" t="s">
        <v>75</v>
      </c>
      <c r="O1025" s="19" t="s">
        <v>76</v>
      </c>
      <c r="P1025" s="19" t="s">
        <v>78</v>
      </c>
      <c r="Q1025" s="19" t="s">
        <v>79</v>
      </c>
      <c r="R1025" s="19" t="s">
        <v>81</v>
      </c>
    </row>
    <row r="1026" spans="1:18" ht="14.25" customHeight="1" x14ac:dyDescent="0.15">
      <c r="A1026" s="21">
        <f t="shared" ref="A1026:B1026" si="800">A1019</f>
        <v>0</v>
      </c>
      <c r="B1026" s="21">
        <f t="shared" si="800"/>
        <v>0</v>
      </c>
      <c r="C1026" s="44" t="s">
        <v>188</v>
      </c>
      <c r="D1026" s="21">
        <f t="shared" ref="D1026:H1026" si="801">D1019</f>
        <v>0</v>
      </c>
      <c r="E1026" s="23" t="str">
        <f t="shared" si="801"/>
        <v>4200</v>
      </c>
      <c r="F1026" s="23" t="str">
        <f t="shared" si="801"/>
        <v>4000</v>
      </c>
      <c r="G1026" s="23" t="str">
        <f t="shared" si="801"/>
        <v>3800</v>
      </c>
      <c r="H1026" s="23">
        <f t="shared" si="801"/>
        <v>380</v>
      </c>
      <c r="I1026" s="23" t="str">
        <f>I1005</f>
        <v>0</v>
      </c>
      <c r="J1026" s="23" t="str">
        <f t="shared" ref="J1026:Q1026" si="802">J1019</f>
        <v>1000</v>
      </c>
      <c r="K1026" s="23">
        <f t="shared" si="802"/>
        <v>375</v>
      </c>
      <c r="L1026" s="23">
        <f t="shared" si="802"/>
        <v>585</v>
      </c>
      <c r="M1026" s="23" t="str">
        <f t="shared" si="802"/>
        <v>1000</v>
      </c>
      <c r="N1026" s="23">
        <f t="shared" si="802"/>
        <v>3300</v>
      </c>
      <c r="O1026" s="23">
        <f t="shared" si="802"/>
        <v>0</v>
      </c>
      <c r="P1026" s="23">
        <f t="shared" si="802"/>
        <v>0</v>
      </c>
      <c r="Q1026" s="23">
        <f t="shared" si="802"/>
        <v>2</v>
      </c>
      <c r="R1026" s="21"/>
    </row>
    <row r="1027" spans="1:18" ht="14.25" customHeight="1" x14ac:dyDescent="0.15">
      <c r="A1027" s="19">
        <v>1</v>
      </c>
      <c r="B1027" s="19">
        <v>1.5</v>
      </c>
      <c r="C1027" s="19">
        <f>0.6+0.3</f>
        <v>0.89999999999999991</v>
      </c>
      <c r="D1027" s="19">
        <f>B1027*C1027</f>
        <v>1.3499999999999999</v>
      </c>
      <c r="E1027" s="19"/>
      <c r="F1027" s="19"/>
      <c r="G1027" s="19"/>
      <c r="H1027" s="19"/>
      <c r="I1027" s="19">
        <f>B1027*0.4</f>
        <v>0.60000000000000009</v>
      </c>
      <c r="J1027" s="19">
        <v>1</v>
      </c>
      <c r="K1027" s="19">
        <f t="shared" ref="K1027:L1027" si="803">A1027</f>
        <v>1</v>
      </c>
      <c r="L1027" s="19">
        <f t="shared" si="803"/>
        <v>1.5</v>
      </c>
      <c r="M1027" s="19">
        <f>A1027</f>
        <v>1</v>
      </c>
      <c r="N1027" s="19">
        <f>(1.2*0.4)*2</f>
        <v>0.96</v>
      </c>
      <c r="O1027" s="19"/>
      <c r="P1027" s="19"/>
      <c r="Q1027" s="19"/>
      <c r="R1027" s="19"/>
    </row>
    <row r="1028" spans="1:18" ht="14.25" customHeight="1" x14ac:dyDescent="0.2">
      <c r="A1028" s="19"/>
      <c r="B1028" s="19"/>
      <c r="C1028" s="19"/>
      <c r="D1028" s="26" t="str">
        <f>D1021</f>
        <v>2200</v>
      </c>
      <c r="E1028" s="45">
        <v>0</v>
      </c>
      <c r="F1028" s="45">
        <v>0</v>
      </c>
      <c r="G1028" s="45">
        <v>2</v>
      </c>
      <c r="H1028" s="19">
        <f>B1027*2</f>
        <v>3</v>
      </c>
      <c r="I1028" s="19"/>
      <c r="J1028" s="19"/>
      <c r="K1028" s="19"/>
      <c r="L1028" s="19"/>
      <c r="M1028" s="19"/>
      <c r="N1028" s="28"/>
      <c r="O1028" s="19"/>
      <c r="P1028" s="19"/>
      <c r="Q1028" s="19"/>
      <c r="R1028" s="19"/>
    </row>
    <row r="1029" spans="1:18" ht="14.25" customHeight="1" x14ac:dyDescent="0.2">
      <c r="A1029" s="19"/>
      <c r="B1029" s="19"/>
      <c r="C1029" s="19"/>
      <c r="D1029" s="19">
        <f>D1027*D1028</f>
        <v>2969.9999999999995</v>
      </c>
      <c r="E1029" s="45">
        <f>E1028*E1026</f>
        <v>0</v>
      </c>
      <c r="F1029" s="45">
        <f t="shared" ref="F1029:H1029" si="804">F1026*F1028</f>
        <v>0</v>
      </c>
      <c r="G1029" s="45">
        <f t="shared" si="804"/>
        <v>7600</v>
      </c>
      <c r="H1029" s="19">
        <f t="shared" si="804"/>
        <v>1140</v>
      </c>
      <c r="I1029" s="19">
        <f t="shared" ref="I1029:N1029" si="805">I1026*I1027</f>
        <v>0</v>
      </c>
      <c r="J1029" s="19">
        <f t="shared" si="805"/>
        <v>1000</v>
      </c>
      <c r="K1029" s="19">
        <f t="shared" si="805"/>
        <v>375</v>
      </c>
      <c r="L1029" s="19">
        <f t="shared" si="805"/>
        <v>877.5</v>
      </c>
      <c r="M1029" s="19">
        <f t="shared" si="805"/>
        <v>1000</v>
      </c>
      <c r="N1029" s="19">
        <f t="shared" si="805"/>
        <v>3168</v>
      </c>
      <c r="O1029" s="19">
        <f>SUM(D1029:N1029)</f>
        <v>18130.5</v>
      </c>
      <c r="P1029" s="19">
        <f>O1029/A1027</f>
        <v>18130.5</v>
      </c>
      <c r="Q1029" s="19">
        <f>P1029*Q1026</f>
        <v>36261</v>
      </c>
      <c r="R1029" s="19">
        <f>MROUND(Q1029,100)</f>
        <v>36300</v>
      </c>
    </row>
    <row r="1030" spans="1:18" ht="14.25" customHeight="1" x14ac:dyDescent="0.15">
      <c r="A1030" s="30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</row>
    <row r="1031" spans="1:18" ht="14.25" customHeight="1" x14ac:dyDescent="0.3">
      <c r="A1031" s="109" t="str">
        <f>PRICELIST!I362</f>
        <v>WSTK-LNR-S-PB-1500-X</v>
      </c>
      <c r="B1031" s="87"/>
      <c r="C1031" s="87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7"/>
    </row>
    <row r="1032" spans="1:18" ht="14.25" customHeight="1" x14ac:dyDescent="0.15">
      <c r="A1032" s="19" t="s">
        <v>57</v>
      </c>
      <c r="B1032" s="19" t="s">
        <v>59</v>
      </c>
      <c r="C1032" s="19" t="s">
        <v>62</v>
      </c>
      <c r="D1032" s="19" t="s">
        <v>64</v>
      </c>
      <c r="E1032" s="19">
        <v>1200</v>
      </c>
      <c r="F1032" s="19">
        <v>900</v>
      </c>
      <c r="G1032" s="19">
        <v>600</v>
      </c>
      <c r="H1032" s="19" t="s">
        <v>67</v>
      </c>
      <c r="I1032" s="19" t="s">
        <v>68</v>
      </c>
      <c r="J1032" s="19" t="s">
        <v>69</v>
      </c>
      <c r="K1032" s="19" t="s">
        <v>71</v>
      </c>
      <c r="L1032" s="19" t="s">
        <v>72</v>
      </c>
      <c r="M1032" s="19" t="s">
        <v>73</v>
      </c>
      <c r="N1032" s="19" t="s">
        <v>75</v>
      </c>
      <c r="O1032" s="19" t="s">
        <v>76</v>
      </c>
      <c r="P1032" s="19" t="s">
        <v>78</v>
      </c>
      <c r="Q1032" s="19" t="s">
        <v>79</v>
      </c>
      <c r="R1032" s="19" t="s">
        <v>81</v>
      </c>
    </row>
    <row r="1033" spans="1:18" ht="14.25" customHeight="1" x14ac:dyDescent="0.15">
      <c r="A1033" s="21">
        <f t="shared" ref="A1033:B1033" si="806">A1026</f>
        <v>0</v>
      </c>
      <c r="B1033" s="21">
        <f t="shared" si="806"/>
        <v>0</v>
      </c>
      <c r="C1033" s="44" t="s">
        <v>188</v>
      </c>
      <c r="D1033" s="21">
        <f t="shared" ref="D1033:H1033" si="807">D1026</f>
        <v>0</v>
      </c>
      <c r="E1033" s="23" t="str">
        <f t="shared" si="807"/>
        <v>4200</v>
      </c>
      <c r="F1033" s="23" t="str">
        <f t="shared" si="807"/>
        <v>4000</v>
      </c>
      <c r="G1033" s="23" t="str">
        <f t="shared" si="807"/>
        <v>3800</v>
      </c>
      <c r="H1033" s="23">
        <f t="shared" si="807"/>
        <v>380</v>
      </c>
      <c r="I1033" s="23" t="str">
        <f>I1012</f>
        <v>4800</v>
      </c>
      <c r="J1033" s="23" t="str">
        <f t="shared" ref="J1033:Q1033" si="808">J1026</f>
        <v>1000</v>
      </c>
      <c r="K1033" s="23">
        <f t="shared" si="808"/>
        <v>375</v>
      </c>
      <c r="L1033" s="23">
        <f t="shared" si="808"/>
        <v>585</v>
      </c>
      <c r="M1033" s="23" t="str">
        <f t="shared" si="808"/>
        <v>1000</v>
      </c>
      <c r="N1033" s="23">
        <f t="shared" si="808"/>
        <v>3300</v>
      </c>
      <c r="O1033" s="23">
        <f t="shared" si="808"/>
        <v>0</v>
      </c>
      <c r="P1033" s="23">
        <f t="shared" si="808"/>
        <v>0</v>
      </c>
      <c r="Q1033" s="23">
        <f t="shared" si="808"/>
        <v>2</v>
      </c>
      <c r="R1033" s="21"/>
    </row>
    <row r="1034" spans="1:18" ht="14.25" customHeight="1" x14ac:dyDescent="0.15">
      <c r="A1034" s="19">
        <v>1</v>
      </c>
      <c r="B1034" s="19">
        <v>1.5</v>
      </c>
      <c r="C1034" s="19">
        <f>0.6+0.3</f>
        <v>0.89999999999999991</v>
      </c>
      <c r="D1034" s="19">
        <f>B1034*C1034</f>
        <v>1.3499999999999999</v>
      </c>
      <c r="E1034" s="19"/>
      <c r="F1034" s="19"/>
      <c r="G1034" s="19"/>
      <c r="H1034" s="19"/>
      <c r="I1034" s="19">
        <f>B1034*0.4</f>
        <v>0.60000000000000009</v>
      </c>
      <c r="J1034" s="19">
        <v>1</v>
      </c>
      <c r="K1034" s="19">
        <f t="shared" ref="K1034:L1034" si="809">A1034</f>
        <v>1</v>
      </c>
      <c r="L1034" s="19">
        <f t="shared" si="809"/>
        <v>1.5</v>
      </c>
      <c r="M1034" s="19">
        <f>A1034</f>
        <v>1</v>
      </c>
      <c r="N1034" s="19">
        <f>(1.2*0.4)*2</f>
        <v>0.96</v>
      </c>
      <c r="O1034" s="19"/>
      <c r="P1034" s="19"/>
      <c r="Q1034" s="19"/>
      <c r="R1034" s="19"/>
    </row>
    <row r="1035" spans="1:18" ht="14.25" customHeight="1" x14ac:dyDescent="0.2">
      <c r="A1035" s="19"/>
      <c r="B1035" s="19"/>
      <c r="C1035" s="19"/>
      <c r="D1035" s="26" t="str">
        <f>D923</f>
        <v>3000</v>
      </c>
      <c r="E1035" s="45">
        <v>0</v>
      </c>
      <c r="F1035" s="45">
        <v>0</v>
      </c>
      <c r="G1035" s="45">
        <v>2</v>
      </c>
      <c r="H1035" s="19">
        <f>B1034*2</f>
        <v>3</v>
      </c>
      <c r="I1035" s="19"/>
      <c r="J1035" s="19"/>
      <c r="K1035" s="19"/>
      <c r="L1035" s="19"/>
      <c r="M1035" s="19"/>
      <c r="N1035" s="28"/>
      <c r="O1035" s="19"/>
      <c r="P1035" s="19"/>
      <c r="Q1035" s="19"/>
      <c r="R1035" s="19"/>
    </row>
    <row r="1036" spans="1:18" ht="14.25" customHeight="1" x14ac:dyDescent="0.2">
      <c r="A1036" s="19"/>
      <c r="B1036" s="19"/>
      <c r="C1036" s="19"/>
      <c r="D1036" s="19">
        <f>D1034*D1035</f>
        <v>4049.9999999999995</v>
      </c>
      <c r="E1036" s="45">
        <f>E1035*E1033</f>
        <v>0</v>
      </c>
      <c r="F1036" s="45">
        <f t="shared" ref="F1036:H1036" si="810">F1033*F1035</f>
        <v>0</v>
      </c>
      <c r="G1036" s="45">
        <f t="shared" si="810"/>
        <v>7600</v>
      </c>
      <c r="H1036" s="19">
        <f t="shared" si="810"/>
        <v>1140</v>
      </c>
      <c r="I1036" s="19">
        <f t="shared" ref="I1036:N1036" si="811">I1033*I1034</f>
        <v>2880.0000000000005</v>
      </c>
      <c r="J1036" s="19">
        <f t="shared" si="811"/>
        <v>1000</v>
      </c>
      <c r="K1036" s="19">
        <f t="shared" si="811"/>
        <v>375</v>
      </c>
      <c r="L1036" s="19">
        <f t="shared" si="811"/>
        <v>877.5</v>
      </c>
      <c r="M1036" s="19">
        <f t="shared" si="811"/>
        <v>1000</v>
      </c>
      <c r="N1036" s="19">
        <f t="shared" si="811"/>
        <v>3168</v>
      </c>
      <c r="O1036" s="19">
        <f>SUM(D1036:N1036)</f>
        <v>22090.5</v>
      </c>
      <c r="P1036" s="19">
        <f>O1036/A1034</f>
        <v>22090.5</v>
      </c>
      <c r="Q1036" s="19">
        <f>P1036*Q1033</f>
        <v>44181</v>
      </c>
      <c r="R1036" s="19">
        <f>MROUND(Q1036,100)</f>
        <v>44200</v>
      </c>
    </row>
    <row r="1037" spans="1:18" ht="14.25" customHeight="1" x14ac:dyDescent="0.15">
      <c r="A1037" s="30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</row>
    <row r="1038" spans="1:18" ht="14.25" customHeight="1" x14ac:dyDescent="0.3">
      <c r="A1038" s="109" t="str">
        <f>PRICELIST!I363</f>
        <v>WSTK-LNR-S-PLM-1500-F</v>
      </c>
      <c r="B1038" s="87"/>
      <c r="C1038" s="87"/>
      <c r="D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7"/>
    </row>
    <row r="1039" spans="1:18" ht="14.25" customHeight="1" x14ac:dyDescent="0.15">
      <c r="A1039" s="19" t="s">
        <v>57</v>
      </c>
      <c r="B1039" s="19" t="s">
        <v>59</v>
      </c>
      <c r="C1039" s="19" t="s">
        <v>62</v>
      </c>
      <c r="D1039" s="19" t="s">
        <v>64</v>
      </c>
      <c r="E1039" s="19">
        <v>1200</v>
      </c>
      <c r="F1039" s="19">
        <v>900</v>
      </c>
      <c r="G1039" s="19">
        <v>600</v>
      </c>
      <c r="H1039" s="19" t="s">
        <v>67</v>
      </c>
      <c r="I1039" s="19" t="s">
        <v>68</v>
      </c>
      <c r="J1039" s="19" t="s">
        <v>69</v>
      </c>
      <c r="K1039" s="19" t="s">
        <v>71</v>
      </c>
      <c r="L1039" s="19" t="s">
        <v>72</v>
      </c>
      <c r="M1039" s="19" t="s">
        <v>73</v>
      </c>
      <c r="N1039" s="19" t="s">
        <v>75</v>
      </c>
      <c r="O1039" s="19" t="s">
        <v>76</v>
      </c>
      <c r="P1039" s="19" t="s">
        <v>78</v>
      </c>
      <c r="Q1039" s="19" t="s">
        <v>79</v>
      </c>
      <c r="R1039" s="19" t="s">
        <v>81</v>
      </c>
    </row>
    <row r="1040" spans="1:18" ht="14.25" customHeight="1" x14ac:dyDescent="0.15">
      <c r="A1040" s="21">
        <f t="shared" ref="A1040:B1040" si="812">A1033</f>
        <v>0</v>
      </c>
      <c r="B1040" s="21">
        <f t="shared" si="812"/>
        <v>0</v>
      </c>
      <c r="C1040" s="44" t="s">
        <v>188</v>
      </c>
      <c r="D1040" s="21">
        <f t="shared" ref="D1040:H1040" si="813">D1033</f>
        <v>0</v>
      </c>
      <c r="E1040" s="23" t="str">
        <f t="shared" si="813"/>
        <v>4200</v>
      </c>
      <c r="F1040" s="23" t="str">
        <f t="shared" si="813"/>
        <v>4000</v>
      </c>
      <c r="G1040" s="23" t="str">
        <f t="shared" si="813"/>
        <v>3800</v>
      </c>
      <c r="H1040" s="23">
        <f t="shared" si="813"/>
        <v>380</v>
      </c>
      <c r="I1040" s="23" t="str">
        <f>I1019</f>
        <v>5500</v>
      </c>
      <c r="J1040" s="23" t="str">
        <f t="shared" ref="J1040:Q1040" si="814">J1033</f>
        <v>1000</v>
      </c>
      <c r="K1040" s="23">
        <f t="shared" si="814"/>
        <v>375</v>
      </c>
      <c r="L1040" s="23">
        <f t="shared" si="814"/>
        <v>585</v>
      </c>
      <c r="M1040" s="23" t="str">
        <f t="shared" si="814"/>
        <v>1000</v>
      </c>
      <c r="N1040" s="23">
        <f t="shared" si="814"/>
        <v>3300</v>
      </c>
      <c r="O1040" s="23">
        <f t="shared" si="814"/>
        <v>0</v>
      </c>
      <c r="P1040" s="23">
        <f t="shared" si="814"/>
        <v>0</v>
      </c>
      <c r="Q1040" s="23">
        <f t="shared" si="814"/>
        <v>2</v>
      </c>
      <c r="R1040" s="21"/>
    </row>
    <row r="1041" spans="1:18" ht="14.25" customHeight="1" x14ac:dyDescent="0.15">
      <c r="A1041" s="19">
        <v>1</v>
      </c>
      <c r="B1041" s="19">
        <v>1.5</v>
      </c>
      <c r="C1041" s="19">
        <f>0.6+0.3</f>
        <v>0.89999999999999991</v>
      </c>
      <c r="D1041" s="19">
        <f>B1041*C1041</f>
        <v>1.3499999999999999</v>
      </c>
      <c r="E1041" s="19"/>
      <c r="F1041" s="19"/>
      <c r="G1041" s="19"/>
      <c r="H1041" s="19"/>
      <c r="I1041" s="19">
        <f>B1041*0.4</f>
        <v>0.60000000000000009</v>
      </c>
      <c r="J1041" s="19">
        <v>1</v>
      </c>
      <c r="K1041" s="19">
        <f t="shared" ref="K1041:L1041" si="815">A1041</f>
        <v>1</v>
      </c>
      <c r="L1041" s="19">
        <f t="shared" si="815"/>
        <v>1.5</v>
      </c>
      <c r="M1041" s="19">
        <f>A1041</f>
        <v>1</v>
      </c>
      <c r="N1041" s="19">
        <f>(1.2*0.4)*2</f>
        <v>0.96</v>
      </c>
      <c r="O1041" s="19"/>
      <c r="P1041" s="19"/>
      <c r="Q1041" s="19"/>
      <c r="R1041" s="19"/>
    </row>
    <row r="1042" spans="1:18" ht="14.25" customHeight="1" x14ac:dyDescent="0.2">
      <c r="A1042" s="19"/>
      <c r="B1042" s="19"/>
      <c r="C1042" s="19"/>
      <c r="D1042" s="26" t="str">
        <f>D1035</f>
        <v>3000</v>
      </c>
      <c r="E1042" s="45">
        <v>0</v>
      </c>
      <c r="F1042" s="45">
        <v>0</v>
      </c>
      <c r="G1042" s="45">
        <v>2</v>
      </c>
      <c r="H1042" s="19">
        <f>B1041*2</f>
        <v>3</v>
      </c>
      <c r="I1042" s="19"/>
      <c r="J1042" s="19"/>
      <c r="K1042" s="19"/>
      <c r="L1042" s="19"/>
      <c r="M1042" s="19"/>
      <c r="N1042" s="28"/>
      <c r="O1042" s="19"/>
      <c r="P1042" s="19"/>
      <c r="Q1042" s="19"/>
      <c r="R1042" s="19"/>
    </row>
    <row r="1043" spans="1:18" ht="14.25" customHeight="1" x14ac:dyDescent="0.2">
      <c r="A1043" s="19"/>
      <c r="B1043" s="19"/>
      <c r="C1043" s="19"/>
      <c r="D1043" s="19">
        <f>D1041*D1042</f>
        <v>4049.9999999999995</v>
      </c>
      <c r="E1043" s="45">
        <f>E1042*E1040</f>
        <v>0</v>
      </c>
      <c r="F1043" s="45">
        <f t="shared" ref="F1043:H1043" si="816">F1040*F1042</f>
        <v>0</v>
      </c>
      <c r="G1043" s="45">
        <f t="shared" si="816"/>
        <v>7600</v>
      </c>
      <c r="H1043" s="19">
        <f t="shared" si="816"/>
        <v>1140</v>
      </c>
      <c r="I1043" s="19">
        <f t="shared" ref="I1043:N1043" si="817">I1040*I1041</f>
        <v>3300.0000000000005</v>
      </c>
      <c r="J1043" s="19">
        <f t="shared" si="817"/>
        <v>1000</v>
      </c>
      <c r="K1043" s="19">
        <f t="shared" si="817"/>
        <v>375</v>
      </c>
      <c r="L1043" s="19">
        <f t="shared" si="817"/>
        <v>877.5</v>
      </c>
      <c r="M1043" s="19">
        <f t="shared" si="817"/>
        <v>1000</v>
      </c>
      <c r="N1043" s="19">
        <f t="shared" si="817"/>
        <v>3168</v>
      </c>
      <c r="O1043" s="19">
        <f>SUM(D1043:N1043)</f>
        <v>22510.5</v>
      </c>
      <c r="P1043" s="19">
        <f>O1043/A1041</f>
        <v>22510.5</v>
      </c>
      <c r="Q1043" s="19">
        <f>P1043*Q1040</f>
        <v>45021</v>
      </c>
      <c r="R1043" s="19">
        <f>MROUND(Q1043,100)</f>
        <v>45000</v>
      </c>
    </row>
    <row r="1044" spans="1:18" ht="14.25" customHeight="1" x14ac:dyDescent="0.15">
      <c r="A1044" s="30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</row>
    <row r="1045" spans="1:18" ht="14.25" customHeight="1" x14ac:dyDescent="0.3">
      <c r="A1045" s="109" t="str">
        <f>PRICELIST!I364</f>
        <v>WSTK-LNR-S-PLM-1500-G</v>
      </c>
      <c r="B1045" s="87"/>
      <c r="C1045" s="87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7"/>
    </row>
    <row r="1046" spans="1:18" ht="14.25" customHeight="1" x14ac:dyDescent="0.15">
      <c r="A1046" s="19" t="s">
        <v>57</v>
      </c>
      <c r="B1046" s="19" t="s">
        <v>59</v>
      </c>
      <c r="C1046" s="19" t="s">
        <v>62</v>
      </c>
      <c r="D1046" s="19" t="s">
        <v>64</v>
      </c>
      <c r="E1046" s="19">
        <v>1200</v>
      </c>
      <c r="F1046" s="19">
        <v>900</v>
      </c>
      <c r="G1046" s="19">
        <v>600</v>
      </c>
      <c r="H1046" s="19" t="s">
        <v>67</v>
      </c>
      <c r="I1046" s="19" t="s">
        <v>68</v>
      </c>
      <c r="J1046" s="19" t="s">
        <v>69</v>
      </c>
      <c r="K1046" s="19" t="s">
        <v>71</v>
      </c>
      <c r="L1046" s="19" t="s">
        <v>72</v>
      </c>
      <c r="M1046" s="19" t="s">
        <v>73</v>
      </c>
      <c r="N1046" s="19" t="s">
        <v>75</v>
      </c>
      <c r="O1046" s="19" t="s">
        <v>76</v>
      </c>
      <c r="P1046" s="19" t="s">
        <v>78</v>
      </c>
      <c r="Q1046" s="19" t="s">
        <v>79</v>
      </c>
      <c r="R1046" s="19" t="s">
        <v>81</v>
      </c>
    </row>
    <row r="1047" spans="1:18" ht="14.25" customHeight="1" x14ac:dyDescent="0.15">
      <c r="A1047" s="21">
        <f t="shared" ref="A1047:B1047" si="818">A1040</f>
        <v>0</v>
      </c>
      <c r="B1047" s="21">
        <f t="shared" si="818"/>
        <v>0</v>
      </c>
      <c r="C1047" s="44" t="s">
        <v>188</v>
      </c>
      <c r="D1047" s="21">
        <f t="shared" ref="D1047:H1047" si="819">D1040</f>
        <v>0</v>
      </c>
      <c r="E1047" s="23" t="str">
        <f t="shared" si="819"/>
        <v>4200</v>
      </c>
      <c r="F1047" s="23" t="str">
        <f t="shared" si="819"/>
        <v>4000</v>
      </c>
      <c r="G1047" s="23" t="str">
        <f t="shared" si="819"/>
        <v>3800</v>
      </c>
      <c r="H1047" s="23">
        <f t="shared" si="819"/>
        <v>380</v>
      </c>
      <c r="I1047" s="23" t="str">
        <f>I1026</f>
        <v>0</v>
      </c>
      <c r="J1047" s="23" t="str">
        <f t="shared" ref="J1047:Q1047" si="820">J1040</f>
        <v>1000</v>
      </c>
      <c r="K1047" s="23">
        <f t="shared" si="820"/>
        <v>375</v>
      </c>
      <c r="L1047" s="23">
        <f t="shared" si="820"/>
        <v>585</v>
      </c>
      <c r="M1047" s="23" t="str">
        <f t="shared" si="820"/>
        <v>1000</v>
      </c>
      <c r="N1047" s="23">
        <f t="shared" si="820"/>
        <v>3300</v>
      </c>
      <c r="O1047" s="23">
        <f t="shared" si="820"/>
        <v>0</v>
      </c>
      <c r="P1047" s="23">
        <f t="shared" si="820"/>
        <v>0</v>
      </c>
      <c r="Q1047" s="23">
        <f t="shared" si="820"/>
        <v>2</v>
      </c>
      <c r="R1047" s="21"/>
    </row>
    <row r="1048" spans="1:18" ht="14.25" customHeight="1" x14ac:dyDescent="0.15">
      <c r="A1048" s="19">
        <v>1</v>
      </c>
      <c r="B1048" s="19">
        <v>1.5</v>
      </c>
      <c r="C1048" s="19">
        <f>0.6+0.3</f>
        <v>0.89999999999999991</v>
      </c>
      <c r="D1048" s="19">
        <f>B1048*C1048</f>
        <v>1.3499999999999999</v>
      </c>
      <c r="E1048" s="19"/>
      <c r="F1048" s="19"/>
      <c r="G1048" s="19"/>
      <c r="H1048" s="19"/>
      <c r="I1048" s="19">
        <f>B1048*0.4</f>
        <v>0.60000000000000009</v>
      </c>
      <c r="J1048" s="19">
        <v>1</v>
      </c>
      <c r="K1048" s="19">
        <f t="shared" ref="K1048:L1048" si="821">A1048</f>
        <v>1</v>
      </c>
      <c r="L1048" s="19">
        <f t="shared" si="821"/>
        <v>1.5</v>
      </c>
      <c r="M1048" s="19">
        <f>A1048</f>
        <v>1</v>
      </c>
      <c r="N1048" s="19">
        <f>(1.2*0.4)*2</f>
        <v>0.96</v>
      </c>
      <c r="O1048" s="19"/>
      <c r="P1048" s="19"/>
      <c r="Q1048" s="19"/>
      <c r="R1048" s="19"/>
    </row>
    <row r="1049" spans="1:18" ht="14.25" customHeight="1" x14ac:dyDescent="0.2">
      <c r="A1049" s="19"/>
      <c r="B1049" s="19"/>
      <c r="C1049" s="19"/>
      <c r="D1049" s="26" t="str">
        <f>D1042</f>
        <v>3000</v>
      </c>
      <c r="E1049" s="45">
        <v>0</v>
      </c>
      <c r="F1049" s="45">
        <v>0</v>
      </c>
      <c r="G1049" s="45">
        <v>2</v>
      </c>
      <c r="H1049" s="19">
        <f>B1048*2</f>
        <v>3</v>
      </c>
      <c r="I1049" s="19"/>
      <c r="J1049" s="19"/>
      <c r="K1049" s="19"/>
      <c r="L1049" s="19"/>
      <c r="M1049" s="19"/>
      <c r="N1049" s="28"/>
      <c r="O1049" s="19"/>
      <c r="P1049" s="19"/>
      <c r="Q1049" s="19"/>
      <c r="R1049" s="19"/>
    </row>
    <row r="1050" spans="1:18" ht="14.25" customHeight="1" x14ac:dyDescent="0.2">
      <c r="A1050" s="19"/>
      <c r="B1050" s="19"/>
      <c r="C1050" s="19"/>
      <c r="D1050" s="19">
        <f>D1048*D1049</f>
        <v>4049.9999999999995</v>
      </c>
      <c r="E1050" s="45">
        <f>E1049*E1047</f>
        <v>0</v>
      </c>
      <c r="F1050" s="45">
        <f t="shared" ref="F1050:H1050" si="822">F1047*F1049</f>
        <v>0</v>
      </c>
      <c r="G1050" s="45">
        <f t="shared" si="822"/>
        <v>7600</v>
      </c>
      <c r="H1050" s="19">
        <f t="shared" si="822"/>
        <v>1140</v>
      </c>
      <c r="I1050" s="19">
        <f t="shared" ref="I1050:N1050" si="823">I1047*I1048</f>
        <v>0</v>
      </c>
      <c r="J1050" s="19">
        <f t="shared" si="823"/>
        <v>1000</v>
      </c>
      <c r="K1050" s="19">
        <f t="shared" si="823"/>
        <v>375</v>
      </c>
      <c r="L1050" s="19">
        <f t="shared" si="823"/>
        <v>877.5</v>
      </c>
      <c r="M1050" s="19">
        <f t="shared" si="823"/>
        <v>1000</v>
      </c>
      <c r="N1050" s="19">
        <f t="shared" si="823"/>
        <v>3168</v>
      </c>
      <c r="O1050" s="19">
        <f>SUM(D1050:N1050)</f>
        <v>19210.5</v>
      </c>
      <c r="P1050" s="19">
        <f>O1050/A1048</f>
        <v>19210.5</v>
      </c>
      <c r="Q1050" s="19">
        <f>P1050*Q1047</f>
        <v>38421</v>
      </c>
      <c r="R1050" s="19">
        <f>MROUND(Q1050,100)</f>
        <v>38400</v>
      </c>
    </row>
    <row r="1051" spans="1:18" ht="14.25" customHeight="1" x14ac:dyDescent="0.15">
      <c r="A1051" s="30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</row>
    <row r="1052" spans="1:18" ht="14.25" customHeight="1" x14ac:dyDescent="0.3">
      <c r="A1052" s="109" t="str">
        <f>PRICELIST!I365</f>
        <v>WSTK-LNR-S-PLM-1500-X</v>
      </c>
      <c r="B1052" s="87"/>
      <c r="C1052" s="87"/>
      <c r="D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7"/>
    </row>
    <row r="1053" spans="1:18" ht="14.25" customHeight="1" x14ac:dyDescent="0.15">
      <c r="A1053" s="19" t="s">
        <v>57</v>
      </c>
      <c r="B1053" s="19" t="s">
        <v>59</v>
      </c>
      <c r="C1053" s="19" t="s">
        <v>62</v>
      </c>
      <c r="D1053" s="19" t="s">
        <v>64</v>
      </c>
      <c r="E1053" s="19">
        <v>1200</v>
      </c>
      <c r="F1053" s="19">
        <v>900</v>
      </c>
      <c r="G1053" s="19">
        <v>600</v>
      </c>
      <c r="H1053" s="19" t="s">
        <v>67</v>
      </c>
      <c r="I1053" s="19" t="s">
        <v>68</v>
      </c>
      <c r="J1053" s="19" t="s">
        <v>69</v>
      </c>
      <c r="K1053" s="19" t="s">
        <v>71</v>
      </c>
      <c r="L1053" s="19" t="s">
        <v>72</v>
      </c>
      <c r="M1053" s="19" t="s">
        <v>73</v>
      </c>
      <c r="N1053" s="19" t="s">
        <v>75</v>
      </c>
      <c r="O1053" s="19" t="s">
        <v>76</v>
      </c>
      <c r="P1053" s="19" t="s">
        <v>78</v>
      </c>
      <c r="Q1053" s="19" t="s">
        <v>79</v>
      </c>
      <c r="R1053" s="19" t="s">
        <v>81</v>
      </c>
    </row>
    <row r="1054" spans="1:18" ht="14.25" customHeight="1" x14ac:dyDescent="0.15">
      <c r="A1054" s="21">
        <f t="shared" ref="A1054:B1054" si="824">A1047</f>
        <v>0</v>
      </c>
      <c r="B1054" s="21">
        <f t="shared" si="824"/>
        <v>0</v>
      </c>
      <c r="C1054" s="44" t="s">
        <v>188</v>
      </c>
      <c r="D1054" s="21">
        <f t="shared" ref="D1054:H1054" si="825">D1047</f>
        <v>0</v>
      </c>
      <c r="E1054" s="23" t="str">
        <f t="shared" si="825"/>
        <v>4200</v>
      </c>
      <c r="F1054" s="23" t="str">
        <f t="shared" si="825"/>
        <v>4000</v>
      </c>
      <c r="G1054" s="23" t="str">
        <f t="shared" si="825"/>
        <v>3800</v>
      </c>
      <c r="H1054" s="23">
        <f t="shared" si="825"/>
        <v>380</v>
      </c>
      <c r="I1054" s="23" t="str">
        <f>I1033</f>
        <v>4800</v>
      </c>
      <c r="J1054" s="23" t="str">
        <f t="shared" ref="J1054:Q1054" si="826">J1047</f>
        <v>1000</v>
      </c>
      <c r="K1054" s="23">
        <f t="shared" si="826"/>
        <v>375</v>
      </c>
      <c r="L1054" s="23">
        <f t="shared" si="826"/>
        <v>585</v>
      </c>
      <c r="M1054" s="23" t="str">
        <f t="shared" si="826"/>
        <v>1000</v>
      </c>
      <c r="N1054" s="23">
        <f t="shared" si="826"/>
        <v>3300</v>
      </c>
      <c r="O1054" s="23">
        <f t="shared" si="826"/>
        <v>0</v>
      </c>
      <c r="P1054" s="23">
        <f t="shared" si="826"/>
        <v>0</v>
      </c>
      <c r="Q1054" s="23">
        <f t="shared" si="826"/>
        <v>2</v>
      </c>
      <c r="R1054" s="21"/>
    </row>
    <row r="1055" spans="1:18" ht="14.25" customHeight="1" x14ac:dyDescent="0.15">
      <c r="A1055" s="19">
        <v>1</v>
      </c>
      <c r="B1055" s="19">
        <v>1.5</v>
      </c>
      <c r="C1055" s="19">
        <f>0.6+0.3</f>
        <v>0.89999999999999991</v>
      </c>
      <c r="D1055" s="19">
        <f>B1055*C1055</f>
        <v>1.3499999999999999</v>
      </c>
      <c r="E1055" s="19"/>
      <c r="F1055" s="19"/>
      <c r="G1055" s="19"/>
      <c r="H1055" s="19"/>
      <c r="I1055" s="19">
        <f>B1055*0.4</f>
        <v>0.60000000000000009</v>
      </c>
      <c r="J1055" s="19">
        <v>1</v>
      </c>
      <c r="K1055" s="19">
        <f t="shared" ref="K1055:L1055" si="827">A1055</f>
        <v>1</v>
      </c>
      <c r="L1055" s="19">
        <f t="shared" si="827"/>
        <v>1.5</v>
      </c>
      <c r="M1055" s="19">
        <f>A1055</f>
        <v>1</v>
      </c>
      <c r="N1055" s="19">
        <f>(1.2*0.4)*2</f>
        <v>0.96</v>
      </c>
      <c r="O1055" s="19"/>
      <c r="P1055" s="19"/>
      <c r="Q1055" s="19"/>
      <c r="R1055" s="19"/>
    </row>
    <row r="1056" spans="1:18" ht="14.25" customHeight="1" x14ac:dyDescent="0.2">
      <c r="A1056" s="19"/>
      <c r="B1056" s="19"/>
      <c r="C1056" s="19"/>
      <c r="D1056" s="26" t="str">
        <f>D937</f>
        <v>7500</v>
      </c>
      <c r="E1056" s="45">
        <v>0</v>
      </c>
      <c r="F1056" s="45">
        <v>0</v>
      </c>
      <c r="G1056" s="45">
        <v>2</v>
      </c>
      <c r="H1056" s="19">
        <f>B1055*2</f>
        <v>3</v>
      </c>
      <c r="I1056" s="19"/>
      <c r="J1056" s="19"/>
      <c r="K1056" s="19"/>
      <c r="L1056" s="19"/>
      <c r="M1056" s="19"/>
      <c r="N1056" s="28"/>
      <c r="O1056" s="19"/>
      <c r="P1056" s="19"/>
      <c r="Q1056" s="19"/>
      <c r="R1056" s="19"/>
    </row>
    <row r="1057" spans="1:18" ht="14.25" customHeight="1" x14ac:dyDescent="0.2">
      <c r="A1057" s="19"/>
      <c r="B1057" s="19"/>
      <c r="C1057" s="19"/>
      <c r="D1057" s="19">
        <f>D1055*D1056</f>
        <v>10124.999999999998</v>
      </c>
      <c r="E1057" s="45">
        <f>E1056*E1054</f>
        <v>0</v>
      </c>
      <c r="F1057" s="45">
        <f t="shared" ref="F1057:H1057" si="828">F1054*F1056</f>
        <v>0</v>
      </c>
      <c r="G1057" s="45">
        <f t="shared" si="828"/>
        <v>7600</v>
      </c>
      <c r="H1057" s="19">
        <f t="shared" si="828"/>
        <v>1140</v>
      </c>
      <c r="I1057" s="19">
        <f t="shared" ref="I1057:N1057" si="829">I1054*I1055</f>
        <v>2880.0000000000005</v>
      </c>
      <c r="J1057" s="19">
        <f t="shared" si="829"/>
        <v>1000</v>
      </c>
      <c r="K1057" s="19">
        <f t="shared" si="829"/>
        <v>375</v>
      </c>
      <c r="L1057" s="19">
        <f t="shared" si="829"/>
        <v>877.5</v>
      </c>
      <c r="M1057" s="19">
        <f t="shared" si="829"/>
        <v>1000</v>
      </c>
      <c r="N1057" s="19">
        <f t="shared" si="829"/>
        <v>3168</v>
      </c>
      <c r="O1057" s="19">
        <f>SUM(D1057:N1057)</f>
        <v>28165.5</v>
      </c>
      <c r="P1057" s="19">
        <f>O1057/A1055</f>
        <v>28165.5</v>
      </c>
      <c r="Q1057" s="19">
        <f>P1057*Q1054</f>
        <v>56331</v>
      </c>
      <c r="R1057" s="19">
        <f>MROUND(Q1057,100)</f>
        <v>56300</v>
      </c>
    </row>
    <row r="1058" spans="1:18" ht="14.25" customHeight="1" x14ac:dyDescent="0.15">
      <c r="A1058" s="30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</row>
    <row r="1059" spans="1:18" ht="14.25" customHeight="1" x14ac:dyDescent="0.3">
      <c r="A1059" s="109" t="str">
        <f>PRICELIST!I366</f>
        <v>WSTK-LNR-S-PoLM-1500-F</v>
      </c>
      <c r="B1059" s="87"/>
      <c r="C1059" s="87"/>
      <c r="D1059" s="13"/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  <c r="R1059" s="17"/>
    </row>
    <row r="1060" spans="1:18" ht="14.25" customHeight="1" x14ac:dyDescent="0.15">
      <c r="A1060" s="19" t="s">
        <v>57</v>
      </c>
      <c r="B1060" s="19" t="s">
        <v>59</v>
      </c>
      <c r="C1060" s="19" t="s">
        <v>62</v>
      </c>
      <c r="D1060" s="19" t="s">
        <v>64</v>
      </c>
      <c r="E1060" s="19">
        <v>1200</v>
      </c>
      <c r="F1060" s="19">
        <v>900</v>
      </c>
      <c r="G1060" s="19">
        <v>600</v>
      </c>
      <c r="H1060" s="19" t="s">
        <v>67</v>
      </c>
      <c r="I1060" s="19" t="s">
        <v>68</v>
      </c>
      <c r="J1060" s="19" t="s">
        <v>69</v>
      </c>
      <c r="K1060" s="19" t="s">
        <v>71</v>
      </c>
      <c r="L1060" s="19" t="s">
        <v>72</v>
      </c>
      <c r="M1060" s="19" t="s">
        <v>73</v>
      </c>
      <c r="N1060" s="19" t="s">
        <v>75</v>
      </c>
      <c r="O1060" s="19" t="s">
        <v>76</v>
      </c>
      <c r="P1060" s="19" t="s">
        <v>78</v>
      </c>
      <c r="Q1060" s="19" t="s">
        <v>79</v>
      </c>
      <c r="R1060" s="19" t="s">
        <v>81</v>
      </c>
    </row>
    <row r="1061" spans="1:18" ht="14.25" customHeight="1" x14ac:dyDescent="0.15">
      <c r="A1061" s="21">
        <f t="shared" ref="A1061:B1061" si="830">A1054</f>
        <v>0</v>
      </c>
      <c r="B1061" s="21">
        <f t="shared" si="830"/>
        <v>0</v>
      </c>
      <c r="C1061" s="44" t="s">
        <v>188</v>
      </c>
      <c r="D1061" s="21">
        <f t="shared" ref="D1061:H1061" si="831">D1054</f>
        <v>0</v>
      </c>
      <c r="E1061" s="23" t="str">
        <f t="shared" si="831"/>
        <v>4200</v>
      </c>
      <c r="F1061" s="23" t="str">
        <f t="shared" si="831"/>
        <v>4000</v>
      </c>
      <c r="G1061" s="23" t="str">
        <f t="shared" si="831"/>
        <v>3800</v>
      </c>
      <c r="H1061" s="23">
        <f t="shared" si="831"/>
        <v>380</v>
      </c>
      <c r="I1061" s="23" t="str">
        <f>I1040</f>
        <v>5500</v>
      </c>
      <c r="J1061" s="23" t="str">
        <f t="shared" ref="J1061:Q1061" si="832">J1054</f>
        <v>1000</v>
      </c>
      <c r="K1061" s="23">
        <f t="shared" si="832"/>
        <v>375</v>
      </c>
      <c r="L1061" s="23">
        <f t="shared" si="832"/>
        <v>585</v>
      </c>
      <c r="M1061" s="23" t="str">
        <f t="shared" si="832"/>
        <v>1000</v>
      </c>
      <c r="N1061" s="23">
        <f t="shared" si="832"/>
        <v>3300</v>
      </c>
      <c r="O1061" s="23">
        <f t="shared" si="832"/>
        <v>0</v>
      </c>
      <c r="P1061" s="23">
        <f t="shared" si="832"/>
        <v>0</v>
      </c>
      <c r="Q1061" s="23">
        <f t="shared" si="832"/>
        <v>2</v>
      </c>
      <c r="R1061" s="21"/>
    </row>
    <row r="1062" spans="1:18" ht="14.25" customHeight="1" x14ac:dyDescent="0.15">
      <c r="A1062" s="19">
        <v>1</v>
      </c>
      <c r="B1062" s="19">
        <v>1.5</v>
      </c>
      <c r="C1062" s="19">
        <f>0.6+0.3</f>
        <v>0.89999999999999991</v>
      </c>
      <c r="D1062" s="19">
        <f>B1062*C1062</f>
        <v>1.3499999999999999</v>
      </c>
      <c r="E1062" s="19"/>
      <c r="F1062" s="19"/>
      <c r="G1062" s="19"/>
      <c r="H1062" s="19"/>
      <c r="I1062" s="19">
        <f>B1062*0.4</f>
        <v>0.60000000000000009</v>
      </c>
      <c r="J1062" s="19">
        <v>1</v>
      </c>
      <c r="K1062" s="19">
        <f t="shared" ref="K1062:L1062" si="833">A1062</f>
        <v>1</v>
      </c>
      <c r="L1062" s="19">
        <f t="shared" si="833"/>
        <v>1.5</v>
      </c>
      <c r="M1062" s="19">
        <f>A1062</f>
        <v>1</v>
      </c>
      <c r="N1062" s="19">
        <f>(1.2*0.4)*2</f>
        <v>0.96</v>
      </c>
      <c r="O1062" s="19"/>
      <c r="P1062" s="19"/>
      <c r="Q1062" s="19"/>
      <c r="R1062" s="19"/>
    </row>
    <row r="1063" spans="1:18" ht="14.25" customHeight="1" x14ac:dyDescent="0.2">
      <c r="A1063" s="19"/>
      <c r="B1063" s="19"/>
      <c r="C1063" s="19"/>
      <c r="D1063" s="26" t="str">
        <f>D1056</f>
        <v>7500</v>
      </c>
      <c r="E1063" s="45">
        <v>0</v>
      </c>
      <c r="F1063" s="45">
        <v>0</v>
      </c>
      <c r="G1063" s="45">
        <v>2</v>
      </c>
      <c r="H1063" s="19">
        <f>B1062*2</f>
        <v>3</v>
      </c>
      <c r="I1063" s="19"/>
      <c r="J1063" s="19"/>
      <c r="K1063" s="19"/>
      <c r="L1063" s="19"/>
      <c r="M1063" s="19"/>
      <c r="N1063" s="28"/>
      <c r="O1063" s="19"/>
      <c r="P1063" s="19"/>
      <c r="Q1063" s="19"/>
      <c r="R1063" s="19"/>
    </row>
    <row r="1064" spans="1:18" ht="14.25" customHeight="1" x14ac:dyDescent="0.2">
      <c r="A1064" s="19"/>
      <c r="B1064" s="19"/>
      <c r="C1064" s="19"/>
      <c r="D1064" s="19">
        <f>D1062*D1063</f>
        <v>10124.999999999998</v>
      </c>
      <c r="E1064" s="45">
        <f>E1063*E1061</f>
        <v>0</v>
      </c>
      <c r="F1064" s="45">
        <f t="shared" ref="F1064:H1064" si="834">F1061*F1063</f>
        <v>0</v>
      </c>
      <c r="G1064" s="45">
        <f t="shared" si="834"/>
        <v>7600</v>
      </c>
      <c r="H1064" s="19">
        <f t="shared" si="834"/>
        <v>1140</v>
      </c>
      <c r="I1064" s="19">
        <f t="shared" ref="I1064:N1064" si="835">I1061*I1062</f>
        <v>3300.0000000000005</v>
      </c>
      <c r="J1064" s="19">
        <f t="shared" si="835"/>
        <v>1000</v>
      </c>
      <c r="K1064" s="19">
        <f t="shared" si="835"/>
        <v>375</v>
      </c>
      <c r="L1064" s="19">
        <f t="shared" si="835"/>
        <v>877.5</v>
      </c>
      <c r="M1064" s="19">
        <f t="shared" si="835"/>
        <v>1000</v>
      </c>
      <c r="N1064" s="19">
        <f t="shared" si="835"/>
        <v>3168</v>
      </c>
      <c r="O1064" s="19">
        <f>SUM(D1064:N1064)</f>
        <v>28585.5</v>
      </c>
      <c r="P1064" s="19">
        <f>O1064/A1062</f>
        <v>28585.5</v>
      </c>
      <c r="Q1064" s="19">
        <f>P1064*Q1061</f>
        <v>57171</v>
      </c>
      <c r="R1064" s="19">
        <f>MROUND(Q1064,100)</f>
        <v>57200</v>
      </c>
    </row>
    <row r="1065" spans="1:18" ht="14.25" customHeight="1" x14ac:dyDescent="0.15">
      <c r="A1065" s="30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</row>
    <row r="1066" spans="1:18" ht="14.25" customHeight="1" x14ac:dyDescent="0.3">
      <c r="A1066" s="109" t="str">
        <f>PRICELIST!I367</f>
        <v>WSTK-LNR-S-PoLM-1500-G</v>
      </c>
      <c r="B1066" s="87"/>
      <c r="C1066" s="87"/>
      <c r="D1066" s="13"/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/>
      <c r="Q1066" s="13"/>
      <c r="R1066" s="17"/>
    </row>
    <row r="1067" spans="1:18" ht="14.25" customHeight="1" x14ac:dyDescent="0.15">
      <c r="A1067" s="19" t="s">
        <v>57</v>
      </c>
      <c r="B1067" s="19" t="s">
        <v>59</v>
      </c>
      <c r="C1067" s="19" t="s">
        <v>62</v>
      </c>
      <c r="D1067" s="19" t="s">
        <v>64</v>
      </c>
      <c r="E1067" s="19">
        <v>1200</v>
      </c>
      <c r="F1067" s="19">
        <v>900</v>
      </c>
      <c r="G1067" s="19">
        <v>600</v>
      </c>
      <c r="H1067" s="19" t="s">
        <v>67</v>
      </c>
      <c r="I1067" s="19" t="s">
        <v>68</v>
      </c>
      <c r="J1067" s="19" t="s">
        <v>69</v>
      </c>
      <c r="K1067" s="19" t="s">
        <v>71</v>
      </c>
      <c r="L1067" s="19" t="s">
        <v>72</v>
      </c>
      <c r="M1067" s="19" t="s">
        <v>73</v>
      </c>
      <c r="N1067" s="19" t="s">
        <v>75</v>
      </c>
      <c r="O1067" s="19" t="s">
        <v>76</v>
      </c>
      <c r="P1067" s="19" t="s">
        <v>78</v>
      </c>
      <c r="Q1067" s="19" t="s">
        <v>79</v>
      </c>
      <c r="R1067" s="19" t="s">
        <v>81</v>
      </c>
    </row>
    <row r="1068" spans="1:18" ht="14.25" customHeight="1" x14ac:dyDescent="0.15">
      <c r="A1068" s="21">
        <f t="shared" ref="A1068:B1068" si="836">A1061</f>
        <v>0</v>
      </c>
      <c r="B1068" s="21">
        <f t="shared" si="836"/>
        <v>0</v>
      </c>
      <c r="C1068" s="44" t="s">
        <v>188</v>
      </c>
      <c r="D1068" s="21">
        <f t="shared" ref="D1068:H1068" si="837">D1061</f>
        <v>0</v>
      </c>
      <c r="E1068" s="23" t="str">
        <f t="shared" si="837"/>
        <v>4200</v>
      </c>
      <c r="F1068" s="23" t="str">
        <f t="shared" si="837"/>
        <v>4000</v>
      </c>
      <c r="G1068" s="23" t="str">
        <f t="shared" si="837"/>
        <v>3800</v>
      </c>
      <c r="H1068" s="23">
        <f t="shared" si="837"/>
        <v>380</v>
      </c>
      <c r="I1068" s="23" t="str">
        <f>I1047</f>
        <v>0</v>
      </c>
      <c r="J1068" s="23" t="str">
        <f t="shared" ref="J1068:Q1068" si="838">J1061</f>
        <v>1000</v>
      </c>
      <c r="K1068" s="23">
        <f t="shared" si="838"/>
        <v>375</v>
      </c>
      <c r="L1068" s="23">
        <f t="shared" si="838"/>
        <v>585</v>
      </c>
      <c r="M1068" s="23" t="str">
        <f t="shared" si="838"/>
        <v>1000</v>
      </c>
      <c r="N1068" s="23">
        <f t="shared" si="838"/>
        <v>3300</v>
      </c>
      <c r="O1068" s="23">
        <f t="shared" si="838"/>
        <v>0</v>
      </c>
      <c r="P1068" s="23">
        <f t="shared" si="838"/>
        <v>0</v>
      </c>
      <c r="Q1068" s="23">
        <f t="shared" si="838"/>
        <v>2</v>
      </c>
      <c r="R1068" s="21"/>
    </row>
    <row r="1069" spans="1:18" ht="14.25" customHeight="1" x14ac:dyDescent="0.15">
      <c r="A1069" s="19">
        <v>1</v>
      </c>
      <c r="B1069" s="19">
        <v>1.5</v>
      </c>
      <c r="C1069" s="19">
        <f>0.6+0.3</f>
        <v>0.89999999999999991</v>
      </c>
      <c r="D1069" s="19">
        <f>B1069*C1069</f>
        <v>1.3499999999999999</v>
      </c>
      <c r="E1069" s="19"/>
      <c r="F1069" s="19"/>
      <c r="G1069" s="19"/>
      <c r="H1069" s="19"/>
      <c r="I1069" s="19">
        <f>B1069*0.4</f>
        <v>0.60000000000000009</v>
      </c>
      <c r="J1069" s="19">
        <v>1</v>
      </c>
      <c r="K1069" s="19">
        <f t="shared" ref="K1069:L1069" si="839">A1069</f>
        <v>1</v>
      </c>
      <c r="L1069" s="19">
        <f t="shared" si="839"/>
        <v>1.5</v>
      </c>
      <c r="M1069" s="19">
        <f>A1069</f>
        <v>1</v>
      </c>
      <c r="N1069" s="19">
        <f>(1.2*0.4)*2</f>
        <v>0.96</v>
      </c>
      <c r="O1069" s="19"/>
      <c r="P1069" s="19"/>
      <c r="Q1069" s="19"/>
      <c r="R1069" s="19"/>
    </row>
    <row r="1070" spans="1:18" ht="14.25" customHeight="1" x14ac:dyDescent="0.2">
      <c r="A1070" s="19"/>
      <c r="B1070" s="19"/>
      <c r="C1070" s="19"/>
      <c r="D1070" s="26" t="str">
        <f>D1063</f>
        <v>7500</v>
      </c>
      <c r="E1070" s="45">
        <v>0</v>
      </c>
      <c r="F1070" s="45">
        <v>0</v>
      </c>
      <c r="G1070" s="45">
        <v>2</v>
      </c>
      <c r="H1070" s="19">
        <f>B1069*2</f>
        <v>3</v>
      </c>
      <c r="I1070" s="19"/>
      <c r="J1070" s="19"/>
      <c r="K1070" s="19"/>
      <c r="L1070" s="19"/>
      <c r="M1070" s="19"/>
      <c r="N1070" s="28"/>
      <c r="O1070" s="19"/>
      <c r="P1070" s="19"/>
      <c r="Q1070" s="19"/>
      <c r="R1070" s="19"/>
    </row>
    <row r="1071" spans="1:18" ht="14.25" customHeight="1" x14ac:dyDescent="0.2">
      <c r="A1071" s="19"/>
      <c r="B1071" s="19"/>
      <c r="C1071" s="19"/>
      <c r="D1071" s="19">
        <f>D1069*D1070</f>
        <v>10124.999999999998</v>
      </c>
      <c r="E1071" s="45">
        <f>E1070*E1068</f>
        <v>0</v>
      </c>
      <c r="F1071" s="45">
        <f t="shared" ref="F1071:H1071" si="840">F1068*F1070</f>
        <v>0</v>
      </c>
      <c r="G1071" s="45">
        <f t="shared" si="840"/>
        <v>7600</v>
      </c>
      <c r="H1071" s="19">
        <f t="shared" si="840"/>
        <v>1140</v>
      </c>
      <c r="I1071" s="19">
        <f t="shared" ref="I1071:N1071" si="841">I1068*I1069</f>
        <v>0</v>
      </c>
      <c r="J1071" s="19">
        <f t="shared" si="841"/>
        <v>1000</v>
      </c>
      <c r="K1071" s="19">
        <f t="shared" si="841"/>
        <v>375</v>
      </c>
      <c r="L1071" s="19">
        <f t="shared" si="841"/>
        <v>877.5</v>
      </c>
      <c r="M1071" s="19">
        <f t="shared" si="841"/>
        <v>1000</v>
      </c>
      <c r="N1071" s="19">
        <f t="shared" si="841"/>
        <v>3168</v>
      </c>
      <c r="O1071" s="19">
        <f>SUM(D1071:N1071)</f>
        <v>25285.5</v>
      </c>
      <c r="P1071" s="19">
        <f>O1071/A1069</f>
        <v>25285.5</v>
      </c>
      <c r="Q1071" s="19">
        <f>P1071*Q1068</f>
        <v>50571</v>
      </c>
      <c r="R1071" s="19">
        <f>MROUND(Q1071,100)</f>
        <v>50600</v>
      </c>
    </row>
    <row r="1072" spans="1:18" ht="14.25" customHeight="1" x14ac:dyDescent="0.15">
      <c r="A1072" s="30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</row>
    <row r="1073" spans="1:18" ht="14.25" customHeight="1" x14ac:dyDescent="0.3">
      <c r="A1073" s="109" t="str">
        <f>PRICELIST!I368</f>
        <v>WSTK-LNR-S-PoLM-1500-X</v>
      </c>
      <c r="B1073" s="87"/>
      <c r="C1073" s="87"/>
      <c r="D1073" s="13"/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R1073" s="17"/>
    </row>
    <row r="1074" spans="1:18" ht="14.25" customHeight="1" x14ac:dyDescent="0.15">
      <c r="A1074" s="19" t="s">
        <v>57</v>
      </c>
      <c r="B1074" s="19" t="s">
        <v>59</v>
      </c>
      <c r="C1074" s="19" t="s">
        <v>62</v>
      </c>
      <c r="D1074" s="19" t="s">
        <v>64</v>
      </c>
      <c r="E1074" s="19">
        <v>1200</v>
      </c>
      <c r="F1074" s="19">
        <v>900</v>
      </c>
      <c r="G1074" s="19">
        <v>600</v>
      </c>
      <c r="H1074" s="19" t="s">
        <v>67</v>
      </c>
      <c r="I1074" s="19" t="s">
        <v>68</v>
      </c>
      <c r="J1074" s="19" t="s">
        <v>69</v>
      </c>
      <c r="K1074" s="19" t="s">
        <v>71</v>
      </c>
      <c r="L1074" s="19" t="s">
        <v>72</v>
      </c>
      <c r="M1074" s="19" t="s">
        <v>73</v>
      </c>
      <c r="N1074" s="19" t="s">
        <v>75</v>
      </c>
      <c r="O1074" s="19" t="s">
        <v>76</v>
      </c>
      <c r="P1074" s="19" t="s">
        <v>78</v>
      </c>
      <c r="Q1074" s="19" t="s">
        <v>79</v>
      </c>
      <c r="R1074" s="19" t="s">
        <v>81</v>
      </c>
    </row>
    <row r="1075" spans="1:18" ht="14.25" customHeight="1" x14ac:dyDescent="0.15">
      <c r="A1075" s="21">
        <f t="shared" ref="A1075:B1075" si="842">A1068</f>
        <v>0</v>
      </c>
      <c r="B1075" s="21">
        <f t="shared" si="842"/>
        <v>0</v>
      </c>
      <c r="C1075" s="44" t="s">
        <v>188</v>
      </c>
      <c r="D1075" s="21">
        <f t="shared" ref="D1075:H1075" si="843">D1068</f>
        <v>0</v>
      </c>
      <c r="E1075" s="23" t="str">
        <f t="shared" si="843"/>
        <v>4200</v>
      </c>
      <c r="F1075" s="23" t="str">
        <f t="shared" si="843"/>
        <v>4000</v>
      </c>
      <c r="G1075" s="23" t="str">
        <f t="shared" si="843"/>
        <v>3800</v>
      </c>
      <c r="H1075" s="23">
        <f t="shared" si="843"/>
        <v>380</v>
      </c>
      <c r="I1075" s="23" t="str">
        <f>I1054</f>
        <v>4800</v>
      </c>
      <c r="J1075" s="23" t="str">
        <f t="shared" ref="J1075:Q1075" si="844">J1068</f>
        <v>1000</v>
      </c>
      <c r="K1075" s="23">
        <f t="shared" si="844"/>
        <v>375</v>
      </c>
      <c r="L1075" s="23">
        <f t="shared" si="844"/>
        <v>585</v>
      </c>
      <c r="M1075" s="23" t="str">
        <f t="shared" si="844"/>
        <v>1000</v>
      </c>
      <c r="N1075" s="23">
        <f t="shared" si="844"/>
        <v>3300</v>
      </c>
      <c r="O1075" s="23">
        <f t="shared" si="844"/>
        <v>0</v>
      </c>
      <c r="P1075" s="23">
        <f t="shared" si="844"/>
        <v>0</v>
      </c>
      <c r="Q1075" s="23">
        <f t="shared" si="844"/>
        <v>2</v>
      </c>
      <c r="R1075" s="21"/>
    </row>
    <row r="1076" spans="1:18" ht="14.25" customHeight="1" x14ac:dyDescent="0.15">
      <c r="A1076" s="19">
        <v>1</v>
      </c>
      <c r="B1076" s="19">
        <v>1.5</v>
      </c>
      <c r="C1076" s="19">
        <f>0.6+0.3</f>
        <v>0.89999999999999991</v>
      </c>
      <c r="D1076" s="19">
        <f>B1076*C1076</f>
        <v>1.3499999999999999</v>
      </c>
      <c r="E1076" s="19"/>
      <c r="F1076" s="19"/>
      <c r="G1076" s="19"/>
      <c r="H1076" s="19"/>
      <c r="I1076" s="19">
        <f>B1076*0.4</f>
        <v>0.60000000000000009</v>
      </c>
      <c r="J1076" s="19">
        <v>1</v>
      </c>
      <c r="K1076" s="19">
        <f t="shared" ref="K1076:L1076" si="845">A1076</f>
        <v>1</v>
      </c>
      <c r="L1076" s="19">
        <f t="shared" si="845"/>
        <v>1.5</v>
      </c>
      <c r="M1076" s="19">
        <f>A1076</f>
        <v>1</v>
      </c>
      <c r="N1076" s="19">
        <f>(1.2*0.4)*2</f>
        <v>0.96</v>
      </c>
      <c r="O1076" s="19"/>
      <c r="P1076" s="19"/>
      <c r="Q1076" s="19"/>
      <c r="R1076" s="19"/>
    </row>
    <row r="1077" spans="1:18" ht="14.25" customHeight="1" x14ac:dyDescent="0.2">
      <c r="A1077" s="19"/>
      <c r="B1077" s="19"/>
      <c r="C1077" s="19"/>
      <c r="D1077" s="26" t="str">
        <f>D965</f>
        <v>9500</v>
      </c>
      <c r="E1077" s="45">
        <v>0</v>
      </c>
      <c r="F1077" s="45">
        <v>0</v>
      </c>
      <c r="G1077" s="45">
        <v>2</v>
      </c>
      <c r="H1077" s="19">
        <f>B1076*2</f>
        <v>3</v>
      </c>
      <c r="I1077" s="19"/>
      <c r="J1077" s="19"/>
      <c r="K1077" s="19"/>
      <c r="L1077" s="19"/>
      <c r="M1077" s="19"/>
      <c r="N1077" s="28"/>
      <c r="O1077" s="19"/>
      <c r="P1077" s="19"/>
      <c r="Q1077" s="19"/>
      <c r="R1077" s="19"/>
    </row>
    <row r="1078" spans="1:18" ht="14.25" customHeight="1" x14ac:dyDescent="0.2">
      <c r="A1078" s="19"/>
      <c r="B1078" s="19"/>
      <c r="C1078" s="19"/>
      <c r="D1078" s="19">
        <f>D1076*D1077</f>
        <v>12824.999999999998</v>
      </c>
      <c r="E1078" s="45">
        <f>E1077*E1075</f>
        <v>0</v>
      </c>
      <c r="F1078" s="45">
        <f t="shared" ref="F1078:H1078" si="846">F1075*F1077</f>
        <v>0</v>
      </c>
      <c r="G1078" s="45">
        <f t="shared" si="846"/>
        <v>7600</v>
      </c>
      <c r="H1078" s="19">
        <f t="shared" si="846"/>
        <v>1140</v>
      </c>
      <c r="I1078" s="19">
        <f t="shared" ref="I1078:N1078" si="847">I1075*I1076</f>
        <v>2880.0000000000005</v>
      </c>
      <c r="J1078" s="19">
        <f t="shared" si="847"/>
        <v>1000</v>
      </c>
      <c r="K1078" s="19">
        <f t="shared" si="847"/>
        <v>375</v>
      </c>
      <c r="L1078" s="19">
        <f t="shared" si="847"/>
        <v>877.5</v>
      </c>
      <c r="M1078" s="19">
        <f t="shared" si="847"/>
        <v>1000</v>
      </c>
      <c r="N1078" s="19">
        <f t="shared" si="847"/>
        <v>3168</v>
      </c>
      <c r="O1078" s="19">
        <f>SUM(D1078:N1078)</f>
        <v>30865.5</v>
      </c>
      <c r="P1078" s="19">
        <f>O1078/A1076</f>
        <v>30865.5</v>
      </c>
      <c r="Q1078" s="19">
        <f>P1078*Q1075</f>
        <v>61731</v>
      </c>
      <c r="R1078" s="19">
        <f>MROUND(Q1078,100)</f>
        <v>61700</v>
      </c>
    </row>
    <row r="1079" spans="1:18" ht="14.25" customHeight="1" x14ac:dyDescent="0.15">
      <c r="A1079" s="30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</row>
    <row r="1080" spans="1:18" ht="14.25" customHeight="1" x14ac:dyDescent="0.3">
      <c r="A1080" s="109" t="str">
        <f>PRICELIST!I369</f>
        <v>WSTK-LNR-S-LVM-1500-F</v>
      </c>
      <c r="B1080" s="87"/>
      <c r="C1080" s="87"/>
      <c r="D1080" s="13"/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/>
      <c r="Q1080" s="13"/>
      <c r="R1080" s="17"/>
    </row>
    <row r="1081" spans="1:18" ht="14.25" customHeight="1" x14ac:dyDescent="0.15">
      <c r="A1081" s="19" t="s">
        <v>57</v>
      </c>
      <c r="B1081" s="19" t="s">
        <v>59</v>
      </c>
      <c r="C1081" s="19" t="s">
        <v>62</v>
      </c>
      <c r="D1081" s="19" t="s">
        <v>64</v>
      </c>
      <c r="E1081" s="19">
        <v>1200</v>
      </c>
      <c r="F1081" s="19">
        <v>900</v>
      </c>
      <c r="G1081" s="19">
        <v>600</v>
      </c>
      <c r="H1081" s="19" t="s">
        <v>67</v>
      </c>
      <c r="I1081" s="19" t="s">
        <v>68</v>
      </c>
      <c r="J1081" s="19" t="s">
        <v>69</v>
      </c>
      <c r="K1081" s="19" t="s">
        <v>71</v>
      </c>
      <c r="L1081" s="19" t="s">
        <v>72</v>
      </c>
      <c r="M1081" s="19" t="s">
        <v>73</v>
      </c>
      <c r="N1081" s="19" t="s">
        <v>75</v>
      </c>
      <c r="O1081" s="19" t="s">
        <v>76</v>
      </c>
      <c r="P1081" s="19" t="s">
        <v>78</v>
      </c>
      <c r="Q1081" s="19" t="s">
        <v>79</v>
      </c>
      <c r="R1081" s="19" t="s">
        <v>81</v>
      </c>
    </row>
    <row r="1082" spans="1:18" ht="14.25" customHeight="1" x14ac:dyDescent="0.15">
      <c r="A1082" s="21">
        <f t="shared" ref="A1082:B1082" si="848">A1075</f>
        <v>0</v>
      </c>
      <c r="B1082" s="21">
        <f t="shared" si="848"/>
        <v>0</v>
      </c>
      <c r="C1082" s="44" t="s">
        <v>188</v>
      </c>
      <c r="D1082" s="21">
        <f t="shared" ref="D1082:H1082" si="849">D1075</f>
        <v>0</v>
      </c>
      <c r="E1082" s="23" t="str">
        <f t="shared" si="849"/>
        <v>4200</v>
      </c>
      <c r="F1082" s="23" t="str">
        <f t="shared" si="849"/>
        <v>4000</v>
      </c>
      <c r="G1082" s="23" t="str">
        <f t="shared" si="849"/>
        <v>3800</v>
      </c>
      <c r="H1082" s="23">
        <f t="shared" si="849"/>
        <v>380</v>
      </c>
      <c r="I1082" s="23" t="str">
        <f>I1061</f>
        <v>5500</v>
      </c>
      <c r="J1082" s="23" t="str">
        <f t="shared" ref="J1082:Q1082" si="850">J1075</f>
        <v>1000</v>
      </c>
      <c r="K1082" s="23">
        <f t="shared" si="850"/>
        <v>375</v>
      </c>
      <c r="L1082" s="23">
        <f t="shared" si="850"/>
        <v>585</v>
      </c>
      <c r="M1082" s="23" t="str">
        <f t="shared" si="850"/>
        <v>1000</v>
      </c>
      <c r="N1082" s="23">
        <f t="shared" si="850"/>
        <v>3300</v>
      </c>
      <c r="O1082" s="23">
        <f t="shared" si="850"/>
        <v>0</v>
      </c>
      <c r="P1082" s="23">
        <f t="shared" si="850"/>
        <v>0</v>
      </c>
      <c r="Q1082" s="23">
        <f t="shared" si="850"/>
        <v>2</v>
      </c>
      <c r="R1082" s="21"/>
    </row>
    <row r="1083" spans="1:18" ht="14.25" customHeight="1" x14ac:dyDescent="0.15">
      <c r="A1083" s="19">
        <v>1</v>
      </c>
      <c r="B1083" s="19">
        <v>1.5</v>
      </c>
      <c r="C1083" s="19">
        <f>0.6+0.3</f>
        <v>0.89999999999999991</v>
      </c>
      <c r="D1083" s="19">
        <f>B1083*C1083</f>
        <v>1.3499999999999999</v>
      </c>
      <c r="E1083" s="19"/>
      <c r="F1083" s="19"/>
      <c r="G1083" s="19"/>
      <c r="H1083" s="19"/>
      <c r="I1083" s="19">
        <f>B1083*0.4</f>
        <v>0.60000000000000009</v>
      </c>
      <c r="J1083" s="19">
        <v>1</v>
      </c>
      <c r="K1083" s="19">
        <f t="shared" ref="K1083:L1083" si="851">A1083</f>
        <v>1</v>
      </c>
      <c r="L1083" s="19">
        <f t="shared" si="851"/>
        <v>1.5</v>
      </c>
      <c r="M1083" s="19">
        <f>A1083</f>
        <v>1</v>
      </c>
      <c r="N1083" s="19">
        <f>(1.2*0.4)*2</f>
        <v>0.96</v>
      </c>
      <c r="O1083" s="19"/>
      <c r="P1083" s="19"/>
      <c r="Q1083" s="19"/>
      <c r="R1083" s="19"/>
    </row>
    <row r="1084" spans="1:18" ht="14.25" customHeight="1" x14ac:dyDescent="0.2">
      <c r="A1084" s="19"/>
      <c r="B1084" s="19"/>
      <c r="C1084" s="19"/>
      <c r="D1084" s="26" t="str">
        <f>D1077</f>
        <v>9500</v>
      </c>
      <c r="E1084" s="45">
        <v>0</v>
      </c>
      <c r="F1084" s="45">
        <v>0</v>
      </c>
      <c r="G1084" s="45">
        <v>2</v>
      </c>
      <c r="H1084" s="19">
        <f>B1083*2</f>
        <v>3</v>
      </c>
      <c r="I1084" s="19"/>
      <c r="J1084" s="19"/>
      <c r="K1084" s="19"/>
      <c r="L1084" s="19"/>
      <c r="M1084" s="19"/>
      <c r="N1084" s="28"/>
      <c r="O1084" s="19"/>
      <c r="P1084" s="19"/>
      <c r="Q1084" s="19"/>
      <c r="R1084" s="19"/>
    </row>
    <row r="1085" spans="1:18" ht="14.25" customHeight="1" x14ac:dyDescent="0.2">
      <c r="A1085" s="19"/>
      <c r="B1085" s="19"/>
      <c r="C1085" s="19"/>
      <c r="D1085" s="19">
        <f>D1083*D1084</f>
        <v>12824.999999999998</v>
      </c>
      <c r="E1085" s="45">
        <f>E1084*E1082</f>
        <v>0</v>
      </c>
      <c r="F1085" s="45">
        <f t="shared" ref="F1085:H1085" si="852">F1082*F1084</f>
        <v>0</v>
      </c>
      <c r="G1085" s="45">
        <f t="shared" si="852"/>
        <v>7600</v>
      </c>
      <c r="H1085" s="19">
        <f t="shared" si="852"/>
        <v>1140</v>
      </c>
      <c r="I1085" s="19">
        <f t="shared" ref="I1085:N1085" si="853">I1082*I1083</f>
        <v>3300.0000000000005</v>
      </c>
      <c r="J1085" s="19">
        <f t="shared" si="853"/>
        <v>1000</v>
      </c>
      <c r="K1085" s="19">
        <f t="shared" si="853"/>
        <v>375</v>
      </c>
      <c r="L1085" s="19">
        <f t="shared" si="853"/>
        <v>877.5</v>
      </c>
      <c r="M1085" s="19">
        <f t="shared" si="853"/>
        <v>1000</v>
      </c>
      <c r="N1085" s="19">
        <f t="shared" si="853"/>
        <v>3168</v>
      </c>
      <c r="O1085" s="19">
        <f>SUM(D1085:N1085)</f>
        <v>31285.5</v>
      </c>
      <c r="P1085" s="19">
        <f>O1085/A1083</f>
        <v>31285.5</v>
      </c>
      <c r="Q1085" s="19">
        <f>P1085*Q1082</f>
        <v>62571</v>
      </c>
      <c r="R1085" s="19">
        <f>MROUND(Q1085,100)</f>
        <v>62600</v>
      </c>
    </row>
    <row r="1086" spans="1:18" ht="14.25" customHeight="1" x14ac:dyDescent="0.15">
      <c r="A1086" s="30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</row>
    <row r="1087" spans="1:18" ht="14.25" customHeight="1" x14ac:dyDescent="0.3">
      <c r="A1087" s="109" t="str">
        <f>PRICELIST!I370</f>
        <v>WSTK-LNR-S-LVM-1500-G</v>
      </c>
      <c r="B1087" s="87"/>
      <c r="C1087" s="87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R1087" s="17"/>
    </row>
    <row r="1088" spans="1:18" ht="14.25" customHeight="1" x14ac:dyDescent="0.15">
      <c r="A1088" s="19" t="s">
        <v>57</v>
      </c>
      <c r="B1088" s="19" t="s">
        <v>59</v>
      </c>
      <c r="C1088" s="19" t="s">
        <v>62</v>
      </c>
      <c r="D1088" s="19" t="s">
        <v>64</v>
      </c>
      <c r="E1088" s="19">
        <v>1200</v>
      </c>
      <c r="F1088" s="19">
        <v>900</v>
      </c>
      <c r="G1088" s="19">
        <v>600</v>
      </c>
      <c r="H1088" s="19" t="s">
        <v>67</v>
      </c>
      <c r="I1088" s="19" t="s">
        <v>68</v>
      </c>
      <c r="J1088" s="19" t="s">
        <v>69</v>
      </c>
      <c r="K1088" s="19" t="s">
        <v>71</v>
      </c>
      <c r="L1088" s="19" t="s">
        <v>72</v>
      </c>
      <c r="M1088" s="19" t="s">
        <v>73</v>
      </c>
      <c r="N1088" s="19" t="s">
        <v>75</v>
      </c>
      <c r="O1088" s="19" t="s">
        <v>76</v>
      </c>
      <c r="P1088" s="19" t="s">
        <v>78</v>
      </c>
      <c r="Q1088" s="19" t="s">
        <v>79</v>
      </c>
      <c r="R1088" s="19" t="s">
        <v>81</v>
      </c>
    </row>
    <row r="1089" spans="1:18" ht="14.25" customHeight="1" x14ac:dyDescent="0.15">
      <c r="A1089" s="21">
        <f t="shared" ref="A1089:B1089" si="854">A1082</f>
        <v>0</v>
      </c>
      <c r="B1089" s="21">
        <f t="shared" si="854"/>
        <v>0</v>
      </c>
      <c r="C1089" s="44" t="s">
        <v>188</v>
      </c>
      <c r="D1089" s="21">
        <f t="shared" ref="D1089:H1089" si="855">D1082</f>
        <v>0</v>
      </c>
      <c r="E1089" s="23" t="str">
        <f t="shared" si="855"/>
        <v>4200</v>
      </c>
      <c r="F1089" s="23" t="str">
        <f t="shared" si="855"/>
        <v>4000</v>
      </c>
      <c r="G1089" s="23" t="str">
        <f t="shared" si="855"/>
        <v>3800</v>
      </c>
      <c r="H1089" s="23">
        <f t="shared" si="855"/>
        <v>380</v>
      </c>
      <c r="I1089" s="23" t="str">
        <f>I1068</f>
        <v>0</v>
      </c>
      <c r="J1089" s="23" t="str">
        <f t="shared" ref="J1089:Q1089" si="856">J1082</f>
        <v>1000</v>
      </c>
      <c r="K1089" s="23">
        <f t="shared" si="856"/>
        <v>375</v>
      </c>
      <c r="L1089" s="23">
        <f t="shared" si="856"/>
        <v>585</v>
      </c>
      <c r="M1089" s="23" t="str">
        <f t="shared" si="856"/>
        <v>1000</v>
      </c>
      <c r="N1089" s="23">
        <f t="shared" si="856"/>
        <v>3300</v>
      </c>
      <c r="O1089" s="23">
        <f t="shared" si="856"/>
        <v>0</v>
      </c>
      <c r="P1089" s="23">
        <f t="shared" si="856"/>
        <v>0</v>
      </c>
      <c r="Q1089" s="23">
        <f t="shared" si="856"/>
        <v>2</v>
      </c>
      <c r="R1089" s="21"/>
    </row>
    <row r="1090" spans="1:18" ht="14.25" customHeight="1" x14ac:dyDescent="0.15">
      <c r="A1090" s="19">
        <v>1</v>
      </c>
      <c r="B1090" s="19">
        <v>1.5</v>
      </c>
      <c r="C1090" s="19">
        <f>0.6+0.3</f>
        <v>0.89999999999999991</v>
      </c>
      <c r="D1090" s="19">
        <f>B1090*C1090</f>
        <v>1.3499999999999999</v>
      </c>
      <c r="E1090" s="19"/>
      <c r="F1090" s="19"/>
      <c r="G1090" s="19"/>
      <c r="H1090" s="19"/>
      <c r="I1090" s="19">
        <f>B1090*0.4</f>
        <v>0.60000000000000009</v>
      </c>
      <c r="J1090" s="19">
        <v>1</v>
      </c>
      <c r="K1090" s="19">
        <f t="shared" ref="K1090:L1090" si="857">A1090</f>
        <v>1</v>
      </c>
      <c r="L1090" s="19">
        <f t="shared" si="857"/>
        <v>1.5</v>
      </c>
      <c r="M1090" s="19">
        <f>A1090</f>
        <v>1</v>
      </c>
      <c r="N1090" s="19">
        <f>(1.2*0.4)*2</f>
        <v>0.96</v>
      </c>
      <c r="O1090" s="19"/>
      <c r="P1090" s="19"/>
      <c r="Q1090" s="19"/>
      <c r="R1090" s="19"/>
    </row>
    <row r="1091" spans="1:18" ht="14.25" customHeight="1" x14ac:dyDescent="0.2">
      <c r="A1091" s="19"/>
      <c r="B1091" s="19"/>
      <c r="C1091" s="19"/>
      <c r="D1091" s="26" t="str">
        <f>D1084</f>
        <v>9500</v>
      </c>
      <c r="E1091" s="45">
        <v>0</v>
      </c>
      <c r="F1091" s="45">
        <v>0</v>
      </c>
      <c r="G1091" s="45">
        <v>2</v>
      </c>
      <c r="H1091" s="19">
        <f>B1090*2</f>
        <v>3</v>
      </c>
      <c r="I1091" s="19"/>
      <c r="J1091" s="19"/>
      <c r="K1091" s="19"/>
      <c r="L1091" s="19"/>
      <c r="M1091" s="19"/>
      <c r="N1091" s="28"/>
      <c r="O1091" s="19"/>
      <c r="P1091" s="19"/>
      <c r="Q1091" s="19"/>
      <c r="R1091" s="19"/>
    </row>
    <row r="1092" spans="1:18" ht="14.25" customHeight="1" x14ac:dyDescent="0.2">
      <c r="A1092" s="19"/>
      <c r="B1092" s="19"/>
      <c r="C1092" s="19"/>
      <c r="D1092" s="19">
        <f>D1090*D1091</f>
        <v>12824.999999999998</v>
      </c>
      <c r="E1092" s="45">
        <f>E1091*E1089</f>
        <v>0</v>
      </c>
      <c r="F1092" s="45">
        <f t="shared" ref="F1092:H1092" si="858">F1089*F1091</f>
        <v>0</v>
      </c>
      <c r="G1092" s="45">
        <f t="shared" si="858"/>
        <v>7600</v>
      </c>
      <c r="H1092" s="19">
        <f t="shared" si="858"/>
        <v>1140</v>
      </c>
      <c r="I1092" s="19">
        <f t="shared" ref="I1092:N1092" si="859">I1089*I1090</f>
        <v>0</v>
      </c>
      <c r="J1092" s="19">
        <f t="shared" si="859"/>
        <v>1000</v>
      </c>
      <c r="K1092" s="19">
        <f t="shared" si="859"/>
        <v>375</v>
      </c>
      <c r="L1092" s="19">
        <f t="shared" si="859"/>
        <v>877.5</v>
      </c>
      <c r="M1092" s="19">
        <f t="shared" si="859"/>
        <v>1000</v>
      </c>
      <c r="N1092" s="19">
        <f t="shared" si="859"/>
        <v>3168</v>
      </c>
      <c r="O1092" s="19">
        <f>SUM(D1092:N1092)</f>
        <v>27985.5</v>
      </c>
      <c r="P1092" s="19">
        <f>O1092/A1090</f>
        <v>27985.5</v>
      </c>
      <c r="Q1092" s="19">
        <f>P1092*Q1089</f>
        <v>55971</v>
      </c>
      <c r="R1092" s="19">
        <f>MROUND(Q1092,100)</f>
        <v>56000</v>
      </c>
    </row>
    <row r="1093" spans="1:18" ht="14.25" customHeight="1" x14ac:dyDescent="0.15">
      <c r="A1093" s="30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</row>
    <row r="1094" spans="1:18" ht="14.25" customHeight="1" x14ac:dyDescent="0.3">
      <c r="A1094" s="109" t="str">
        <f>PRICELIST!I371</f>
        <v>WSTK-LNR-S-LVM-1500-X</v>
      </c>
      <c r="B1094" s="87"/>
      <c r="C1094" s="87"/>
      <c r="D1094" s="13"/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/>
      <c r="Q1094" s="13"/>
      <c r="R1094" s="17"/>
    </row>
    <row r="1095" spans="1:18" ht="14.25" customHeight="1" x14ac:dyDescent="0.15">
      <c r="A1095" s="19" t="s">
        <v>57</v>
      </c>
      <c r="B1095" s="19" t="s">
        <v>59</v>
      </c>
      <c r="C1095" s="19" t="s">
        <v>62</v>
      </c>
      <c r="D1095" s="19" t="s">
        <v>64</v>
      </c>
      <c r="E1095" s="19">
        <v>1200</v>
      </c>
      <c r="F1095" s="19">
        <v>900</v>
      </c>
      <c r="G1095" s="19">
        <v>600</v>
      </c>
      <c r="H1095" s="19" t="s">
        <v>67</v>
      </c>
      <c r="I1095" s="19" t="s">
        <v>68</v>
      </c>
      <c r="J1095" s="19" t="s">
        <v>69</v>
      </c>
      <c r="K1095" s="19" t="s">
        <v>71</v>
      </c>
      <c r="L1095" s="19" t="s">
        <v>72</v>
      </c>
      <c r="M1095" s="19" t="s">
        <v>73</v>
      </c>
      <c r="N1095" s="19" t="s">
        <v>75</v>
      </c>
      <c r="O1095" s="19" t="s">
        <v>76</v>
      </c>
      <c r="P1095" s="19" t="s">
        <v>78</v>
      </c>
      <c r="Q1095" s="19" t="s">
        <v>79</v>
      </c>
      <c r="R1095" s="19" t="s">
        <v>81</v>
      </c>
    </row>
    <row r="1096" spans="1:18" ht="14.25" customHeight="1" x14ac:dyDescent="0.15">
      <c r="A1096" s="21">
        <f t="shared" ref="A1096:B1096" si="860">A1089</f>
        <v>0</v>
      </c>
      <c r="B1096" s="21">
        <f t="shared" si="860"/>
        <v>0</v>
      </c>
      <c r="C1096" s="44" t="s">
        <v>188</v>
      </c>
      <c r="D1096" s="21">
        <f t="shared" ref="D1096:H1096" si="861">D1089</f>
        <v>0</v>
      </c>
      <c r="E1096" s="23" t="str">
        <f t="shared" si="861"/>
        <v>4200</v>
      </c>
      <c r="F1096" s="23" t="str">
        <f t="shared" si="861"/>
        <v>4000</v>
      </c>
      <c r="G1096" s="23" t="str">
        <f t="shared" si="861"/>
        <v>3800</v>
      </c>
      <c r="H1096" s="23">
        <f t="shared" si="861"/>
        <v>380</v>
      </c>
      <c r="I1096" s="23" t="str">
        <f>I1075</f>
        <v>4800</v>
      </c>
      <c r="J1096" s="23" t="str">
        <f t="shared" ref="J1096:Q1096" si="862">J1089</f>
        <v>1000</v>
      </c>
      <c r="K1096" s="23">
        <f t="shared" si="862"/>
        <v>375</v>
      </c>
      <c r="L1096" s="23">
        <f t="shared" si="862"/>
        <v>585</v>
      </c>
      <c r="M1096" s="23" t="str">
        <f t="shared" si="862"/>
        <v>1000</v>
      </c>
      <c r="N1096" s="23">
        <f t="shared" si="862"/>
        <v>3300</v>
      </c>
      <c r="O1096" s="23">
        <f t="shared" si="862"/>
        <v>0</v>
      </c>
      <c r="P1096" s="23">
        <f t="shared" si="862"/>
        <v>0</v>
      </c>
      <c r="Q1096" s="23">
        <f t="shared" si="862"/>
        <v>2</v>
      </c>
      <c r="R1096" s="21"/>
    </row>
    <row r="1097" spans="1:18" ht="14.25" customHeight="1" x14ac:dyDescent="0.15">
      <c r="A1097" s="19">
        <v>1</v>
      </c>
      <c r="B1097" s="19">
        <v>1.5</v>
      </c>
      <c r="C1097" s="19">
        <f>0.6+0.3</f>
        <v>0.89999999999999991</v>
      </c>
      <c r="D1097" s="19">
        <f>B1097*C1097</f>
        <v>1.3499999999999999</v>
      </c>
      <c r="E1097" s="19"/>
      <c r="F1097" s="19"/>
      <c r="G1097" s="19"/>
      <c r="H1097" s="19"/>
      <c r="I1097" s="19">
        <f>B1097*0.4</f>
        <v>0.60000000000000009</v>
      </c>
      <c r="J1097" s="19">
        <v>1</v>
      </c>
      <c r="K1097" s="19">
        <f t="shared" ref="K1097:L1097" si="863">A1097</f>
        <v>1</v>
      </c>
      <c r="L1097" s="19">
        <f t="shared" si="863"/>
        <v>1.5</v>
      </c>
      <c r="M1097" s="19">
        <f>A1097</f>
        <v>1</v>
      </c>
      <c r="N1097" s="19">
        <f>(1.2*0.4)*2</f>
        <v>0.96</v>
      </c>
      <c r="O1097" s="19"/>
      <c r="P1097" s="19"/>
      <c r="Q1097" s="19"/>
      <c r="R1097" s="19"/>
    </row>
    <row r="1098" spans="1:18" ht="14.25" customHeight="1" x14ac:dyDescent="0.2">
      <c r="A1098" s="19"/>
      <c r="B1098" s="19"/>
      <c r="C1098" s="19"/>
      <c r="D1098" s="26" t="str">
        <f>D979</f>
        <v>10500</v>
      </c>
      <c r="E1098" s="45">
        <v>0</v>
      </c>
      <c r="F1098" s="45">
        <v>0</v>
      </c>
      <c r="G1098" s="45">
        <v>2</v>
      </c>
      <c r="H1098" s="19">
        <f>B1097*2</f>
        <v>3</v>
      </c>
      <c r="I1098" s="19"/>
      <c r="J1098" s="19"/>
      <c r="K1098" s="19"/>
      <c r="L1098" s="19"/>
      <c r="M1098" s="19"/>
      <c r="N1098" s="28"/>
      <c r="O1098" s="19"/>
      <c r="P1098" s="19"/>
      <c r="Q1098" s="19"/>
      <c r="R1098" s="19"/>
    </row>
    <row r="1099" spans="1:18" ht="14.25" customHeight="1" x14ac:dyDescent="0.2">
      <c r="A1099" s="19"/>
      <c r="B1099" s="19"/>
      <c r="C1099" s="19"/>
      <c r="D1099" s="19">
        <f>D1097*D1098</f>
        <v>14174.999999999998</v>
      </c>
      <c r="E1099" s="45">
        <f>E1098*E1096</f>
        <v>0</v>
      </c>
      <c r="F1099" s="45">
        <f t="shared" ref="F1099:H1099" si="864">F1096*F1098</f>
        <v>0</v>
      </c>
      <c r="G1099" s="45">
        <f t="shared" si="864"/>
        <v>7600</v>
      </c>
      <c r="H1099" s="19">
        <f t="shared" si="864"/>
        <v>1140</v>
      </c>
      <c r="I1099" s="19">
        <f t="shared" ref="I1099:N1099" si="865">I1096*I1097</f>
        <v>2880.0000000000005</v>
      </c>
      <c r="J1099" s="19">
        <f t="shared" si="865"/>
        <v>1000</v>
      </c>
      <c r="K1099" s="19">
        <f t="shared" si="865"/>
        <v>375</v>
      </c>
      <c r="L1099" s="19">
        <f t="shared" si="865"/>
        <v>877.5</v>
      </c>
      <c r="M1099" s="19">
        <f t="shared" si="865"/>
        <v>1000</v>
      </c>
      <c r="N1099" s="19">
        <f t="shared" si="865"/>
        <v>3168</v>
      </c>
      <c r="O1099" s="19">
        <f>SUM(D1099:N1099)</f>
        <v>32215.5</v>
      </c>
      <c r="P1099" s="19">
        <f>O1099/A1097</f>
        <v>32215.5</v>
      </c>
      <c r="Q1099" s="19">
        <f>P1099*Q1096</f>
        <v>64431</v>
      </c>
      <c r="R1099" s="19">
        <f>MROUND(Q1099,100)</f>
        <v>64400</v>
      </c>
    </row>
    <row r="1100" spans="1:18" ht="14.25" customHeight="1" x14ac:dyDescent="0.15">
      <c r="A1100" s="30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</row>
    <row r="1101" spans="1:18" ht="14.25" customHeight="1" x14ac:dyDescent="0.3">
      <c r="A1101" s="109" t="str">
        <f>PRICELIST!I372</f>
        <v>WSTK-LNR-S-LVP-1500-F</v>
      </c>
      <c r="B1101" s="87"/>
      <c r="C1101" s="87"/>
      <c r="D1101" s="13"/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R1101" s="17"/>
    </row>
    <row r="1102" spans="1:18" ht="14.25" customHeight="1" x14ac:dyDescent="0.15">
      <c r="A1102" s="19" t="s">
        <v>57</v>
      </c>
      <c r="B1102" s="19" t="s">
        <v>59</v>
      </c>
      <c r="C1102" s="19" t="s">
        <v>62</v>
      </c>
      <c r="D1102" s="19" t="s">
        <v>64</v>
      </c>
      <c r="E1102" s="19">
        <v>1200</v>
      </c>
      <c r="F1102" s="19">
        <v>900</v>
      </c>
      <c r="G1102" s="19">
        <v>600</v>
      </c>
      <c r="H1102" s="19" t="s">
        <v>67</v>
      </c>
      <c r="I1102" s="19" t="s">
        <v>68</v>
      </c>
      <c r="J1102" s="19" t="s">
        <v>69</v>
      </c>
      <c r="K1102" s="19" t="s">
        <v>71</v>
      </c>
      <c r="L1102" s="19" t="s">
        <v>72</v>
      </c>
      <c r="M1102" s="19" t="s">
        <v>73</v>
      </c>
      <c r="N1102" s="19" t="s">
        <v>75</v>
      </c>
      <c r="O1102" s="19" t="s">
        <v>76</v>
      </c>
      <c r="P1102" s="19" t="s">
        <v>78</v>
      </c>
      <c r="Q1102" s="19" t="s">
        <v>79</v>
      </c>
      <c r="R1102" s="19" t="s">
        <v>81</v>
      </c>
    </row>
    <row r="1103" spans="1:18" ht="14.25" customHeight="1" x14ac:dyDescent="0.15">
      <c r="A1103" s="21">
        <f t="shared" ref="A1103:B1103" si="866">A1096</f>
        <v>0</v>
      </c>
      <c r="B1103" s="21">
        <f t="shared" si="866"/>
        <v>0</v>
      </c>
      <c r="C1103" s="44" t="s">
        <v>188</v>
      </c>
      <c r="D1103" s="21">
        <f t="shared" ref="D1103:H1103" si="867">D1096</f>
        <v>0</v>
      </c>
      <c r="E1103" s="23" t="str">
        <f t="shared" si="867"/>
        <v>4200</v>
      </c>
      <c r="F1103" s="23" t="str">
        <f t="shared" si="867"/>
        <v>4000</v>
      </c>
      <c r="G1103" s="23" t="str">
        <f t="shared" si="867"/>
        <v>3800</v>
      </c>
      <c r="H1103" s="23">
        <f t="shared" si="867"/>
        <v>380</v>
      </c>
      <c r="I1103" s="23" t="str">
        <f>I1082</f>
        <v>5500</v>
      </c>
      <c r="J1103" s="23" t="str">
        <f t="shared" ref="J1103:Q1103" si="868">J1096</f>
        <v>1000</v>
      </c>
      <c r="K1103" s="23">
        <f t="shared" si="868"/>
        <v>375</v>
      </c>
      <c r="L1103" s="23">
        <f t="shared" si="868"/>
        <v>585</v>
      </c>
      <c r="M1103" s="23" t="str">
        <f t="shared" si="868"/>
        <v>1000</v>
      </c>
      <c r="N1103" s="23">
        <f t="shared" si="868"/>
        <v>3300</v>
      </c>
      <c r="O1103" s="23">
        <f t="shared" si="868"/>
        <v>0</v>
      </c>
      <c r="P1103" s="23">
        <f t="shared" si="868"/>
        <v>0</v>
      </c>
      <c r="Q1103" s="23">
        <f t="shared" si="868"/>
        <v>2</v>
      </c>
      <c r="R1103" s="21"/>
    </row>
    <row r="1104" spans="1:18" ht="14.25" customHeight="1" x14ac:dyDescent="0.15">
      <c r="A1104" s="19">
        <v>1</v>
      </c>
      <c r="B1104" s="19">
        <v>1.5</v>
      </c>
      <c r="C1104" s="19">
        <f>0.6+0.3</f>
        <v>0.89999999999999991</v>
      </c>
      <c r="D1104" s="19">
        <f>B1104*C1104</f>
        <v>1.3499999999999999</v>
      </c>
      <c r="E1104" s="19"/>
      <c r="F1104" s="19"/>
      <c r="G1104" s="19"/>
      <c r="H1104" s="19"/>
      <c r="I1104" s="19">
        <f>B1104*0.4</f>
        <v>0.60000000000000009</v>
      </c>
      <c r="J1104" s="19">
        <v>1</v>
      </c>
      <c r="K1104" s="19">
        <f t="shared" ref="K1104:L1104" si="869">A1104</f>
        <v>1</v>
      </c>
      <c r="L1104" s="19">
        <f t="shared" si="869"/>
        <v>1.5</v>
      </c>
      <c r="M1104" s="19">
        <f>A1104</f>
        <v>1</v>
      </c>
      <c r="N1104" s="19">
        <f>(1.2*0.4)*2</f>
        <v>0.96</v>
      </c>
      <c r="O1104" s="19"/>
      <c r="P1104" s="19"/>
      <c r="Q1104" s="19"/>
      <c r="R1104" s="19"/>
    </row>
    <row r="1105" spans="1:18" ht="14.25" customHeight="1" x14ac:dyDescent="0.2">
      <c r="A1105" s="19"/>
      <c r="B1105" s="19"/>
      <c r="C1105" s="19"/>
      <c r="D1105" s="26" t="str">
        <f>D1098</f>
        <v>10500</v>
      </c>
      <c r="E1105" s="45">
        <v>0</v>
      </c>
      <c r="F1105" s="45">
        <v>0</v>
      </c>
      <c r="G1105" s="45">
        <v>2</v>
      </c>
      <c r="H1105" s="19">
        <f>B1104*2</f>
        <v>3</v>
      </c>
      <c r="I1105" s="19"/>
      <c r="J1105" s="19"/>
      <c r="K1105" s="19"/>
      <c r="L1105" s="19"/>
      <c r="M1105" s="19"/>
      <c r="N1105" s="28"/>
      <c r="O1105" s="19"/>
      <c r="P1105" s="19"/>
      <c r="Q1105" s="19"/>
      <c r="R1105" s="19"/>
    </row>
    <row r="1106" spans="1:18" ht="14.25" customHeight="1" x14ac:dyDescent="0.2">
      <c r="A1106" s="19"/>
      <c r="B1106" s="19"/>
      <c r="C1106" s="19"/>
      <c r="D1106" s="19">
        <f>D1104*D1105</f>
        <v>14174.999999999998</v>
      </c>
      <c r="E1106" s="45">
        <f>E1105*E1103</f>
        <v>0</v>
      </c>
      <c r="F1106" s="45">
        <f t="shared" ref="F1106:H1106" si="870">F1103*F1105</f>
        <v>0</v>
      </c>
      <c r="G1106" s="45">
        <f t="shared" si="870"/>
        <v>7600</v>
      </c>
      <c r="H1106" s="19">
        <f t="shared" si="870"/>
        <v>1140</v>
      </c>
      <c r="I1106" s="19">
        <f t="shared" ref="I1106:N1106" si="871">I1103*I1104</f>
        <v>3300.0000000000005</v>
      </c>
      <c r="J1106" s="19">
        <f t="shared" si="871"/>
        <v>1000</v>
      </c>
      <c r="K1106" s="19">
        <f t="shared" si="871"/>
        <v>375</v>
      </c>
      <c r="L1106" s="19">
        <f t="shared" si="871"/>
        <v>877.5</v>
      </c>
      <c r="M1106" s="19">
        <f t="shared" si="871"/>
        <v>1000</v>
      </c>
      <c r="N1106" s="19">
        <f t="shared" si="871"/>
        <v>3168</v>
      </c>
      <c r="O1106" s="19">
        <f>SUM(D1106:N1106)</f>
        <v>32635.5</v>
      </c>
      <c r="P1106" s="19">
        <f>O1106/A1104</f>
        <v>32635.5</v>
      </c>
      <c r="Q1106" s="19">
        <f>P1106*Q1103</f>
        <v>65271</v>
      </c>
      <c r="R1106" s="19">
        <f>MROUND(Q1106,100)</f>
        <v>65300</v>
      </c>
    </row>
    <row r="1107" spans="1:18" ht="14.25" customHeight="1" x14ac:dyDescent="0.15">
      <c r="A1107" s="30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</row>
    <row r="1108" spans="1:18" ht="14.25" customHeight="1" x14ac:dyDescent="0.3">
      <c r="A1108" s="109" t="str">
        <f>PRICELIST!I373</f>
        <v>WSTK-LNR-S-LVP-1500-G</v>
      </c>
      <c r="B1108" s="87"/>
      <c r="C1108" s="87"/>
      <c r="D1108" s="13"/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7"/>
    </row>
    <row r="1109" spans="1:18" ht="14.25" customHeight="1" x14ac:dyDescent="0.15">
      <c r="A1109" s="19" t="s">
        <v>57</v>
      </c>
      <c r="B1109" s="19" t="s">
        <v>59</v>
      </c>
      <c r="C1109" s="19" t="s">
        <v>62</v>
      </c>
      <c r="D1109" s="19" t="s">
        <v>64</v>
      </c>
      <c r="E1109" s="19">
        <v>1200</v>
      </c>
      <c r="F1109" s="19">
        <v>900</v>
      </c>
      <c r="G1109" s="19">
        <v>600</v>
      </c>
      <c r="H1109" s="19" t="s">
        <v>67</v>
      </c>
      <c r="I1109" s="19" t="s">
        <v>68</v>
      </c>
      <c r="J1109" s="19" t="s">
        <v>69</v>
      </c>
      <c r="K1109" s="19" t="s">
        <v>71</v>
      </c>
      <c r="L1109" s="19" t="s">
        <v>72</v>
      </c>
      <c r="M1109" s="19" t="s">
        <v>73</v>
      </c>
      <c r="N1109" s="19" t="s">
        <v>75</v>
      </c>
      <c r="O1109" s="19" t="s">
        <v>76</v>
      </c>
      <c r="P1109" s="19" t="s">
        <v>78</v>
      </c>
      <c r="Q1109" s="19" t="s">
        <v>79</v>
      </c>
      <c r="R1109" s="19" t="s">
        <v>81</v>
      </c>
    </row>
    <row r="1110" spans="1:18" ht="14.25" customHeight="1" x14ac:dyDescent="0.15">
      <c r="A1110" s="21">
        <f t="shared" ref="A1110:B1110" si="872">A1103</f>
        <v>0</v>
      </c>
      <c r="B1110" s="21">
        <f t="shared" si="872"/>
        <v>0</v>
      </c>
      <c r="C1110" s="44" t="s">
        <v>188</v>
      </c>
      <c r="D1110" s="21">
        <f t="shared" ref="D1110:H1110" si="873">D1103</f>
        <v>0</v>
      </c>
      <c r="E1110" s="23" t="str">
        <f t="shared" si="873"/>
        <v>4200</v>
      </c>
      <c r="F1110" s="23" t="str">
        <f t="shared" si="873"/>
        <v>4000</v>
      </c>
      <c r="G1110" s="23" t="str">
        <f t="shared" si="873"/>
        <v>3800</v>
      </c>
      <c r="H1110" s="23">
        <f t="shared" si="873"/>
        <v>380</v>
      </c>
      <c r="I1110" s="23" t="str">
        <f>I1089</f>
        <v>0</v>
      </c>
      <c r="J1110" s="23" t="str">
        <f t="shared" ref="J1110:Q1110" si="874">J1103</f>
        <v>1000</v>
      </c>
      <c r="K1110" s="23">
        <f t="shared" si="874"/>
        <v>375</v>
      </c>
      <c r="L1110" s="23">
        <f t="shared" si="874"/>
        <v>585</v>
      </c>
      <c r="M1110" s="23" t="str">
        <f t="shared" si="874"/>
        <v>1000</v>
      </c>
      <c r="N1110" s="23">
        <f t="shared" si="874"/>
        <v>3300</v>
      </c>
      <c r="O1110" s="23">
        <f t="shared" si="874"/>
        <v>0</v>
      </c>
      <c r="P1110" s="23">
        <f t="shared" si="874"/>
        <v>0</v>
      </c>
      <c r="Q1110" s="23">
        <f t="shared" si="874"/>
        <v>2</v>
      </c>
      <c r="R1110" s="21"/>
    </row>
    <row r="1111" spans="1:18" ht="14.25" customHeight="1" x14ac:dyDescent="0.15">
      <c r="A1111" s="19">
        <v>1</v>
      </c>
      <c r="B1111" s="19">
        <v>1.5</v>
      </c>
      <c r="C1111" s="19">
        <f>0.6+0.3</f>
        <v>0.89999999999999991</v>
      </c>
      <c r="D1111" s="19">
        <f>B1111*C1111</f>
        <v>1.3499999999999999</v>
      </c>
      <c r="E1111" s="19"/>
      <c r="F1111" s="19"/>
      <c r="G1111" s="19"/>
      <c r="H1111" s="19"/>
      <c r="I1111" s="19">
        <f>B1111*0.4</f>
        <v>0.60000000000000009</v>
      </c>
      <c r="J1111" s="19">
        <v>1</v>
      </c>
      <c r="K1111" s="19">
        <f t="shared" ref="K1111:L1111" si="875">A1111</f>
        <v>1</v>
      </c>
      <c r="L1111" s="19">
        <f t="shared" si="875"/>
        <v>1.5</v>
      </c>
      <c r="M1111" s="19">
        <f>A1111</f>
        <v>1</v>
      </c>
      <c r="N1111" s="19">
        <f>(1.2*0.4)*2</f>
        <v>0.96</v>
      </c>
      <c r="O1111" s="19"/>
      <c r="P1111" s="19"/>
      <c r="Q1111" s="19"/>
      <c r="R1111" s="19"/>
    </row>
    <row r="1112" spans="1:18" ht="14.25" customHeight="1" x14ac:dyDescent="0.2">
      <c r="A1112" s="19"/>
      <c r="B1112" s="19"/>
      <c r="C1112" s="19"/>
      <c r="D1112" s="26" t="str">
        <f>D1105</f>
        <v>10500</v>
      </c>
      <c r="E1112" s="45">
        <v>0</v>
      </c>
      <c r="F1112" s="45">
        <v>0</v>
      </c>
      <c r="G1112" s="45">
        <v>2</v>
      </c>
      <c r="H1112" s="19">
        <f>B1111*2</f>
        <v>3</v>
      </c>
      <c r="I1112" s="19"/>
      <c r="J1112" s="19"/>
      <c r="K1112" s="19"/>
      <c r="L1112" s="19"/>
      <c r="M1112" s="19"/>
      <c r="N1112" s="28"/>
      <c r="O1112" s="19"/>
      <c r="P1112" s="19"/>
      <c r="Q1112" s="19"/>
      <c r="R1112" s="19"/>
    </row>
    <row r="1113" spans="1:18" ht="14.25" customHeight="1" x14ac:dyDescent="0.2">
      <c r="A1113" s="19"/>
      <c r="B1113" s="19"/>
      <c r="C1113" s="19"/>
      <c r="D1113" s="19">
        <f>D1111*D1112</f>
        <v>14174.999999999998</v>
      </c>
      <c r="E1113" s="45">
        <f>E1112*E1110</f>
        <v>0</v>
      </c>
      <c r="F1113" s="45">
        <f t="shared" ref="F1113:H1113" si="876">F1110*F1112</f>
        <v>0</v>
      </c>
      <c r="G1113" s="45">
        <f t="shared" si="876"/>
        <v>7600</v>
      </c>
      <c r="H1113" s="19">
        <f t="shared" si="876"/>
        <v>1140</v>
      </c>
      <c r="I1113" s="19">
        <f t="shared" ref="I1113:N1113" si="877">I1110*I1111</f>
        <v>0</v>
      </c>
      <c r="J1113" s="19">
        <f t="shared" si="877"/>
        <v>1000</v>
      </c>
      <c r="K1113" s="19">
        <f t="shared" si="877"/>
        <v>375</v>
      </c>
      <c r="L1113" s="19">
        <f t="shared" si="877"/>
        <v>877.5</v>
      </c>
      <c r="M1113" s="19">
        <f t="shared" si="877"/>
        <v>1000</v>
      </c>
      <c r="N1113" s="19">
        <f t="shared" si="877"/>
        <v>3168</v>
      </c>
      <c r="O1113" s="19">
        <f>SUM(D1113:N1113)</f>
        <v>29335.5</v>
      </c>
      <c r="P1113" s="19">
        <f>O1113/A1111</f>
        <v>29335.5</v>
      </c>
      <c r="Q1113" s="19">
        <f>P1113*Q1110</f>
        <v>58671</v>
      </c>
      <c r="R1113" s="19">
        <f>MROUND(Q1113,100)</f>
        <v>58700</v>
      </c>
    </row>
    <row r="1114" spans="1:18" ht="14.25" customHeight="1" x14ac:dyDescent="0.15">
      <c r="A1114" s="30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</row>
    <row r="1115" spans="1:18" ht="14.25" customHeight="1" x14ac:dyDescent="0.3">
      <c r="A1115" s="109" t="str">
        <f>PRICELIST!I374</f>
        <v>WSTK-LNR-S-LVP-1500-X</v>
      </c>
      <c r="B1115" s="87"/>
      <c r="C1115" s="87"/>
      <c r="D1115" s="13"/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R1115" s="17"/>
    </row>
    <row r="1116" spans="1:18" ht="14.25" customHeight="1" x14ac:dyDescent="0.15">
      <c r="A1116" s="19" t="s">
        <v>57</v>
      </c>
      <c r="B1116" s="19" t="s">
        <v>59</v>
      </c>
      <c r="C1116" s="19" t="s">
        <v>62</v>
      </c>
      <c r="D1116" s="19" t="s">
        <v>64</v>
      </c>
      <c r="E1116" s="19">
        <v>1200</v>
      </c>
      <c r="F1116" s="19">
        <v>900</v>
      </c>
      <c r="G1116" s="19">
        <v>600</v>
      </c>
      <c r="H1116" s="19" t="s">
        <v>67</v>
      </c>
      <c r="I1116" s="19" t="s">
        <v>68</v>
      </c>
      <c r="J1116" s="19" t="s">
        <v>69</v>
      </c>
      <c r="K1116" s="19" t="s">
        <v>71</v>
      </c>
      <c r="L1116" s="19" t="s">
        <v>72</v>
      </c>
      <c r="M1116" s="19" t="s">
        <v>73</v>
      </c>
      <c r="N1116" s="19" t="s">
        <v>75</v>
      </c>
      <c r="O1116" s="19" t="s">
        <v>76</v>
      </c>
      <c r="P1116" s="19" t="s">
        <v>78</v>
      </c>
      <c r="Q1116" s="19" t="s">
        <v>79</v>
      </c>
      <c r="R1116" s="19" t="s">
        <v>81</v>
      </c>
    </row>
    <row r="1117" spans="1:18" ht="14.25" customHeight="1" x14ac:dyDescent="0.15">
      <c r="A1117" s="21">
        <f t="shared" ref="A1117:B1117" si="878">A1110</f>
        <v>0</v>
      </c>
      <c r="B1117" s="21">
        <f t="shared" si="878"/>
        <v>0</v>
      </c>
      <c r="C1117" s="44" t="s">
        <v>188</v>
      </c>
      <c r="D1117" s="21">
        <f t="shared" ref="D1117:H1117" si="879">D1110</f>
        <v>0</v>
      </c>
      <c r="E1117" s="23" t="str">
        <f t="shared" si="879"/>
        <v>4200</v>
      </c>
      <c r="F1117" s="23" t="str">
        <f t="shared" si="879"/>
        <v>4000</v>
      </c>
      <c r="G1117" s="23" t="str">
        <f t="shared" si="879"/>
        <v>3800</v>
      </c>
      <c r="H1117" s="23">
        <f t="shared" si="879"/>
        <v>380</v>
      </c>
      <c r="I1117" s="23" t="str">
        <f>I1096</f>
        <v>4800</v>
      </c>
      <c r="J1117" s="23" t="str">
        <f t="shared" ref="J1117:Q1117" si="880">J1110</f>
        <v>1000</v>
      </c>
      <c r="K1117" s="23">
        <f t="shared" si="880"/>
        <v>375</v>
      </c>
      <c r="L1117" s="23">
        <f t="shared" si="880"/>
        <v>585</v>
      </c>
      <c r="M1117" s="23" t="str">
        <f t="shared" si="880"/>
        <v>1000</v>
      </c>
      <c r="N1117" s="23">
        <f t="shared" si="880"/>
        <v>3300</v>
      </c>
      <c r="O1117" s="23">
        <f t="shared" si="880"/>
        <v>0</v>
      </c>
      <c r="P1117" s="23">
        <f t="shared" si="880"/>
        <v>0</v>
      </c>
      <c r="Q1117" s="23">
        <f t="shared" si="880"/>
        <v>2</v>
      </c>
      <c r="R1117" s="21"/>
    </row>
    <row r="1118" spans="1:18" ht="14.25" customHeight="1" x14ac:dyDescent="0.15">
      <c r="A1118" s="19">
        <v>1</v>
      </c>
      <c r="B1118" s="19">
        <v>1.5</v>
      </c>
      <c r="C1118" s="19">
        <f>0.6+0.3</f>
        <v>0.89999999999999991</v>
      </c>
      <c r="D1118" s="19">
        <f>B1118*C1118</f>
        <v>1.3499999999999999</v>
      </c>
      <c r="E1118" s="19"/>
      <c r="F1118" s="19"/>
      <c r="G1118" s="19"/>
      <c r="H1118" s="19"/>
      <c r="I1118" s="19">
        <f>B1118*0.4</f>
        <v>0.60000000000000009</v>
      </c>
      <c r="J1118" s="19">
        <v>1</v>
      </c>
      <c r="K1118" s="19">
        <f t="shared" ref="K1118:L1118" si="881">A1118</f>
        <v>1</v>
      </c>
      <c r="L1118" s="19">
        <f t="shared" si="881"/>
        <v>1.5</v>
      </c>
      <c r="M1118" s="19">
        <f>A1118</f>
        <v>1</v>
      </c>
      <c r="N1118" s="19">
        <f>(1.2*0.4)*2</f>
        <v>0.96</v>
      </c>
      <c r="O1118" s="19"/>
      <c r="P1118" s="19"/>
      <c r="Q1118" s="19"/>
      <c r="R1118" s="19"/>
    </row>
    <row r="1119" spans="1:18" ht="14.25" customHeight="1" x14ac:dyDescent="0.2">
      <c r="A1119" s="19"/>
      <c r="B1119" s="19"/>
      <c r="C1119" s="19"/>
      <c r="D1119" s="26" t="str">
        <f>D993</f>
        <v>16250</v>
      </c>
      <c r="E1119" s="45">
        <v>0</v>
      </c>
      <c r="F1119" s="45">
        <v>0</v>
      </c>
      <c r="G1119" s="45">
        <v>2</v>
      </c>
      <c r="H1119" s="19">
        <f>B1118*2</f>
        <v>3</v>
      </c>
      <c r="I1119" s="19"/>
      <c r="J1119" s="19"/>
      <c r="K1119" s="19"/>
      <c r="L1119" s="19"/>
      <c r="M1119" s="19"/>
      <c r="N1119" s="28"/>
      <c r="O1119" s="19"/>
      <c r="P1119" s="19"/>
      <c r="Q1119" s="19"/>
      <c r="R1119" s="19"/>
    </row>
    <row r="1120" spans="1:18" ht="14.25" customHeight="1" x14ac:dyDescent="0.2">
      <c r="A1120" s="19"/>
      <c r="B1120" s="19"/>
      <c r="C1120" s="19"/>
      <c r="D1120" s="19">
        <f>D1118*D1119</f>
        <v>21937.499999999996</v>
      </c>
      <c r="E1120" s="45">
        <f>E1119*E1117</f>
        <v>0</v>
      </c>
      <c r="F1120" s="45">
        <f t="shared" ref="F1120:H1120" si="882">F1117*F1119</f>
        <v>0</v>
      </c>
      <c r="G1120" s="45">
        <f t="shared" si="882"/>
        <v>7600</v>
      </c>
      <c r="H1120" s="19">
        <f t="shared" si="882"/>
        <v>1140</v>
      </c>
      <c r="I1120" s="19">
        <f t="shared" ref="I1120:N1120" si="883">I1117*I1118</f>
        <v>2880.0000000000005</v>
      </c>
      <c r="J1120" s="19">
        <f t="shared" si="883"/>
        <v>1000</v>
      </c>
      <c r="K1120" s="19">
        <f t="shared" si="883"/>
        <v>375</v>
      </c>
      <c r="L1120" s="19">
        <f t="shared" si="883"/>
        <v>877.5</v>
      </c>
      <c r="M1120" s="19">
        <f t="shared" si="883"/>
        <v>1000</v>
      </c>
      <c r="N1120" s="19">
        <f t="shared" si="883"/>
        <v>3168</v>
      </c>
      <c r="O1120" s="19">
        <f>SUM(D1120:N1120)</f>
        <v>39978</v>
      </c>
      <c r="P1120" s="19">
        <f>O1120/A1118</f>
        <v>39978</v>
      </c>
      <c r="Q1120" s="19">
        <f>P1120*Q1117</f>
        <v>79956</v>
      </c>
      <c r="R1120" s="19">
        <f>MROUND(Q1120,100)</f>
        <v>80000</v>
      </c>
    </row>
    <row r="1121" spans="1:18" ht="14.25" customHeight="1" x14ac:dyDescent="0.15">
      <c r="A1121" s="30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</row>
    <row r="1122" spans="1:18" ht="14.25" customHeight="1" x14ac:dyDescent="0.3">
      <c r="A1122" s="109" t="str">
        <f>PRICELIST!I375</f>
        <v>WSTK-LNR-S-MB-1500-F</v>
      </c>
      <c r="B1122" s="87"/>
      <c r="C1122" s="87"/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/>
      <c r="Q1122" s="13"/>
      <c r="R1122" s="17"/>
    </row>
    <row r="1123" spans="1:18" ht="14.25" customHeight="1" x14ac:dyDescent="0.15">
      <c r="A1123" s="19" t="s">
        <v>57</v>
      </c>
      <c r="B1123" s="19" t="s">
        <v>59</v>
      </c>
      <c r="C1123" s="19" t="s">
        <v>62</v>
      </c>
      <c r="D1123" s="19" t="s">
        <v>64</v>
      </c>
      <c r="E1123" s="19">
        <v>1200</v>
      </c>
      <c r="F1123" s="19">
        <v>900</v>
      </c>
      <c r="G1123" s="19">
        <v>600</v>
      </c>
      <c r="H1123" s="19" t="s">
        <v>67</v>
      </c>
      <c r="I1123" s="19" t="s">
        <v>68</v>
      </c>
      <c r="J1123" s="19" t="s">
        <v>69</v>
      </c>
      <c r="K1123" s="19" t="s">
        <v>71</v>
      </c>
      <c r="L1123" s="19" t="s">
        <v>72</v>
      </c>
      <c r="M1123" s="19" t="s">
        <v>73</v>
      </c>
      <c r="N1123" s="19" t="s">
        <v>75</v>
      </c>
      <c r="O1123" s="19" t="s">
        <v>76</v>
      </c>
      <c r="P1123" s="19" t="s">
        <v>78</v>
      </c>
      <c r="Q1123" s="19" t="s">
        <v>79</v>
      </c>
      <c r="R1123" s="19" t="s">
        <v>81</v>
      </c>
    </row>
    <row r="1124" spans="1:18" ht="14.25" customHeight="1" x14ac:dyDescent="0.15">
      <c r="A1124" s="21">
        <f t="shared" ref="A1124:B1124" si="884">A1117</f>
        <v>0</v>
      </c>
      <c r="B1124" s="21">
        <f t="shared" si="884"/>
        <v>0</v>
      </c>
      <c r="C1124" s="44" t="s">
        <v>188</v>
      </c>
      <c r="D1124" s="21">
        <f t="shared" ref="D1124:H1124" si="885">D1117</f>
        <v>0</v>
      </c>
      <c r="E1124" s="23" t="str">
        <f t="shared" si="885"/>
        <v>4200</v>
      </c>
      <c r="F1124" s="23" t="str">
        <f t="shared" si="885"/>
        <v>4000</v>
      </c>
      <c r="G1124" s="23" t="str">
        <f t="shared" si="885"/>
        <v>3800</v>
      </c>
      <c r="H1124" s="23">
        <f t="shared" si="885"/>
        <v>380</v>
      </c>
      <c r="I1124" s="23" t="str">
        <f>I1103</f>
        <v>5500</v>
      </c>
      <c r="J1124" s="23" t="str">
        <f t="shared" ref="J1124:Q1124" si="886">J1117</f>
        <v>1000</v>
      </c>
      <c r="K1124" s="23">
        <f t="shared" si="886"/>
        <v>375</v>
      </c>
      <c r="L1124" s="23">
        <f t="shared" si="886"/>
        <v>585</v>
      </c>
      <c r="M1124" s="23" t="str">
        <f t="shared" si="886"/>
        <v>1000</v>
      </c>
      <c r="N1124" s="23">
        <f t="shared" si="886"/>
        <v>3300</v>
      </c>
      <c r="O1124" s="23">
        <f t="shared" si="886"/>
        <v>0</v>
      </c>
      <c r="P1124" s="23">
        <f t="shared" si="886"/>
        <v>0</v>
      </c>
      <c r="Q1124" s="23">
        <f t="shared" si="886"/>
        <v>2</v>
      </c>
      <c r="R1124" s="21"/>
    </row>
    <row r="1125" spans="1:18" ht="14.25" customHeight="1" x14ac:dyDescent="0.15">
      <c r="A1125" s="19">
        <v>1</v>
      </c>
      <c r="B1125" s="19">
        <v>1.5</v>
      </c>
      <c r="C1125" s="19">
        <f>0.6+0.3</f>
        <v>0.89999999999999991</v>
      </c>
      <c r="D1125" s="19">
        <f>B1125*C1125</f>
        <v>1.3499999999999999</v>
      </c>
      <c r="E1125" s="19"/>
      <c r="F1125" s="19"/>
      <c r="G1125" s="19"/>
      <c r="H1125" s="19"/>
      <c r="I1125" s="19">
        <f>B1125*0.4</f>
        <v>0.60000000000000009</v>
      </c>
      <c r="J1125" s="19">
        <v>1</v>
      </c>
      <c r="K1125" s="19">
        <f t="shared" ref="K1125:L1125" si="887">A1125</f>
        <v>1</v>
      </c>
      <c r="L1125" s="19">
        <f t="shared" si="887"/>
        <v>1.5</v>
      </c>
      <c r="M1125" s="19">
        <f>A1125</f>
        <v>1</v>
      </c>
      <c r="N1125" s="19">
        <f>(1.2*0.4)*2</f>
        <v>0.96</v>
      </c>
      <c r="O1125" s="19"/>
      <c r="P1125" s="19"/>
      <c r="Q1125" s="19"/>
      <c r="R1125" s="19"/>
    </row>
    <row r="1126" spans="1:18" ht="14.25" customHeight="1" x14ac:dyDescent="0.2">
      <c r="A1126" s="19"/>
      <c r="B1126" s="19"/>
      <c r="C1126" s="19"/>
      <c r="D1126" s="26" t="str">
        <f>D1119</f>
        <v>16250</v>
      </c>
      <c r="E1126" s="45">
        <v>0</v>
      </c>
      <c r="F1126" s="45">
        <v>0</v>
      </c>
      <c r="G1126" s="45">
        <v>2</v>
      </c>
      <c r="H1126" s="19">
        <f>B1125*2</f>
        <v>3</v>
      </c>
      <c r="I1126" s="19"/>
      <c r="J1126" s="19"/>
      <c r="K1126" s="19"/>
      <c r="L1126" s="19"/>
      <c r="M1126" s="19"/>
      <c r="N1126" s="28"/>
      <c r="O1126" s="19"/>
      <c r="P1126" s="19"/>
      <c r="Q1126" s="19"/>
      <c r="R1126" s="19"/>
    </row>
    <row r="1127" spans="1:18" ht="14.25" customHeight="1" x14ac:dyDescent="0.2">
      <c r="A1127" s="19"/>
      <c r="B1127" s="19"/>
      <c r="C1127" s="19"/>
      <c r="D1127" s="19">
        <f>D1125*D1126</f>
        <v>21937.499999999996</v>
      </c>
      <c r="E1127" s="45">
        <f>E1126*E1124</f>
        <v>0</v>
      </c>
      <c r="F1127" s="45">
        <f t="shared" ref="F1127:H1127" si="888">F1124*F1126</f>
        <v>0</v>
      </c>
      <c r="G1127" s="45">
        <f t="shared" si="888"/>
        <v>7600</v>
      </c>
      <c r="H1127" s="19">
        <f t="shared" si="888"/>
        <v>1140</v>
      </c>
      <c r="I1127" s="19">
        <f t="shared" ref="I1127:N1127" si="889">I1124*I1125</f>
        <v>3300.0000000000005</v>
      </c>
      <c r="J1127" s="19">
        <f t="shared" si="889"/>
        <v>1000</v>
      </c>
      <c r="K1127" s="19">
        <f t="shared" si="889"/>
        <v>375</v>
      </c>
      <c r="L1127" s="19">
        <f t="shared" si="889"/>
        <v>877.5</v>
      </c>
      <c r="M1127" s="19">
        <f t="shared" si="889"/>
        <v>1000</v>
      </c>
      <c r="N1127" s="19">
        <f t="shared" si="889"/>
        <v>3168</v>
      </c>
      <c r="O1127" s="19">
        <f>SUM(D1127:N1127)</f>
        <v>40398</v>
      </c>
      <c r="P1127" s="19">
        <f>O1127/A1125</f>
        <v>40398</v>
      </c>
      <c r="Q1127" s="19">
        <f>P1127*Q1124</f>
        <v>80796</v>
      </c>
      <c r="R1127" s="19">
        <f>MROUND(Q1127,100)</f>
        <v>80800</v>
      </c>
    </row>
    <row r="1128" spans="1:18" ht="14.25" customHeight="1" x14ac:dyDescent="0.15">
      <c r="A1128" s="30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</row>
    <row r="1129" spans="1:18" ht="14.25" customHeight="1" x14ac:dyDescent="0.3">
      <c r="A1129" s="109" t="str">
        <f>PRICELIST!I376</f>
        <v>WSTK-LNR-S-MB-1500-G</v>
      </c>
      <c r="B1129" s="87"/>
      <c r="C1129" s="87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7"/>
    </row>
    <row r="1130" spans="1:18" ht="14.25" customHeight="1" x14ac:dyDescent="0.15">
      <c r="A1130" s="19" t="s">
        <v>57</v>
      </c>
      <c r="B1130" s="19" t="s">
        <v>59</v>
      </c>
      <c r="C1130" s="19" t="s">
        <v>62</v>
      </c>
      <c r="D1130" s="19" t="s">
        <v>64</v>
      </c>
      <c r="E1130" s="19">
        <v>1200</v>
      </c>
      <c r="F1130" s="19">
        <v>900</v>
      </c>
      <c r="G1130" s="19">
        <v>600</v>
      </c>
      <c r="H1130" s="19" t="s">
        <v>67</v>
      </c>
      <c r="I1130" s="19" t="s">
        <v>68</v>
      </c>
      <c r="J1130" s="19" t="s">
        <v>69</v>
      </c>
      <c r="K1130" s="19" t="s">
        <v>71</v>
      </c>
      <c r="L1130" s="19" t="s">
        <v>72</v>
      </c>
      <c r="M1130" s="19" t="s">
        <v>73</v>
      </c>
      <c r="N1130" s="19" t="s">
        <v>75</v>
      </c>
      <c r="O1130" s="19" t="s">
        <v>76</v>
      </c>
      <c r="P1130" s="19" t="s">
        <v>78</v>
      </c>
      <c r="Q1130" s="19" t="s">
        <v>79</v>
      </c>
      <c r="R1130" s="19" t="s">
        <v>81</v>
      </c>
    </row>
    <row r="1131" spans="1:18" ht="14.25" customHeight="1" x14ac:dyDescent="0.15">
      <c r="A1131" s="21">
        <f t="shared" ref="A1131:B1131" si="890">A1124</f>
        <v>0</v>
      </c>
      <c r="B1131" s="21">
        <f t="shared" si="890"/>
        <v>0</v>
      </c>
      <c r="C1131" s="44" t="s">
        <v>188</v>
      </c>
      <c r="D1131" s="21">
        <f t="shared" ref="D1131:H1131" si="891">D1124</f>
        <v>0</v>
      </c>
      <c r="E1131" s="23" t="str">
        <f t="shared" si="891"/>
        <v>4200</v>
      </c>
      <c r="F1131" s="23" t="str">
        <f t="shared" si="891"/>
        <v>4000</v>
      </c>
      <c r="G1131" s="23" t="str">
        <f t="shared" si="891"/>
        <v>3800</v>
      </c>
      <c r="H1131" s="23">
        <f t="shared" si="891"/>
        <v>380</v>
      </c>
      <c r="I1131" s="23" t="str">
        <f>I1110</f>
        <v>0</v>
      </c>
      <c r="J1131" s="23" t="str">
        <f t="shared" ref="J1131:Q1131" si="892">J1124</f>
        <v>1000</v>
      </c>
      <c r="K1131" s="23">
        <f t="shared" si="892"/>
        <v>375</v>
      </c>
      <c r="L1131" s="23">
        <f t="shared" si="892"/>
        <v>585</v>
      </c>
      <c r="M1131" s="23" t="str">
        <f t="shared" si="892"/>
        <v>1000</v>
      </c>
      <c r="N1131" s="23">
        <f t="shared" si="892"/>
        <v>3300</v>
      </c>
      <c r="O1131" s="23">
        <f t="shared" si="892"/>
        <v>0</v>
      </c>
      <c r="P1131" s="23">
        <f t="shared" si="892"/>
        <v>0</v>
      </c>
      <c r="Q1131" s="23">
        <f t="shared" si="892"/>
        <v>2</v>
      </c>
      <c r="R1131" s="21"/>
    </row>
    <row r="1132" spans="1:18" ht="14.25" customHeight="1" x14ac:dyDescent="0.15">
      <c r="A1132" s="19">
        <v>1</v>
      </c>
      <c r="B1132" s="19">
        <v>1.5</v>
      </c>
      <c r="C1132" s="19">
        <f>0.6+0.3</f>
        <v>0.89999999999999991</v>
      </c>
      <c r="D1132" s="19">
        <f>B1132*C1132</f>
        <v>1.3499999999999999</v>
      </c>
      <c r="E1132" s="19"/>
      <c r="F1132" s="19"/>
      <c r="G1132" s="19"/>
      <c r="H1132" s="19"/>
      <c r="I1132" s="19">
        <f>B1132*0.4</f>
        <v>0.60000000000000009</v>
      </c>
      <c r="J1132" s="19">
        <v>1</v>
      </c>
      <c r="K1132" s="19">
        <f t="shared" ref="K1132:L1132" si="893">A1132</f>
        <v>1</v>
      </c>
      <c r="L1132" s="19">
        <f t="shared" si="893"/>
        <v>1.5</v>
      </c>
      <c r="M1132" s="19">
        <f>A1132</f>
        <v>1</v>
      </c>
      <c r="N1132" s="19">
        <f>(1.2*0.4)*2</f>
        <v>0.96</v>
      </c>
      <c r="O1132" s="19"/>
      <c r="P1132" s="19"/>
      <c r="Q1132" s="19"/>
      <c r="R1132" s="19"/>
    </row>
    <row r="1133" spans="1:18" ht="14.25" customHeight="1" x14ac:dyDescent="0.2">
      <c r="A1133" s="19"/>
      <c r="B1133" s="19"/>
      <c r="C1133" s="19"/>
      <c r="D1133" s="26" t="str">
        <f>D1126</f>
        <v>16250</v>
      </c>
      <c r="E1133" s="45">
        <v>0</v>
      </c>
      <c r="F1133" s="45">
        <v>0</v>
      </c>
      <c r="G1133" s="45">
        <v>2</v>
      </c>
      <c r="H1133" s="19">
        <f>B1132*2</f>
        <v>3</v>
      </c>
      <c r="I1133" s="19"/>
      <c r="J1133" s="19"/>
      <c r="K1133" s="19"/>
      <c r="L1133" s="19"/>
      <c r="M1133" s="19"/>
      <c r="N1133" s="28"/>
      <c r="O1133" s="19"/>
      <c r="P1133" s="19"/>
      <c r="Q1133" s="19"/>
      <c r="R1133" s="19"/>
    </row>
    <row r="1134" spans="1:18" ht="14.25" customHeight="1" x14ac:dyDescent="0.2">
      <c r="A1134" s="19"/>
      <c r="B1134" s="19"/>
      <c r="C1134" s="19"/>
      <c r="D1134" s="19">
        <f>D1132*D1133</f>
        <v>21937.499999999996</v>
      </c>
      <c r="E1134" s="45">
        <f>E1133*E1131</f>
        <v>0</v>
      </c>
      <c r="F1134" s="45">
        <f t="shared" ref="F1134:H1134" si="894">F1131*F1133</f>
        <v>0</v>
      </c>
      <c r="G1134" s="45">
        <f t="shared" si="894"/>
        <v>7600</v>
      </c>
      <c r="H1134" s="19">
        <f t="shared" si="894"/>
        <v>1140</v>
      </c>
      <c r="I1134" s="19">
        <f t="shared" ref="I1134:N1134" si="895">I1131*I1132</f>
        <v>0</v>
      </c>
      <c r="J1134" s="19">
        <f t="shared" si="895"/>
        <v>1000</v>
      </c>
      <c r="K1134" s="19">
        <f t="shared" si="895"/>
        <v>375</v>
      </c>
      <c r="L1134" s="19">
        <f t="shared" si="895"/>
        <v>877.5</v>
      </c>
      <c r="M1134" s="19">
        <f t="shared" si="895"/>
        <v>1000</v>
      </c>
      <c r="N1134" s="19">
        <f t="shared" si="895"/>
        <v>3168</v>
      </c>
      <c r="O1134" s="19">
        <f>SUM(D1134:N1134)</f>
        <v>37098</v>
      </c>
      <c r="P1134" s="19">
        <f>O1134/A1132</f>
        <v>37098</v>
      </c>
      <c r="Q1134" s="19">
        <f>P1134*Q1131</f>
        <v>74196</v>
      </c>
      <c r="R1134" s="19">
        <f>MROUND(Q1134,100)</f>
        <v>74200</v>
      </c>
    </row>
    <row r="1135" spans="1:18" ht="14.25" customHeight="1" x14ac:dyDescent="0.2">
      <c r="A1135" s="21"/>
      <c r="B1135" s="21"/>
      <c r="C1135" s="21"/>
      <c r="D1135" s="21"/>
      <c r="E1135" s="65"/>
      <c r="F1135" s="65"/>
      <c r="G1135" s="65"/>
      <c r="H1135" s="21"/>
      <c r="I1135" s="21"/>
      <c r="J1135" s="30"/>
      <c r="K1135" s="21"/>
      <c r="L1135" s="21"/>
      <c r="M1135" s="21"/>
      <c r="N1135" s="21"/>
      <c r="O1135" s="21"/>
      <c r="P1135" s="21"/>
      <c r="Q1135" s="21"/>
      <c r="R1135" s="21"/>
    </row>
    <row r="1136" spans="1:18" ht="14.25" customHeight="1" x14ac:dyDescent="0.3">
      <c r="A1136" s="109" t="str">
        <f>PRICELIST!I377</f>
        <v>WSTK-LNR-S-MB-1500-X</v>
      </c>
      <c r="B1136" s="87"/>
      <c r="C1136" s="87"/>
      <c r="D1136" s="13"/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/>
      <c r="Q1136" s="13"/>
      <c r="R1136" s="17"/>
    </row>
    <row r="1137" spans="1:18" ht="14.25" customHeight="1" x14ac:dyDescent="0.15">
      <c r="A1137" s="19" t="s">
        <v>57</v>
      </c>
      <c r="B1137" s="19" t="s">
        <v>59</v>
      </c>
      <c r="C1137" s="19" t="s">
        <v>62</v>
      </c>
      <c r="D1137" s="19" t="s">
        <v>64</v>
      </c>
      <c r="E1137" s="19">
        <v>1200</v>
      </c>
      <c r="F1137" s="67" t="s">
        <v>248</v>
      </c>
      <c r="G1137" s="19">
        <v>600</v>
      </c>
      <c r="H1137" s="19" t="s">
        <v>67</v>
      </c>
      <c r="I1137" s="19" t="s">
        <v>68</v>
      </c>
      <c r="J1137" s="19" t="s">
        <v>69</v>
      </c>
      <c r="K1137" s="19" t="s">
        <v>71</v>
      </c>
      <c r="L1137" s="19" t="s">
        <v>72</v>
      </c>
      <c r="M1137" s="19" t="s">
        <v>73</v>
      </c>
      <c r="N1137" s="19" t="s">
        <v>75</v>
      </c>
      <c r="O1137" s="19" t="s">
        <v>76</v>
      </c>
      <c r="P1137" s="19" t="s">
        <v>78</v>
      </c>
      <c r="Q1137" s="19" t="s">
        <v>79</v>
      </c>
      <c r="R1137" s="19" t="s">
        <v>81</v>
      </c>
    </row>
    <row r="1138" spans="1:18" ht="14.25" customHeight="1" x14ac:dyDescent="0.15">
      <c r="A1138" s="21"/>
      <c r="B1138" s="21"/>
      <c r="C1138" s="21"/>
      <c r="D1138" s="21">
        <f t="shared" ref="D1138:E1138" si="896">D1131</f>
        <v>0</v>
      </c>
      <c r="E1138" s="23" t="str">
        <f t="shared" si="896"/>
        <v>4200</v>
      </c>
      <c r="F1138" s="68">
        <v>800</v>
      </c>
      <c r="G1138" s="23" t="str">
        <f>G1131</f>
        <v>3800</v>
      </c>
      <c r="H1138" s="21">
        <v>380</v>
      </c>
      <c r="I1138" s="23" t="str">
        <f>I1117</f>
        <v>4800</v>
      </c>
      <c r="J1138" s="23" t="str">
        <f>J1131</f>
        <v>1000</v>
      </c>
      <c r="K1138" s="21">
        <v>375</v>
      </c>
      <c r="L1138" s="21">
        <v>585</v>
      </c>
      <c r="M1138" s="23" t="str">
        <f>M1131</f>
        <v>1000</v>
      </c>
      <c r="N1138" s="21">
        <v>3300</v>
      </c>
      <c r="O1138" s="21"/>
      <c r="P1138" s="21"/>
      <c r="Q1138" s="23">
        <f>Q1131</f>
        <v>2</v>
      </c>
      <c r="R1138" s="21"/>
    </row>
    <row r="1139" spans="1:18" ht="14.25" customHeight="1" x14ac:dyDescent="0.15">
      <c r="A1139" s="19">
        <v>2</v>
      </c>
      <c r="B1139" s="19">
        <v>1.5</v>
      </c>
      <c r="C1139" s="19">
        <v>1.2</v>
      </c>
      <c r="D1139" s="19">
        <f>B1139*C1139</f>
        <v>1.7999999999999998</v>
      </c>
      <c r="E1139" s="19"/>
      <c r="F1139" s="67">
        <v>6</v>
      </c>
      <c r="G1139" s="19"/>
      <c r="H1139" s="19"/>
      <c r="I1139" s="19">
        <f>B1139*0.4</f>
        <v>0.60000000000000009</v>
      </c>
      <c r="J1139" s="19">
        <v>1</v>
      </c>
      <c r="K1139" s="19">
        <f t="shared" ref="K1139:L1139" si="897">A1139</f>
        <v>2</v>
      </c>
      <c r="L1139" s="19">
        <f t="shared" si="897"/>
        <v>1.5</v>
      </c>
      <c r="M1139" s="19">
        <f>A1139</f>
        <v>2</v>
      </c>
      <c r="N1139" s="19">
        <f>(1.2*0.4)*2</f>
        <v>0.96</v>
      </c>
      <c r="O1139" s="19"/>
      <c r="P1139" s="19"/>
      <c r="Q1139" s="19"/>
      <c r="R1139" s="19"/>
    </row>
    <row r="1140" spans="1:18" ht="14.25" customHeight="1" x14ac:dyDescent="0.15">
      <c r="A1140" s="19"/>
      <c r="B1140" s="19"/>
      <c r="C1140" s="19"/>
      <c r="D1140" s="26" t="str">
        <f>D1014</f>
        <v>2200</v>
      </c>
      <c r="E1140" s="19">
        <v>1</v>
      </c>
      <c r="F1140" s="67">
        <v>2.5</v>
      </c>
      <c r="G1140" s="19">
        <v>0</v>
      </c>
      <c r="H1140" s="19">
        <f>B1139*2</f>
        <v>3</v>
      </c>
      <c r="I1140" s="19"/>
      <c r="J1140" s="19"/>
      <c r="K1140" s="19"/>
      <c r="L1140" s="19"/>
      <c r="M1140" s="19"/>
      <c r="N1140" s="28"/>
      <c r="O1140" s="19"/>
      <c r="P1140" s="19"/>
      <c r="Q1140" s="19"/>
      <c r="R1140" s="19"/>
    </row>
    <row r="1141" spans="1:18" ht="14.25" customHeight="1" x14ac:dyDescent="0.15">
      <c r="A1141" s="19"/>
      <c r="B1141" s="19"/>
      <c r="C1141" s="19"/>
      <c r="D1141" s="19">
        <f>D1139*D1140</f>
        <v>3959.9999999999995</v>
      </c>
      <c r="E1141" s="19">
        <f>E1140*E1138</f>
        <v>4200</v>
      </c>
      <c r="F1141" s="67">
        <f>F1140*F1139*F1138</f>
        <v>12000</v>
      </c>
      <c r="G1141" s="19">
        <f t="shared" ref="G1141:H1141" si="898">G1138*G1140</f>
        <v>0</v>
      </c>
      <c r="H1141" s="19">
        <f t="shared" si="898"/>
        <v>1140</v>
      </c>
      <c r="I1141" s="19">
        <f t="shared" ref="I1141:N1141" si="899">I1138*I1139</f>
        <v>2880.0000000000005</v>
      </c>
      <c r="J1141" s="19">
        <f t="shared" si="899"/>
        <v>1000</v>
      </c>
      <c r="K1141" s="19">
        <f t="shared" si="899"/>
        <v>750</v>
      </c>
      <c r="L1141" s="19">
        <f t="shared" si="899"/>
        <v>877.5</v>
      </c>
      <c r="M1141" s="19">
        <f t="shared" si="899"/>
        <v>2000</v>
      </c>
      <c r="N1141" s="19">
        <f t="shared" si="899"/>
        <v>3168</v>
      </c>
      <c r="O1141" s="19">
        <f>SUM(D1141:N1141)</f>
        <v>31975.5</v>
      </c>
      <c r="P1141" s="19">
        <f>O1141/A1139</f>
        <v>15987.75</v>
      </c>
      <c r="Q1141" s="19">
        <f>P1141*Q1138</f>
        <v>31975.5</v>
      </c>
      <c r="R1141" s="19">
        <f>MROUND(Q1141,100)</f>
        <v>32000</v>
      </c>
    </row>
    <row r="1142" spans="1:18" ht="14.25" customHeight="1" x14ac:dyDescent="0.15">
      <c r="A1142" s="30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</row>
    <row r="1143" spans="1:18" ht="14.25" customHeight="1" x14ac:dyDescent="0.3">
      <c r="A1143" s="109" t="str">
        <f>PRICELIST!I378</f>
        <v>WSTK-LSHP-SH-PB-1500-F</v>
      </c>
      <c r="B1143" s="87"/>
      <c r="C1143" s="87"/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3"/>
      <c r="R1143" s="17"/>
    </row>
    <row r="1144" spans="1:18" ht="14.25" customHeight="1" x14ac:dyDescent="0.15">
      <c r="A1144" s="19" t="s">
        <v>57</v>
      </c>
      <c r="B1144" s="19" t="s">
        <v>59</v>
      </c>
      <c r="C1144" s="19" t="s">
        <v>62</v>
      </c>
      <c r="D1144" s="19" t="s">
        <v>64</v>
      </c>
      <c r="E1144" s="19">
        <v>1200</v>
      </c>
      <c r="F1144" s="67" t="s">
        <v>248</v>
      </c>
      <c r="G1144" s="19">
        <v>600</v>
      </c>
      <c r="H1144" s="19" t="s">
        <v>67</v>
      </c>
      <c r="I1144" s="19" t="s">
        <v>68</v>
      </c>
      <c r="J1144" s="19" t="s">
        <v>69</v>
      </c>
      <c r="K1144" s="19" t="s">
        <v>71</v>
      </c>
      <c r="L1144" s="19" t="s">
        <v>72</v>
      </c>
      <c r="M1144" s="19" t="s">
        <v>73</v>
      </c>
      <c r="N1144" s="19" t="s">
        <v>75</v>
      </c>
      <c r="O1144" s="19" t="s">
        <v>76</v>
      </c>
      <c r="P1144" s="19" t="s">
        <v>78</v>
      </c>
      <c r="Q1144" s="19" t="s">
        <v>79</v>
      </c>
      <c r="R1144" s="19" t="s">
        <v>81</v>
      </c>
    </row>
    <row r="1145" spans="1:18" ht="14.25" customHeight="1" x14ac:dyDescent="0.15">
      <c r="A1145" s="21"/>
      <c r="B1145" s="21"/>
      <c r="C1145" s="21"/>
      <c r="D1145" s="21">
        <f t="shared" ref="D1145:G1145" si="900">D1138</f>
        <v>0</v>
      </c>
      <c r="E1145" s="23" t="str">
        <f t="shared" si="900"/>
        <v>4200</v>
      </c>
      <c r="F1145" s="68">
        <f t="shared" si="900"/>
        <v>800</v>
      </c>
      <c r="G1145" s="23" t="str">
        <f t="shared" si="900"/>
        <v>3800</v>
      </c>
      <c r="H1145" s="21">
        <v>380</v>
      </c>
      <c r="I1145" s="23" t="str">
        <f>I1124</f>
        <v>5500</v>
      </c>
      <c r="J1145" s="23" t="str">
        <f>J1138</f>
        <v>1000</v>
      </c>
      <c r="K1145" s="21">
        <v>375</v>
      </c>
      <c r="L1145" s="21">
        <v>585</v>
      </c>
      <c r="M1145" s="23" t="str">
        <f>M1138</f>
        <v>1000</v>
      </c>
      <c r="N1145" s="21">
        <v>3300</v>
      </c>
      <c r="O1145" s="21"/>
      <c r="P1145" s="21"/>
      <c r="Q1145" s="23">
        <f>Q1138</f>
        <v>2</v>
      </c>
      <c r="R1145" s="21"/>
    </row>
    <row r="1146" spans="1:18" ht="14.25" customHeight="1" x14ac:dyDescent="0.15">
      <c r="A1146" s="19">
        <v>2</v>
      </c>
      <c r="B1146" s="19">
        <v>1.5</v>
      </c>
      <c r="C1146" s="19">
        <v>1.2</v>
      </c>
      <c r="D1146" s="19">
        <f>B1146*C1146</f>
        <v>1.7999999999999998</v>
      </c>
      <c r="E1146" s="19"/>
      <c r="F1146" s="67">
        <f t="shared" ref="F1146:F1147" si="901">F1139</f>
        <v>6</v>
      </c>
      <c r="G1146" s="19"/>
      <c r="H1146" s="19"/>
      <c r="I1146" s="19">
        <f>B1146*0.4</f>
        <v>0.60000000000000009</v>
      </c>
      <c r="J1146" s="19">
        <v>1</v>
      </c>
      <c r="K1146" s="19">
        <f t="shared" ref="K1146:L1146" si="902">A1146</f>
        <v>2</v>
      </c>
      <c r="L1146" s="19">
        <f t="shared" si="902"/>
        <v>1.5</v>
      </c>
      <c r="M1146" s="19">
        <f>A1146</f>
        <v>2</v>
      </c>
      <c r="N1146" s="19">
        <f>(1.2*0.4)*2</f>
        <v>0.96</v>
      </c>
      <c r="O1146" s="19"/>
      <c r="P1146" s="19"/>
      <c r="Q1146" s="19"/>
      <c r="R1146" s="19"/>
    </row>
    <row r="1147" spans="1:18" ht="14.25" customHeight="1" x14ac:dyDescent="0.15">
      <c r="A1147" s="19"/>
      <c r="B1147" s="19"/>
      <c r="C1147" s="19"/>
      <c r="D1147" s="26" t="str">
        <f>D1021</f>
        <v>2200</v>
      </c>
      <c r="E1147" s="19">
        <v>1</v>
      </c>
      <c r="F1147" s="67">
        <f t="shared" si="901"/>
        <v>2.5</v>
      </c>
      <c r="G1147" s="19">
        <v>0</v>
      </c>
      <c r="H1147" s="19">
        <f>B1146*2</f>
        <v>3</v>
      </c>
      <c r="I1147" s="19"/>
      <c r="J1147" s="19"/>
      <c r="K1147" s="19"/>
      <c r="L1147" s="19"/>
      <c r="M1147" s="19"/>
      <c r="N1147" s="28"/>
      <c r="O1147" s="19"/>
      <c r="P1147" s="19"/>
      <c r="Q1147" s="19"/>
      <c r="R1147" s="19"/>
    </row>
    <row r="1148" spans="1:18" ht="14.25" customHeight="1" x14ac:dyDescent="0.15">
      <c r="A1148" s="19"/>
      <c r="B1148" s="19"/>
      <c r="C1148" s="19"/>
      <c r="D1148" s="19">
        <f>D1146*D1147</f>
        <v>3959.9999999999995</v>
      </c>
      <c r="E1148" s="19">
        <f>E1147*E1145</f>
        <v>4200</v>
      </c>
      <c r="F1148" s="67">
        <f>F1147*F1146*F1145</f>
        <v>12000</v>
      </c>
      <c r="G1148" s="19">
        <f t="shared" ref="G1148:H1148" si="903">G1145*G1147</f>
        <v>0</v>
      </c>
      <c r="H1148" s="19">
        <f t="shared" si="903"/>
        <v>1140</v>
      </c>
      <c r="I1148" s="19">
        <f t="shared" ref="I1148:N1148" si="904">I1145*I1146</f>
        <v>3300.0000000000005</v>
      </c>
      <c r="J1148" s="19">
        <f t="shared" si="904"/>
        <v>1000</v>
      </c>
      <c r="K1148" s="19">
        <f t="shared" si="904"/>
        <v>750</v>
      </c>
      <c r="L1148" s="19">
        <f t="shared" si="904"/>
        <v>877.5</v>
      </c>
      <c r="M1148" s="19">
        <f t="shared" si="904"/>
        <v>2000</v>
      </c>
      <c r="N1148" s="19">
        <f t="shared" si="904"/>
        <v>3168</v>
      </c>
      <c r="O1148" s="19">
        <f>SUM(D1148:N1148)</f>
        <v>32395.5</v>
      </c>
      <c r="P1148" s="19">
        <f>O1148/A1146</f>
        <v>16197.75</v>
      </c>
      <c r="Q1148" s="19">
        <f>P1148*Q1145</f>
        <v>32395.5</v>
      </c>
      <c r="R1148" s="19">
        <f>MROUND(Q1148,100)</f>
        <v>32400</v>
      </c>
    </row>
    <row r="1149" spans="1:18" ht="14.25" customHeight="1" x14ac:dyDescent="0.15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23">
        <f>Q1142</f>
        <v>0</v>
      </c>
    </row>
    <row r="1150" spans="1:18" ht="14.25" customHeight="1" x14ac:dyDescent="0.3">
      <c r="A1150" s="109" t="str">
        <f>PRICELIST!I379</f>
        <v>WSTK-LSHP-SH-PB-1500-G</v>
      </c>
      <c r="B1150" s="87"/>
      <c r="C1150" s="87"/>
      <c r="D1150" s="13"/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/>
      <c r="Q1150" s="13"/>
      <c r="R1150" s="17"/>
    </row>
    <row r="1151" spans="1:18" ht="14.25" customHeight="1" x14ac:dyDescent="0.15">
      <c r="A1151" s="19" t="s">
        <v>57</v>
      </c>
      <c r="B1151" s="19" t="s">
        <v>59</v>
      </c>
      <c r="C1151" s="19" t="s">
        <v>62</v>
      </c>
      <c r="D1151" s="19" t="s">
        <v>64</v>
      </c>
      <c r="E1151" s="19">
        <v>1200</v>
      </c>
      <c r="F1151" s="67" t="s">
        <v>248</v>
      </c>
      <c r="G1151" s="19">
        <v>600</v>
      </c>
      <c r="H1151" s="19" t="s">
        <v>67</v>
      </c>
      <c r="I1151" s="19" t="s">
        <v>68</v>
      </c>
      <c r="J1151" s="19" t="s">
        <v>69</v>
      </c>
      <c r="K1151" s="19" t="s">
        <v>71</v>
      </c>
      <c r="L1151" s="19" t="s">
        <v>72</v>
      </c>
      <c r="M1151" s="19" t="s">
        <v>73</v>
      </c>
      <c r="N1151" s="19" t="s">
        <v>75</v>
      </c>
      <c r="O1151" s="19" t="s">
        <v>76</v>
      </c>
      <c r="P1151" s="19" t="s">
        <v>78</v>
      </c>
      <c r="Q1151" s="19" t="s">
        <v>79</v>
      </c>
      <c r="R1151" s="19" t="s">
        <v>81</v>
      </c>
    </row>
    <row r="1152" spans="1:18" ht="14.25" customHeight="1" x14ac:dyDescent="0.15">
      <c r="A1152" s="21"/>
      <c r="B1152" s="21"/>
      <c r="C1152" s="21"/>
      <c r="D1152" s="21">
        <f t="shared" ref="D1152:E1152" si="905">D1145</f>
        <v>0</v>
      </c>
      <c r="E1152" s="23" t="str">
        <f t="shared" si="905"/>
        <v>4200</v>
      </c>
      <c r="F1152" s="68">
        <f t="shared" ref="F1152:F1154" si="906">F1138</f>
        <v>800</v>
      </c>
      <c r="G1152" s="23" t="str">
        <f>G1145</f>
        <v>3800</v>
      </c>
      <c r="H1152" s="21">
        <v>380</v>
      </c>
      <c r="I1152" s="23" t="str">
        <f>I1131</f>
        <v>0</v>
      </c>
      <c r="J1152" s="23" t="str">
        <f>J1145</f>
        <v>1000</v>
      </c>
      <c r="K1152" s="21">
        <v>375</v>
      </c>
      <c r="L1152" s="21">
        <v>585</v>
      </c>
      <c r="M1152" s="23" t="str">
        <f>M1145</f>
        <v>1000</v>
      </c>
      <c r="N1152" s="21">
        <v>3300</v>
      </c>
      <c r="O1152" s="21"/>
      <c r="P1152" s="21"/>
      <c r="Q1152" s="23">
        <f>Q1145</f>
        <v>2</v>
      </c>
      <c r="R1152" s="21"/>
    </row>
    <row r="1153" spans="1:18" ht="14.25" customHeight="1" x14ac:dyDescent="0.15">
      <c r="A1153" s="19">
        <v>2</v>
      </c>
      <c r="B1153" s="19">
        <v>1.5</v>
      </c>
      <c r="C1153" s="19">
        <v>1.2</v>
      </c>
      <c r="D1153" s="19">
        <f>B1153*C1153</f>
        <v>1.7999999999999998</v>
      </c>
      <c r="E1153" s="19"/>
      <c r="F1153" s="67">
        <f t="shared" si="906"/>
        <v>6</v>
      </c>
      <c r="G1153" s="19"/>
      <c r="H1153" s="19"/>
      <c r="I1153" s="19">
        <f>B1153*0.4</f>
        <v>0.60000000000000009</v>
      </c>
      <c r="J1153" s="19">
        <v>1</v>
      </c>
      <c r="K1153" s="19">
        <f t="shared" ref="K1153:L1153" si="907">A1153</f>
        <v>2</v>
      </c>
      <c r="L1153" s="19">
        <f t="shared" si="907"/>
        <v>1.5</v>
      </c>
      <c r="M1153" s="19">
        <f>A1153</f>
        <v>2</v>
      </c>
      <c r="N1153" s="19">
        <f>(1.2*0.4)*2</f>
        <v>0.96</v>
      </c>
      <c r="O1153" s="19"/>
      <c r="P1153" s="19"/>
      <c r="Q1153" s="19"/>
      <c r="R1153" s="19"/>
    </row>
    <row r="1154" spans="1:18" ht="14.25" customHeight="1" x14ac:dyDescent="0.15">
      <c r="A1154" s="19"/>
      <c r="B1154" s="19"/>
      <c r="C1154" s="19"/>
      <c r="D1154" s="26" t="str">
        <f>D1028</f>
        <v>2200</v>
      </c>
      <c r="E1154" s="19">
        <v>1</v>
      </c>
      <c r="F1154" s="67">
        <f t="shared" si="906"/>
        <v>2.5</v>
      </c>
      <c r="G1154" s="19">
        <v>0</v>
      </c>
      <c r="H1154" s="19">
        <f>B1153*2</f>
        <v>3</v>
      </c>
      <c r="I1154" s="19"/>
      <c r="J1154" s="19"/>
      <c r="K1154" s="19"/>
      <c r="L1154" s="19"/>
      <c r="M1154" s="19"/>
      <c r="N1154" s="28"/>
      <c r="O1154" s="19"/>
      <c r="P1154" s="19"/>
      <c r="Q1154" s="19"/>
      <c r="R1154" s="19"/>
    </row>
    <row r="1155" spans="1:18" ht="14.25" customHeight="1" x14ac:dyDescent="0.15">
      <c r="A1155" s="19"/>
      <c r="B1155" s="19"/>
      <c r="C1155" s="19"/>
      <c r="D1155" s="19">
        <f>D1153*D1154</f>
        <v>3959.9999999999995</v>
      </c>
      <c r="E1155" s="19">
        <f>E1154*E1152</f>
        <v>4200</v>
      </c>
      <c r="F1155" s="67">
        <f>F1154*F1153*F1152</f>
        <v>12000</v>
      </c>
      <c r="G1155" s="19">
        <f t="shared" ref="G1155:H1155" si="908">G1152*G1154</f>
        <v>0</v>
      </c>
      <c r="H1155" s="19">
        <f t="shared" si="908"/>
        <v>1140</v>
      </c>
      <c r="I1155" s="19">
        <f t="shared" ref="I1155:N1155" si="909">I1152*I1153</f>
        <v>0</v>
      </c>
      <c r="J1155" s="19">
        <f t="shared" si="909"/>
        <v>1000</v>
      </c>
      <c r="K1155" s="19">
        <f t="shared" si="909"/>
        <v>750</v>
      </c>
      <c r="L1155" s="19">
        <f t="shared" si="909"/>
        <v>877.5</v>
      </c>
      <c r="M1155" s="19">
        <f t="shared" si="909"/>
        <v>2000</v>
      </c>
      <c r="N1155" s="19">
        <f t="shared" si="909"/>
        <v>3168</v>
      </c>
      <c r="O1155" s="19">
        <f>SUM(D1155:N1155)</f>
        <v>29095.5</v>
      </c>
      <c r="P1155" s="19">
        <f>O1155/A1153</f>
        <v>14547.75</v>
      </c>
      <c r="Q1155" s="19">
        <f>P1155*Q1152</f>
        <v>29095.5</v>
      </c>
      <c r="R1155" s="19">
        <f>MROUND(Q1155,100)</f>
        <v>29100</v>
      </c>
    </row>
    <row r="1156" spans="1:18" ht="14.25" customHeight="1" x14ac:dyDescent="0.15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</row>
    <row r="1157" spans="1:18" ht="14.25" customHeight="1" x14ac:dyDescent="0.3">
      <c r="A1157" s="109" t="str">
        <f>PRICELIST!I380</f>
        <v>WSTK-LSHP-SH-PB-1500-X</v>
      </c>
      <c r="B1157" s="87"/>
      <c r="C1157" s="87"/>
      <c r="D1157" s="13"/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/>
      <c r="Q1157" s="13"/>
      <c r="R1157" s="17"/>
    </row>
    <row r="1158" spans="1:18" ht="14.25" customHeight="1" x14ac:dyDescent="0.15">
      <c r="A1158" s="19" t="s">
        <v>57</v>
      </c>
      <c r="B1158" s="19" t="s">
        <v>59</v>
      </c>
      <c r="C1158" s="19" t="s">
        <v>62</v>
      </c>
      <c r="D1158" s="19" t="s">
        <v>64</v>
      </c>
      <c r="E1158" s="19">
        <v>1200</v>
      </c>
      <c r="F1158" s="67" t="s">
        <v>248</v>
      </c>
      <c r="G1158" s="19">
        <v>600</v>
      </c>
      <c r="H1158" s="19" t="s">
        <v>67</v>
      </c>
      <c r="I1158" s="19" t="s">
        <v>68</v>
      </c>
      <c r="J1158" s="19" t="s">
        <v>69</v>
      </c>
      <c r="K1158" s="19" t="s">
        <v>71</v>
      </c>
      <c r="L1158" s="19" t="s">
        <v>72</v>
      </c>
      <c r="M1158" s="19" t="s">
        <v>73</v>
      </c>
      <c r="N1158" s="19" t="s">
        <v>75</v>
      </c>
      <c r="O1158" s="19" t="s">
        <v>76</v>
      </c>
      <c r="P1158" s="19" t="s">
        <v>78</v>
      </c>
      <c r="Q1158" s="19" t="s">
        <v>79</v>
      </c>
      <c r="R1158" s="19" t="s">
        <v>81</v>
      </c>
    </row>
    <row r="1159" spans="1:18" ht="14.25" customHeight="1" x14ac:dyDescent="0.15">
      <c r="A1159" s="21"/>
      <c r="B1159" s="21"/>
      <c r="C1159" s="21"/>
      <c r="D1159" s="21">
        <f t="shared" ref="D1159:E1159" si="910">D1152</f>
        <v>0</v>
      </c>
      <c r="E1159" s="23" t="str">
        <f t="shared" si="910"/>
        <v>4200</v>
      </c>
      <c r="F1159" s="68">
        <v>800</v>
      </c>
      <c r="G1159" s="23" t="str">
        <f>G1152</f>
        <v>3800</v>
      </c>
      <c r="H1159" s="21">
        <v>380</v>
      </c>
      <c r="I1159" s="23" t="str">
        <f>I1138</f>
        <v>4800</v>
      </c>
      <c r="J1159" s="23" t="str">
        <f>J1152</f>
        <v>1000</v>
      </c>
      <c r="K1159" s="21">
        <v>375</v>
      </c>
      <c r="L1159" s="21">
        <v>585</v>
      </c>
      <c r="M1159" s="23" t="str">
        <f>M1152</f>
        <v>1000</v>
      </c>
      <c r="N1159" s="21">
        <v>3300</v>
      </c>
      <c r="O1159" s="21"/>
      <c r="P1159" s="21"/>
      <c r="Q1159" s="23">
        <f>Q1152</f>
        <v>2</v>
      </c>
      <c r="R1159" s="21"/>
    </row>
    <row r="1160" spans="1:18" ht="14.25" customHeight="1" x14ac:dyDescent="0.15">
      <c r="A1160" s="19">
        <v>2</v>
      </c>
      <c r="B1160" s="19">
        <v>1.5</v>
      </c>
      <c r="C1160" s="19">
        <v>1.2</v>
      </c>
      <c r="D1160" s="19">
        <f>B1160*C1160</f>
        <v>1.7999999999999998</v>
      </c>
      <c r="E1160" s="19"/>
      <c r="F1160" s="67">
        <v>6</v>
      </c>
      <c r="G1160" s="19"/>
      <c r="H1160" s="19"/>
      <c r="I1160" s="19">
        <f>B1160*0.4</f>
        <v>0.60000000000000009</v>
      </c>
      <c r="J1160" s="19">
        <v>1</v>
      </c>
      <c r="K1160" s="19">
        <f t="shared" ref="K1160:L1160" si="911">A1160</f>
        <v>2</v>
      </c>
      <c r="L1160" s="19">
        <f t="shared" si="911"/>
        <v>1.5</v>
      </c>
      <c r="M1160" s="19">
        <f>A1160</f>
        <v>2</v>
      </c>
      <c r="N1160" s="19">
        <f>(1.2*0.4)*2</f>
        <v>0.96</v>
      </c>
      <c r="O1160" s="19"/>
      <c r="P1160" s="19"/>
      <c r="Q1160" s="19"/>
      <c r="R1160" s="19"/>
    </row>
    <row r="1161" spans="1:18" ht="14.25" customHeight="1" x14ac:dyDescent="0.15">
      <c r="A1161" s="19"/>
      <c r="B1161" s="19"/>
      <c r="C1161" s="19"/>
      <c r="D1161" s="26" t="str">
        <f>D1035</f>
        <v>3000</v>
      </c>
      <c r="E1161" s="19">
        <v>1</v>
      </c>
      <c r="F1161" s="67">
        <v>2.5</v>
      </c>
      <c r="G1161" s="19">
        <v>0</v>
      </c>
      <c r="H1161" s="19">
        <f>B1160*2</f>
        <v>3</v>
      </c>
      <c r="I1161" s="19"/>
      <c r="J1161" s="19"/>
      <c r="K1161" s="19"/>
      <c r="L1161" s="19"/>
      <c r="M1161" s="19"/>
      <c r="N1161" s="28"/>
      <c r="O1161" s="19"/>
      <c r="P1161" s="19"/>
      <c r="Q1161" s="19"/>
      <c r="R1161" s="19"/>
    </row>
    <row r="1162" spans="1:18" ht="14.25" customHeight="1" x14ac:dyDescent="0.15">
      <c r="A1162" s="19"/>
      <c r="B1162" s="19"/>
      <c r="C1162" s="19"/>
      <c r="D1162" s="19">
        <f>D1160*D1161</f>
        <v>5399.9999999999991</v>
      </c>
      <c r="E1162" s="19">
        <f>E1161*E1159</f>
        <v>4200</v>
      </c>
      <c r="F1162" s="67">
        <f>F1161*F1160*F1159</f>
        <v>12000</v>
      </c>
      <c r="G1162" s="19">
        <f t="shared" ref="G1162:H1162" si="912">G1159*G1161</f>
        <v>0</v>
      </c>
      <c r="H1162" s="19">
        <f t="shared" si="912"/>
        <v>1140</v>
      </c>
      <c r="I1162" s="19">
        <f t="shared" ref="I1162:N1162" si="913">I1159*I1160</f>
        <v>2880.0000000000005</v>
      </c>
      <c r="J1162" s="19">
        <f t="shared" si="913"/>
        <v>1000</v>
      </c>
      <c r="K1162" s="19">
        <f t="shared" si="913"/>
        <v>750</v>
      </c>
      <c r="L1162" s="19">
        <f t="shared" si="913"/>
        <v>877.5</v>
      </c>
      <c r="M1162" s="19">
        <f t="shared" si="913"/>
        <v>2000</v>
      </c>
      <c r="N1162" s="19">
        <f t="shared" si="913"/>
        <v>3168</v>
      </c>
      <c r="O1162" s="19">
        <f>SUM(D1162:N1162)</f>
        <v>33415.5</v>
      </c>
      <c r="P1162" s="19">
        <f>O1162/A1160</f>
        <v>16707.75</v>
      </c>
      <c r="Q1162" s="19">
        <f>P1162*Q1159</f>
        <v>33415.5</v>
      </c>
      <c r="R1162" s="19">
        <f>MROUND(Q1162,100)</f>
        <v>33400</v>
      </c>
    </row>
    <row r="1163" spans="1:18" ht="14.25" customHeight="1" x14ac:dyDescent="0.15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</row>
    <row r="1164" spans="1:18" ht="14.25" customHeight="1" x14ac:dyDescent="0.3">
      <c r="A1164" s="109" t="str">
        <f>PRICELIST!I381</f>
        <v>WSTK-LSHP-SH-PLM-1500-F</v>
      </c>
      <c r="B1164" s="87"/>
      <c r="C1164" s="87"/>
      <c r="D1164" s="13"/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/>
      <c r="Q1164" s="13"/>
      <c r="R1164" s="17"/>
    </row>
    <row r="1165" spans="1:18" ht="14.25" customHeight="1" x14ac:dyDescent="0.15">
      <c r="A1165" s="19" t="s">
        <v>57</v>
      </c>
      <c r="B1165" s="19" t="s">
        <v>59</v>
      </c>
      <c r="C1165" s="19" t="s">
        <v>62</v>
      </c>
      <c r="D1165" s="19" t="s">
        <v>64</v>
      </c>
      <c r="E1165" s="19">
        <v>1200</v>
      </c>
      <c r="F1165" s="67" t="s">
        <v>248</v>
      </c>
      <c r="G1165" s="19">
        <v>600</v>
      </c>
      <c r="H1165" s="19" t="s">
        <v>67</v>
      </c>
      <c r="I1165" s="19" t="s">
        <v>68</v>
      </c>
      <c r="J1165" s="19" t="s">
        <v>69</v>
      </c>
      <c r="K1165" s="19" t="s">
        <v>71</v>
      </c>
      <c r="L1165" s="19" t="s">
        <v>72</v>
      </c>
      <c r="M1165" s="19" t="s">
        <v>73</v>
      </c>
      <c r="N1165" s="19" t="s">
        <v>75</v>
      </c>
      <c r="O1165" s="19" t="s">
        <v>76</v>
      </c>
      <c r="P1165" s="19" t="s">
        <v>78</v>
      </c>
      <c r="Q1165" s="19" t="s">
        <v>79</v>
      </c>
      <c r="R1165" s="19" t="s">
        <v>81</v>
      </c>
    </row>
    <row r="1166" spans="1:18" ht="14.25" customHeight="1" x14ac:dyDescent="0.15">
      <c r="A1166" s="21"/>
      <c r="B1166" s="21"/>
      <c r="C1166" s="21"/>
      <c r="D1166" s="21">
        <f t="shared" ref="D1166:G1166" si="914">D1159</f>
        <v>0</v>
      </c>
      <c r="E1166" s="23" t="str">
        <f t="shared" si="914"/>
        <v>4200</v>
      </c>
      <c r="F1166" s="68">
        <f t="shared" si="914"/>
        <v>800</v>
      </c>
      <c r="G1166" s="23" t="str">
        <f t="shared" si="914"/>
        <v>3800</v>
      </c>
      <c r="H1166" s="21">
        <v>380</v>
      </c>
      <c r="I1166" s="23" t="str">
        <f>I1145</f>
        <v>5500</v>
      </c>
      <c r="J1166" s="23" t="str">
        <f>J1159</f>
        <v>1000</v>
      </c>
      <c r="K1166" s="21">
        <v>375</v>
      </c>
      <c r="L1166" s="21">
        <v>585</v>
      </c>
      <c r="M1166" s="23" t="str">
        <f>M1159</f>
        <v>1000</v>
      </c>
      <c r="N1166" s="21">
        <v>3300</v>
      </c>
      <c r="O1166" s="21"/>
      <c r="P1166" s="21"/>
      <c r="Q1166" s="23">
        <f>Q1159</f>
        <v>2</v>
      </c>
      <c r="R1166" s="21"/>
    </row>
    <row r="1167" spans="1:18" ht="14.25" customHeight="1" x14ac:dyDescent="0.15">
      <c r="A1167" s="19">
        <v>2</v>
      </c>
      <c r="B1167" s="19">
        <v>1.5</v>
      </c>
      <c r="C1167" s="19">
        <v>1.2</v>
      </c>
      <c r="D1167" s="19">
        <f>B1167*C1167</f>
        <v>1.7999999999999998</v>
      </c>
      <c r="E1167" s="19"/>
      <c r="F1167" s="67">
        <f t="shared" ref="F1167:F1168" si="915">F1160</f>
        <v>6</v>
      </c>
      <c r="G1167" s="19"/>
      <c r="H1167" s="19"/>
      <c r="I1167" s="19">
        <f>B1167*0.4</f>
        <v>0.60000000000000009</v>
      </c>
      <c r="J1167" s="19">
        <v>1</v>
      </c>
      <c r="K1167" s="19">
        <f t="shared" ref="K1167:L1167" si="916">A1167</f>
        <v>2</v>
      </c>
      <c r="L1167" s="19">
        <f t="shared" si="916"/>
        <v>1.5</v>
      </c>
      <c r="M1167" s="19">
        <f>A1167</f>
        <v>2</v>
      </c>
      <c r="N1167" s="19">
        <f>(1.2*0.4)*2</f>
        <v>0.96</v>
      </c>
      <c r="O1167" s="19"/>
      <c r="P1167" s="19"/>
      <c r="Q1167" s="19"/>
      <c r="R1167" s="19"/>
    </row>
    <row r="1168" spans="1:18" ht="14.25" customHeight="1" x14ac:dyDescent="0.15">
      <c r="A1168" s="19"/>
      <c r="B1168" s="19"/>
      <c r="C1168" s="19"/>
      <c r="D1168" s="26" t="str">
        <f>D1042</f>
        <v>3000</v>
      </c>
      <c r="E1168" s="19">
        <v>1</v>
      </c>
      <c r="F1168" s="67">
        <f t="shared" si="915"/>
        <v>2.5</v>
      </c>
      <c r="G1168" s="19">
        <v>0</v>
      </c>
      <c r="H1168" s="19">
        <f>B1167*2</f>
        <v>3</v>
      </c>
      <c r="I1168" s="19"/>
      <c r="J1168" s="19"/>
      <c r="K1168" s="19"/>
      <c r="L1168" s="19"/>
      <c r="M1168" s="19"/>
      <c r="N1168" s="28"/>
      <c r="O1168" s="19"/>
      <c r="P1168" s="19"/>
      <c r="Q1168" s="19"/>
      <c r="R1168" s="19"/>
    </row>
    <row r="1169" spans="1:18" ht="14.25" customHeight="1" x14ac:dyDescent="0.15">
      <c r="A1169" s="19"/>
      <c r="B1169" s="19"/>
      <c r="C1169" s="19"/>
      <c r="D1169" s="19">
        <f>D1167*D1168</f>
        <v>5399.9999999999991</v>
      </c>
      <c r="E1169" s="19">
        <f>E1168*E1166</f>
        <v>4200</v>
      </c>
      <c r="F1169" s="67">
        <f>F1168*F1167*F1166</f>
        <v>12000</v>
      </c>
      <c r="G1169" s="19">
        <f t="shared" ref="G1169:H1169" si="917">G1166*G1168</f>
        <v>0</v>
      </c>
      <c r="H1169" s="19">
        <f t="shared" si="917"/>
        <v>1140</v>
      </c>
      <c r="I1169" s="19">
        <f t="shared" ref="I1169:N1169" si="918">I1166*I1167</f>
        <v>3300.0000000000005</v>
      </c>
      <c r="J1169" s="19">
        <f t="shared" si="918"/>
        <v>1000</v>
      </c>
      <c r="K1169" s="19">
        <f t="shared" si="918"/>
        <v>750</v>
      </c>
      <c r="L1169" s="19">
        <f t="shared" si="918"/>
        <v>877.5</v>
      </c>
      <c r="M1169" s="19">
        <f t="shared" si="918"/>
        <v>2000</v>
      </c>
      <c r="N1169" s="19">
        <f t="shared" si="918"/>
        <v>3168</v>
      </c>
      <c r="O1169" s="19">
        <f>SUM(D1169:N1169)</f>
        <v>33835.5</v>
      </c>
      <c r="P1169" s="19">
        <f>O1169/A1167</f>
        <v>16917.75</v>
      </c>
      <c r="Q1169" s="19">
        <f>P1169*Q1166</f>
        <v>33835.5</v>
      </c>
      <c r="R1169" s="19">
        <f>MROUND(Q1169,100)</f>
        <v>33800</v>
      </c>
    </row>
    <row r="1170" spans="1:18" ht="14.25" customHeight="1" x14ac:dyDescent="0.15">
      <c r="A1170" s="30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23">
        <f>Q1163</f>
        <v>0</v>
      </c>
    </row>
    <row r="1171" spans="1:18" ht="14.25" customHeight="1" x14ac:dyDescent="0.3">
      <c r="A1171" s="109" t="str">
        <f>PRICELIST!I382</f>
        <v>WSTK-LSHP-SH-PLM-1500-G</v>
      </c>
      <c r="B1171" s="87"/>
      <c r="C1171" s="87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/>
      <c r="Q1171" s="13"/>
      <c r="R1171" s="17"/>
    </row>
    <row r="1172" spans="1:18" ht="14.25" customHeight="1" x14ac:dyDescent="0.15">
      <c r="A1172" s="19" t="s">
        <v>57</v>
      </c>
      <c r="B1172" s="19" t="s">
        <v>59</v>
      </c>
      <c r="C1172" s="19" t="s">
        <v>62</v>
      </c>
      <c r="D1172" s="19" t="s">
        <v>64</v>
      </c>
      <c r="E1172" s="19">
        <v>1200</v>
      </c>
      <c r="F1172" s="67" t="s">
        <v>248</v>
      </c>
      <c r="G1172" s="19">
        <v>600</v>
      </c>
      <c r="H1172" s="19" t="s">
        <v>67</v>
      </c>
      <c r="I1172" s="19" t="s">
        <v>68</v>
      </c>
      <c r="J1172" s="19" t="s">
        <v>69</v>
      </c>
      <c r="K1172" s="19" t="s">
        <v>71</v>
      </c>
      <c r="L1172" s="19" t="s">
        <v>72</v>
      </c>
      <c r="M1172" s="19" t="s">
        <v>73</v>
      </c>
      <c r="N1172" s="19" t="s">
        <v>75</v>
      </c>
      <c r="O1172" s="19" t="s">
        <v>76</v>
      </c>
      <c r="P1172" s="19" t="s">
        <v>78</v>
      </c>
      <c r="Q1172" s="19" t="s">
        <v>79</v>
      </c>
      <c r="R1172" s="19" t="s">
        <v>81</v>
      </c>
    </row>
    <row r="1173" spans="1:18" ht="14.25" customHeight="1" x14ac:dyDescent="0.15">
      <c r="A1173" s="21"/>
      <c r="B1173" s="21"/>
      <c r="C1173" s="21"/>
      <c r="D1173" s="21">
        <f t="shared" ref="D1173:E1173" si="919">D1166</f>
        <v>0</v>
      </c>
      <c r="E1173" s="23" t="str">
        <f t="shared" si="919"/>
        <v>4200</v>
      </c>
      <c r="F1173" s="68">
        <v>800</v>
      </c>
      <c r="G1173" s="23" t="str">
        <f>G1166</f>
        <v>3800</v>
      </c>
      <c r="H1173" s="21">
        <v>380</v>
      </c>
      <c r="I1173" s="23" t="str">
        <f>I1152</f>
        <v>0</v>
      </c>
      <c r="J1173" s="23" t="str">
        <f>J1166</f>
        <v>1000</v>
      </c>
      <c r="K1173" s="21">
        <v>375</v>
      </c>
      <c r="L1173" s="21">
        <v>585</v>
      </c>
      <c r="M1173" s="23" t="str">
        <f>M1166</f>
        <v>1000</v>
      </c>
      <c r="N1173" s="21">
        <v>3300</v>
      </c>
      <c r="O1173" s="21"/>
      <c r="P1173" s="21"/>
      <c r="Q1173" s="23">
        <f>Q1166</f>
        <v>2</v>
      </c>
      <c r="R1173" s="21"/>
    </row>
    <row r="1174" spans="1:18" ht="14.25" customHeight="1" x14ac:dyDescent="0.15">
      <c r="A1174" s="19">
        <v>2</v>
      </c>
      <c r="B1174" s="19">
        <v>1.5</v>
      </c>
      <c r="C1174" s="19">
        <v>1.2</v>
      </c>
      <c r="D1174" s="19">
        <f>B1174*C1174</f>
        <v>1.7999999999999998</v>
      </c>
      <c r="E1174" s="19"/>
      <c r="F1174" s="67">
        <v>6</v>
      </c>
      <c r="G1174" s="19"/>
      <c r="H1174" s="19"/>
      <c r="I1174" s="19">
        <f>B1174*0.4</f>
        <v>0.60000000000000009</v>
      </c>
      <c r="J1174" s="19">
        <v>1</v>
      </c>
      <c r="K1174" s="19">
        <f t="shared" ref="K1174:L1174" si="920">A1174</f>
        <v>2</v>
      </c>
      <c r="L1174" s="19">
        <f t="shared" si="920"/>
        <v>1.5</v>
      </c>
      <c r="M1174" s="19">
        <f>A1174</f>
        <v>2</v>
      </c>
      <c r="N1174" s="19">
        <f>(1.2*0.4)*2</f>
        <v>0.96</v>
      </c>
      <c r="O1174" s="19"/>
      <c r="P1174" s="19"/>
      <c r="Q1174" s="19"/>
      <c r="R1174" s="19"/>
    </row>
    <row r="1175" spans="1:18" ht="14.25" customHeight="1" x14ac:dyDescent="0.2">
      <c r="A1175" s="19"/>
      <c r="B1175" s="19"/>
      <c r="C1175" s="19"/>
      <c r="D1175" s="26" t="str">
        <f>D1049</f>
        <v>3000</v>
      </c>
      <c r="E1175" s="45">
        <v>1</v>
      </c>
      <c r="F1175" s="67">
        <v>2.5</v>
      </c>
      <c r="G1175" s="45">
        <v>0</v>
      </c>
      <c r="H1175" s="19">
        <f>B1174*2</f>
        <v>3</v>
      </c>
      <c r="I1175" s="19"/>
      <c r="J1175" s="19"/>
      <c r="K1175" s="19"/>
      <c r="L1175" s="19"/>
      <c r="M1175" s="19"/>
      <c r="N1175" s="28"/>
      <c r="O1175" s="19"/>
      <c r="P1175" s="19"/>
      <c r="Q1175" s="19"/>
      <c r="R1175" s="19"/>
    </row>
    <row r="1176" spans="1:18" ht="14.25" customHeight="1" x14ac:dyDescent="0.2">
      <c r="A1176" s="19"/>
      <c r="B1176" s="19"/>
      <c r="C1176" s="19"/>
      <c r="D1176" s="19">
        <f>D1174*D1175</f>
        <v>5399.9999999999991</v>
      </c>
      <c r="E1176" s="45">
        <f>E1175*E1173</f>
        <v>4200</v>
      </c>
      <c r="F1176" s="67">
        <f>F1175*F1174*F1173</f>
        <v>12000</v>
      </c>
      <c r="G1176" s="45">
        <f t="shared" ref="G1176:H1176" si="921">G1173*G1175</f>
        <v>0</v>
      </c>
      <c r="H1176" s="19">
        <f t="shared" si="921"/>
        <v>1140</v>
      </c>
      <c r="I1176" s="19">
        <f t="shared" ref="I1176:N1176" si="922">I1173*I1174</f>
        <v>0</v>
      </c>
      <c r="J1176" s="19">
        <f t="shared" si="922"/>
        <v>1000</v>
      </c>
      <c r="K1176" s="19">
        <f t="shared" si="922"/>
        <v>750</v>
      </c>
      <c r="L1176" s="19">
        <f t="shared" si="922"/>
        <v>877.5</v>
      </c>
      <c r="M1176" s="19">
        <f t="shared" si="922"/>
        <v>2000</v>
      </c>
      <c r="N1176" s="19">
        <f t="shared" si="922"/>
        <v>3168</v>
      </c>
      <c r="O1176" s="19">
        <f>SUM(D1176:N1176)</f>
        <v>30535.5</v>
      </c>
      <c r="P1176" s="19">
        <f>O1176/A1174</f>
        <v>15267.75</v>
      </c>
      <c r="Q1176" s="19">
        <f>P1176*Q1173</f>
        <v>30535.5</v>
      </c>
      <c r="R1176" s="19">
        <f>MROUND(Q1176,100)</f>
        <v>30500</v>
      </c>
    </row>
    <row r="1177" spans="1:18" ht="14.25" customHeight="1" x14ac:dyDescent="0.15">
      <c r="A1177" s="30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</row>
    <row r="1178" spans="1:18" ht="14.25" customHeight="1" x14ac:dyDescent="0.3">
      <c r="A1178" s="109" t="str">
        <f>PRICELIST!I383</f>
        <v>WSTK-LSHP-SH-PLM-1500-X</v>
      </c>
      <c r="B1178" s="87"/>
      <c r="C1178" s="87"/>
      <c r="D1178" s="13"/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/>
      <c r="Q1178" s="13"/>
      <c r="R1178" s="17"/>
    </row>
    <row r="1179" spans="1:18" ht="14.25" customHeight="1" x14ac:dyDescent="0.15">
      <c r="A1179" s="19" t="s">
        <v>57</v>
      </c>
      <c r="B1179" s="19" t="s">
        <v>59</v>
      </c>
      <c r="C1179" s="19" t="s">
        <v>62</v>
      </c>
      <c r="D1179" s="19" t="s">
        <v>64</v>
      </c>
      <c r="E1179" s="19">
        <v>1200</v>
      </c>
      <c r="F1179" s="67" t="s">
        <v>248</v>
      </c>
      <c r="G1179" s="19">
        <v>600</v>
      </c>
      <c r="H1179" s="19" t="s">
        <v>67</v>
      </c>
      <c r="I1179" s="19" t="s">
        <v>68</v>
      </c>
      <c r="J1179" s="19" t="s">
        <v>69</v>
      </c>
      <c r="K1179" s="19" t="s">
        <v>71</v>
      </c>
      <c r="L1179" s="19" t="s">
        <v>72</v>
      </c>
      <c r="M1179" s="19" t="s">
        <v>73</v>
      </c>
      <c r="N1179" s="19" t="s">
        <v>75</v>
      </c>
      <c r="O1179" s="19" t="s">
        <v>76</v>
      </c>
      <c r="P1179" s="19" t="s">
        <v>78</v>
      </c>
      <c r="Q1179" s="19" t="s">
        <v>79</v>
      </c>
      <c r="R1179" s="19" t="s">
        <v>81</v>
      </c>
    </row>
    <row r="1180" spans="1:18" ht="14.25" customHeight="1" x14ac:dyDescent="0.15">
      <c r="A1180" s="21"/>
      <c r="B1180" s="21"/>
      <c r="C1180" s="21"/>
      <c r="D1180" s="21">
        <f t="shared" ref="D1180:E1180" si="923">D1173</f>
        <v>0</v>
      </c>
      <c r="E1180" s="23" t="str">
        <f t="shared" si="923"/>
        <v>4200</v>
      </c>
      <c r="F1180" s="68">
        <v>800</v>
      </c>
      <c r="G1180" s="23" t="str">
        <f t="shared" ref="G1180:H1180" si="924">G1173</f>
        <v>3800</v>
      </c>
      <c r="H1180" s="21">
        <f t="shared" si="924"/>
        <v>380</v>
      </c>
      <c r="I1180" s="23" t="str">
        <f>I1159</f>
        <v>4800</v>
      </c>
      <c r="J1180" s="23" t="str">
        <f t="shared" ref="J1180:Q1180" si="925">J1173</f>
        <v>1000</v>
      </c>
      <c r="K1180" s="21">
        <f t="shared" si="925"/>
        <v>375</v>
      </c>
      <c r="L1180" s="21">
        <f t="shared" si="925"/>
        <v>585</v>
      </c>
      <c r="M1180" s="23" t="str">
        <f t="shared" si="925"/>
        <v>1000</v>
      </c>
      <c r="N1180" s="21">
        <f t="shared" si="925"/>
        <v>3300</v>
      </c>
      <c r="O1180" s="21">
        <f t="shared" si="925"/>
        <v>0</v>
      </c>
      <c r="P1180" s="21">
        <f t="shared" si="925"/>
        <v>0</v>
      </c>
      <c r="Q1180" s="23">
        <f t="shared" si="925"/>
        <v>2</v>
      </c>
      <c r="R1180" s="21"/>
    </row>
    <row r="1181" spans="1:18" ht="14.25" customHeight="1" x14ac:dyDescent="0.15">
      <c r="A1181" s="19">
        <v>2</v>
      </c>
      <c r="B1181" s="19">
        <v>1.5</v>
      </c>
      <c r="C1181" s="19">
        <v>1.2</v>
      </c>
      <c r="D1181" s="19">
        <f>B1181*C1181</f>
        <v>1.7999999999999998</v>
      </c>
      <c r="E1181" s="19"/>
      <c r="F1181" s="67">
        <v>6</v>
      </c>
      <c r="G1181" s="19"/>
      <c r="H1181" s="19"/>
      <c r="I1181" s="19">
        <f>B1181*0.4</f>
        <v>0.60000000000000009</v>
      </c>
      <c r="J1181" s="19">
        <v>1</v>
      </c>
      <c r="K1181" s="19">
        <f t="shared" ref="K1181:L1181" si="926">A1181</f>
        <v>2</v>
      </c>
      <c r="L1181" s="19">
        <f t="shared" si="926"/>
        <v>1.5</v>
      </c>
      <c r="M1181" s="19">
        <f>A1181</f>
        <v>2</v>
      </c>
      <c r="N1181" s="19">
        <f>(1.2*0.4)*2</f>
        <v>0.96</v>
      </c>
      <c r="O1181" s="19"/>
      <c r="P1181" s="19"/>
      <c r="Q1181" s="19"/>
      <c r="R1181" s="19"/>
    </row>
    <row r="1182" spans="1:18" ht="14.25" customHeight="1" x14ac:dyDescent="0.2">
      <c r="A1182" s="19"/>
      <c r="B1182" s="19"/>
      <c r="C1182" s="19"/>
      <c r="D1182" s="26">
        <f>'MASTER DATA'!C813</f>
        <v>0</v>
      </c>
      <c r="E1182" s="45">
        <v>1</v>
      </c>
      <c r="F1182" s="67">
        <v>2.5</v>
      </c>
      <c r="G1182" s="45">
        <v>0</v>
      </c>
      <c r="H1182" s="19">
        <f>B1181*2</f>
        <v>3</v>
      </c>
      <c r="I1182" s="19"/>
      <c r="J1182" s="19"/>
      <c r="K1182" s="19"/>
      <c r="L1182" s="19"/>
      <c r="M1182" s="19"/>
      <c r="N1182" s="28"/>
      <c r="O1182" s="19"/>
      <c r="P1182" s="19"/>
      <c r="Q1182" s="19"/>
      <c r="R1182" s="19"/>
    </row>
    <row r="1183" spans="1:18" ht="14.25" customHeight="1" x14ac:dyDescent="0.2">
      <c r="A1183" s="19"/>
      <c r="B1183" s="19"/>
      <c r="C1183" s="19"/>
      <c r="D1183" s="19">
        <f>D1181*D1182</f>
        <v>0</v>
      </c>
      <c r="E1183" s="45">
        <f>E1182*E1180</f>
        <v>4200</v>
      </c>
      <c r="F1183" s="67">
        <f>F1182*F1181*F1180</f>
        <v>12000</v>
      </c>
      <c r="G1183" s="45">
        <f t="shared" ref="G1183:H1183" si="927">G1180*G1182</f>
        <v>0</v>
      </c>
      <c r="H1183" s="19">
        <f t="shared" si="927"/>
        <v>1140</v>
      </c>
      <c r="I1183" s="19">
        <f t="shared" ref="I1183:N1183" si="928">I1180*I1181</f>
        <v>2880.0000000000005</v>
      </c>
      <c r="J1183" s="19">
        <f t="shared" si="928"/>
        <v>1000</v>
      </c>
      <c r="K1183" s="19">
        <f t="shared" si="928"/>
        <v>750</v>
      </c>
      <c r="L1183" s="19">
        <f t="shared" si="928"/>
        <v>877.5</v>
      </c>
      <c r="M1183" s="19">
        <f t="shared" si="928"/>
        <v>2000</v>
      </c>
      <c r="N1183" s="19">
        <f t="shared" si="928"/>
        <v>3168</v>
      </c>
      <c r="O1183" s="19">
        <f>SUM(D1183:N1183)</f>
        <v>28015.5</v>
      </c>
      <c r="P1183" s="19">
        <f>O1183/A1181</f>
        <v>14007.75</v>
      </c>
      <c r="Q1183" s="19">
        <f>P1183*Q1180</f>
        <v>28015.5</v>
      </c>
      <c r="R1183" s="19">
        <f>MROUND(Q1183,100)</f>
        <v>28000</v>
      </c>
    </row>
    <row r="1184" spans="1:18" ht="14.25" customHeight="1" x14ac:dyDescent="0.15">
      <c r="A1184" s="30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</row>
    <row r="1185" spans="1:18" ht="14.25" customHeight="1" x14ac:dyDescent="0.3">
      <c r="A1185" s="109" t="str">
        <f>PRICELIST!I384</f>
        <v>WSTK-LSHP-SH-PoLM-1500-F</v>
      </c>
      <c r="B1185" s="87"/>
      <c r="C1185" s="87"/>
      <c r="D1185" s="13"/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/>
      <c r="Q1185" s="13"/>
      <c r="R1185" s="17"/>
    </row>
    <row r="1186" spans="1:18" ht="14.25" customHeight="1" x14ac:dyDescent="0.15">
      <c r="A1186" s="19" t="s">
        <v>57</v>
      </c>
      <c r="B1186" s="19" t="s">
        <v>59</v>
      </c>
      <c r="C1186" s="19" t="s">
        <v>62</v>
      </c>
      <c r="D1186" s="19" t="s">
        <v>64</v>
      </c>
      <c r="E1186" s="19">
        <v>1200</v>
      </c>
      <c r="F1186" s="67" t="s">
        <v>248</v>
      </c>
      <c r="G1186" s="19">
        <v>600</v>
      </c>
      <c r="H1186" s="19" t="s">
        <v>67</v>
      </c>
      <c r="I1186" s="19" t="s">
        <v>68</v>
      </c>
      <c r="J1186" s="19" t="s">
        <v>69</v>
      </c>
      <c r="K1186" s="19" t="s">
        <v>71</v>
      </c>
      <c r="L1186" s="19" t="s">
        <v>72</v>
      </c>
      <c r="M1186" s="19" t="s">
        <v>73</v>
      </c>
      <c r="N1186" s="19" t="s">
        <v>75</v>
      </c>
      <c r="O1186" s="19" t="s">
        <v>76</v>
      </c>
      <c r="P1186" s="19" t="s">
        <v>78</v>
      </c>
      <c r="Q1186" s="19" t="s">
        <v>79</v>
      </c>
      <c r="R1186" s="19" t="s">
        <v>81</v>
      </c>
    </row>
    <row r="1187" spans="1:18" ht="14.25" customHeight="1" x14ac:dyDescent="0.15">
      <c r="A1187" s="21"/>
      <c r="B1187" s="21"/>
      <c r="C1187" s="21"/>
      <c r="D1187" s="21">
        <f t="shared" ref="D1187:E1187" si="929">D1180</f>
        <v>0</v>
      </c>
      <c r="E1187" s="23" t="str">
        <f t="shared" si="929"/>
        <v>4200</v>
      </c>
      <c r="F1187" s="68">
        <v>800</v>
      </c>
      <c r="G1187" s="23" t="str">
        <f t="shared" ref="G1187:H1187" si="930">G1180</f>
        <v>3800</v>
      </c>
      <c r="H1187" s="21">
        <f t="shared" si="930"/>
        <v>380</v>
      </c>
      <c r="I1187" s="23" t="str">
        <f>I1166</f>
        <v>5500</v>
      </c>
      <c r="J1187" s="23" t="str">
        <f t="shared" ref="J1187:Q1187" si="931">J1180</f>
        <v>1000</v>
      </c>
      <c r="K1187" s="21">
        <f t="shared" si="931"/>
        <v>375</v>
      </c>
      <c r="L1187" s="21">
        <f t="shared" si="931"/>
        <v>585</v>
      </c>
      <c r="M1187" s="23" t="str">
        <f t="shared" si="931"/>
        <v>1000</v>
      </c>
      <c r="N1187" s="21">
        <f t="shared" si="931"/>
        <v>3300</v>
      </c>
      <c r="O1187" s="21">
        <f t="shared" si="931"/>
        <v>0</v>
      </c>
      <c r="P1187" s="21">
        <f t="shared" si="931"/>
        <v>0</v>
      </c>
      <c r="Q1187" s="23">
        <f t="shared" si="931"/>
        <v>2</v>
      </c>
      <c r="R1187" s="21"/>
    </row>
    <row r="1188" spans="1:18" ht="14.25" customHeight="1" x14ac:dyDescent="0.15">
      <c r="A1188" s="19">
        <v>2</v>
      </c>
      <c r="B1188" s="19">
        <v>1.5</v>
      </c>
      <c r="C1188" s="19">
        <v>1.2</v>
      </c>
      <c r="D1188" s="19">
        <f>B1188*C1188</f>
        <v>1.7999999999999998</v>
      </c>
      <c r="E1188" s="19"/>
      <c r="F1188" s="67">
        <v>6</v>
      </c>
      <c r="G1188" s="19"/>
      <c r="H1188" s="19"/>
      <c r="I1188" s="19">
        <f>B1188*0.4</f>
        <v>0.60000000000000009</v>
      </c>
      <c r="J1188" s="19">
        <v>1</v>
      </c>
      <c r="K1188" s="19">
        <f t="shared" ref="K1188:L1188" si="932">A1188</f>
        <v>2</v>
      </c>
      <c r="L1188" s="19">
        <f t="shared" si="932"/>
        <v>1.5</v>
      </c>
      <c r="M1188" s="19">
        <f>A1188</f>
        <v>2</v>
      </c>
      <c r="N1188" s="19">
        <f>(1.2*0.4)*2</f>
        <v>0.96</v>
      </c>
      <c r="O1188" s="19"/>
      <c r="P1188" s="19"/>
      <c r="Q1188" s="19"/>
      <c r="R1188" s="19"/>
    </row>
    <row r="1189" spans="1:18" ht="14.25" customHeight="1" x14ac:dyDescent="0.2">
      <c r="A1189" s="19"/>
      <c r="B1189" s="19"/>
      <c r="C1189" s="19"/>
      <c r="D1189" s="26">
        <f>D1182</f>
        <v>0</v>
      </c>
      <c r="E1189" s="45">
        <v>1</v>
      </c>
      <c r="F1189" s="67">
        <v>2.5</v>
      </c>
      <c r="G1189" s="45">
        <v>0</v>
      </c>
      <c r="H1189" s="19">
        <f>B1188*2</f>
        <v>3</v>
      </c>
      <c r="I1189" s="19"/>
      <c r="J1189" s="19"/>
      <c r="K1189" s="19"/>
      <c r="L1189" s="19"/>
      <c r="M1189" s="19"/>
      <c r="N1189" s="28"/>
      <c r="O1189" s="19"/>
      <c r="P1189" s="19"/>
      <c r="Q1189" s="19"/>
      <c r="R1189" s="19"/>
    </row>
    <row r="1190" spans="1:18" ht="14.25" customHeight="1" x14ac:dyDescent="0.2">
      <c r="A1190" s="19"/>
      <c r="B1190" s="19"/>
      <c r="C1190" s="19"/>
      <c r="D1190" s="19">
        <f>D1188*D1189</f>
        <v>0</v>
      </c>
      <c r="E1190" s="45">
        <f>E1189*E1187</f>
        <v>4200</v>
      </c>
      <c r="F1190" s="67">
        <f>F1189*F1188*F1187</f>
        <v>12000</v>
      </c>
      <c r="G1190" s="45">
        <f t="shared" ref="G1190:H1190" si="933">G1187*G1189</f>
        <v>0</v>
      </c>
      <c r="H1190" s="19">
        <f t="shared" si="933"/>
        <v>1140</v>
      </c>
      <c r="I1190" s="19">
        <f t="shared" ref="I1190:N1190" si="934">I1187*I1188</f>
        <v>3300.0000000000005</v>
      </c>
      <c r="J1190" s="19">
        <f t="shared" si="934"/>
        <v>1000</v>
      </c>
      <c r="K1190" s="19">
        <f t="shared" si="934"/>
        <v>750</v>
      </c>
      <c r="L1190" s="19">
        <f t="shared" si="934"/>
        <v>877.5</v>
      </c>
      <c r="M1190" s="19">
        <f t="shared" si="934"/>
        <v>2000</v>
      </c>
      <c r="N1190" s="19">
        <f t="shared" si="934"/>
        <v>3168</v>
      </c>
      <c r="O1190" s="19">
        <f>SUM(D1190:N1190)</f>
        <v>28435.5</v>
      </c>
      <c r="P1190" s="19">
        <f>O1190/A1188</f>
        <v>14217.75</v>
      </c>
      <c r="Q1190" s="19">
        <f>P1190*Q1187</f>
        <v>28435.5</v>
      </c>
      <c r="R1190" s="19">
        <f>MROUND(Q1190,100)</f>
        <v>28400</v>
      </c>
    </row>
    <row r="1191" spans="1:18" ht="14.25" customHeight="1" x14ac:dyDescent="0.15">
      <c r="A1191" s="30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</row>
    <row r="1192" spans="1:18" ht="14.25" customHeight="1" x14ac:dyDescent="0.3">
      <c r="A1192" s="109" t="str">
        <f>PRICELIST!I385</f>
        <v>WSTK-LSHP-SH-PoLM-1500-G</v>
      </c>
      <c r="B1192" s="87"/>
      <c r="C1192" s="87"/>
      <c r="D1192" s="13"/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/>
      <c r="Q1192" s="13"/>
      <c r="R1192" s="17"/>
    </row>
    <row r="1193" spans="1:18" ht="14.25" customHeight="1" x14ac:dyDescent="0.15">
      <c r="A1193" s="19" t="s">
        <v>57</v>
      </c>
      <c r="B1193" s="19" t="s">
        <v>59</v>
      </c>
      <c r="C1193" s="19" t="s">
        <v>62</v>
      </c>
      <c r="D1193" s="19" t="s">
        <v>64</v>
      </c>
      <c r="E1193" s="19">
        <v>1200</v>
      </c>
      <c r="F1193" s="67" t="s">
        <v>248</v>
      </c>
      <c r="G1193" s="19">
        <v>600</v>
      </c>
      <c r="H1193" s="19" t="s">
        <v>67</v>
      </c>
      <c r="I1193" s="19" t="s">
        <v>68</v>
      </c>
      <c r="J1193" s="19" t="s">
        <v>69</v>
      </c>
      <c r="K1193" s="19" t="s">
        <v>71</v>
      </c>
      <c r="L1193" s="19" t="s">
        <v>72</v>
      </c>
      <c r="M1193" s="19" t="s">
        <v>73</v>
      </c>
      <c r="N1193" s="19" t="s">
        <v>75</v>
      </c>
      <c r="O1193" s="19" t="s">
        <v>76</v>
      </c>
      <c r="P1193" s="19" t="s">
        <v>78</v>
      </c>
      <c r="Q1193" s="19" t="s">
        <v>79</v>
      </c>
      <c r="R1193" s="19" t="s">
        <v>81</v>
      </c>
    </row>
    <row r="1194" spans="1:18" ht="14.25" customHeight="1" x14ac:dyDescent="0.15">
      <c r="A1194" s="21"/>
      <c r="B1194" s="21"/>
      <c r="C1194" s="21"/>
      <c r="D1194" s="21">
        <f t="shared" ref="D1194:E1194" si="935">D1187</f>
        <v>0</v>
      </c>
      <c r="E1194" s="23" t="str">
        <f t="shared" si="935"/>
        <v>4200</v>
      </c>
      <c r="F1194" s="68">
        <v>800</v>
      </c>
      <c r="G1194" s="23" t="str">
        <f t="shared" ref="G1194:H1194" si="936">G1187</f>
        <v>3800</v>
      </c>
      <c r="H1194" s="21">
        <f t="shared" si="936"/>
        <v>380</v>
      </c>
      <c r="I1194" s="23" t="str">
        <f>I1173</f>
        <v>0</v>
      </c>
      <c r="J1194" s="23" t="str">
        <f t="shared" ref="J1194:Q1194" si="937">J1187</f>
        <v>1000</v>
      </c>
      <c r="K1194" s="21">
        <f t="shared" si="937"/>
        <v>375</v>
      </c>
      <c r="L1194" s="21">
        <f t="shared" si="937"/>
        <v>585</v>
      </c>
      <c r="M1194" s="23" t="str">
        <f t="shared" si="937"/>
        <v>1000</v>
      </c>
      <c r="N1194" s="21">
        <f t="shared" si="937"/>
        <v>3300</v>
      </c>
      <c r="O1194" s="21">
        <f t="shared" si="937"/>
        <v>0</v>
      </c>
      <c r="P1194" s="21">
        <f t="shared" si="937"/>
        <v>0</v>
      </c>
      <c r="Q1194" s="23">
        <f t="shared" si="937"/>
        <v>2</v>
      </c>
      <c r="R1194" s="21"/>
    </row>
    <row r="1195" spans="1:18" ht="14.25" customHeight="1" x14ac:dyDescent="0.15">
      <c r="A1195" s="19">
        <v>2</v>
      </c>
      <c r="B1195" s="19">
        <v>1.5</v>
      </c>
      <c r="C1195" s="19">
        <v>1.2</v>
      </c>
      <c r="D1195" s="19">
        <f>B1195*C1195</f>
        <v>1.7999999999999998</v>
      </c>
      <c r="E1195" s="19"/>
      <c r="F1195" s="67">
        <v>6</v>
      </c>
      <c r="G1195" s="19"/>
      <c r="H1195" s="19"/>
      <c r="I1195" s="19">
        <f>B1195*0.4</f>
        <v>0.60000000000000009</v>
      </c>
      <c r="J1195" s="19">
        <v>1</v>
      </c>
      <c r="K1195" s="19">
        <f t="shared" ref="K1195:L1195" si="938">A1195</f>
        <v>2</v>
      </c>
      <c r="L1195" s="19">
        <f t="shared" si="938"/>
        <v>1.5</v>
      </c>
      <c r="M1195" s="19">
        <f>A1195</f>
        <v>2</v>
      </c>
      <c r="N1195" s="19">
        <f>(1.2*0.4)*2</f>
        <v>0.96</v>
      </c>
      <c r="O1195" s="19"/>
      <c r="P1195" s="19"/>
      <c r="Q1195" s="19"/>
      <c r="R1195" s="19"/>
    </row>
    <row r="1196" spans="1:18" ht="14.25" customHeight="1" x14ac:dyDescent="0.2">
      <c r="A1196" s="19"/>
      <c r="B1196" s="19"/>
      <c r="C1196" s="19"/>
      <c r="D1196" s="26" t="str">
        <f>D1070</f>
        <v>7500</v>
      </c>
      <c r="E1196" s="45">
        <v>1</v>
      </c>
      <c r="F1196" s="67">
        <v>2.5</v>
      </c>
      <c r="G1196" s="45">
        <v>0</v>
      </c>
      <c r="H1196" s="19">
        <f>B1195*2</f>
        <v>3</v>
      </c>
      <c r="I1196" s="19"/>
      <c r="J1196" s="19"/>
      <c r="K1196" s="19"/>
      <c r="L1196" s="19"/>
      <c r="M1196" s="19"/>
      <c r="N1196" s="28"/>
      <c r="O1196" s="19"/>
      <c r="P1196" s="19"/>
      <c r="Q1196" s="19"/>
      <c r="R1196" s="19"/>
    </row>
    <row r="1197" spans="1:18" ht="14.25" customHeight="1" x14ac:dyDescent="0.2">
      <c r="A1197" s="19"/>
      <c r="B1197" s="19"/>
      <c r="C1197" s="19"/>
      <c r="D1197" s="19">
        <f>D1195*D1196</f>
        <v>13499.999999999998</v>
      </c>
      <c r="E1197" s="45">
        <f>E1196*E1194</f>
        <v>4200</v>
      </c>
      <c r="F1197" s="67">
        <f>F1196*F1195*F1194</f>
        <v>12000</v>
      </c>
      <c r="G1197" s="45">
        <f t="shared" ref="G1197:H1197" si="939">G1194*G1196</f>
        <v>0</v>
      </c>
      <c r="H1197" s="19">
        <f t="shared" si="939"/>
        <v>1140</v>
      </c>
      <c r="I1197" s="19">
        <f t="shared" ref="I1197:N1197" si="940">I1194*I1195</f>
        <v>0</v>
      </c>
      <c r="J1197" s="19">
        <f t="shared" si="940"/>
        <v>1000</v>
      </c>
      <c r="K1197" s="19">
        <f t="shared" si="940"/>
        <v>750</v>
      </c>
      <c r="L1197" s="19">
        <f t="shared" si="940"/>
        <v>877.5</v>
      </c>
      <c r="M1197" s="19">
        <f t="shared" si="940"/>
        <v>2000</v>
      </c>
      <c r="N1197" s="19">
        <f t="shared" si="940"/>
        <v>3168</v>
      </c>
      <c r="O1197" s="19">
        <f>SUM(D1197:N1197)</f>
        <v>38635.5</v>
      </c>
      <c r="P1197" s="19">
        <f>O1197/A1195</f>
        <v>19317.75</v>
      </c>
      <c r="Q1197" s="19">
        <f>P1197*Q1194</f>
        <v>38635.5</v>
      </c>
      <c r="R1197" s="19">
        <f>MROUND(Q1197,100)</f>
        <v>38600</v>
      </c>
    </row>
    <row r="1198" spans="1:18" ht="14.25" customHeight="1" x14ac:dyDescent="0.15">
      <c r="A1198" s="30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</row>
    <row r="1199" spans="1:18" ht="14.25" customHeight="1" x14ac:dyDescent="0.3">
      <c r="A1199" s="109" t="str">
        <f>PRICELIST!I386</f>
        <v>WSTK-LSHP-SH-PoLM-1500-X</v>
      </c>
      <c r="B1199" s="87"/>
      <c r="C1199" s="87"/>
      <c r="D1199" s="13"/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R1199" s="17"/>
    </row>
    <row r="1200" spans="1:18" ht="14.25" customHeight="1" x14ac:dyDescent="0.15">
      <c r="A1200" s="19" t="s">
        <v>57</v>
      </c>
      <c r="B1200" s="19" t="s">
        <v>59</v>
      </c>
      <c r="C1200" s="19" t="s">
        <v>62</v>
      </c>
      <c r="D1200" s="19" t="s">
        <v>64</v>
      </c>
      <c r="E1200" s="19">
        <v>1200</v>
      </c>
      <c r="F1200" s="67" t="s">
        <v>248</v>
      </c>
      <c r="G1200" s="19">
        <v>600</v>
      </c>
      <c r="H1200" s="19" t="s">
        <v>67</v>
      </c>
      <c r="I1200" s="19" t="s">
        <v>68</v>
      </c>
      <c r="J1200" s="19" t="s">
        <v>69</v>
      </c>
      <c r="K1200" s="19" t="s">
        <v>71</v>
      </c>
      <c r="L1200" s="19" t="s">
        <v>72</v>
      </c>
      <c r="M1200" s="19" t="s">
        <v>73</v>
      </c>
      <c r="N1200" s="19" t="s">
        <v>75</v>
      </c>
      <c r="O1200" s="19" t="s">
        <v>76</v>
      </c>
      <c r="P1200" s="19" t="s">
        <v>78</v>
      </c>
      <c r="Q1200" s="19" t="s">
        <v>79</v>
      </c>
      <c r="R1200" s="19" t="s">
        <v>81</v>
      </c>
    </row>
    <row r="1201" spans="1:18" ht="14.25" customHeight="1" x14ac:dyDescent="0.15">
      <c r="A1201" s="21"/>
      <c r="B1201" s="21"/>
      <c r="C1201" s="21"/>
      <c r="D1201" s="21">
        <f t="shared" ref="D1201:E1201" si="941">D1194</f>
        <v>0</v>
      </c>
      <c r="E1201" s="23" t="str">
        <f t="shared" si="941"/>
        <v>4200</v>
      </c>
      <c r="F1201" s="68">
        <v>800</v>
      </c>
      <c r="G1201" s="23" t="str">
        <f t="shared" ref="G1201:H1201" si="942">G1194</f>
        <v>3800</v>
      </c>
      <c r="H1201" s="21">
        <f t="shared" si="942"/>
        <v>380</v>
      </c>
      <c r="I1201" s="23" t="str">
        <f>I1180</f>
        <v>4800</v>
      </c>
      <c r="J1201" s="23" t="str">
        <f t="shared" ref="J1201:Q1201" si="943">J1194</f>
        <v>1000</v>
      </c>
      <c r="K1201" s="21">
        <f t="shared" si="943"/>
        <v>375</v>
      </c>
      <c r="L1201" s="21">
        <f t="shared" si="943"/>
        <v>585</v>
      </c>
      <c r="M1201" s="23" t="str">
        <f t="shared" si="943"/>
        <v>1000</v>
      </c>
      <c r="N1201" s="21">
        <f t="shared" si="943"/>
        <v>3300</v>
      </c>
      <c r="O1201" s="21">
        <f t="shared" si="943"/>
        <v>0</v>
      </c>
      <c r="P1201" s="21">
        <f t="shared" si="943"/>
        <v>0</v>
      </c>
      <c r="Q1201" s="23">
        <f t="shared" si="943"/>
        <v>2</v>
      </c>
      <c r="R1201" s="21"/>
    </row>
    <row r="1202" spans="1:18" ht="14.25" customHeight="1" x14ac:dyDescent="0.15">
      <c r="A1202" s="19">
        <v>2</v>
      </c>
      <c r="B1202" s="19">
        <v>1.5</v>
      </c>
      <c r="C1202" s="19">
        <v>1.2</v>
      </c>
      <c r="D1202" s="19">
        <f>B1202*C1202</f>
        <v>1.7999999999999998</v>
      </c>
      <c r="E1202" s="19"/>
      <c r="F1202" s="67">
        <v>6</v>
      </c>
      <c r="G1202" s="19"/>
      <c r="H1202" s="19"/>
      <c r="I1202" s="19">
        <f>B1202*0.4</f>
        <v>0.60000000000000009</v>
      </c>
      <c r="J1202" s="19">
        <v>1</v>
      </c>
      <c r="K1202" s="19">
        <f t="shared" ref="K1202:L1202" si="944">A1202</f>
        <v>2</v>
      </c>
      <c r="L1202" s="19">
        <f t="shared" si="944"/>
        <v>1.5</v>
      </c>
      <c r="M1202" s="19">
        <f>A1202</f>
        <v>2</v>
      </c>
      <c r="N1202" s="19">
        <f>(1.2*0.4)*2</f>
        <v>0.96</v>
      </c>
      <c r="O1202" s="19"/>
      <c r="P1202" s="19"/>
      <c r="Q1202" s="19"/>
      <c r="R1202" s="19"/>
    </row>
    <row r="1203" spans="1:18" ht="14.25" customHeight="1" x14ac:dyDescent="0.2">
      <c r="A1203" s="19"/>
      <c r="B1203" s="19"/>
      <c r="C1203" s="19"/>
      <c r="D1203" s="26" t="str">
        <f>D1084</f>
        <v>9500</v>
      </c>
      <c r="E1203" s="45">
        <v>1</v>
      </c>
      <c r="F1203" s="67">
        <v>2.5</v>
      </c>
      <c r="G1203" s="45">
        <v>0</v>
      </c>
      <c r="H1203" s="19">
        <f>B1202*2</f>
        <v>3</v>
      </c>
      <c r="I1203" s="19"/>
      <c r="J1203" s="19"/>
      <c r="K1203" s="19"/>
      <c r="L1203" s="19"/>
      <c r="M1203" s="19"/>
      <c r="N1203" s="28"/>
      <c r="O1203" s="19"/>
      <c r="P1203" s="19"/>
      <c r="Q1203" s="19"/>
      <c r="R1203" s="19"/>
    </row>
    <row r="1204" spans="1:18" ht="14.25" customHeight="1" x14ac:dyDescent="0.2">
      <c r="A1204" s="19"/>
      <c r="B1204" s="19"/>
      <c r="C1204" s="19"/>
      <c r="D1204" s="19">
        <f>D1202*D1203</f>
        <v>17100</v>
      </c>
      <c r="E1204" s="45">
        <f>E1203*E1201</f>
        <v>4200</v>
      </c>
      <c r="F1204" s="67">
        <f>F1203*F1202*F1201</f>
        <v>12000</v>
      </c>
      <c r="G1204" s="45">
        <f t="shared" ref="G1204:H1204" si="945">G1201*G1203</f>
        <v>0</v>
      </c>
      <c r="H1204" s="19">
        <f t="shared" si="945"/>
        <v>1140</v>
      </c>
      <c r="I1204" s="19">
        <f t="shared" ref="I1204:N1204" si="946">I1201*I1202</f>
        <v>2880.0000000000005</v>
      </c>
      <c r="J1204" s="19">
        <f t="shared" si="946"/>
        <v>1000</v>
      </c>
      <c r="K1204" s="19">
        <f t="shared" si="946"/>
        <v>750</v>
      </c>
      <c r="L1204" s="19">
        <f t="shared" si="946"/>
        <v>877.5</v>
      </c>
      <c r="M1204" s="19">
        <f t="shared" si="946"/>
        <v>2000</v>
      </c>
      <c r="N1204" s="19">
        <f t="shared" si="946"/>
        <v>3168</v>
      </c>
      <c r="O1204" s="19">
        <f>SUM(D1204:N1204)</f>
        <v>45115.5</v>
      </c>
      <c r="P1204" s="19">
        <f>O1204/A1202</f>
        <v>22557.75</v>
      </c>
      <c r="Q1204" s="19">
        <f>P1204*Q1201</f>
        <v>45115.5</v>
      </c>
      <c r="R1204" s="19">
        <f>MROUND(Q1204,100)</f>
        <v>45100</v>
      </c>
    </row>
    <row r="1205" spans="1:18" ht="14.25" customHeight="1" x14ac:dyDescent="0.15">
      <c r="A1205" s="30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</row>
    <row r="1206" spans="1:18" ht="14.25" customHeight="1" x14ac:dyDescent="0.3">
      <c r="A1206" s="109" t="str">
        <f>PRICELIST!I387</f>
        <v>WSTK-LSHP-SH-LVM-1500-F</v>
      </c>
      <c r="B1206" s="87"/>
      <c r="C1206" s="87"/>
      <c r="D1206" s="13"/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/>
      <c r="Q1206" s="13"/>
      <c r="R1206" s="17"/>
    </row>
    <row r="1207" spans="1:18" ht="14.25" customHeight="1" x14ac:dyDescent="0.15">
      <c r="A1207" s="19" t="s">
        <v>57</v>
      </c>
      <c r="B1207" s="19" t="s">
        <v>59</v>
      </c>
      <c r="C1207" s="19" t="s">
        <v>62</v>
      </c>
      <c r="D1207" s="19" t="s">
        <v>64</v>
      </c>
      <c r="E1207" s="19">
        <v>1200</v>
      </c>
      <c r="F1207" s="67" t="s">
        <v>248</v>
      </c>
      <c r="G1207" s="19">
        <v>600</v>
      </c>
      <c r="H1207" s="19" t="s">
        <v>67</v>
      </c>
      <c r="I1207" s="19" t="s">
        <v>68</v>
      </c>
      <c r="J1207" s="19" t="s">
        <v>69</v>
      </c>
      <c r="K1207" s="19" t="s">
        <v>71</v>
      </c>
      <c r="L1207" s="19" t="s">
        <v>72</v>
      </c>
      <c r="M1207" s="19" t="s">
        <v>73</v>
      </c>
      <c r="N1207" s="19" t="s">
        <v>75</v>
      </c>
      <c r="O1207" s="19" t="s">
        <v>76</v>
      </c>
      <c r="P1207" s="19" t="s">
        <v>78</v>
      </c>
      <c r="Q1207" s="19" t="s">
        <v>79</v>
      </c>
      <c r="R1207" s="19" t="s">
        <v>81</v>
      </c>
    </row>
    <row r="1208" spans="1:18" ht="14.25" customHeight="1" x14ac:dyDescent="0.15">
      <c r="A1208" s="21"/>
      <c r="B1208" s="21"/>
      <c r="C1208" s="21"/>
      <c r="D1208" s="21">
        <f t="shared" ref="D1208:E1208" si="947">D1201</f>
        <v>0</v>
      </c>
      <c r="E1208" s="23" t="str">
        <f t="shared" si="947"/>
        <v>4200</v>
      </c>
      <c r="F1208" s="68">
        <v>800</v>
      </c>
      <c r="G1208" s="23" t="str">
        <f t="shared" ref="G1208:H1208" si="948">G1201</f>
        <v>3800</v>
      </c>
      <c r="H1208" s="21">
        <f t="shared" si="948"/>
        <v>380</v>
      </c>
      <c r="I1208" s="23" t="str">
        <f>I1187</f>
        <v>5500</v>
      </c>
      <c r="J1208" s="23" t="str">
        <f t="shared" ref="J1208:Q1208" si="949">J1201</f>
        <v>1000</v>
      </c>
      <c r="K1208" s="21">
        <f t="shared" si="949"/>
        <v>375</v>
      </c>
      <c r="L1208" s="21">
        <f t="shared" si="949"/>
        <v>585</v>
      </c>
      <c r="M1208" s="23" t="str">
        <f t="shared" si="949"/>
        <v>1000</v>
      </c>
      <c r="N1208" s="21">
        <f t="shared" si="949"/>
        <v>3300</v>
      </c>
      <c r="O1208" s="21">
        <f t="shared" si="949"/>
        <v>0</v>
      </c>
      <c r="P1208" s="21">
        <f t="shared" si="949"/>
        <v>0</v>
      </c>
      <c r="Q1208" s="23">
        <f t="shared" si="949"/>
        <v>2</v>
      </c>
      <c r="R1208" s="21"/>
    </row>
    <row r="1209" spans="1:18" ht="14.25" customHeight="1" x14ac:dyDescent="0.15">
      <c r="A1209" s="19">
        <v>2</v>
      </c>
      <c r="B1209" s="19">
        <v>1.5</v>
      </c>
      <c r="C1209" s="19">
        <v>1.2</v>
      </c>
      <c r="D1209" s="19">
        <f>B1209*C1209</f>
        <v>1.7999999999999998</v>
      </c>
      <c r="E1209" s="19"/>
      <c r="F1209" s="67">
        <v>6</v>
      </c>
      <c r="G1209" s="19"/>
      <c r="H1209" s="19"/>
      <c r="I1209" s="19">
        <f>B1209*0.4</f>
        <v>0.60000000000000009</v>
      </c>
      <c r="J1209" s="19">
        <v>1</v>
      </c>
      <c r="K1209" s="19">
        <f t="shared" ref="K1209:L1209" si="950">A1209</f>
        <v>2</v>
      </c>
      <c r="L1209" s="19">
        <f t="shared" si="950"/>
        <v>1.5</v>
      </c>
      <c r="M1209" s="19">
        <f>A1209</f>
        <v>2</v>
      </c>
      <c r="N1209" s="19">
        <f>(1.2*0.4)*2</f>
        <v>0.96</v>
      </c>
      <c r="O1209" s="19"/>
      <c r="P1209" s="19"/>
      <c r="Q1209" s="19"/>
      <c r="R1209" s="19"/>
    </row>
    <row r="1210" spans="1:18" ht="14.25" customHeight="1" x14ac:dyDescent="0.2">
      <c r="A1210" s="19"/>
      <c r="B1210" s="19"/>
      <c r="C1210" s="19"/>
      <c r="D1210" s="26" t="str">
        <f>D1203</f>
        <v>9500</v>
      </c>
      <c r="E1210" s="45">
        <v>1</v>
      </c>
      <c r="F1210" s="67">
        <v>2.5</v>
      </c>
      <c r="G1210" s="45">
        <v>0</v>
      </c>
      <c r="H1210" s="19">
        <f>B1209*2</f>
        <v>3</v>
      </c>
      <c r="I1210" s="19"/>
      <c r="J1210" s="19"/>
      <c r="K1210" s="19"/>
      <c r="L1210" s="19"/>
      <c r="M1210" s="19"/>
      <c r="N1210" s="28"/>
      <c r="O1210" s="19"/>
      <c r="P1210" s="19"/>
      <c r="Q1210" s="19"/>
      <c r="R1210" s="19"/>
    </row>
    <row r="1211" spans="1:18" ht="14.25" customHeight="1" x14ac:dyDescent="0.2">
      <c r="A1211" s="19"/>
      <c r="B1211" s="19"/>
      <c r="C1211" s="19"/>
      <c r="D1211" s="19">
        <f>D1209*D1210</f>
        <v>17100</v>
      </c>
      <c r="E1211" s="45">
        <f>E1210*E1208</f>
        <v>4200</v>
      </c>
      <c r="F1211" s="67">
        <f>F1210*F1209*F1208</f>
        <v>12000</v>
      </c>
      <c r="G1211" s="45">
        <f t="shared" ref="G1211:H1211" si="951">G1208*G1210</f>
        <v>0</v>
      </c>
      <c r="H1211" s="19">
        <f t="shared" si="951"/>
        <v>1140</v>
      </c>
      <c r="I1211" s="19">
        <f t="shared" ref="I1211:N1211" si="952">I1208*I1209</f>
        <v>3300.0000000000005</v>
      </c>
      <c r="J1211" s="19">
        <f t="shared" si="952"/>
        <v>1000</v>
      </c>
      <c r="K1211" s="19">
        <f t="shared" si="952"/>
        <v>750</v>
      </c>
      <c r="L1211" s="19">
        <f t="shared" si="952"/>
        <v>877.5</v>
      </c>
      <c r="M1211" s="19">
        <f t="shared" si="952"/>
        <v>2000</v>
      </c>
      <c r="N1211" s="19">
        <f t="shared" si="952"/>
        <v>3168</v>
      </c>
      <c r="O1211" s="19">
        <f>SUM(D1211:N1211)</f>
        <v>45535.5</v>
      </c>
      <c r="P1211" s="19">
        <f>O1211/A1209</f>
        <v>22767.75</v>
      </c>
      <c r="Q1211" s="19">
        <f>P1211*Q1208</f>
        <v>45535.5</v>
      </c>
      <c r="R1211" s="19">
        <f>MROUND(Q1211,100)</f>
        <v>45500</v>
      </c>
    </row>
    <row r="1212" spans="1:18" ht="14.25" customHeight="1" x14ac:dyDescent="0.15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</row>
    <row r="1213" spans="1:18" ht="14.25" customHeight="1" x14ac:dyDescent="0.3">
      <c r="A1213" s="109" t="str">
        <f>PRICELIST!I389</f>
        <v>WSTK-LSHP-SH-LVM-1500-X</v>
      </c>
      <c r="B1213" s="87"/>
      <c r="C1213" s="87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/>
      <c r="Q1213" s="13"/>
      <c r="R1213" s="17"/>
    </row>
    <row r="1214" spans="1:18" ht="14.25" customHeight="1" x14ac:dyDescent="0.15">
      <c r="A1214" s="19" t="s">
        <v>57</v>
      </c>
      <c r="B1214" s="19" t="s">
        <v>59</v>
      </c>
      <c r="C1214" s="19" t="s">
        <v>62</v>
      </c>
      <c r="D1214" s="19" t="s">
        <v>64</v>
      </c>
      <c r="E1214" s="19">
        <v>1200</v>
      </c>
      <c r="F1214" s="67" t="s">
        <v>248</v>
      </c>
      <c r="G1214" s="19">
        <v>600</v>
      </c>
      <c r="H1214" s="19" t="s">
        <v>67</v>
      </c>
      <c r="I1214" s="19" t="s">
        <v>68</v>
      </c>
      <c r="J1214" s="19" t="s">
        <v>69</v>
      </c>
      <c r="K1214" s="19" t="s">
        <v>71</v>
      </c>
      <c r="L1214" s="19" t="s">
        <v>72</v>
      </c>
      <c r="M1214" s="19" t="s">
        <v>73</v>
      </c>
      <c r="N1214" s="19" t="s">
        <v>75</v>
      </c>
      <c r="O1214" s="19" t="s">
        <v>76</v>
      </c>
      <c r="P1214" s="19" t="s">
        <v>78</v>
      </c>
      <c r="Q1214" s="19" t="s">
        <v>79</v>
      </c>
      <c r="R1214" s="19" t="s">
        <v>81</v>
      </c>
    </row>
    <row r="1215" spans="1:18" ht="14.25" customHeight="1" x14ac:dyDescent="0.15">
      <c r="A1215" s="21"/>
      <c r="B1215" s="21"/>
      <c r="C1215" s="21"/>
      <c r="D1215" s="21">
        <f t="shared" ref="D1215:E1215" si="953">D1208</f>
        <v>0</v>
      </c>
      <c r="E1215" s="23" t="str">
        <f t="shared" si="953"/>
        <v>4200</v>
      </c>
      <c r="F1215" s="68">
        <v>800</v>
      </c>
      <c r="G1215" s="23" t="str">
        <f t="shared" ref="G1215:H1215" si="954">G1208</f>
        <v>3800</v>
      </c>
      <c r="H1215" s="21">
        <f t="shared" si="954"/>
        <v>380</v>
      </c>
      <c r="I1215" s="23" t="str">
        <f>I1194</f>
        <v>0</v>
      </c>
      <c r="J1215" s="23" t="str">
        <f t="shared" ref="J1215:Q1215" si="955">J1208</f>
        <v>1000</v>
      </c>
      <c r="K1215" s="21">
        <f t="shared" si="955"/>
        <v>375</v>
      </c>
      <c r="L1215" s="21">
        <f t="shared" si="955"/>
        <v>585</v>
      </c>
      <c r="M1215" s="23" t="str">
        <f t="shared" si="955"/>
        <v>1000</v>
      </c>
      <c r="N1215" s="21">
        <f t="shared" si="955"/>
        <v>3300</v>
      </c>
      <c r="O1215" s="21">
        <f t="shared" si="955"/>
        <v>0</v>
      </c>
      <c r="P1215" s="21">
        <f t="shared" si="955"/>
        <v>0</v>
      </c>
      <c r="Q1215" s="23">
        <f t="shared" si="955"/>
        <v>2</v>
      </c>
      <c r="R1215" s="21"/>
    </row>
    <row r="1216" spans="1:18" ht="14.25" customHeight="1" x14ac:dyDescent="0.15">
      <c r="A1216" s="19">
        <v>2</v>
      </c>
      <c r="B1216" s="19">
        <v>1.5</v>
      </c>
      <c r="C1216" s="19">
        <v>1.2</v>
      </c>
      <c r="D1216" s="19">
        <f>B1216*C1216</f>
        <v>1.7999999999999998</v>
      </c>
      <c r="E1216" s="19"/>
      <c r="F1216" s="67">
        <v>6</v>
      </c>
      <c r="G1216" s="19"/>
      <c r="H1216" s="19"/>
      <c r="I1216" s="19">
        <f>B1216*0.4</f>
        <v>0.60000000000000009</v>
      </c>
      <c r="J1216" s="19">
        <v>1</v>
      </c>
      <c r="K1216" s="19">
        <f t="shared" ref="K1216:L1216" si="956">A1216</f>
        <v>2</v>
      </c>
      <c r="L1216" s="19">
        <f t="shared" si="956"/>
        <v>1.5</v>
      </c>
      <c r="M1216" s="19">
        <f>A1216</f>
        <v>2</v>
      </c>
      <c r="N1216" s="19">
        <f>(1.2*0.4)*2</f>
        <v>0.96</v>
      </c>
      <c r="O1216" s="19"/>
      <c r="P1216" s="19"/>
      <c r="Q1216" s="19"/>
      <c r="R1216" s="19"/>
    </row>
    <row r="1217" spans="1:18" ht="14.25" customHeight="1" x14ac:dyDescent="0.2">
      <c r="A1217" s="19"/>
      <c r="B1217" s="19"/>
      <c r="C1217" s="19"/>
      <c r="D1217" s="26" t="str">
        <f>D1210</f>
        <v>9500</v>
      </c>
      <c r="E1217" s="45">
        <v>1</v>
      </c>
      <c r="F1217" s="67">
        <v>2.5</v>
      </c>
      <c r="G1217" s="45">
        <v>0</v>
      </c>
      <c r="H1217" s="19">
        <f>B1216*2</f>
        <v>3</v>
      </c>
      <c r="I1217" s="19"/>
      <c r="J1217" s="19"/>
      <c r="K1217" s="19"/>
      <c r="L1217" s="19"/>
      <c r="M1217" s="19"/>
      <c r="N1217" s="28"/>
      <c r="O1217" s="19"/>
      <c r="P1217" s="19"/>
      <c r="Q1217" s="19"/>
      <c r="R1217" s="19"/>
    </row>
    <row r="1218" spans="1:18" ht="14.25" customHeight="1" x14ac:dyDescent="0.2">
      <c r="A1218" s="19"/>
      <c r="B1218" s="19"/>
      <c r="C1218" s="19"/>
      <c r="D1218" s="19">
        <f>D1216*D1217</f>
        <v>17100</v>
      </c>
      <c r="E1218" s="45">
        <f>E1217*E1215</f>
        <v>4200</v>
      </c>
      <c r="F1218" s="67">
        <f>F1217*F1216*F1215</f>
        <v>12000</v>
      </c>
      <c r="G1218" s="45">
        <f t="shared" ref="G1218:H1218" si="957">G1215*G1217</f>
        <v>0</v>
      </c>
      <c r="H1218" s="19">
        <f t="shared" si="957"/>
        <v>1140</v>
      </c>
      <c r="I1218" s="19">
        <f t="shared" ref="I1218:N1218" si="958">I1215*I1216</f>
        <v>0</v>
      </c>
      <c r="J1218" s="19">
        <f t="shared" si="958"/>
        <v>1000</v>
      </c>
      <c r="K1218" s="19">
        <f t="shared" si="958"/>
        <v>750</v>
      </c>
      <c r="L1218" s="19">
        <f t="shared" si="958"/>
        <v>877.5</v>
      </c>
      <c r="M1218" s="19">
        <f t="shared" si="958"/>
        <v>2000</v>
      </c>
      <c r="N1218" s="19">
        <f t="shared" si="958"/>
        <v>3168</v>
      </c>
      <c r="O1218" s="19">
        <f>SUM(D1218:N1218)</f>
        <v>42235.5</v>
      </c>
      <c r="P1218" s="19">
        <f>O1218/A1216</f>
        <v>21117.75</v>
      </c>
      <c r="Q1218" s="19">
        <f>P1218*Q1215</f>
        <v>42235.5</v>
      </c>
      <c r="R1218" s="19">
        <f>MROUND(Q1218,100)</f>
        <v>42200</v>
      </c>
    </row>
    <row r="1219" spans="1:18" ht="14.25" customHeight="1" x14ac:dyDescent="0.15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</row>
    <row r="1220" spans="1:18" ht="14.25" customHeight="1" x14ac:dyDescent="0.3">
      <c r="A1220" s="109" t="str">
        <f>PRICELIST!I390</f>
        <v>WSTK-LSHP-SH-LVP-1500-F</v>
      </c>
      <c r="B1220" s="87"/>
      <c r="C1220" s="87"/>
      <c r="D1220" s="13"/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/>
      <c r="Q1220" s="13"/>
      <c r="R1220" s="17"/>
    </row>
    <row r="1221" spans="1:18" ht="14.25" customHeight="1" x14ac:dyDescent="0.15">
      <c r="A1221" s="19" t="s">
        <v>57</v>
      </c>
      <c r="B1221" s="19" t="s">
        <v>59</v>
      </c>
      <c r="C1221" s="19" t="s">
        <v>62</v>
      </c>
      <c r="D1221" s="19" t="s">
        <v>64</v>
      </c>
      <c r="E1221" s="19">
        <v>1200</v>
      </c>
      <c r="F1221" s="67" t="s">
        <v>248</v>
      </c>
      <c r="G1221" s="19">
        <v>600</v>
      </c>
      <c r="H1221" s="19" t="s">
        <v>67</v>
      </c>
      <c r="I1221" s="19" t="s">
        <v>68</v>
      </c>
      <c r="J1221" s="19" t="s">
        <v>69</v>
      </c>
      <c r="K1221" s="19" t="s">
        <v>71</v>
      </c>
      <c r="L1221" s="19" t="s">
        <v>72</v>
      </c>
      <c r="M1221" s="19" t="s">
        <v>73</v>
      </c>
      <c r="N1221" s="19" t="s">
        <v>75</v>
      </c>
      <c r="O1221" s="19" t="s">
        <v>76</v>
      </c>
      <c r="P1221" s="19" t="s">
        <v>78</v>
      </c>
      <c r="Q1221" s="19" t="s">
        <v>79</v>
      </c>
      <c r="R1221" s="19" t="s">
        <v>81</v>
      </c>
    </row>
    <row r="1222" spans="1:18" ht="14.25" customHeight="1" x14ac:dyDescent="0.15">
      <c r="A1222" s="21"/>
      <c r="B1222" s="21"/>
      <c r="C1222" s="21"/>
      <c r="D1222" s="21">
        <f t="shared" ref="D1222:E1222" si="959">D1215</f>
        <v>0</v>
      </c>
      <c r="E1222" s="23" t="str">
        <f t="shared" si="959"/>
        <v>4200</v>
      </c>
      <c r="F1222" s="68">
        <v>800</v>
      </c>
      <c r="G1222" s="23" t="str">
        <f t="shared" ref="G1222:H1222" si="960">G1215</f>
        <v>3800</v>
      </c>
      <c r="H1222" s="21">
        <f t="shared" si="960"/>
        <v>380</v>
      </c>
      <c r="I1222" s="23" t="str">
        <f>I1201</f>
        <v>4800</v>
      </c>
      <c r="J1222" s="23" t="str">
        <f t="shared" ref="J1222:Q1222" si="961">J1215</f>
        <v>1000</v>
      </c>
      <c r="K1222" s="21">
        <f t="shared" si="961"/>
        <v>375</v>
      </c>
      <c r="L1222" s="21">
        <f t="shared" si="961"/>
        <v>585</v>
      </c>
      <c r="M1222" s="23" t="str">
        <f t="shared" si="961"/>
        <v>1000</v>
      </c>
      <c r="N1222" s="21">
        <f t="shared" si="961"/>
        <v>3300</v>
      </c>
      <c r="O1222" s="21">
        <f t="shared" si="961"/>
        <v>0</v>
      </c>
      <c r="P1222" s="21">
        <f t="shared" si="961"/>
        <v>0</v>
      </c>
      <c r="Q1222" s="23">
        <f t="shared" si="961"/>
        <v>2</v>
      </c>
      <c r="R1222" s="21"/>
    </row>
    <row r="1223" spans="1:18" ht="14.25" customHeight="1" x14ac:dyDescent="0.15">
      <c r="A1223" s="19">
        <v>2</v>
      </c>
      <c r="B1223" s="19">
        <v>1.5</v>
      </c>
      <c r="C1223" s="19">
        <v>1.2</v>
      </c>
      <c r="D1223" s="19">
        <f>B1223*C1223</f>
        <v>1.7999999999999998</v>
      </c>
      <c r="E1223" s="19"/>
      <c r="F1223" s="67">
        <v>6</v>
      </c>
      <c r="G1223" s="19"/>
      <c r="H1223" s="19"/>
      <c r="I1223" s="19">
        <f>B1223*0.4</f>
        <v>0.60000000000000009</v>
      </c>
      <c r="J1223" s="19">
        <v>1</v>
      </c>
      <c r="K1223" s="19">
        <f t="shared" ref="K1223:L1223" si="962">A1223</f>
        <v>2</v>
      </c>
      <c r="L1223" s="19">
        <f t="shared" si="962"/>
        <v>1.5</v>
      </c>
      <c r="M1223" s="19">
        <f>A1223</f>
        <v>2</v>
      </c>
      <c r="N1223" s="19">
        <f>(1.2*0.4)*2</f>
        <v>0.96</v>
      </c>
      <c r="O1223" s="19"/>
      <c r="P1223" s="19"/>
      <c r="Q1223" s="19"/>
      <c r="R1223" s="19"/>
    </row>
    <row r="1224" spans="1:18" ht="14.25" customHeight="1" x14ac:dyDescent="0.2">
      <c r="A1224" s="19"/>
      <c r="B1224" s="19"/>
      <c r="C1224" s="19"/>
      <c r="D1224" s="26" t="str">
        <f>D1098</f>
        <v>10500</v>
      </c>
      <c r="E1224" s="45">
        <v>1</v>
      </c>
      <c r="F1224" s="67">
        <v>2.5</v>
      </c>
      <c r="G1224" s="45">
        <v>0</v>
      </c>
      <c r="H1224" s="19">
        <f>B1223*2</f>
        <v>3</v>
      </c>
      <c r="I1224" s="19"/>
      <c r="J1224" s="19"/>
      <c r="K1224" s="19"/>
      <c r="L1224" s="19"/>
      <c r="M1224" s="19"/>
      <c r="N1224" s="28"/>
      <c r="O1224" s="19"/>
      <c r="P1224" s="19"/>
      <c r="Q1224" s="19"/>
      <c r="R1224" s="19"/>
    </row>
    <row r="1225" spans="1:18" ht="14.25" customHeight="1" x14ac:dyDescent="0.2">
      <c r="A1225" s="19"/>
      <c r="B1225" s="19"/>
      <c r="C1225" s="19"/>
      <c r="D1225" s="19">
        <f>D1223*D1224</f>
        <v>18899.999999999996</v>
      </c>
      <c r="E1225" s="45">
        <f>E1224*E1222</f>
        <v>4200</v>
      </c>
      <c r="F1225" s="67">
        <f>F1224*F1223*F1222</f>
        <v>12000</v>
      </c>
      <c r="G1225" s="45">
        <f t="shared" ref="G1225:H1225" si="963">G1222*G1224</f>
        <v>0</v>
      </c>
      <c r="H1225" s="19">
        <f t="shared" si="963"/>
        <v>1140</v>
      </c>
      <c r="I1225" s="19">
        <f t="shared" ref="I1225:N1225" si="964">I1222*I1223</f>
        <v>2880.0000000000005</v>
      </c>
      <c r="J1225" s="19">
        <f t="shared" si="964"/>
        <v>1000</v>
      </c>
      <c r="K1225" s="19">
        <f t="shared" si="964"/>
        <v>750</v>
      </c>
      <c r="L1225" s="19">
        <f t="shared" si="964"/>
        <v>877.5</v>
      </c>
      <c r="M1225" s="19">
        <f t="shared" si="964"/>
        <v>2000</v>
      </c>
      <c r="N1225" s="19">
        <f t="shared" si="964"/>
        <v>3168</v>
      </c>
      <c r="O1225" s="19">
        <f>SUM(D1225:N1225)</f>
        <v>46915.5</v>
      </c>
      <c r="P1225" s="19">
        <f>O1225/A1223</f>
        <v>23457.75</v>
      </c>
      <c r="Q1225" s="19">
        <f>P1225*Q1222</f>
        <v>46915.5</v>
      </c>
      <c r="R1225" s="19">
        <f>MROUND(Q1225,100)</f>
        <v>46900</v>
      </c>
    </row>
    <row r="1226" spans="1:18" ht="14.25" customHeight="1" x14ac:dyDescent="0.15">
      <c r="A1226" s="30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</row>
    <row r="1227" spans="1:18" ht="14.25" customHeight="1" x14ac:dyDescent="0.3">
      <c r="A1227" s="109" t="str">
        <f>PRICELIST!I391</f>
        <v>WSTK-LSHP-SH-LVP-1500-G</v>
      </c>
      <c r="B1227" s="87"/>
      <c r="C1227" s="87"/>
      <c r="D1227" s="13"/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/>
      <c r="Q1227" s="13"/>
      <c r="R1227" s="17"/>
    </row>
    <row r="1228" spans="1:18" ht="14.25" customHeight="1" x14ac:dyDescent="0.15">
      <c r="A1228" s="19" t="s">
        <v>57</v>
      </c>
      <c r="B1228" s="19" t="s">
        <v>59</v>
      </c>
      <c r="C1228" s="19" t="s">
        <v>62</v>
      </c>
      <c r="D1228" s="19" t="s">
        <v>64</v>
      </c>
      <c r="E1228" s="19">
        <v>1200</v>
      </c>
      <c r="F1228" s="67" t="s">
        <v>248</v>
      </c>
      <c r="G1228" s="19">
        <v>600</v>
      </c>
      <c r="H1228" s="19" t="s">
        <v>67</v>
      </c>
      <c r="I1228" s="19" t="s">
        <v>68</v>
      </c>
      <c r="J1228" s="19" t="s">
        <v>69</v>
      </c>
      <c r="K1228" s="19" t="s">
        <v>71</v>
      </c>
      <c r="L1228" s="19" t="s">
        <v>72</v>
      </c>
      <c r="M1228" s="19" t="s">
        <v>73</v>
      </c>
      <c r="N1228" s="19" t="s">
        <v>75</v>
      </c>
      <c r="O1228" s="19" t="s">
        <v>76</v>
      </c>
      <c r="P1228" s="19" t="s">
        <v>78</v>
      </c>
      <c r="Q1228" s="19" t="s">
        <v>79</v>
      </c>
      <c r="R1228" s="19" t="s">
        <v>81</v>
      </c>
    </row>
    <row r="1229" spans="1:18" ht="14.25" customHeight="1" x14ac:dyDescent="0.15">
      <c r="A1229" s="21"/>
      <c r="B1229" s="21"/>
      <c r="C1229" s="21"/>
      <c r="D1229" s="21">
        <f t="shared" ref="D1229:E1229" si="965">D1222</f>
        <v>0</v>
      </c>
      <c r="E1229" s="23" t="str">
        <f t="shared" si="965"/>
        <v>4200</v>
      </c>
      <c r="F1229" s="68">
        <v>800</v>
      </c>
      <c r="G1229" s="23" t="str">
        <f t="shared" ref="G1229:H1229" si="966">G1222</f>
        <v>3800</v>
      </c>
      <c r="H1229" s="21">
        <f t="shared" si="966"/>
        <v>380</v>
      </c>
      <c r="I1229" s="23" t="str">
        <f>I1208</f>
        <v>5500</v>
      </c>
      <c r="J1229" s="23" t="str">
        <f t="shared" ref="J1229:Q1229" si="967">J1222</f>
        <v>1000</v>
      </c>
      <c r="K1229" s="21">
        <f t="shared" si="967"/>
        <v>375</v>
      </c>
      <c r="L1229" s="21">
        <f t="shared" si="967"/>
        <v>585</v>
      </c>
      <c r="M1229" s="23" t="str">
        <f t="shared" si="967"/>
        <v>1000</v>
      </c>
      <c r="N1229" s="21">
        <f t="shared" si="967"/>
        <v>3300</v>
      </c>
      <c r="O1229" s="21">
        <f t="shared" si="967"/>
        <v>0</v>
      </c>
      <c r="P1229" s="21">
        <f t="shared" si="967"/>
        <v>0</v>
      </c>
      <c r="Q1229" s="23">
        <f t="shared" si="967"/>
        <v>2</v>
      </c>
      <c r="R1229" s="21"/>
    </row>
    <row r="1230" spans="1:18" ht="14.25" customHeight="1" x14ac:dyDescent="0.15">
      <c r="A1230" s="19">
        <v>2</v>
      </c>
      <c r="B1230" s="19">
        <v>1.5</v>
      </c>
      <c r="C1230" s="19">
        <v>1.2</v>
      </c>
      <c r="D1230" s="19">
        <f>B1230*C1230</f>
        <v>1.7999999999999998</v>
      </c>
      <c r="E1230" s="19"/>
      <c r="F1230" s="67">
        <v>6</v>
      </c>
      <c r="G1230" s="19"/>
      <c r="H1230" s="19"/>
      <c r="I1230" s="19">
        <f>B1230*0.4</f>
        <v>0.60000000000000009</v>
      </c>
      <c r="J1230" s="19">
        <v>1</v>
      </c>
      <c r="K1230" s="19">
        <f t="shared" ref="K1230:L1230" si="968">A1230</f>
        <v>2</v>
      </c>
      <c r="L1230" s="19">
        <f t="shared" si="968"/>
        <v>1.5</v>
      </c>
      <c r="M1230" s="19">
        <f>A1230</f>
        <v>2</v>
      </c>
      <c r="N1230" s="19">
        <f>(1.2*0.4)*2</f>
        <v>0.96</v>
      </c>
      <c r="O1230" s="19"/>
      <c r="P1230" s="19"/>
      <c r="Q1230" s="19"/>
      <c r="R1230" s="19"/>
    </row>
    <row r="1231" spans="1:18" ht="14.25" customHeight="1" x14ac:dyDescent="0.2">
      <c r="A1231" s="19"/>
      <c r="B1231" s="19"/>
      <c r="C1231" s="19"/>
      <c r="D1231" s="26" t="str">
        <f>D1224</f>
        <v>10500</v>
      </c>
      <c r="E1231" s="45">
        <v>1</v>
      </c>
      <c r="F1231" s="67">
        <v>2.5</v>
      </c>
      <c r="G1231" s="45">
        <v>0</v>
      </c>
      <c r="H1231" s="19">
        <f>B1230*2</f>
        <v>3</v>
      </c>
      <c r="I1231" s="19"/>
      <c r="J1231" s="19"/>
      <c r="K1231" s="19"/>
      <c r="L1231" s="19"/>
      <c r="M1231" s="19"/>
      <c r="N1231" s="28"/>
      <c r="O1231" s="19"/>
      <c r="P1231" s="19"/>
      <c r="Q1231" s="19"/>
      <c r="R1231" s="19"/>
    </row>
    <row r="1232" spans="1:18" ht="14.25" customHeight="1" x14ac:dyDescent="0.2">
      <c r="A1232" s="19"/>
      <c r="B1232" s="19"/>
      <c r="C1232" s="19"/>
      <c r="D1232" s="19">
        <f>D1230*D1231</f>
        <v>18899.999999999996</v>
      </c>
      <c r="E1232" s="45">
        <f>E1231*E1229</f>
        <v>4200</v>
      </c>
      <c r="F1232" s="67">
        <f>F1231*F1230*F1229</f>
        <v>12000</v>
      </c>
      <c r="G1232" s="45">
        <f t="shared" ref="G1232:H1232" si="969">G1229*G1231</f>
        <v>0</v>
      </c>
      <c r="H1232" s="19">
        <f t="shared" si="969"/>
        <v>1140</v>
      </c>
      <c r="I1232" s="19">
        <f t="shared" ref="I1232:N1232" si="970">I1229*I1230</f>
        <v>3300.0000000000005</v>
      </c>
      <c r="J1232" s="19">
        <f t="shared" si="970"/>
        <v>1000</v>
      </c>
      <c r="K1232" s="19">
        <f t="shared" si="970"/>
        <v>750</v>
      </c>
      <c r="L1232" s="19">
        <f t="shared" si="970"/>
        <v>877.5</v>
      </c>
      <c r="M1232" s="19">
        <f t="shared" si="970"/>
        <v>2000</v>
      </c>
      <c r="N1232" s="19">
        <f t="shared" si="970"/>
        <v>3168</v>
      </c>
      <c r="O1232" s="19">
        <f>SUM(D1232:N1232)</f>
        <v>47335.5</v>
      </c>
      <c r="P1232" s="19">
        <f>O1232/A1230</f>
        <v>23667.75</v>
      </c>
      <c r="Q1232" s="19">
        <f>P1232*Q1229</f>
        <v>47335.5</v>
      </c>
      <c r="R1232" s="19">
        <f>MROUND(Q1232,100)</f>
        <v>47300</v>
      </c>
    </row>
    <row r="1233" spans="1:18" ht="14.25" customHeight="1" x14ac:dyDescent="0.15">
      <c r="A1233" s="30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</row>
    <row r="1234" spans="1:18" ht="14.25" customHeight="1" x14ac:dyDescent="0.3">
      <c r="A1234" s="109" t="str">
        <f>PRICELIST!I392</f>
        <v>WSTK-LSHP-SH-LVP-1500-X</v>
      </c>
      <c r="B1234" s="87"/>
      <c r="C1234" s="87"/>
      <c r="D1234" s="13"/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/>
      <c r="Q1234" s="13"/>
      <c r="R1234" s="17"/>
    </row>
    <row r="1235" spans="1:18" ht="14.25" customHeight="1" x14ac:dyDescent="0.15">
      <c r="A1235" s="19" t="s">
        <v>57</v>
      </c>
      <c r="B1235" s="19" t="s">
        <v>59</v>
      </c>
      <c r="C1235" s="19" t="s">
        <v>62</v>
      </c>
      <c r="D1235" s="19" t="s">
        <v>64</v>
      </c>
      <c r="E1235" s="19">
        <v>1200</v>
      </c>
      <c r="F1235" s="67" t="s">
        <v>248</v>
      </c>
      <c r="G1235" s="19">
        <v>600</v>
      </c>
      <c r="H1235" s="19" t="s">
        <v>67</v>
      </c>
      <c r="I1235" s="19" t="s">
        <v>68</v>
      </c>
      <c r="J1235" s="19" t="s">
        <v>69</v>
      </c>
      <c r="K1235" s="19" t="s">
        <v>71</v>
      </c>
      <c r="L1235" s="19" t="s">
        <v>72</v>
      </c>
      <c r="M1235" s="19" t="s">
        <v>73</v>
      </c>
      <c r="N1235" s="19" t="s">
        <v>75</v>
      </c>
      <c r="O1235" s="19" t="s">
        <v>76</v>
      </c>
      <c r="P1235" s="19" t="s">
        <v>78</v>
      </c>
      <c r="Q1235" s="19" t="s">
        <v>79</v>
      </c>
      <c r="R1235" s="19" t="s">
        <v>81</v>
      </c>
    </row>
    <row r="1236" spans="1:18" ht="14.25" customHeight="1" x14ac:dyDescent="0.15">
      <c r="A1236" s="21"/>
      <c r="B1236" s="21"/>
      <c r="C1236" s="21"/>
      <c r="D1236" s="21">
        <f t="shared" ref="D1236:E1236" si="971">D1229</f>
        <v>0</v>
      </c>
      <c r="E1236" s="23" t="str">
        <f t="shared" si="971"/>
        <v>4200</v>
      </c>
      <c r="F1236" s="68">
        <v>800</v>
      </c>
      <c r="G1236" s="23" t="str">
        <f t="shared" ref="G1236:H1236" si="972">G1229</f>
        <v>3800</v>
      </c>
      <c r="H1236" s="21">
        <f t="shared" si="972"/>
        <v>380</v>
      </c>
      <c r="I1236" s="23" t="str">
        <f>I1215</f>
        <v>0</v>
      </c>
      <c r="J1236" s="23" t="str">
        <f t="shared" ref="J1236:Q1236" si="973">J1229</f>
        <v>1000</v>
      </c>
      <c r="K1236" s="21">
        <f t="shared" si="973"/>
        <v>375</v>
      </c>
      <c r="L1236" s="21">
        <f t="shared" si="973"/>
        <v>585</v>
      </c>
      <c r="M1236" s="23" t="str">
        <f t="shared" si="973"/>
        <v>1000</v>
      </c>
      <c r="N1236" s="21">
        <f t="shared" si="973"/>
        <v>3300</v>
      </c>
      <c r="O1236" s="21">
        <f t="shared" si="973"/>
        <v>0</v>
      </c>
      <c r="P1236" s="21">
        <f t="shared" si="973"/>
        <v>0</v>
      </c>
      <c r="Q1236" s="23">
        <f t="shared" si="973"/>
        <v>2</v>
      </c>
      <c r="R1236" s="21"/>
    </row>
    <row r="1237" spans="1:18" ht="14.25" customHeight="1" x14ac:dyDescent="0.15">
      <c r="A1237" s="19">
        <v>2</v>
      </c>
      <c r="B1237" s="19">
        <v>1.5</v>
      </c>
      <c r="C1237" s="19">
        <v>1.2</v>
      </c>
      <c r="D1237" s="19">
        <f>B1237*C1237</f>
        <v>1.7999999999999998</v>
      </c>
      <c r="E1237" s="19"/>
      <c r="F1237" s="67">
        <v>6</v>
      </c>
      <c r="G1237" s="19"/>
      <c r="H1237" s="19"/>
      <c r="I1237" s="19">
        <f>B1237*0.4</f>
        <v>0.60000000000000009</v>
      </c>
      <c r="J1237" s="19">
        <v>1</v>
      </c>
      <c r="K1237" s="19">
        <f t="shared" ref="K1237:L1237" si="974">A1237</f>
        <v>2</v>
      </c>
      <c r="L1237" s="19">
        <f t="shared" si="974"/>
        <v>1.5</v>
      </c>
      <c r="M1237" s="19">
        <f>A1237</f>
        <v>2</v>
      </c>
      <c r="N1237" s="19">
        <f>(1.2*0.4)*2</f>
        <v>0.96</v>
      </c>
      <c r="O1237" s="19"/>
      <c r="P1237" s="19"/>
      <c r="Q1237" s="19"/>
      <c r="R1237" s="19"/>
    </row>
    <row r="1238" spans="1:18" ht="14.25" customHeight="1" x14ac:dyDescent="0.2">
      <c r="A1238" s="19"/>
      <c r="B1238" s="19"/>
      <c r="C1238" s="19"/>
      <c r="D1238" s="26" t="str">
        <f>D1231</f>
        <v>10500</v>
      </c>
      <c r="E1238" s="45">
        <v>1</v>
      </c>
      <c r="F1238" s="67">
        <v>2.5</v>
      </c>
      <c r="G1238" s="45">
        <v>0</v>
      </c>
      <c r="H1238" s="19">
        <f>B1237*2</f>
        <v>3</v>
      </c>
      <c r="I1238" s="19"/>
      <c r="J1238" s="19"/>
      <c r="K1238" s="19"/>
      <c r="L1238" s="19"/>
      <c r="M1238" s="19"/>
      <c r="N1238" s="28"/>
      <c r="O1238" s="19"/>
      <c r="P1238" s="19"/>
      <c r="Q1238" s="19"/>
      <c r="R1238" s="19"/>
    </row>
    <row r="1239" spans="1:18" ht="14.25" customHeight="1" x14ac:dyDescent="0.2">
      <c r="A1239" s="19"/>
      <c r="B1239" s="19"/>
      <c r="C1239" s="19"/>
      <c r="D1239" s="19">
        <f>D1237*D1238</f>
        <v>18899.999999999996</v>
      </c>
      <c r="E1239" s="45">
        <f>E1238*E1236</f>
        <v>4200</v>
      </c>
      <c r="F1239" s="67">
        <f>F1238*F1237*F1236</f>
        <v>12000</v>
      </c>
      <c r="G1239" s="45">
        <f t="shared" ref="G1239:H1239" si="975">G1236*G1238</f>
        <v>0</v>
      </c>
      <c r="H1239" s="19">
        <f t="shared" si="975"/>
        <v>1140</v>
      </c>
      <c r="I1239" s="19">
        <f t="shared" ref="I1239:N1239" si="976">I1236*I1237</f>
        <v>0</v>
      </c>
      <c r="J1239" s="19">
        <f t="shared" si="976"/>
        <v>1000</v>
      </c>
      <c r="K1239" s="19">
        <f t="shared" si="976"/>
        <v>750</v>
      </c>
      <c r="L1239" s="19">
        <f t="shared" si="976"/>
        <v>877.5</v>
      </c>
      <c r="M1239" s="19">
        <f t="shared" si="976"/>
        <v>2000</v>
      </c>
      <c r="N1239" s="19">
        <f t="shared" si="976"/>
        <v>3168</v>
      </c>
      <c r="O1239" s="19">
        <f>SUM(D1239:N1239)</f>
        <v>44035.5</v>
      </c>
      <c r="P1239" s="19">
        <f>O1239/A1237</f>
        <v>22017.75</v>
      </c>
      <c r="Q1239" s="19">
        <f>P1239*Q1236</f>
        <v>44035.5</v>
      </c>
      <c r="R1239" s="19">
        <f>MROUND(Q1239,100)</f>
        <v>44000</v>
      </c>
    </row>
    <row r="1240" spans="1:18" ht="14.25" customHeight="1" x14ac:dyDescent="0.15">
      <c r="A1240" s="30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</row>
    <row r="1241" spans="1:18" ht="14.25" customHeight="1" x14ac:dyDescent="0.3">
      <c r="A1241" s="109" t="str">
        <f>PRICELIST!I393</f>
        <v>WSTK-LSHP-SH-MB-1500-F</v>
      </c>
      <c r="B1241" s="87"/>
      <c r="C1241" s="87"/>
      <c r="D1241" s="13"/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/>
      <c r="Q1241" s="13"/>
      <c r="R1241" s="17"/>
    </row>
    <row r="1242" spans="1:18" ht="14.25" customHeight="1" x14ac:dyDescent="0.15">
      <c r="A1242" s="19" t="s">
        <v>57</v>
      </c>
      <c r="B1242" s="19" t="s">
        <v>59</v>
      </c>
      <c r="C1242" s="19" t="s">
        <v>62</v>
      </c>
      <c r="D1242" s="19" t="s">
        <v>64</v>
      </c>
      <c r="E1242" s="19">
        <v>1200</v>
      </c>
      <c r="F1242" s="67" t="s">
        <v>248</v>
      </c>
      <c r="G1242" s="19">
        <v>600</v>
      </c>
      <c r="H1242" s="19" t="s">
        <v>67</v>
      </c>
      <c r="I1242" s="19" t="s">
        <v>68</v>
      </c>
      <c r="J1242" s="19" t="s">
        <v>69</v>
      </c>
      <c r="K1242" s="19" t="s">
        <v>71</v>
      </c>
      <c r="L1242" s="19" t="s">
        <v>72</v>
      </c>
      <c r="M1242" s="19" t="s">
        <v>73</v>
      </c>
      <c r="N1242" s="19" t="s">
        <v>75</v>
      </c>
      <c r="O1242" s="19" t="s">
        <v>76</v>
      </c>
      <c r="P1242" s="19" t="s">
        <v>78</v>
      </c>
      <c r="Q1242" s="19" t="s">
        <v>79</v>
      </c>
      <c r="R1242" s="19" t="s">
        <v>81</v>
      </c>
    </row>
    <row r="1243" spans="1:18" ht="14.25" customHeight="1" x14ac:dyDescent="0.15">
      <c r="A1243" s="21"/>
      <c r="B1243" s="21"/>
      <c r="C1243" s="21"/>
      <c r="D1243" s="21">
        <f t="shared" ref="D1243:E1243" si="977">D1236</f>
        <v>0</v>
      </c>
      <c r="E1243" s="23" t="str">
        <f t="shared" si="977"/>
        <v>4200</v>
      </c>
      <c r="F1243" s="68">
        <v>800</v>
      </c>
      <c r="G1243" s="23" t="str">
        <f t="shared" ref="G1243:H1243" si="978">G1236</f>
        <v>3800</v>
      </c>
      <c r="H1243" s="21">
        <f t="shared" si="978"/>
        <v>380</v>
      </c>
      <c r="I1243" s="23" t="str">
        <f>I1222</f>
        <v>4800</v>
      </c>
      <c r="J1243" s="23" t="str">
        <f t="shared" ref="J1243:Q1243" si="979">J1236</f>
        <v>1000</v>
      </c>
      <c r="K1243" s="21">
        <f t="shared" si="979"/>
        <v>375</v>
      </c>
      <c r="L1243" s="21">
        <f t="shared" si="979"/>
        <v>585</v>
      </c>
      <c r="M1243" s="23" t="str">
        <f t="shared" si="979"/>
        <v>1000</v>
      </c>
      <c r="N1243" s="21">
        <f t="shared" si="979"/>
        <v>3300</v>
      </c>
      <c r="O1243" s="21">
        <f t="shared" si="979"/>
        <v>0</v>
      </c>
      <c r="P1243" s="21">
        <f t="shared" si="979"/>
        <v>0</v>
      </c>
      <c r="Q1243" s="23">
        <f t="shared" si="979"/>
        <v>2</v>
      </c>
      <c r="R1243" s="21"/>
    </row>
    <row r="1244" spans="1:18" ht="14.25" customHeight="1" x14ac:dyDescent="0.15">
      <c r="A1244" s="19">
        <v>2</v>
      </c>
      <c r="B1244" s="19">
        <v>1.5</v>
      </c>
      <c r="C1244" s="19">
        <v>1.2</v>
      </c>
      <c r="D1244" s="19">
        <f>B1244*C1244</f>
        <v>1.7999999999999998</v>
      </c>
      <c r="E1244" s="19"/>
      <c r="F1244" s="67">
        <v>6</v>
      </c>
      <c r="G1244" s="19"/>
      <c r="H1244" s="19"/>
      <c r="I1244" s="19">
        <f>B1244*0.4</f>
        <v>0.60000000000000009</v>
      </c>
      <c r="J1244" s="19">
        <v>1</v>
      </c>
      <c r="K1244" s="19">
        <f t="shared" ref="K1244:L1244" si="980">A1244</f>
        <v>2</v>
      </c>
      <c r="L1244" s="19">
        <f t="shared" si="980"/>
        <v>1.5</v>
      </c>
      <c r="M1244" s="19">
        <f>A1244</f>
        <v>2</v>
      </c>
      <c r="N1244" s="19">
        <f>(1.2*0.4)*2</f>
        <v>0.96</v>
      </c>
      <c r="O1244" s="19"/>
      <c r="P1244" s="19"/>
      <c r="Q1244" s="19"/>
      <c r="R1244" s="19"/>
    </row>
    <row r="1245" spans="1:18" ht="14.25" customHeight="1" x14ac:dyDescent="0.2">
      <c r="A1245" s="19"/>
      <c r="B1245" s="19"/>
      <c r="C1245" s="19"/>
      <c r="D1245" s="26" t="str">
        <f>D1119</f>
        <v>16250</v>
      </c>
      <c r="E1245" s="45">
        <v>1</v>
      </c>
      <c r="F1245" s="67">
        <v>2.5</v>
      </c>
      <c r="G1245" s="45">
        <v>0</v>
      </c>
      <c r="H1245" s="19">
        <f>B1244*2</f>
        <v>3</v>
      </c>
      <c r="I1245" s="19"/>
      <c r="J1245" s="19"/>
      <c r="K1245" s="19"/>
      <c r="L1245" s="19"/>
      <c r="M1245" s="19"/>
      <c r="N1245" s="28"/>
      <c r="O1245" s="19"/>
      <c r="P1245" s="19"/>
      <c r="Q1245" s="19"/>
      <c r="R1245" s="19"/>
    </row>
    <row r="1246" spans="1:18" ht="14.25" customHeight="1" x14ac:dyDescent="0.2">
      <c r="A1246" s="19"/>
      <c r="B1246" s="19"/>
      <c r="C1246" s="19"/>
      <c r="D1246" s="19">
        <f>D1244*D1245</f>
        <v>29249.999999999996</v>
      </c>
      <c r="E1246" s="45">
        <f>E1245*E1243</f>
        <v>4200</v>
      </c>
      <c r="F1246" s="67">
        <f>F1245*F1244*F1243</f>
        <v>12000</v>
      </c>
      <c r="G1246" s="45">
        <f t="shared" ref="G1246:H1246" si="981">G1243*G1245</f>
        <v>0</v>
      </c>
      <c r="H1246" s="19">
        <f t="shared" si="981"/>
        <v>1140</v>
      </c>
      <c r="I1246" s="19">
        <f t="shared" ref="I1246:N1246" si="982">I1243*I1244</f>
        <v>2880.0000000000005</v>
      </c>
      <c r="J1246" s="19">
        <f t="shared" si="982"/>
        <v>1000</v>
      </c>
      <c r="K1246" s="19">
        <f t="shared" si="982"/>
        <v>750</v>
      </c>
      <c r="L1246" s="19">
        <f t="shared" si="982"/>
        <v>877.5</v>
      </c>
      <c r="M1246" s="19">
        <f t="shared" si="982"/>
        <v>2000</v>
      </c>
      <c r="N1246" s="19">
        <f t="shared" si="982"/>
        <v>3168</v>
      </c>
      <c r="O1246" s="19">
        <f>SUM(D1246:N1246)</f>
        <v>57265.5</v>
      </c>
      <c r="P1246" s="19">
        <f>O1246/A1244</f>
        <v>28632.75</v>
      </c>
      <c r="Q1246" s="19">
        <f>P1246*Q1243</f>
        <v>57265.5</v>
      </c>
      <c r="R1246" s="19">
        <f>MROUND(Q1246,100)</f>
        <v>57300</v>
      </c>
    </row>
    <row r="1247" spans="1:18" ht="14.25" customHeight="1" x14ac:dyDescent="0.15">
      <c r="A1247" s="30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</row>
    <row r="1248" spans="1:18" ht="14.25" customHeight="1" x14ac:dyDescent="0.3">
      <c r="A1248" s="109" t="str">
        <f>PRICELIST!I394</f>
        <v>WSTK-LSHP-SH-MB-1500-G</v>
      </c>
      <c r="B1248" s="87"/>
      <c r="C1248" s="87"/>
      <c r="D1248" s="13"/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/>
      <c r="Q1248" s="13"/>
      <c r="R1248" s="17"/>
    </row>
    <row r="1249" spans="1:18" ht="14.25" customHeight="1" x14ac:dyDescent="0.15">
      <c r="A1249" s="19" t="s">
        <v>57</v>
      </c>
      <c r="B1249" s="19" t="s">
        <v>59</v>
      </c>
      <c r="C1249" s="19" t="s">
        <v>62</v>
      </c>
      <c r="D1249" s="19" t="s">
        <v>64</v>
      </c>
      <c r="E1249" s="19">
        <v>1200</v>
      </c>
      <c r="F1249" s="67" t="s">
        <v>248</v>
      </c>
      <c r="G1249" s="19">
        <v>600</v>
      </c>
      <c r="H1249" s="19" t="s">
        <v>67</v>
      </c>
      <c r="I1249" s="19" t="s">
        <v>68</v>
      </c>
      <c r="J1249" s="19" t="s">
        <v>69</v>
      </c>
      <c r="K1249" s="19" t="s">
        <v>71</v>
      </c>
      <c r="L1249" s="19" t="s">
        <v>72</v>
      </c>
      <c r="M1249" s="19" t="s">
        <v>73</v>
      </c>
      <c r="N1249" s="19" t="s">
        <v>75</v>
      </c>
      <c r="O1249" s="19" t="s">
        <v>76</v>
      </c>
      <c r="P1249" s="19" t="s">
        <v>78</v>
      </c>
      <c r="Q1249" s="19" t="s">
        <v>79</v>
      </c>
      <c r="R1249" s="19" t="s">
        <v>81</v>
      </c>
    </row>
    <row r="1250" spans="1:18" ht="14.25" customHeight="1" x14ac:dyDescent="0.15">
      <c r="A1250" s="21"/>
      <c r="B1250" s="21"/>
      <c r="C1250" s="21"/>
      <c r="D1250" s="21">
        <f t="shared" ref="D1250:E1250" si="983">D1243</f>
        <v>0</v>
      </c>
      <c r="E1250" s="23" t="str">
        <f t="shared" si="983"/>
        <v>4200</v>
      </c>
      <c r="F1250" s="68">
        <v>800</v>
      </c>
      <c r="G1250" s="23" t="str">
        <f t="shared" ref="G1250:H1250" si="984">G1243</f>
        <v>3800</v>
      </c>
      <c r="H1250" s="21">
        <f t="shared" si="984"/>
        <v>380</v>
      </c>
      <c r="I1250" s="23" t="str">
        <f>I1229</f>
        <v>5500</v>
      </c>
      <c r="J1250" s="23" t="str">
        <f t="shared" ref="J1250:Q1250" si="985">J1243</f>
        <v>1000</v>
      </c>
      <c r="K1250" s="21">
        <f t="shared" si="985"/>
        <v>375</v>
      </c>
      <c r="L1250" s="21">
        <f t="shared" si="985"/>
        <v>585</v>
      </c>
      <c r="M1250" s="23" t="str">
        <f t="shared" si="985"/>
        <v>1000</v>
      </c>
      <c r="N1250" s="21">
        <f t="shared" si="985"/>
        <v>3300</v>
      </c>
      <c r="O1250" s="21">
        <f t="shared" si="985"/>
        <v>0</v>
      </c>
      <c r="P1250" s="21">
        <f t="shared" si="985"/>
        <v>0</v>
      </c>
      <c r="Q1250" s="23">
        <f t="shared" si="985"/>
        <v>2</v>
      </c>
      <c r="R1250" s="21"/>
    </row>
    <row r="1251" spans="1:18" ht="14.25" customHeight="1" x14ac:dyDescent="0.15">
      <c r="A1251" s="19">
        <v>2</v>
      </c>
      <c r="B1251" s="19">
        <v>1.5</v>
      </c>
      <c r="C1251" s="19">
        <v>1.2</v>
      </c>
      <c r="D1251" s="19">
        <f>B1251*C1251</f>
        <v>1.7999999999999998</v>
      </c>
      <c r="E1251" s="19"/>
      <c r="F1251" s="67">
        <v>6</v>
      </c>
      <c r="G1251" s="19"/>
      <c r="H1251" s="19"/>
      <c r="I1251" s="19">
        <f>B1251*0.4</f>
        <v>0.60000000000000009</v>
      </c>
      <c r="J1251" s="19">
        <v>1</v>
      </c>
      <c r="K1251" s="19">
        <f t="shared" ref="K1251:L1251" si="986">A1251</f>
        <v>2</v>
      </c>
      <c r="L1251" s="19">
        <f t="shared" si="986"/>
        <v>1.5</v>
      </c>
      <c r="M1251" s="19">
        <f>A1251</f>
        <v>2</v>
      </c>
      <c r="N1251" s="19">
        <f>(1.2*0.4)*2</f>
        <v>0.96</v>
      </c>
      <c r="O1251" s="19"/>
      <c r="P1251" s="19"/>
      <c r="Q1251" s="19"/>
      <c r="R1251" s="19"/>
    </row>
    <row r="1252" spans="1:18" ht="14.25" customHeight="1" x14ac:dyDescent="0.2">
      <c r="A1252" s="19"/>
      <c r="B1252" s="19"/>
      <c r="C1252" s="19"/>
      <c r="D1252" s="26" t="str">
        <f>D1245</f>
        <v>16250</v>
      </c>
      <c r="E1252" s="45">
        <v>1</v>
      </c>
      <c r="F1252" s="67">
        <v>2.5</v>
      </c>
      <c r="G1252" s="45">
        <v>0</v>
      </c>
      <c r="H1252" s="19">
        <f>B1251*2</f>
        <v>3</v>
      </c>
      <c r="I1252" s="19"/>
      <c r="J1252" s="19"/>
      <c r="K1252" s="19"/>
      <c r="L1252" s="19"/>
      <c r="M1252" s="19"/>
      <c r="N1252" s="28"/>
      <c r="O1252" s="19"/>
      <c r="P1252" s="19"/>
      <c r="Q1252" s="19"/>
      <c r="R1252" s="19"/>
    </row>
    <row r="1253" spans="1:18" ht="14.25" customHeight="1" x14ac:dyDescent="0.2">
      <c r="A1253" s="19"/>
      <c r="B1253" s="19"/>
      <c r="C1253" s="19"/>
      <c r="D1253" s="19">
        <f>D1251*D1252</f>
        <v>29249.999999999996</v>
      </c>
      <c r="E1253" s="45">
        <f>E1252*E1250</f>
        <v>4200</v>
      </c>
      <c r="F1253" s="67">
        <f>F1252*F1251*F1250</f>
        <v>12000</v>
      </c>
      <c r="G1253" s="45">
        <f t="shared" ref="G1253:H1253" si="987">G1250*G1252</f>
        <v>0</v>
      </c>
      <c r="H1253" s="19">
        <f t="shared" si="987"/>
        <v>1140</v>
      </c>
      <c r="I1253" s="19">
        <f t="shared" ref="I1253:N1253" si="988">I1250*I1251</f>
        <v>3300.0000000000005</v>
      </c>
      <c r="J1253" s="19">
        <f t="shared" si="988"/>
        <v>1000</v>
      </c>
      <c r="K1253" s="19">
        <f t="shared" si="988"/>
        <v>750</v>
      </c>
      <c r="L1253" s="19">
        <f t="shared" si="988"/>
        <v>877.5</v>
      </c>
      <c r="M1253" s="19">
        <f t="shared" si="988"/>
        <v>2000</v>
      </c>
      <c r="N1253" s="19">
        <f t="shared" si="988"/>
        <v>3168</v>
      </c>
      <c r="O1253" s="19">
        <f>SUM(D1253:N1253)</f>
        <v>57685.5</v>
      </c>
      <c r="P1253" s="19">
        <f>O1253/A1251</f>
        <v>28842.75</v>
      </c>
      <c r="Q1253" s="19">
        <f>P1253*Q1250</f>
        <v>57685.5</v>
      </c>
      <c r="R1253" s="19">
        <f>MROUND(Q1253,100)</f>
        <v>57700</v>
      </c>
    </row>
    <row r="1254" spans="1:18" ht="14.25" customHeight="1" x14ac:dyDescent="0.15">
      <c r="A1254" s="30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</row>
    <row r="1255" spans="1:18" ht="14.25" customHeight="1" x14ac:dyDescent="0.3">
      <c r="A1255" s="109" t="str">
        <f>PRICELIST!I395</f>
        <v>WSTK-LSHP-SH-MB-1500-X</v>
      </c>
      <c r="B1255" s="87"/>
      <c r="C1255" s="87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/>
      <c r="Q1255" s="13"/>
      <c r="R1255" s="17"/>
    </row>
    <row r="1256" spans="1:18" ht="14.25" customHeight="1" x14ac:dyDescent="0.15">
      <c r="A1256" s="19" t="s">
        <v>57</v>
      </c>
      <c r="B1256" s="19" t="s">
        <v>59</v>
      </c>
      <c r="C1256" s="19" t="s">
        <v>62</v>
      </c>
      <c r="D1256" s="19" t="s">
        <v>64</v>
      </c>
      <c r="E1256" s="19">
        <v>1200</v>
      </c>
      <c r="F1256" s="67" t="s">
        <v>248</v>
      </c>
      <c r="G1256" s="19">
        <v>600</v>
      </c>
      <c r="H1256" s="19" t="s">
        <v>67</v>
      </c>
      <c r="I1256" s="19" t="s">
        <v>68</v>
      </c>
      <c r="J1256" s="19" t="s">
        <v>69</v>
      </c>
      <c r="K1256" s="19" t="s">
        <v>71</v>
      </c>
      <c r="L1256" s="19" t="s">
        <v>72</v>
      </c>
      <c r="M1256" s="19" t="s">
        <v>73</v>
      </c>
      <c r="N1256" s="19" t="s">
        <v>75</v>
      </c>
      <c r="O1256" s="19" t="s">
        <v>76</v>
      </c>
      <c r="P1256" s="19" t="s">
        <v>78</v>
      </c>
      <c r="Q1256" s="19" t="s">
        <v>79</v>
      </c>
      <c r="R1256" s="19" t="s">
        <v>81</v>
      </c>
    </row>
    <row r="1257" spans="1:18" ht="14.25" customHeight="1" x14ac:dyDescent="0.15">
      <c r="A1257" s="21"/>
      <c r="B1257" s="21"/>
      <c r="C1257" s="21"/>
      <c r="D1257" s="21">
        <f t="shared" ref="D1257:E1257" si="989">D1250</f>
        <v>0</v>
      </c>
      <c r="E1257" s="23" t="str">
        <f t="shared" si="989"/>
        <v>4200</v>
      </c>
      <c r="F1257" s="68">
        <v>800</v>
      </c>
      <c r="G1257" s="23" t="str">
        <f t="shared" ref="G1257:H1257" si="990">G1250</f>
        <v>3800</v>
      </c>
      <c r="H1257" s="21">
        <f t="shared" si="990"/>
        <v>380</v>
      </c>
      <c r="I1257" s="23" t="str">
        <f>I1236</f>
        <v>0</v>
      </c>
      <c r="J1257" s="23" t="str">
        <f t="shared" ref="J1257:Q1257" si="991">J1250</f>
        <v>1000</v>
      </c>
      <c r="K1257" s="21">
        <f t="shared" si="991"/>
        <v>375</v>
      </c>
      <c r="L1257" s="21">
        <f t="shared" si="991"/>
        <v>585</v>
      </c>
      <c r="M1257" s="23" t="str">
        <f t="shared" si="991"/>
        <v>1000</v>
      </c>
      <c r="N1257" s="21">
        <f t="shared" si="991"/>
        <v>3300</v>
      </c>
      <c r="O1257" s="21">
        <f t="shared" si="991"/>
        <v>0</v>
      </c>
      <c r="P1257" s="21">
        <f t="shared" si="991"/>
        <v>0</v>
      </c>
      <c r="Q1257" s="23">
        <f t="shared" si="991"/>
        <v>2</v>
      </c>
      <c r="R1257" s="21"/>
    </row>
    <row r="1258" spans="1:18" ht="14.25" customHeight="1" x14ac:dyDescent="0.15">
      <c r="A1258" s="19">
        <v>2</v>
      </c>
      <c r="B1258" s="19">
        <v>1.5</v>
      </c>
      <c r="C1258" s="19">
        <v>1.2</v>
      </c>
      <c r="D1258" s="19">
        <f>B1258*C1258</f>
        <v>1.7999999999999998</v>
      </c>
      <c r="E1258" s="19"/>
      <c r="F1258" s="67">
        <v>6</v>
      </c>
      <c r="G1258" s="19"/>
      <c r="H1258" s="19"/>
      <c r="I1258" s="19">
        <f>B1258*0.4</f>
        <v>0.60000000000000009</v>
      </c>
      <c r="J1258" s="19">
        <v>1</v>
      </c>
      <c r="K1258" s="19">
        <f t="shared" ref="K1258:L1258" si="992">A1258</f>
        <v>2</v>
      </c>
      <c r="L1258" s="19">
        <f t="shared" si="992"/>
        <v>1.5</v>
      </c>
      <c r="M1258" s="19">
        <f>A1258</f>
        <v>2</v>
      </c>
      <c r="N1258" s="19">
        <f>(1.2*0.4)*2</f>
        <v>0.96</v>
      </c>
      <c r="O1258" s="19"/>
      <c r="P1258" s="19"/>
      <c r="Q1258" s="19"/>
      <c r="R1258" s="19"/>
    </row>
    <row r="1259" spans="1:18" ht="14.25" customHeight="1" x14ac:dyDescent="0.2">
      <c r="A1259" s="19"/>
      <c r="B1259" s="19"/>
      <c r="C1259" s="19"/>
      <c r="D1259" s="26" t="str">
        <f>D1252</f>
        <v>16250</v>
      </c>
      <c r="E1259" s="45">
        <v>1</v>
      </c>
      <c r="F1259" s="67">
        <v>2.5</v>
      </c>
      <c r="G1259" s="45">
        <v>0</v>
      </c>
      <c r="H1259" s="19">
        <f>B1258*2</f>
        <v>3</v>
      </c>
      <c r="I1259" s="19"/>
      <c r="J1259" s="19"/>
      <c r="K1259" s="19"/>
      <c r="L1259" s="19"/>
      <c r="M1259" s="19"/>
      <c r="N1259" s="28"/>
      <c r="O1259" s="19"/>
      <c r="P1259" s="19"/>
      <c r="Q1259" s="19"/>
      <c r="R1259" s="19"/>
    </row>
    <row r="1260" spans="1:18" ht="14.25" customHeight="1" x14ac:dyDescent="0.2">
      <c r="A1260" s="19"/>
      <c r="B1260" s="19"/>
      <c r="C1260" s="19"/>
      <c r="D1260" s="19">
        <f>D1258*D1259</f>
        <v>29249.999999999996</v>
      </c>
      <c r="E1260" s="45">
        <f>E1259*E1257</f>
        <v>4200</v>
      </c>
      <c r="F1260" s="67">
        <f>F1259*F1258*F1257</f>
        <v>12000</v>
      </c>
      <c r="G1260" s="45">
        <f t="shared" ref="G1260:H1260" si="993">G1257*G1259</f>
        <v>0</v>
      </c>
      <c r="H1260" s="19">
        <f t="shared" si="993"/>
        <v>1140</v>
      </c>
      <c r="I1260" s="19">
        <f t="shared" ref="I1260:N1260" si="994">I1257*I1258</f>
        <v>0</v>
      </c>
      <c r="J1260" s="19">
        <f t="shared" si="994"/>
        <v>1000</v>
      </c>
      <c r="K1260" s="19">
        <f t="shared" si="994"/>
        <v>750</v>
      </c>
      <c r="L1260" s="19">
        <f t="shared" si="994"/>
        <v>877.5</v>
      </c>
      <c r="M1260" s="19">
        <f t="shared" si="994"/>
        <v>2000</v>
      </c>
      <c r="N1260" s="19">
        <f t="shared" si="994"/>
        <v>3168</v>
      </c>
      <c r="O1260" s="19">
        <f>SUM(D1260:N1260)</f>
        <v>54385.5</v>
      </c>
      <c r="P1260" s="19">
        <f>O1260/A1258</f>
        <v>27192.75</v>
      </c>
      <c r="Q1260" s="19">
        <f>P1260*Q1257</f>
        <v>54385.5</v>
      </c>
      <c r="R1260" s="19">
        <f>MROUND(Q1260,100)</f>
        <v>54400</v>
      </c>
    </row>
    <row r="1261" spans="1:18" ht="14.25" customHeight="1" x14ac:dyDescent="0.15">
      <c r="A1261" s="30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</row>
    <row r="1262" spans="1:18" ht="14.25" customHeight="1" x14ac:dyDescent="0.3">
      <c r="A1262" s="109" t="str">
        <f>PRICELIST!I396</f>
        <v>WSTK-LSHP-NSH-PB-1500-F</v>
      </c>
      <c r="B1262" s="87"/>
      <c r="C1262" s="87"/>
      <c r="D1262" s="13"/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/>
      <c r="Q1262" s="13"/>
      <c r="R1262" s="17"/>
    </row>
    <row r="1263" spans="1:18" ht="14.25" customHeight="1" x14ac:dyDescent="0.15">
      <c r="A1263" s="19" t="s">
        <v>57</v>
      </c>
      <c r="B1263" s="19" t="s">
        <v>59</v>
      </c>
      <c r="C1263" s="19" t="s">
        <v>62</v>
      </c>
      <c r="D1263" s="19" t="s">
        <v>64</v>
      </c>
      <c r="E1263" s="19">
        <v>1200</v>
      </c>
      <c r="F1263" s="67" t="s">
        <v>248</v>
      </c>
      <c r="G1263" s="19">
        <v>600</v>
      </c>
      <c r="H1263" s="19" t="s">
        <v>67</v>
      </c>
      <c r="I1263" s="19" t="s">
        <v>68</v>
      </c>
      <c r="J1263" s="19" t="s">
        <v>69</v>
      </c>
      <c r="K1263" s="19" t="s">
        <v>71</v>
      </c>
      <c r="L1263" s="19" t="s">
        <v>72</v>
      </c>
      <c r="M1263" s="19" t="s">
        <v>73</v>
      </c>
      <c r="N1263" s="19" t="s">
        <v>75</v>
      </c>
      <c r="O1263" s="19" t="s">
        <v>76</v>
      </c>
      <c r="P1263" s="19" t="s">
        <v>78</v>
      </c>
      <c r="Q1263" s="19" t="s">
        <v>79</v>
      </c>
      <c r="R1263" s="19" t="s">
        <v>81</v>
      </c>
    </row>
    <row r="1264" spans="1:18" ht="14.25" customHeight="1" x14ac:dyDescent="0.15">
      <c r="A1264" s="21"/>
      <c r="B1264" s="21"/>
      <c r="C1264" s="44" t="s">
        <v>188</v>
      </c>
      <c r="D1264" s="21"/>
      <c r="E1264" s="23" t="str">
        <f t="shared" ref="E1264:G1264" si="995">E1257</f>
        <v>4200</v>
      </c>
      <c r="F1264" s="68">
        <f t="shared" si="995"/>
        <v>800</v>
      </c>
      <c r="G1264" s="23" t="str">
        <f t="shared" si="995"/>
        <v>3800</v>
      </c>
      <c r="H1264" s="21">
        <v>380</v>
      </c>
      <c r="I1264" s="23" t="str">
        <f>I1243</f>
        <v>4800</v>
      </c>
      <c r="J1264" s="23" t="str">
        <f>J1257</f>
        <v>1000</v>
      </c>
      <c r="K1264" s="21">
        <v>375</v>
      </c>
      <c r="L1264" s="21">
        <v>585</v>
      </c>
      <c r="M1264" s="23" t="str">
        <f>M1257</f>
        <v>1000</v>
      </c>
      <c r="N1264" s="21">
        <v>3300</v>
      </c>
      <c r="O1264" s="21"/>
      <c r="P1264" s="21"/>
      <c r="Q1264" s="23">
        <f>Q1257</f>
        <v>2</v>
      </c>
      <c r="R1264" s="21"/>
    </row>
    <row r="1265" spans="1:18" ht="14.25" customHeight="1" x14ac:dyDescent="0.15">
      <c r="A1265" s="19">
        <v>1</v>
      </c>
      <c r="B1265" s="19">
        <v>1.5</v>
      </c>
      <c r="C1265" s="19">
        <f>0.6+0.3</f>
        <v>0.89999999999999991</v>
      </c>
      <c r="D1265" s="19">
        <f>B1265*C1265</f>
        <v>1.3499999999999999</v>
      </c>
      <c r="E1265" s="19"/>
      <c r="F1265" s="67">
        <f t="shared" ref="F1265:F1266" si="996">F1258</f>
        <v>6</v>
      </c>
      <c r="G1265" s="19"/>
      <c r="H1265" s="19"/>
      <c r="I1265" s="19">
        <f>B1265*0.4</f>
        <v>0.60000000000000009</v>
      </c>
      <c r="J1265" s="19">
        <v>1</v>
      </c>
      <c r="K1265" s="19">
        <f t="shared" ref="K1265:L1265" si="997">A1265</f>
        <v>1</v>
      </c>
      <c r="L1265" s="19">
        <f t="shared" si="997"/>
        <v>1.5</v>
      </c>
      <c r="M1265" s="19">
        <f>A1265</f>
        <v>1</v>
      </c>
      <c r="N1265" s="19">
        <f>(1.2*0.4)*2</f>
        <v>0.96</v>
      </c>
      <c r="O1265" s="19"/>
      <c r="P1265" s="19"/>
      <c r="Q1265" s="19"/>
      <c r="R1265" s="19"/>
    </row>
    <row r="1266" spans="1:18" ht="14.25" customHeight="1" x14ac:dyDescent="0.2">
      <c r="A1266" s="19"/>
      <c r="B1266" s="19"/>
      <c r="C1266" s="19"/>
      <c r="D1266" s="26" t="str">
        <f>D1140</f>
        <v>2200</v>
      </c>
      <c r="E1266" s="45">
        <v>0</v>
      </c>
      <c r="F1266" s="67">
        <f t="shared" si="996"/>
        <v>2.5</v>
      </c>
      <c r="G1266" s="45">
        <v>2</v>
      </c>
      <c r="H1266" s="19">
        <f>B1265*2</f>
        <v>3</v>
      </c>
      <c r="I1266" s="19"/>
      <c r="J1266" s="19"/>
      <c r="K1266" s="19"/>
      <c r="L1266" s="19"/>
      <c r="M1266" s="19"/>
      <c r="N1266" s="28"/>
      <c r="O1266" s="19"/>
      <c r="P1266" s="19"/>
      <c r="Q1266" s="19"/>
      <c r="R1266" s="19"/>
    </row>
    <row r="1267" spans="1:18" ht="14.25" customHeight="1" x14ac:dyDescent="0.2">
      <c r="A1267" s="19"/>
      <c r="B1267" s="19"/>
      <c r="C1267" s="19"/>
      <c r="D1267" s="19">
        <f>D1265*D1266</f>
        <v>2969.9999999999995</v>
      </c>
      <c r="E1267" s="45">
        <f>E1266*E1264</f>
        <v>0</v>
      </c>
      <c r="F1267" s="67">
        <f>F1266*F1265*F1264</f>
        <v>12000</v>
      </c>
      <c r="G1267" s="45">
        <f t="shared" ref="G1267:H1267" si="998">G1264*G1266</f>
        <v>7600</v>
      </c>
      <c r="H1267" s="19">
        <f t="shared" si="998"/>
        <v>1140</v>
      </c>
      <c r="I1267" s="19">
        <f t="shared" ref="I1267:N1267" si="999">I1264*I1265</f>
        <v>2880.0000000000005</v>
      </c>
      <c r="J1267" s="19">
        <f t="shared" si="999"/>
        <v>1000</v>
      </c>
      <c r="K1267" s="19">
        <f t="shared" si="999"/>
        <v>375</v>
      </c>
      <c r="L1267" s="19">
        <f t="shared" si="999"/>
        <v>877.5</v>
      </c>
      <c r="M1267" s="19">
        <f t="shared" si="999"/>
        <v>1000</v>
      </c>
      <c r="N1267" s="19">
        <f t="shared" si="999"/>
        <v>3168</v>
      </c>
      <c r="O1267" s="19">
        <f>SUM(D1267:N1267)</f>
        <v>33010.5</v>
      </c>
      <c r="P1267" s="19">
        <f>O1267/A1265</f>
        <v>33010.5</v>
      </c>
      <c r="Q1267" s="19">
        <f>P1267*Q1264</f>
        <v>66021</v>
      </c>
      <c r="R1267" s="19">
        <f>MROUND(Q1267,100)</f>
        <v>66000</v>
      </c>
    </row>
    <row r="1268" spans="1:18" ht="14.25" customHeight="1" x14ac:dyDescent="0.15">
      <c r="A1268" s="30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</row>
    <row r="1269" spans="1:18" ht="14.25" customHeight="1" x14ac:dyDescent="0.3">
      <c r="A1269" s="109" t="str">
        <f>PRICELIST!I397</f>
        <v>WSTK-LSHP-NSH-PB-1500-G</v>
      </c>
      <c r="B1269" s="87"/>
      <c r="C1269" s="87"/>
      <c r="D1269" s="13"/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/>
      <c r="Q1269" s="13"/>
      <c r="R1269" s="17"/>
    </row>
    <row r="1270" spans="1:18" ht="14.25" customHeight="1" x14ac:dyDescent="0.15">
      <c r="A1270" s="19" t="s">
        <v>57</v>
      </c>
      <c r="B1270" s="19" t="s">
        <v>59</v>
      </c>
      <c r="C1270" s="19" t="s">
        <v>62</v>
      </c>
      <c r="D1270" s="19" t="s">
        <v>64</v>
      </c>
      <c r="E1270" s="19">
        <v>1200</v>
      </c>
      <c r="F1270" s="67" t="s">
        <v>248</v>
      </c>
      <c r="G1270" s="19">
        <v>600</v>
      </c>
      <c r="H1270" s="19" t="s">
        <v>67</v>
      </c>
      <c r="I1270" s="19" t="s">
        <v>68</v>
      </c>
      <c r="J1270" s="19" t="s">
        <v>69</v>
      </c>
      <c r="K1270" s="19" t="s">
        <v>71</v>
      </c>
      <c r="L1270" s="19" t="s">
        <v>72</v>
      </c>
      <c r="M1270" s="19" t="s">
        <v>73</v>
      </c>
      <c r="N1270" s="19" t="s">
        <v>75</v>
      </c>
      <c r="O1270" s="19" t="s">
        <v>76</v>
      </c>
      <c r="P1270" s="19" t="s">
        <v>78</v>
      </c>
      <c r="Q1270" s="19" t="s">
        <v>79</v>
      </c>
      <c r="R1270" s="19" t="s">
        <v>81</v>
      </c>
    </row>
    <row r="1271" spans="1:18" ht="14.25" customHeight="1" x14ac:dyDescent="0.15">
      <c r="A1271" s="21"/>
      <c r="B1271" s="21"/>
      <c r="C1271" s="44" t="s">
        <v>188</v>
      </c>
      <c r="D1271" s="21"/>
      <c r="E1271" s="23" t="str">
        <f>E1264</f>
        <v>4200</v>
      </c>
      <c r="F1271" s="68">
        <v>800</v>
      </c>
      <c r="G1271" s="23" t="str">
        <f t="shared" ref="G1271:H1271" si="1000">G1264</f>
        <v>3800</v>
      </c>
      <c r="H1271" s="23">
        <f t="shared" si="1000"/>
        <v>380</v>
      </c>
      <c r="I1271" s="23" t="str">
        <f>I1250</f>
        <v>5500</v>
      </c>
      <c r="J1271" s="23" t="str">
        <f t="shared" ref="J1271:R1271" si="1001">J1264</f>
        <v>1000</v>
      </c>
      <c r="K1271" s="23">
        <f t="shared" si="1001"/>
        <v>375</v>
      </c>
      <c r="L1271" s="23">
        <f t="shared" si="1001"/>
        <v>585</v>
      </c>
      <c r="M1271" s="23" t="str">
        <f t="shared" si="1001"/>
        <v>1000</v>
      </c>
      <c r="N1271" s="23">
        <f t="shared" si="1001"/>
        <v>3300</v>
      </c>
      <c r="O1271" s="23">
        <f t="shared" si="1001"/>
        <v>0</v>
      </c>
      <c r="P1271" s="23">
        <f t="shared" si="1001"/>
        <v>0</v>
      </c>
      <c r="Q1271" s="23">
        <f t="shared" si="1001"/>
        <v>2</v>
      </c>
      <c r="R1271" s="23">
        <f t="shared" si="1001"/>
        <v>0</v>
      </c>
    </row>
    <row r="1272" spans="1:18" ht="14.25" customHeight="1" x14ac:dyDescent="0.15">
      <c r="A1272" s="19">
        <v>1</v>
      </c>
      <c r="B1272" s="19">
        <v>1.5</v>
      </c>
      <c r="C1272" s="19">
        <f>0.6+0.3</f>
        <v>0.89999999999999991</v>
      </c>
      <c r="D1272" s="19">
        <f>B1272*C1272</f>
        <v>1.3499999999999999</v>
      </c>
      <c r="E1272" s="19"/>
      <c r="F1272" s="67">
        <v>6</v>
      </c>
      <c r="G1272" s="19"/>
      <c r="H1272" s="19"/>
      <c r="I1272" s="19">
        <f>B1272*0.4</f>
        <v>0.60000000000000009</v>
      </c>
      <c r="J1272" s="19">
        <v>1</v>
      </c>
      <c r="K1272" s="19">
        <f t="shared" ref="K1272:L1272" si="1002">A1272</f>
        <v>1</v>
      </c>
      <c r="L1272" s="19">
        <f t="shared" si="1002"/>
        <v>1.5</v>
      </c>
      <c r="M1272" s="19">
        <f>A1272</f>
        <v>1</v>
      </c>
      <c r="N1272" s="19">
        <f>(1.2*0.4)*2</f>
        <v>0.96</v>
      </c>
      <c r="O1272" s="19"/>
      <c r="P1272" s="19"/>
      <c r="Q1272" s="19"/>
      <c r="R1272" s="19"/>
    </row>
    <row r="1273" spans="1:18" ht="14.25" customHeight="1" x14ac:dyDescent="0.2">
      <c r="A1273" s="19"/>
      <c r="B1273" s="19"/>
      <c r="C1273" s="19"/>
      <c r="D1273" s="26" t="str">
        <f>D1266</f>
        <v>2200</v>
      </c>
      <c r="E1273" s="45">
        <v>0</v>
      </c>
      <c r="F1273" s="67">
        <v>2.5</v>
      </c>
      <c r="G1273" s="45">
        <v>2</v>
      </c>
      <c r="H1273" s="19">
        <f>B1272*2</f>
        <v>3</v>
      </c>
      <c r="I1273" s="19"/>
      <c r="J1273" s="19"/>
      <c r="K1273" s="19"/>
      <c r="L1273" s="19"/>
      <c r="M1273" s="19"/>
      <c r="N1273" s="28"/>
      <c r="O1273" s="19"/>
      <c r="P1273" s="19"/>
      <c r="Q1273" s="19"/>
      <c r="R1273" s="19"/>
    </row>
    <row r="1274" spans="1:18" ht="14.25" customHeight="1" x14ac:dyDescent="0.2">
      <c r="A1274" s="19"/>
      <c r="B1274" s="19"/>
      <c r="C1274" s="19"/>
      <c r="D1274" s="19">
        <f>D1272*D1273</f>
        <v>2969.9999999999995</v>
      </c>
      <c r="E1274" s="45">
        <f>E1273*E1271</f>
        <v>0</v>
      </c>
      <c r="F1274" s="67">
        <f>F1273*F1272*F1271</f>
        <v>12000</v>
      </c>
      <c r="G1274" s="45">
        <f t="shared" ref="G1274:H1274" si="1003">G1271*G1273</f>
        <v>7600</v>
      </c>
      <c r="H1274" s="19">
        <f t="shared" si="1003"/>
        <v>1140</v>
      </c>
      <c r="I1274" s="19">
        <f t="shared" ref="I1274:N1274" si="1004">I1271*I1272</f>
        <v>3300.0000000000005</v>
      </c>
      <c r="J1274" s="19">
        <f t="shared" si="1004"/>
        <v>1000</v>
      </c>
      <c r="K1274" s="19">
        <f t="shared" si="1004"/>
        <v>375</v>
      </c>
      <c r="L1274" s="19">
        <f t="shared" si="1004"/>
        <v>877.5</v>
      </c>
      <c r="M1274" s="19">
        <f t="shared" si="1004"/>
        <v>1000</v>
      </c>
      <c r="N1274" s="19">
        <f t="shared" si="1004"/>
        <v>3168</v>
      </c>
      <c r="O1274" s="19">
        <f>SUM(D1274:N1274)</f>
        <v>33430.5</v>
      </c>
      <c r="P1274" s="19">
        <f>O1274/A1272</f>
        <v>33430.5</v>
      </c>
      <c r="Q1274" s="19">
        <f>P1274*Q1271</f>
        <v>66861</v>
      </c>
      <c r="R1274" s="19">
        <f>MROUND(Q1274,100)</f>
        <v>66900</v>
      </c>
    </row>
    <row r="1275" spans="1:18" ht="14.25" customHeight="1" x14ac:dyDescent="0.15">
      <c r="A1275" s="30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</row>
    <row r="1276" spans="1:18" ht="14.25" customHeight="1" x14ac:dyDescent="0.3">
      <c r="A1276" s="109" t="str">
        <f>PRICELIST!I398</f>
        <v>WSTK-LSHP-NSH-PB-1500-X</v>
      </c>
      <c r="B1276" s="87"/>
      <c r="C1276" s="87"/>
      <c r="D1276" s="13"/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/>
      <c r="Q1276" s="13"/>
      <c r="R1276" s="17"/>
    </row>
    <row r="1277" spans="1:18" ht="14.25" customHeight="1" x14ac:dyDescent="0.15">
      <c r="A1277" s="19" t="s">
        <v>57</v>
      </c>
      <c r="B1277" s="19" t="s">
        <v>59</v>
      </c>
      <c r="C1277" s="19" t="s">
        <v>62</v>
      </c>
      <c r="D1277" s="19" t="s">
        <v>64</v>
      </c>
      <c r="E1277" s="19">
        <v>1200</v>
      </c>
      <c r="F1277" s="67" t="s">
        <v>248</v>
      </c>
      <c r="G1277" s="19">
        <v>600</v>
      </c>
      <c r="H1277" s="19" t="s">
        <v>67</v>
      </c>
      <c r="I1277" s="19" t="s">
        <v>68</v>
      </c>
      <c r="J1277" s="19" t="s">
        <v>69</v>
      </c>
      <c r="K1277" s="19" t="s">
        <v>71</v>
      </c>
      <c r="L1277" s="19" t="s">
        <v>72</v>
      </c>
      <c r="M1277" s="19" t="s">
        <v>73</v>
      </c>
      <c r="N1277" s="19" t="s">
        <v>75</v>
      </c>
      <c r="O1277" s="19" t="s">
        <v>76</v>
      </c>
      <c r="P1277" s="19" t="s">
        <v>78</v>
      </c>
      <c r="Q1277" s="19" t="s">
        <v>79</v>
      </c>
      <c r="R1277" s="19" t="s">
        <v>81</v>
      </c>
    </row>
    <row r="1278" spans="1:18" ht="14.25" customHeight="1" x14ac:dyDescent="0.15">
      <c r="A1278" s="21">
        <f t="shared" ref="A1278:B1278" si="1005">A1271</f>
        <v>0</v>
      </c>
      <c r="B1278" s="21">
        <f t="shared" si="1005"/>
        <v>0</v>
      </c>
      <c r="C1278" s="44" t="s">
        <v>188</v>
      </c>
      <c r="D1278" s="21">
        <f t="shared" ref="D1278:H1278" si="1006">D1271</f>
        <v>0</v>
      </c>
      <c r="E1278" s="23" t="str">
        <f t="shared" si="1006"/>
        <v>4200</v>
      </c>
      <c r="F1278" s="68">
        <f t="shared" si="1006"/>
        <v>800</v>
      </c>
      <c r="G1278" s="23" t="str">
        <f t="shared" si="1006"/>
        <v>3800</v>
      </c>
      <c r="H1278" s="23">
        <f t="shared" si="1006"/>
        <v>380</v>
      </c>
      <c r="I1278" s="23" t="str">
        <f>I1257</f>
        <v>0</v>
      </c>
      <c r="J1278" s="23" t="str">
        <f t="shared" ref="J1278:Q1278" si="1007">J1271</f>
        <v>1000</v>
      </c>
      <c r="K1278" s="23">
        <f t="shared" si="1007"/>
        <v>375</v>
      </c>
      <c r="L1278" s="23">
        <f t="shared" si="1007"/>
        <v>585</v>
      </c>
      <c r="M1278" s="23" t="str">
        <f t="shared" si="1007"/>
        <v>1000</v>
      </c>
      <c r="N1278" s="23">
        <f t="shared" si="1007"/>
        <v>3300</v>
      </c>
      <c r="O1278" s="23">
        <f t="shared" si="1007"/>
        <v>0</v>
      </c>
      <c r="P1278" s="23">
        <f t="shared" si="1007"/>
        <v>0</v>
      </c>
      <c r="Q1278" s="23">
        <f t="shared" si="1007"/>
        <v>2</v>
      </c>
      <c r="R1278" s="21"/>
    </row>
    <row r="1279" spans="1:18" ht="14.25" customHeight="1" x14ac:dyDescent="0.15">
      <c r="A1279" s="19">
        <v>1</v>
      </c>
      <c r="B1279" s="19">
        <v>1.5</v>
      </c>
      <c r="C1279" s="19">
        <f>0.6+0.3</f>
        <v>0.89999999999999991</v>
      </c>
      <c r="D1279" s="19">
        <f>B1279*C1279</f>
        <v>1.3499999999999999</v>
      </c>
      <c r="E1279" s="19"/>
      <c r="F1279" s="67">
        <f t="shared" ref="F1279:F1280" si="1008">F1272</f>
        <v>6</v>
      </c>
      <c r="G1279" s="19"/>
      <c r="H1279" s="19"/>
      <c r="I1279" s="19">
        <f>B1279*0.4</f>
        <v>0.60000000000000009</v>
      </c>
      <c r="J1279" s="19">
        <v>1</v>
      </c>
      <c r="K1279" s="19">
        <f t="shared" ref="K1279:L1279" si="1009">A1279</f>
        <v>1</v>
      </c>
      <c r="L1279" s="19">
        <f t="shared" si="1009"/>
        <v>1.5</v>
      </c>
      <c r="M1279" s="19">
        <f>A1279</f>
        <v>1</v>
      </c>
      <c r="N1279" s="19">
        <f>(1.2*0.4)*2</f>
        <v>0.96</v>
      </c>
      <c r="O1279" s="19"/>
      <c r="P1279" s="19"/>
      <c r="Q1279" s="19"/>
      <c r="R1279" s="19"/>
    </row>
    <row r="1280" spans="1:18" ht="14.25" customHeight="1" x14ac:dyDescent="0.2">
      <c r="A1280" s="19"/>
      <c r="B1280" s="19"/>
      <c r="C1280" s="19"/>
      <c r="D1280" s="26" t="str">
        <f>D1273</f>
        <v>2200</v>
      </c>
      <c r="E1280" s="45">
        <v>0</v>
      </c>
      <c r="F1280" s="67">
        <f t="shared" si="1008"/>
        <v>2.5</v>
      </c>
      <c r="G1280" s="45">
        <v>2</v>
      </c>
      <c r="H1280" s="19">
        <f>B1279*2</f>
        <v>3</v>
      </c>
      <c r="I1280" s="19"/>
      <c r="J1280" s="19"/>
      <c r="K1280" s="19"/>
      <c r="L1280" s="19"/>
      <c r="M1280" s="19"/>
      <c r="N1280" s="28"/>
      <c r="O1280" s="19"/>
      <c r="P1280" s="19"/>
      <c r="Q1280" s="19"/>
      <c r="R1280" s="19"/>
    </row>
    <row r="1281" spans="1:18" ht="14.25" customHeight="1" x14ac:dyDescent="0.2">
      <c r="A1281" s="19"/>
      <c r="B1281" s="19"/>
      <c r="C1281" s="19"/>
      <c r="D1281" s="19">
        <f>D1279*D1280</f>
        <v>2969.9999999999995</v>
      </c>
      <c r="E1281" s="45">
        <f>E1280*E1278</f>
        <v>0</v>
      </c>
      <c r="F1281" s="67">
        <f>F1280*F1279*F1278</f>
        <v>12000</v>
      </c>
      <c r="G1281" s="45">
        <f t="shared" ref="G1281:H1281" si="1010">G1278*G1280</f>
        <v>7600</v>
      </c>
      <c r="H1281" s="19">
        <f t="shared" si="1010"/>
        <v>1140</v>
      </c>
      <c r="I1281" s="19">
        <f t="shared" ref="I1281:N1281" si="1011">I1278*I1279</f>
        <v>0</v>
      </c>
      <c r="J1281" s="19">
        <f t="shared" si="1011"/>
        <v>1000</v>
      </c>
      <c r="K1281" s="19">
        <f t="shared" si="1011"/>
        <v>375</v>
      </c>
      <c r="L1281" s="19">
        <f t="shared" si="1011"/>
        <v>877.5</v>
      </c>
      <c r="M1281" s="19">
        <f t="shared" si="1011"/>
        <v>1000</v>
      </c>
      <c r="N1281" s="19">
        <f t="shared" si="1011"/>
        <v>3168</v>
      </c>
      <c r="O1281" s="19">
        <f>SUM(D1281:N1281)</f>
        <v>30130.5</v>
      </c>
      <c r="P1281" s="19">
        <f>O1281/A1279</f>
        <v>30130.5</v>
      </c>
      <c r="Q1281" s="19">
        <f>P1281*Q1278</f>
        <v>60261</v>
      </c>
      <c r="R1281" s="19">
        <f>MROUND(Q1281,100)</f>
        <v>60300</v>
      </c>
    </row>
    <row r="1282" spans="1:18" ht="14.25" customHeight="1" x14ac:dyDescent="0.15">
      <c r="A1282" s="30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</row>
    <row r="1283" spans="1:18" ht="14.25" customHeight="1" x14ac:dyDescent="0.3">
      <c r="A1283" s="109" t="str">
        <f>PRICELIST!I399</f>
        <v>WSTK-LSHP-NSH-PLM-1500-F</v>
      </c>
      <c r="B1283" s="87"/>
      <c r="C1283" s="87"/>
      <c r="D1283" s="13"/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/>
      <c r="Q1283" s="13"/>
      <c r="R1283" s="17"/>
    </row>
    <row r="1284" spans="1:18" ht="14.25" customHeight="1" x14ac:dyDescent="0.15">
      <c r="A1284" s="19" t="s">
        <v>57</v>
      </c>
      <c r="B1284" s="19" t="s">
        <v>59</v>
      </c>
      <c r="C1284" s="19" t="s">
        <v>62</v>
      </c>
      <c r="D1284" s="19" t="s">
        <v>64</v>
      </c>
      <c r="E1284" s="19">
        <v>1200</v>
      </c>
      <c r="F1284" s="67" t="s">
        <v>248</v>
      </c>
      <c r="G1284" s="19">
        <v>600</v>
      </c>
      <c r="H1284" s="19" t="s">
        <v>67</v>
      </c>
      <c r="I1284" s="19" t="s">
        <v>68</v>
      </c>
      <c r="J1284" s="19" t="s">
        <v>69</v>
      </c>
      <c r="K1284" s="19" t="s">
        <v>71</v>
      </c>
      <c r="L1284" s="19" t="s">
        <v>72</v>
      </c>
      <c r="M1284" s="19" t="s">
        <v>73</v>
      </c>
      <c r="N1284" s="19" t="s">
        <v>75</v>
      </c>
      <c r="O1284" s="19" t="s">
        <v>76</v>
      </c>
      <c r="P1284" s="19" t="s">
        <v>78</v>
      </c>
      <c r="Q1284" s="19" t="s">
        <v>79</v>
      </c>
      <c r="R1284" s="19" t="s">
        <v>81</v>
      </c>
    </row>
    <row r="1285" spans="1:18" ht="14.25" customHeight="1" x14ac:dyDescent="0.15">
      <c r="A1285" s="21">
        <f t="shared" ref="A1285:B1285" si="1012">A1278</f>
        <v>0</v>
      </c>
      <c r="B1285" s="21">
        <f t="shared" si="1012"/>
        <v>0</v>
      </c>
      <c r="C1285" s="44" t="s">
        <v>188</v>
      </c>
      <c r="D1285" s="21">
        <f t="shared" ref="D1285:E1285" si="1013">D1278</f>
        <v>0</v>
      </c>
      <c r="E1285" s="23" t="str">
        <f t="shared" si="1013"/>
        <v>4200</v>
      </c>
      <c r="F1285" s="68">
        <f t="shared" ref="F1285:F1287" si="1014">F1271</f>
        <v>800</v>
      </c>
      <c r="G1285" s="23" t="str">
        <f t="shared" ref="G1285:H1285" si="1015">G1278</f>
        <v>3800</v>
      </c>
      <c r="H1285" s="23">
        <f t="shared" si="1015"/>
        <v>380</v>
      </c>
      <c r="I1285" s="23" t="str">
        <f>I1264</f>
        <v>4800</v>
      </c>
      <c r="J1285" s="23" t="str">
        <f t="shared" ref="J1285:Q1285" si="1016">J1278</f>
        <v>1000</v>
      </c>
      <c r="K1285" s="23">
        <f t="shared" si="1016"/>
        <v>375</v>
      </c>
      <c r="L1285" s="23">
        <f t="shared" si="1016"/>
        <v>585</v>
      </c>
      <c r="M1285" s="23" t="str">
        <f t="shared" si="1016"/>
        <v>1000</v>
      </c>
      <c r="N1285" s="23">
        <f t="shared" si="1016"/>
        <v>3300</v>
      </c>
      <c r="O1285" s="23">
        <f t="shared" si="1016"/>
        <v>0</v>
      </c>
      <c r="P1285" s="23">
        <f t="shared" si="1016"/>
        <v>0</v>
      </c>
      <c r="Q1285" s="23">
        <f t="shared" si="1016"/>
        <v>2</v>
      </c>
      <c r="R1285" s="21"/>
    </row>
    <row r="1286" spans="1:18" ht="14.25" customHeight="1" x14ac:dyDescent="0.15">
      <c r="A1286" s="19">
        <v>1</v>
      </c>
      <c r="B1286" s="19">
        <v>1.5</v>
      </c>
      <c r="C1286" s="19">
        <f>0.6+0.3</f>
        <v>0.89999999999999991</v>
      </c>
      <c r="D1286" s="19">
        <f>B1286*C1286</f>
        <v>1.3499999999999999</v>
      </c>
      <c r="E1286" s="19"/>
      <c r="F1286" s="67">
        <f t="shared" si="1014"/>
        <v>6</v>
      </c>
      <c r="G1286" s="19"/>
      <c r="H1286" s="19"/>
      <c r="I1286" s="19">
        <f>B1286*0.4</f>
        <v>0.60000000000000009</v>
      </c>
      <c r="J1286" s="19">
        <v>1</v>
      </c>
      <c r="K1286" s="19">
        <f t="shared" ref="K1286:L1286" si="1017">A1286</f>
        <v>1</v>
      </c>
      <c r="L1286" s="19">
        <f t="shared" si="1017"/>
        <v>1.5</v>
      </c>
      <c r="M1286" s="19">
        <f>A1286</f>
        <v>1</v>
      </c>
      <c r="N1286" s="19">
        <f>(1.2*0.4)*2</f>
        <v>0.96</v>
      </c>
      <c r="O1286" s="19"/>
      <c r="P1286" s="19"/>
      <c r="Q1286" s="19"/>
      <c r="R1286" s="19"/>
    </row>
    <row r="1287" spans="1:18" ht="14.25" customHeight="1" x14ac:dyDescent="0.2">
      <c r="A1287" s="19"/>
      <c r="B1287" s="19"/>
      <c r="C1287" s="19"/>
      <c r="D1287" s="26" t="str">
        <f>D1161</f>
        <v>3000</v>
      </c>
      <c r="E1287" s="45">
        <v>0</v>
      </c>
      <c r="F1287" s="67">
        <f t="shared" si="1014"/>
        <v>2.5</v>
      </c>
      <c r="G1287" s="45">
        <v>2</v>
      </c>
      <c r="H1287" s="19">
        <f>B1286*2</f>
        <v>3</v>
      </c>
      <c r="I1287" s="19"/>
      <c r="J1287" s="19"/>
      <c r="K1287" s="19"/>
      <c r="L1287" s="19"/>
      <c r="M1287" s="19"/>
      <c r="N1287" s="28"/>
      <c r="O1287" s="19"/>
      <c r="P1287" s="19"/>
      <c r="Q1287" s="19"/>
      <c r="R1287" s="19"/>
    </row>
    <row r="1288" spans="1:18" ht="14.25" customHeight="1" x14ac:dyDescent="0.2">
      <c r="A1288" s="19"/>
      <c r="B1288" s="19"/>
      <c r="C1288" s="19"/>
      <c r="D1288" s="19">
        <f>D1286*D1287</f>
        <v>4049.9999999999995</v>
      </c>
      <c r="E1288" s="45">
        <f>E1287*E1285</f>
        <v>0</v>
      </c>
      <c r="F1288" s="67">
        <f>F1287*F1286*F1285</f>
        <v>12000</v>
      </c>
      <c r="G1288" s="45">
        <f t="shared" ref="G1288:H1288" si="1018">G1285*G1287</f>
        <v>7600</v>
      </c>
      <c r="H1288" s="19">
        <f t="shared" si="1018"/>
        <v>1140</v>
      </c>
      <c r="I1288" s="19">
        <f t="shared" ref="I1288:N1288" si="1019">I1285*I1286</f>
        <v>2880.0000000000005</v>
      </c>
      <c r="J1288" s="19">
        <f t="shared" si="1019"/>
        <v>1000</v>
      </c>
      <c r="K1288" s="19">
        <f t="shared" si="1019"/>
        <v>375</v>
      </c>
      <c r="L1288" s="19">
        <f t="shared" si="1019"/>
        <v>877.5</v>
      </c>
      <c r="M1288" s="19">
        <f t="shared" si="1019"/>
        <v>1000</v>
      </c>
      <c r="N1288" s="19">
        <f t="shared" si="1019"/>
        <v>3168</v>
      </c>
      <c r="O1288" s="19">
        <f>SUM(D1288:N1288)</f>
        <v>34090.5</v>
      </c>
      <c r="P1288" s="19">
        <f>O1288/A1286</f>
        <v>34090.5</v>
      </c>
      <c r="Q1288" s="19">
        <f>P1288*Q1285</f>
        <v>68181</v>
      </c>
      <c r="R1288" s="19">
        <f>MROUND(Q1288,100)</f>
        <v>68200</v>
      </c>
    </row>
    <row r="1289" spans="1:18" ht="14.25" customHeight="1" x14ac:dyDescent="0.15">
      <c r="A1289" s="30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</row>
    <row r="1290" spans="1:18" ht="14.25" customHeight="1" x14ac:dyDescent="0.3">
      <c r="A1290" s="109" t="str">
        <f>PRICELIST!I400</f>
        <v>WSTK-LSHP-NSH-PLM-1500-G</v>
      </c>
      <c r="B1290" s="87"/>
      <c r="C1290" s="87"/>
      <c r="D1290" s="13"/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/>
      <c r="Q1290" s="13"/>
      <c r="R1290" s="17"/>
    </row>
    <row r="1291" spans="1:18" ht="14.25" customHeight="1" x14ac:dyDescent="0.15">
      <c r="A1291" s="19" t="s">
        <v>57</v>
      </c>
      <c r="B1291" s="19" t="s">
        <v>59</v>
      </c>
      <c r="C1291" s="19" t="s">
        <v>62</v>
      </c>
      <c r="D1291" s="19" t="s">
        <v>64</v>
      </c>
      <c r="E1291" s="19">
        <v>1200</v>
      </c>
      <c r="F1291" s="67" t="s">
        <v>248</v>
      </c>
      <c r="G1291" s="19">
        <v>600</v>
      </c>
      <c r="H1291" s="19" t="s">
        <v>67</v>
      </c>
      <c r="I1291" s="19" t="s">
        <v>68</v>
      </c>
      <c r="J1291" s="19" t="s">
        <v>69</v>
      </c>
      <c r="K1291" s="19" t="s">
        <v>71</v>
      </c>
      <c r="L1291" s="19" t="s">
        <v>72</v>
      </c>
      <c r="M1291" s="19" t="s">
        <v>73</v>
      </c>
      <c r="N1291" s="19" t="s">
        <v>75</v>
      </c>
      <c r="O1291" s="19" t="s">
        <v>76</v>
      </c>
      <c r="P1291" s="19" t="s">
        <v>78</v>
      </c>
      <c r="Q1291" s="19" t="s">
        <v>79</v>
      </c>
      <c r="R1291" s="19" t="s">
        <v>81</v>
      </c>
    </row>
    <row r="1292" spans="1:18" ht="14.25" customHeight="1" x14ac:dyDescent="0.15">
      <c r="A1292" s="21">
        <f t="shared" ref="A1292:B1292" si="1020">A1285</f>
        <v>0</v>
      </c>
      <c r="B1292" s="21">
        <f t="shared" si="1020"/>
        <v>0</v>
      </c>
      <c r="C1292" s="44" t="s">
        <v>188</v>
      </c>
      <c r="D1292" s="21">
        <f t="shared" ref="D1292:E1292" si="1021">D1285</f>
        <v>0</v>
      </c>
      <c r="E1292" s="23" t="str">
        <f t="shared" si="1021"/>
        <v>4200</v>
      </c>
      <c r="F1292" s="68">
        <v>800</v>
      </c>
      <c r="G1292" s="23" t="str">
        <f t="shared" ref="G1292:H1292" si="1022">G1285</f>
        <v>3800</v>
      </c>
      <c r="H1292" s="23">
        <f t="shared" si="1022"/>
        <v>380</v>
      </c>
      <c r="I1292" s="23" t="str">
        <f>I1271</f>
        <v>5500</v>
      </c>
      <c r="J1292" s="23" t="str">
        <f t="shared" ref="J1292:Q1292" si="1023">J1285</f>
        <v>1000</v>
      </c>
      <c r="K1292" s="23">
        <f t="shared" si="1023"/>
        <v>375</v>
      </c>
      <c r="L1292" s="23">
        <f t="shared" si="1023"/>
        <v>585</v>
      </c>
      <c r="M1292" s="23" t="str">
        <f t="shared" si="1023"/>
        <v>1000</v>
      </c>
      <c r="N1292" s="23">
        <f t="shared" si="1023"/>
        <v>3300</v>
      </c>
      <c r="O1292" s="23">
        <f t="shared" si="1023"/>
        <v>0</v>
      </c>
      <c r="P1292" s="23">
        <f t="shared" si="1023"/>
        <v>0</v>
      </c>
      <c r="Q1292" s="23">
        <f t="shared" si="1023"/>
        <v>2</v>
      </c>
      <c r="R1292" s="21"/>
    </row>
    <row r="1293" spans="1:18" ht="14.25" customHeight="1" x14ac:dyDescent="0.15">
      <c r="A1293" s="19">
        <v>1</v>
      </c>
      <c r="B1293" s="19">
        <v>1.5</v>
      </c>
      <c r="C1293" s="19">
        <f>0.6+0.3</f>
        <v>0.89999999999999991</v>
      </c>
      <c r="D1293" s="19">
        <f>B1293*C1293</f>
        <v>1.3499999999999999</v>
      </c>
      <c r="E1293" s="19"/>
      <c r="F1293" s="67">
        <v>6</v>
      </c>
      <c r="G1293" s="19"/>
      <c r="H1293" s="19"/>
      <c r="I1293" s="19">
        <f>B1293*0.4</f>
        <v>0.60000000000000009</v>
      </c>
      <c r="J1293" s="19">
        <v>1</v>
      </c>
      <c r="K1293" s="19">
        <f t="shared" ref="K1293:L1293" si="1024">A1293</f>
        <v>1</v>
      </c>
      <c r="L1293" s="19">
        <f t="shared" si="1024"/>
        <v>1.5</v>
      </c>
      <c r="M1293" s="19">
        <f>A1293</f>
        <v>1</v>
      </c>
      <c r="N1293" s="19">
        <f>(1.2*0.4)*2</f>
        <v>0.96</v>
      </c>
      <c r="O1293" s="19"/>
      <c r="P1293" s="19"/>
      <c r="Q1293" s="19"/>
      <c r="R1293" s="19"/>
    </row>
    <row r="1294" spans="1:18" ht="14.25" customHeight="1" x14ac:dyDescent="0.2">
      <c r="A1294" s="19"/>
      <c r="B1294" s="19"/>
      <c r="C1294" s="19"/>
      <c r="D1294" s="26" t="str">
        <f>D1287</f>
        <v>3000</v>
      </c>
      <c r="E1294" s="45">
        <v>0</v>
      </c>
      <c r="F1294" s="67">
        <v>2.5</v>
      </c>
      <c r="G1294" s="45">
        <v>2</v>
      </c>
      <c r="H1294" s="19">
        <f>B1293*2</f>
        <v>3</v>
      </c>
      <c r="I1294" s="19"/>
      <c r="J1294" s="19"/>
      <c r="K1294" s="19"/>
      <c r="L1294" s="19"/>
      <c r="M1294" s="19"/>
      <c r="N1294" s="28"/>
      <c r="O1294" s="19"/>
      <c r="P1294" s="19"/>
      <c r="Q1294" s="19"/>
      <c r="R1294" s="19"/>
    </row>
    <row r="1295" spans="1:18" ht="14.25" customHeight="1" x14ac:dyDescent="0.2">
      <c r="A1295" s="19"/>
      <c r="B1295" s="19"/>
      <c r="C1295" s="19"/>
      <c r="D1295" s="19">
        <f>D1293*D1294</f>
        <v>4049.9999999999995</v>
      </c>
      <c r="E1295" s="45">
        <f>E1294*E1292</f>
        <v>0</v>
      </c>
      <c r="F1295" s="67">
        <f>F1294*F1293*F1292</f>
        <v>12000</v>
      </c>
      <c r="G1295" s="45">
        <f t="shared" ref="G1295:H1295" si="1025">G1292*G1294</f>
        <v>7600</v>
      </c>
      <c r="H1295" s="19">
        <f t="shared" si="1025"/>
        <v>1140</v>
      </c>
      <c r="I1295" s="19">
        <f t="shared" ref="I1295:N1295" si="1026">I1292*I1293</f>
        <v>3300.0000000000005</v>
      </c>
      <c r="J1295" s="19">
        <f t="shared" si="1026"/>
        <v>1000</v>
      </c>
      <c r="K1295" s="19">
        <f t="shared" si="1026"/>
        <v>375</v>
      </c>
      <c r="L1295" s="19">
        <f t="shared" si="1026"/>
        <v>877.5</v>
      </c>
      <c r="M1295" s="19">
        <f t="shared" si="1026"/>
        <v>1000</v>
      </c>
      <c r="N1295" s="19">
        <f t="shared" si="1026"/>
        <v>3168</v>
      </c>
      <c r="O1295" s="19">
        <f>SUM(D1295:N1295)</f>
        <v>34510.5</v>
      </c>
      <c r="P1295" s="19">
        <f>O1295/A1293</f>
        <v>34510.5</v>
      </c>
      <c r="Q1295" s="19">
        <f>P1295*Q1292</f>
        <v>69021</v>
      </c>
      <c r="R1295" s="19">
        <f>MROUND(Q1295,100)</f>
        <v>69000</v>
      </c>
    </row>
    <row r="1296" spans="1:18" ht="14.25" customHeight="1" x14ac:dyDescent="0.15">
      <c r="A1296" s="30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</row>
    <row r="1297" spans="1:18" ht="14.25" customHeight="1" x14ac:dyDescent="0.3">
      <c r="A1297" s="109" t="str">
        <f>PRICELIST!I401</f>
        <v>WSTK-LSHP-NSH-PLM-1500-X</v>
      </c>
      <c r="B1297" s="87"/>
      <c r="C1297" s="87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/>
      <c r="Q1297" s="13"/>
      <c r="R1297" s="17"/>
    </row>
    <row r="1298" spans="1:18" ht="14.25" customHeight="1" x14ac:dyDescent="0.15">
      <c r="A1298" s="19" t="s">
        <v>57</v>
      </c>
      <c r="B1298" s="19" t="s">
        <v>59</v>
      </c>
      <c r="C1298" s="19" t="s">
        <v>62</v>
      </c>
      <c r="D1298" s="19" t="s">
        <v>64</v>
      </c>
      <c r="E1298" s="19">
        <v>1200</v>
      </c>
      <c r="F1298" s="67" t="s">
        <v>248</v>
      </c>
      <c r="G1298" s="19">
        <v>600</v>
      </c>
      <c r="H1298" s="19" t="s">
        <v>67</v>
      </c>
      <c r="I1298" s="19" t="s">
        <v>68</v>
      </c>
      <c r="J1298" s="19" t="s">
        <v>69</v>
      </c>
      <c r="K1298" s="19" t="s">
        <v>71</v>
      </c>
      <c r="L1298" s="19" t="s">
        <v>72</v>
      </c>
      <c r="M1298" s="19" t="s">
        <v>73</v>
      </c>
      <c r="N1298" s="19" t="s">
        <v>75</v>
      </c>
      <c r="O1298" s="19" t="s">
        <v>76</v>
      </c>
      <c r="P1298" s="19" t="s">
        <v>78</v>
      </c>
      <c r="Q1298" s="19" t="s">
        <v>79</v>
      </c>
      <c r="R1298" s="19" t="s">
        <v>81</v>
      </c>
    </row>
    <row r="1299" spans="1:18" ht="14.25" customHeight="1" x14ac:dyDescent="0.15">
      <c r="A1299" s="21">
        <f t="shared" ref="A1299:B1299" si="1027">A1292</f>
        <v>0</v>
      </c>
      <c r="B1299" s="21">
        <f t="shared" si="1027"/>
        <v>0</v>
      </c>
      <c r="C1299" s="44" t="s">
        <v>188</v>
      </c>
      <c r="D1299" s="21">
        <f t="shared" ref="D1299:H1299" si="1028">D1292</f>
        <v>0</v>
      </c>
      <c r="E1299" s="23" t="str">
        <f t="shared" si="1028"/>
        <v>4200</v>
      </c>
      <c r="F1299" s="68">
        <f t="shared" si="1028"/>
        <v>800</v>
      </c>
      <c r="G1299" s="23" t="str">
        <f t="shared" si="1028"/>
        <v>3800</v>
      </c>
      <c r="H1299" s="23">
        <f t="shared" si="1028"/>
        <v>380</v>
      </c>
      <c r="I1299" s="23" t="str">
        <f>I1278</f>
        <v>0</v>
      </c>
      <c r="J1299" s="23" t="str">
        <f t="shared" ref="J1299:Q1299" si="1029">J1292</f>
        <v>1000</v>
      </c>
      <c r="K1299" s="23">
        <f t="shared" si="1029"/>
        <v>375</v>
      </c>
      <c r="L1299" s="23">
        <f t="shared" si="1029"/>
        <v>585</v>
      </c>
      <c r="M1299" s="23" t="str">
        <f t="shared" si="1029"/>
        <v>1000</v>
      </c>
      <c r="N1299" s="23">
        <f t="shared" si="1029"/>
        <v>3300</v>
      </c>
      <c r="O1299" s="23">
        <f t="shared" si="1029"/>
        <v>0</v>
      </c>
      <c r="P1299" s="23">
        <f t="shared" si="1029"/>
        <v>0</v>
      </c>
      <c r="Q1299" s="23">
        <f t="shared" si="1029"/>
        <v>2</v>
      </c>
      <c r="R1299" s="21"/>
    </row>
    <row r="1300" spans="1:18" ht="14.25" customHeight="1" x14ac:dyDescent="0.15">
      <c r="A1300" s="19">
        <v>1</v>
      </c>
      <c r="B1300" s="19">
        <v>1.5</v>
      </c>
      <c r="C1300" s="19">
        <f>0.6+0.3</f>
        <v>0.89999999999999991</v>
      </c>
      <c r="D1300" s="19">
        <f>B1300*C1300</f>
        <v>1.3499999999999999</v>
      </c>
      <c r="E1300" s="19"/>
      <c r="F1300" s="67">
        <f t="shared" ref="F1300:F1301" si="1030">F1293</f>
        <v>6</v>
      </c>
      <c r="G1300" s="19"/>
      <c r="H1300" s="19"/>
      <c r="I1300" s="19">
        <f>B1300*0.4</f>
        <v>0.60000000000000009</v>
      </c>
      <c r="J1300" s="19">
        <v>1</v>
      </c>
      <c r="K1300" s="19">
        <f t="shared" ref="K1300:L1300" si="1031">A1300</f>
        <v>1</v>
      </c>
      <c r="L1300" s="19">
        <f t="shared" si="1031"/>
        <v>1.5</v>
      </c>
      <c r="M1300" s="19">
        <f>A1300</f>
        <v>1</v>
      </c>
      <c r="N1300" s="19">
        <f>(1.2*0.4)*2</f>
        <v>0.96</v>
      </c>
      <c r="O1300" s="19"/>
      <c r="P1300" s="19"/>
      <c r="Q1300" s="19"/>
      <c r="R1300" s="19"/>
    </row>
    <row r="1301" spans="1:18" ht="14.25" customHeight="1" x14ac:dyDescent="0.2">
      <c r="A1301" s="19"/>
      <c r="B1301" s="19"/>
      <c r="C1301" s="19"/>
      <c r="D1301" s="26" t="str">
        <f>D1294</f>
        <v>3000</v>
      </c>
      <c r="E1301" s="45">
        <v>0</v>
      </c>
      <c r="F1301" s="67">
        <f t="shared" si="1030"/>
        <v>2.5</v>
      </c>
      <c r="G1301" s="45">
        <v>2</v>
      </c>
      <c r="H1301" s="19">
        <f>B1300*2</f>
        <v>3</v>
      </c>
      <c r="I1301" s="19"/>
      <c r="J1301" s="19"/>
      <c r="K1301" s="19"/>
      <c r="L1301" s="19"/>
      <c r="M1301" s="19"/>
      <c r="N1301" s="28"/>
      <c r="O1301" s="19"/>
      <c r="P1301" s="19"/>
      <c r="Q1301" s="19"/>
      <c r="R1301" s="19"/>
    </row>
    <row r="1302" spans="1:18" ht="14.25" customHeight="1" x14ac:dyDescent="0.2">
      <c r="A1302" s="19"/>
      <c r="B1302" s="19"/>
      <c r="C1302" s="19"/>
      <c r="D1302" s="19">
        <f>D1300*D1301</f>
        <v>4049.9999999999995</v>
      </c>
      <c r="E1302" s="45">
        <f>E1301*E1299</f>
        <v>0</v>
      </c>
      <c r="F1302" s="67">
        <f>F1301*F1300*F1299</f>
        <v>12000</v>
      </c>
      <c r="G1302" s="45">
        <f t="shared" ref="G1302:H1302" si="1032">G1299*G1301</f>
        <v>7600</v>
      </c>
      <c r="H1302" s="19">
        <f t="shared" si="1032"/>
        <v>1140</v>
      </c>
      <c r="I1302" s="19">
        <f t="shared" ref="I1302:N1302" si="1033">I1299*I1300</f>
        <v>0</v>
      </c>
      <c r="J1302" s="19">
        <f t="shared" si="1033"/>
        <v>1000</v>
      </c>
      <c r="K1302" s="19">
        <f t="shared" si="1033"/>
        <v>375</v>
      </c>
      <c r="L1302" s="19">
        <f t="shared" si="1033"/>
        <v>877.5</v>
      </c>
      <c r="M1302" s="19">
        <f t="shared" si="1033"/>
        <v>1000</v>
      </c>
      <c r="N1302" s="19">
        <f t="shared" si="1033"/>
        <v>3168</v>
      </c>
      <c r="O1302" s="19">
        <f>SUM(D1302:N1302)</f>
        <v>31210.5</v>
      </c>
      <c r="P1302" s="19">
        <f>O1302/A1300</f>
        <v>31210.5</v>
      </c>
      <c r="Q1302" s="19">
        <f>P1302*Q1299</f>
        <v>62421</v>
      </c>
      <c r="R1302" s="19">
        <f>MROUND(Q1302,100)</f>
        <v>62400</v>
      </c>
    </row>
    <row r="1303" spans="1:18" ht="14.25" customHeight="1" x14ac:dyDescent="0.15">
      <c r="A1303" s="30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</row>
    <row r="1304" spans="1:18" ht="14.25" customHeight="1" x14ac:dyDescent="0.3">
      <c r="A1304" s="109" t="str">
        <f>PRICELIST!I402</f>
        <v>WSTK-LSHP-NSH-PoLM-1500-F</v>
      </c>
      <c r="B1304" s="87"/>
      <c r="C1304" s="87"/>
      <c r="D1304" s="13"/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/>
      <c r="Q1304" s="13"/>
      <c r="R1304" s="17"/>
    </row>
    <row r="1305" spans="1:18" ht="14.25" customHeight="1" x14ac:dyDescent="0.15">
      <c r="A1305" s="19" t="s">
        <v>57</v>
      </c>
      <c r="B1305" s="19" t="s">
        <v>59</v>
      </c>
      <c r="C1305" s="19" t="s">
        <v>62</v>
      </c>
      <c r="D1305" s="19" t="s">
        <v>64</v>
      </c>
      <c r="E1305" s="19">
        <v>1200</v>
      </c>
      <c r="F1305" s="67" t="s">
        <v>248</v>
      </c>
      <c r="G1305" s="19">
        <v>600</v>
      </c>
      <c r="H1305" s="19" t="s">
        <v>67</v>
      </c>
      <c r="I1305" s="19" t="s">
        <v>68</v>
      </c>
      <c r="J1305" s="19" t="s">
        <v>69</v>
      </c>
      <c r="K1305" s="19" t="s">
        <v>71</v>
      </c>
      <c r="L1305" s="19" t="s">
        <v>72</v>
      </c>
      <c r="M1305" s="19" t="s">
        <v>73</v>
      </c>
      <c r="N1305" s="19" t="s">
        <v>75</v>
      </c>
      <c r="O1305" s="19" t="s">
        <v>76</v>
      </c>
      <c r="P1305" s="19" t="s">
        <v>78</v>
      </c>
      <c r="Q1305" s="19" t="s">
        <v>79</v>
      </c>
      <c r="R1305" s="19" t="s">
        <v>81</v>
      </c>
    </row>
    <row r="1306" spans="1:18" ht="14.25" customHeight="1" x14ac:dyDescent="0.15">
      <c r="A1306" s="21">
        <f t="shared" ref="A1306:B1306" si="1034">A1299</f>
        <v>0</v>
      </c>
      <c r="B1306" s="21">
        <f t="shared" si="1034"/>
        <v>0</v>
      </c>
      <c r="C1306" s="44" t="s">
        <v>188</v>
      </c>
      <c r="D1306" s="21">
        <f t="shared" ref="D1306:E1306" si="1035">D1299</f>
        <v>0</v>
      </c>
      <c r="E1306" s="23" t="str">
        <f t="shared" si="1035"/>
        <v>4200</v>
      </c>
      <c r="F1306" s="68">
        <v>800</v>
      </c>
      <c r="G1306" s="23" t="str">
        <f t="shared" ref="G1306:H1306" si="1036">G1299</f>
        <v>3800</v>
      </c>
      <c r="H1306" s="23">
        <f t="shared" si="1036"/>
        <v>380</v>
      </c>
      <c r="I1306" s="23" t="str">
        <f>I1285</f>
        <v>4800</v>
      </c>
      <c r="J1306" s="23" t="str">
        <f t="shared" ref="J1306:Q1306" si="1037">J1299</f>
        <v>1000</v>
      </c>
      <c r="K1306" s="23">
        <f t="shared" si="1037"/>
        <v>375</v>
      </c>
      <c r="L1306" s="23">
        <f t="shared" si="1037"/>
        <v>585</v>
      </c>
      <c r="M1306" s="23" t="str">
        <f t="shared" si="1037"/>
        <v>1000</v>
      </c>
      <c r="N1306" s="23">
        <f t="shared" si="1037"/>
        <v>3300</v>
      </c>
      <c r="O1306" s="23">
        <f t="shared" si="1037"/>
        <v>0</v>
      </c>
      <c r="P1306" s="23">
        <f t="shared" si="1037"/>
        <v>0</v>
      </c>
      <c r="Q1306" s="23">
        <f t="shared" si="1037"/>
        <v>2</v>
      </c>
      <c r="R1306" s="21"/>
    </row>
    <row r="1307" spans="1:18" ht="14.25" customHeight="1" x14ac:dyDescent="0.15">
      <c r="A1307" s="19">
        <v>1</v>
      </c>
      <c r="B1307" s="19">
        <v>1.5</v>
      </c>
      <c r="C1307" s="19">
        <f>0.6+0.3</f>
        <v>0.89999999999999991</v>
      </c>
      <c r="D1307" s="19">
        <f>B1307*C1307</f>
        <v>1.3499999999999999</v>
      </c>
      <c r="E1307" s="19"/>
      <c r="F1307" s="67">
        <v>6</v>
      </c>
      <c r="G1307" s="19"/>
      <c r="H1307" s="19"/>
      <c r="I1307" s="19">
        <f>B1307*0.4</f>
        <v>0.60000000000000009</v>
      </c>
      <c r="J1307" s="19">
        <v>1</v>
      </c>
      <c r="K1307" s="19">
        <f t="shared" ref="K1307:L1307" si="1038">A1307</f>
        <v>1</v>
      </c>
      <c r="L1307" s="19">
        <f t="shared" si="1038"/>
        <v>1.5</v>
      </c>
      <c r="M1307" s="19">
        <f>A1307</f>
        <v>1</v>
      </c>
      <c r="N1307" s="19">
        <f>(1.2*0.4)*2</f>
        <v>0.96</v>
      </c>
      <c r="O1307" s="19"/>
      <c r="P1307" s="19"/>
      <c r="Q1307" s="19"/>
      <c r="R1307" s="19"/>
    </row>
    <row r="1308" spans="1:18" ht="14.25" customHeight="1" x14ac:dyDescent="0.2">
      <c r="A1308" s="19"/>
      <c r="B1308" s="19"/>
      <c r="C1308" s="19"/>
      <c r="D1308" s="26">
        <f>D1189</f>
        <v>0</v>
      </c>
      <c r="E1308" s="45">
        <v>0</v>
      </c>
      <c r="F1308" s="67">
        <v>2.5</v>
      </c>
      <c r="G1308" s="45">
        <v>2</v>
      </c>
      <c r="H1308" s="19">
        <f>B1307*2</f>
        <v>3</v>
      </c>
      <c r="I1308" s="19"/>
      <c r="J1308" s="19"/>
      <c r="K1308" s="19"/>
      <c r="L1308" s="19"/>
      <c r="M1308" s="19"/>
      <c r="N1308" s="28"/>
      <c r="O1308" s="19"/>
      <c r="P1308" s="19"/>
      <c r="Q1308" s="19"/>
      <c r="R1308" s="19"/>
    </row>
    <row r="1309" spans="1:18" ht="14.25" customHeight="1" x14ac:dyDescent="0.2">
      <c r="A1309" s="19"/>
      <c r="B1309" s="19"/>
      <c r="C1309" s="19"/>
      <c r="D1309" s="19">
        <f>D1307*D1308</f>
        <v>0</v>
      </c>
      <c r="E1309" s="45">
        <f>E1308*E1306</f>
        <v>0</v>
      </c>
      <c r="F1309" s="67">
        <f>F1308*F1307*F1306</f>
        <v>12000</v>
      </c>
      <c r="G1309" s="45">
        <f t="shared" ref="G1309:H1309" si="1039">G1306*G1308</f>
        <v>7600</v>
      </c>
      <c r="H1309" s="19">
        <f t="shared" si="1039"/>
        <v>1140</v>
      </c>
      <c r="I1309" s="19">
        <f t="shared" ref="I1309:N1309" si="1040">I1306*I1307</f>
        <v>2880.0000000000005</v>
      </c>
      <c r="J1309" s="19">
        <f t="shared" si="1040"/>
        <v>1000</v>
      </c>
      <c r="K1309" s="19">
        <f t="shared" si="1040"/>
        <v>375</v>
      </c>
      <c r="L1309" s="19">
        <f t="shared" si="1040"/>
        <v>877.5</v>
      </c>
      <c r="M1309" s="19">
        <f t="shared" si="1040"/>
        <v>1000</v>
      </c>
      <c r="N1309" s="19">
        <f t="shared" si="1040"/>
        <v>3168</v>
      </c>
      <c r="O1309" s="19">
        <f>SUM(D1309:N1309)</f>
        <v>30040.5</v>
      </c>
      <c r="P1309" s="19">
        <f>O1309/A1307</f>
        <v>30040.5</v>
      </c>
      <c r="Q1309" s="19">
        <f>P1309*Q1306</f>
        <v>60081</v>
      </c>
      <c r="R1309" s="19">
        <f>MROUND(Q1309,100)</f>
        <v>60100</v>
      </c>
    </row>
    <row r="1310" spans="1:18" ht="14.25" customHeight="1" x14ac:dyDescent="0.15">
      <c r="A1310" s="30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</row>
    <row r="1311" spans="1:18" ht="14.25" customHeight="1" x14ac:dyDescent="0.3">
      <c r="A1311" s="109" t="str">
        <f>PRICELIST!I403</f>
        <v>WSTK-LSHP-NSH-PoLM-1500-G</v>
      </c>
      <c r="B1311" s="87"/>
      <c r="C1311" s="87"/>
      <c r="D1311" s="13"/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/>
      <c r="Q1311" s="13"/>
      <c r="R1311" s="17"/>
    </row>
    <row r="1312" spans="1:18" ht="14.25" customHeight="1" x14ac:dyDescent="0.15">
      <c r="A1312" s="19" t="s">
        <v>57</v>
      </c>
      <c r="B1312" s="19" t="s">
        <v>59</v>
      </c>
      <c r="C1312" s="19" t="s">
        <v>62</v>
      </c>
      <c r="D1312" s="19" t="s">
        <v>64</v>
      </c>
      <c r="E1312" s="19">
        <v>1200</v>
      </c>
      <c r="F1312" s="67" t="s">
        <v>248</v>
      </c>
      <c r="G1312" s="19">
        <v>600</v>
      </c>
      <c r="H1312" s="19" t="s">
        <v>67</v>
      </c>
      <c r="I1312" s="19" t="s">
        <v>68</v>
      </c>
      <c r="J1312" s="19" t="s">
        <v>69</v>
      </c>
      <c r="K1312" s="19" t="s">
        <v>71</v>
      </c>
      <c r="L1312" s="19" t="s">
        <v>72</v>
      </c>
      <c r="M1312" s="19" t="s">
        <v>73</v>
      </c>
      <c r="N1312" s="19" t="s">
        <v>75</v>
      </c>
      <c r="O1312" s="19" t="s">
        <v>76</v>
      </c>
      <c r="P1312" s="19" t="s">
        <v>78</v>
      </c>
      <c r="Q1312" s="19" t="s">
        <v>79</v>
      </c>
      <c r="R1312" s="19" t="s">
        <v>81</v>
      </c>
    </row>
    <row r="1313" spans="1:18" ht="14.25" customHeight="1" x14ac:dyDescent="0.15">
      <c r="A1313" s="21">
        <f t="shared" ref="A1313:B1313" si="1041">A1306</f>
        <v>0</v>
      </c>
      <c r="B1313" s="21">
        <f t="shared" si="1041"/>
        <v>0</v>
      </c>
      <c r="C1313" s="44" t="s">
        <v>188</v>
      </c>
      <c r="D1313" s="21">
        <f t="shared" ref="D1313:H1313" si="1042">D1306</f>
        <v>0</v>
      </c>
      <c r="E1313" s="23" t="str">
        <f t="shared" si="1042"/>
        <v>4200</v>
      </c>
      <c r="F1313" s="68">
        <f t="shared" si="1042"/>
        <v>800</v>
      </c>
      <c r="G1313" s="23" t="str">
        <f t="shared" si="1042"/>
        <v>3800</v>
      </c>
      <c r="H1313" s="23">
        <f t="shared" si="1042"/>
        <v>380</v>
      </c>
      <c r="I1313" s="23" t="str">
        <f>I1292</f>
        <v>5500</v>
      </c>
      <c r="J1313" s="23" t="str">
        <f t="shared" ref="J1313:Q1313" si="1043">J1306</f>
        <v>1000</v>
      </c>
      <c r="K1313" s="23">
        <f t="shared" si="1043"/>
        <v>375</v>
      </c>
      <c r="L1313" s="23">
        <f t="shared" si="1043"/>
        <v>585</v>
      </c>
      <c r="M1313" s="23" t="str">
        <f t="shared" si="1043"/>
        <v>1000</v>
      </c>
      <c r="N1313" s="23">
        <f t="shared" si="1043"/>
        <v>3300</v>
      </c>
      <c r="O1313" s="23">
        <f t="shared" si="1043"/>
        <v>0</v>
      </c>
      <c r="P1313" s="23">
        <f t="shared" si="1043"/>
        <v>0</v>
      </c>
      <c r="Q1313" s="23">
        <f t="shared" si="1043"/>
        <v>2</v>
      </c>
      <c r="R1313" s="21"/>
    </row>
    <row r="1314" spans="1:18" ht="14.25" customHeight="1" x14ac:dyDescent="0.15">
      <c r="A1314" s="19">
        <v>1</v>
      </c>
      <c r="B1314" s="19">
        <v>1.5</v>
      </c>
      <c r="C1314" s="19">
        <f>0.6+0.3</f>
        <v>0.89999999999999991</v>
      </c>
      <c r="D1314" s="19">
        <f>B1314*C1314</f>
        <v>1.3499999999999999</v>
      </c>
      <c r="E1314" s="19"/>
      <c r="F1314" s="67">
        <f t="shared" ref="F1314:F1315" si="1044">F1307</f>
        <v>6</v>
      </c>
      <c r="G1314" s="19"/>
      <c r="H1314" s="19"/>
      <c r="I1314" s="19">
        <f>B1314*0.4</f>
        <v>0.60000000000000009</v>
      </c>
      <c r="J1314" s="19">
        <v>1</v>
      </c>
      <c r="K1314" s="19">
        <f t="shared" ref="K1314:L1314" si="1045">A1314</f>
        <v>1</v>
      </c>
      <c r="L1314" s="19">
        <f t="shared" si="1045"/>
        <v>1.5</v>
      </c>
      <c r="M1314" s="19">
        <f>A1314</f>
        <v>1</v>
      </c>
      <c r="N1314" s="19">
        <f>(1.2*0.4)*2</f>
        <v>0.96</v>
      </c>
      <c r="O1314" s="19"/>
      <c r="P1314" s="19"/>
      <c r="Q1314" s="19"/>
      <c r="R1314" s="19"/>
    </row>
    <row r="1315" spans="1:18" ht="14.25" customHeight="1" x14ac:dyDescent="0.2">
      <c r="A1315" s="19"/>
      <c r="B1315" s="19"/>
      <c r="C1315" s="19"/>
      <c r="D1315" s="26">
        <f>D1308</f>
        <v>0</v>
      </c>
      <c r="E1315" s="45">
        <v>0</v>
      </c>
      <c r="F1315" s="67">
        <f t="shared" si="1044"/>
        <v>2.5</v>
      </c>
      <c r="G1315" s="45">
        <v>2</v>
      </c>
      <c r="H1315" s="19">
        <f>B1314*2</f>
        <v>3</v>
      </c>
      <c r="I1315" s="19"/>
      <c r="J1315" s="19"/>
      <c r="K1315" s="19"/>
      <c r="L1315" s="19"/>
      <c r="M1315" s="19"/>
      <c r="N1315" s="28"/>
      <c r="O1315" s="19"/>
      <c r="P1315" s="19"/>
      <c r="Q1315" s="19"/>
      <c r="R1315" s="19"/>
    </row>
    <row r="1316" spans="1:18" ht="14.25" customHeight="1" x14ac:dyDescent="0.2">
      <c r="A1316" s="19"/>
      <c r="B1316" s="19"/>
      <c r="C1316" s="19"/>
      <c r="D1316" s="19">
        <f>D1314*D1315</f>
        <v>0</v>
      </c>
      <c r="E1316" s="45">
        <f>E1315*E1313</f>
        <v>0</v>
      </c>
      <c r="F1316" s="67">
        <f>F1315*F1314*F1313</f>
        <v>12000</v>
      </c>
      <c r="G1316" s="45">
        <f t="shared" ref="G1316:H1316" si="1046">G1313*G1315</f>
        <v>7600</v>
      </c>
      <c r="H1316" s="19">
        <f t="shared" si="1046"/>
        <v>1140</v>
      </c>
      <c r="I1316" s="19">
        <f t="shared" ref="I1316:N1316" si="1047">I1313*I1314</f>
        <v>3300.0000000000005</v>
      </c>
      <c r="J1316" s="19">
        <f t="shared" si="1047"/>
        <v>1000</v>
      </c>
      <c r="K1316" s="19">
        <f t="shared" si="1047"/>
        <v>375</v>
      </c>
      <c r="L1316" s="19">
        <f t="shared" si="1047"/>
        <v>877.5</v>
      </c>
      <c r="M1316" s="19">
        <f t="shared" si="1047"/>
        <v>1000</v>
      </c>
      <c r="N1316" s="19">
        <f t="shared" si="1047"/>
        <v>3168</v>
      </c>
      <c r="O1316" s="19">
        <f>SUM(D1316:N1316)</f>
        <v>30460.5</v>
      </c>
      <c r="P1316" s="19">
        <f>O1316/A1314</f>
        <v>30460.5</v>
      </c>
      <c r="Q1316" s="19">
        <f>P1316*Q1313</f>
        <v>60921</v>
      </c>
      <c r="R1316" s="19">
        <f>MROUND(Q1316,100)</f>
        <v>60900</v>
      </c>
    </row>
    <row r="1317" spans="1:18" ht="14.25" customHeight="1" x14ac:dyDescent="0.15">
      <c r="A1317" s="30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</row>
    <row r="1318" spans="1:18" ht="14.25" customHeight="1" x14ac:dyDescent="0.3">
      <c r="A1318" s="109" t="str">
        <f>PRICELIST!I404</f>
        <v>WSTK-LSHP-NSH-PoLM-1500-X</v>
      </c>
      <c r="B1318" s="87"/>
      <c r="C1318" s="87"/>
      <c r="D1318" s="13"/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/>
      <c r="Q1318" s="13"/>
      <c r="R1318" s="17"/>
    </row>
    <row r="1319" spans="1:18" ht="14.25" customHeight="1" x14ac:dyDescent="0.15">
      <c r="A1319" s="19" t="s">
        <v>57</v>
      </c>
      <c r="B1319" s="19" t="s">
        <v>59</v>
      </c>
      <c r="C1319" s="19" t="s">
        <v>62</v>
      </c>
      <c r="D1319" s="19" t="s">
        <v>64</v>
      </c>
      <c r="E1319" s="19">
        <v>1200</v>
      </c>
      <c r="F1319" s="67" t="s">
        <v>248</v>
      </c>
      <c r="G1319" s="19">
        <v>600</v>
      </c>
      <c r="H1319" s="19" t="s">
        <v>67</v>
      </c>
      <c r="I1319" s="19" t="s">
        <v>68</v>
      </c>
      <c r="J1319" s="19" t="s">
        <v>69</v>
      </c>
      <c r="K1319" s="19" t="s">
        <v>71</v>
      </c>
      <c r="L1319" s="19" t="s">
        <v>72</v>
      </c>
      <c r="M1319" s="19" t="s">
        <v>73</v>
      </c>
      <c r="N1319" s="19" t="s">
        <v>75</v>
      </c>
      <c r="O1319" s="19" t="s">
        <v>76</v>
      </c>
      <c r="P1319" s="19" t="s">
        <v>78</v>
      </c>
      <c r="Q1319" s="19" t="s">
        <v>79</v>
      </c>
      <c r="R1319" s="19" t="s">
        <v>81</v>
      </c>
    </row>
    <row r="1320" spans="1:18" ht="14.25" customHeight="1" x14ac:dyDescent="0.15">
      <c r="A1320" s="21">
        <f t="shared" ref="A1320:B1320" si="1048">A1313</f>
        <v>0</v>
      </c>
      <c r="B1320" s="21">
        <f t="shared" si="1048"/>
        <v>0</v>
      </c>
      <c r="C1320" s="44" t="s">
        <v>188</v>
      </c>
      <c r="D1320" s="21">
        <f t="shared" ref="D1320:E1320" si="1049">D1313</f>
        <v>0</v>
      </c>
      <c r="E1320" s="23" t="str">
        <f t="shared" si="1049"/>
        <v>4200</v>
      </c>
      <c r="F1320" s="68">
        <f t="shared" ref="F1320:F1322" si="1050">F1306</f>
        <v>800</v>
      </c>
      <c r="G1320" s="23" t="str">
        <f t="shared" ref="G1320:H1320" si="1051">G1313</f>
        <v>3800</v>
      </c>
      <c r="H1320" s="23">
        <f t="shared" si="1051"/>
        <v>380</v>
      </c>
      <c r="I1320" s="23" t="str">
        <f>I1299</f>
        <v>0</v>
      </c>
      <c r="J1320" s="23" t="str">
        <f t="shared" ref="J1320:Q1320" si="1052">J1313</f>
        <v>1000</v>
      </c>
      <c r="K1320" s="23">
        <f t="shared" si="1052"/>
        <v>375</v>
      </c>
      <c r="L1320" s="23">
        <f t="shared" si="1052"/>
        <v>585</v>
      </c>
      <c r="M1320" s="23" t="str">
        <f t="shared" si="1052"/>
        <v>1000</v>
      </c>
      <c r="N1320" s="23">
        <f t="shared" si="1052"/>
        <v>3300</v>
      </c>
      <c r="O1320" s="23">
        <f t="shared" si="1052"/>
        <v>0</v>
      </c>
      <c r="P1320" s="23">
        <f t="shared" si="1052"/>
        <v>0</v>
      </c>
      <c r="Q1320" s="23">
        <f t="shared" si="1052"/>
        <v>2</v>
      </c>
      <c r="R1320" s="21"/>
    </row>
    <row r="1321" spans="1:18" ht="14.25" customHeight="1" x14ac:dyDescent="0.15">
      <c r="A1321" s="19">
        <v>1</v>
      </c>
      <c r="B1321" s="19">
        <v>1.5</v>
      </c>
      <c r="C1321" s="19">
        <f>0.6+0.3</f>
        <v>0.89999999999999991</v>
      </c>
      <c r="D1321" s="19">
        <f>B1321*C1321</f>
        <v>1.3499999999999999</v>
      </c>
      <c r="E1321" s="19"/>
      <c r="F1321" s="67">
        <f t="shared" si="1050"/>
        <v>6</v>
      </c>
      <c r="G1321" s="19"/>
      <c r="H1321" s="19"/>
      <c r="I1321" s="19">
        <f>B1321*0.4</f>
        <v>0.60000000000000009</v>
      </c>
      <c r="J1321" s="19">
        <v>1</v>
      </c>
      <c r="K1321" s="19">
        <f t="shared" ref="K1321:L1321" si="1053">A1321</f>
        <v>1</v>
      </c>
      <c r="L1321" s="19">
        <f t="shared" si="1053"/>
        <v>1.5</v>
      </c>
      <c r="M1321" s="19">
        <f>A1321</f>
        <v>1</v>
      </c>
      <c r="N1321" s="19">
        <f>(1.2*0.4)*2</f>
        <v>0.96</v>
      </c>
      <c r="O1321" s="19"/>
      <c r="P1321" s="19"/>
      <c r="Q1321" s="19"/>
      <c r="R1321" s="19"/>
    </row>
    <row r="1322" spans="1:18" ht="14.25" customHeight="1" x14ac:dyDescent="0.2">
      <c r="A1322" s="19"/>
      <c r="B1322" s="19"/>
      <c r="C1322" s="19"/>
      <c r="D1322" s="26">
        <f>D1315</f>
        <v>0</v>
      </c>
      <c r="E1322" s="45">
        <v>0</v>
      </c>
      <c r="F1322" s="67">
        <f t="shared" si="1050"/>
        <v>2.5</v>
      </c>
      <c r="G1322" s="45">
        <v>2</v>
      </c>
      <c r="H1322" s="19">
        <f>B1321*2</f>
        <v>3</v>
      </c>
      <c r="I1322" s="19"/>
      <c r="J1322" s="19"/>
      <c r="K1322" s="19"/>
      <c r="L1322" s="19"/>
      <c r="M1322" s="19"/>
      <c r="N1322" s="28"/>
      <c r="O1322" s="19"/>
      <c r="P1322" s="19"/>
      <c r="Q1322" s="19"/>
      <c r="R1322" s="19"/>
    </row>
    <row r="1323" spans="1:18" ht="14.25" customHeight="1" x14ac:dyDescent="0.2">
      <c r="A1323" s="19"/>
      <c r="B1323" s="19"/>
      <c r="C1323" s="19"/>
      <c r="D1323" s="19">
        <f>D1321*D1322</f>
        <v>0</v>
      </c>
      <c r="E1323" s="45">
        <f>E1322*E1320</f>
        <v>0</v>
      </c>
      <c r="F1323" s="67">
        <f>F1322*F1321*F1320</f>
        <v>12000</v>
      </c>
      <c r="G1323" s="45">
        <f t="shared" ref="G1323:H1323" si="1054">G1320*G1322</f>
        <v>7600</v>
      </c>
      <c r="H1323" s="19">
        <f t="shared" si="1054"/>
        <v>1140</v>
      </c>
      <c r="I1323" s="19">
        <f t="shared" ref="I1323:N1323" si="1055">I1320*I1321</f>
        <v>0</v>
      </c>
      <c r="J1323" s="19">
        <f t="shared" si="1055"/>
        <v>1000</v>
      </c>
      <c r="K1323" s="19">
        <f t="shared" si="1055"/>
        <v>375</v>
      </c>
      <c r="L1323" s="19">
        <f t="shared" si="1055"/>
        <v>877.5</v>
      </c>
      <c r="M1323" s="19">
        <f t="shared" si="1055"/>
        <v>1000</v>
      </c>
      <c r="N1323" s="19">
        <f t="shared" si="1055"/>
        <v>3168</v>
      </c>
      <c r="O1323" s="19">
        <f>SUM(D1323:N1323)</f>
        <v>27160.5</v>
      </c>
      <c r="P1323" s="19">
        <f>O1323/A1321</f>
        <v>27160.5</v>
      </c>
      <c r="Q1323" s="19">
        <f>P1323*Q1320</f>
        <v>54321</v>
      </c>
      <c r="R1323" s="19">
        <f>MROUND(Q1323,100)</f>
        <v>54300</v>
      </c>
    </row>
    <row r="1324" spans="1:18" ht="14.25" customHeight="1" x14ac:dyDescent="0.15">
      <c r="A1324" s="30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</row>
    <row r="1325" spans="1:18" ht="14.25" customHeight="1" x14ac:dyDescent="0.3">
      <c r="A1325" s="109" t="str">
        <f>PRICELIST!I405</f>
        <v>WSTK-LSHP-NSH-LVM-1500-F</v>
      </c>
      <c r="B1325" s="87"/>
      <c r="C1325" s="87"/>
      <c r="D1325" s="13"/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7"/>
    </row>
    <row r="1326" spans="1:18" ht="14.25" customHeight="1" x14ac:dyDescent="0.15">
      <c r="A1326" s="19" t="s">
        <v>57</v>
      </c>
      <c r="B1326" s="19" t="s">
        <v>59</v>
      </c>
      <c r="C1326" s="19" t="s">
        <v>62</v>
      </c>
      <c r="D1326" s="19" t="s">
        <v>64</v>
      </c>
      <c r="E1326" s="19">
        <v>1200</v>
      </c>
      <c r="F1326" s="67" t="s">
        <v>248</v>
      </c>
      <c r="G1326" s="19">
        <v>600</v>
      </c>
      <c r="H1326" s="19" t="s">
        <v>67</v>
      </c>
      <c r="I1326" s="19" t="s">
        <v>68</v>
      </c>
      <c r="J1326" s="19" t="s">
        <v>69</v>
      </c>
      <c r="K1326" s="19" t="s">
        <v>71</v>
      </c>
      <c r="L1326" s="19" t="s">
        <v>72</v>
      </c>
      <c r="M1326" s="19" t="s">
        <v>73</v>
      </c>
      <c r="N1326" s="19" t="s">
        <v>75</v>
      </c>
      <c r="O1326" s="19" t="s">
        <v>76</v>
      </c>
      <c r="P1326" s="19" t="s">
        <v>78</v>
      </c>
      <c r="Q1326" s="19" t="s">
        <v>79</v>
      </c>
      <c r="R1326" s="19" t="s">
        <v>81</v>
      </c>
    </row>
    <row r="1327" spans="1:18" ht="14.25" customHeight="1" x14ac:dyDescent="0.15">
      <c r="A1327" s="21">
        <f t="shared" ref="A1327:B1327" si="1056">A1320</f>
        <v>0</v>
      </c>
      <c r="B1327" s="21">
        <f t="shared" si="1056"/>
        <v>0</v>
      </c>
      <c r="C1327" s="44" t="s">
        <v>188</v>
      </c>
      <c r="D1327" s="21">
        <f t="shared" ref="D1327:E1327" si="1057">D1320</f>
        <v>0</v>
      </c>
      <c r="E1327" s="23" t="str">
        <f t="shared" si="1057"/>
        <v>4200</v>
      </c>
      <c r="F1327" s="68">
        <v>800</v>
      </c>
      <c r="G1327" s="23" t="str">
        <f t="shared" ref="G1327:H1327" si="1058">G1320</f>
        <v>3800</v>
      </c>
      <c r="H1327" s="23">
        <f t="shared" si="1058"/>
        <v>380</v>
      </c>
      <c r="I1327" s="23" t="str">
        <f>I1306</f>
        <v>4800</v>
      </c>
      <c r="J1327" s="23" t="str">
        <f t="shared" ref="J1327:Q1327" si="1059">J1320</f>
        <v>1000</v>
      </c>
      <c r="K1327" s="23">
        <f t="shared" si="1059"/>
        <v>375</v>
      </c>
      <c r="L1327" s="23">
        <f t="shared" si="1059"/>
        <v>585</v>
      </c>
      <c r="M1327" s="23" t="str">
        <f t="shared" si="1059"/>
        <v>1000</v>
      </c>
      <c r="N1327" s="23">
        <f t="shared" si="1059"/>
        <v>3300</v>
      </c>
      <c r="O1327" s="23">
        <f t="shared" si="1059"/>
        <v>0</v>
      </c>
      <c r="P1327" s="23">
        <f t="shared" si="1059"/>
        <v>0</v>
      </c>
      <c r="Q1327" s="23">
        <f t="shared" si="1059"/>
        <v>2</v>
      </c>
      <c r="R1327" s="21"/>
    </row>
    <row r="1328" spans="1:18" ht="14.25" customHeight="1" x14ac:dyDescent="0.15">
      <c r="A1328" s="19">
        <v>1</v>
      </c>
      <c r="B1328" s="19">
        <v>1.5</v>
      </c>
      <c r="C1328" s="19">
        <f>0.6+0.3</f>
        <v>0.89999999999999991</v>
      </c>
      <c r="D1328" s="19">
        <f>B1328*C1328</f>
        <v>1.3499999999999999</v>
      </c>
      <c r="E1328" s="19"/>
      <c r="F1328" s="67">
        <v>6</v>
      </c>
      <c r="G1328" s="19"/>
      <c r="H1328" s="19"/>
      <c r="I1328" s="19">
        <f>B1328*0.4</f>
        <v>0.60000000000000009</v>
      </c>
      <c r="J1328" s="19">
        <v>1</v>
      </c>
      <c r="K1328" s="19">
        <f t="shared" ref="K1328:L1328" si="1060">A1328</f>
        <v>1</v>
      </c>
      <c r="L1328" s="19">
        <f t="shared" si="1060"/>
        <v>1.5</v>
      </c>
      <c r="M1328" s="19">
        <f>A1328</f>
        <v>1</v>
      </c>
      <c r="N1328" s="19">
        <f>(1.2*0.4)*2</f>
        <v>0.96</v>
      </c>
      <c r="O1328" s="19"/>
      <c r="P1328" s="19"/>
      <c r="Q1328" s="19"/>
      <c r="R1328" s="19"/>
    </row>
    <row r="1329" spans="1:18" ht="14.25" customHeight="1" x14ac:dyDescent="0.2">
      <c r="A1329" s="19"/>
      <c r="B1329" s="19"/>
      <c r="C1329" s="19"/>
      <c r="D1329" s="26" t="str">
        <f>D1217</f>
        <v>9500</v>
      </c>
      <c r="E1329" s="45">
        <v>0</v>
      </c>
      <c r="F1329" s="67">
        <v>2.5</v>
      </c>
      <c r="G1329" s="45">
        <v>2</v>
      </c>
      <c r="H1329" s="19">
        <f>B1328*2</f>
        <v>3</v>
      </c>
      <c r="I1329" s="19"/>
      <c r="J1329" s="19"/>
      <c r="K1329" s="19"/>
      <c r="L1329" s="19"/>
      <c r="M1329" s="19"/>
      <c r="N1329" s="28"/>
      <c r="O1329" s="19"/>
      <c r="P1329" s="19"/>
      <c r="Q1329" s="19"/>
      <c r="R1329" s="19"/>
    </row>
    <row r="1330" spans="1:18" ht="14.25" customHeight="1" x14ac:dyDescent="0.2">
      <c r="A1330" s="19"/>
      <c r="B1330" s="19"/>
      <c r="C1330" s="19"/>
      <c r="D1330" s="19">
        <f>D1328*D1329</f>
        <v>12824.999999999998</v>
      </c>
      <c r="E1330" s="45">
        <f>E1329*E1327</f>
        <v>0</v>
      </c>
      <c r="F1330" s="67">
        <f>F1329*F1328*F1327</f>
        <v>12000</v>
      </c>
      <c r="G1330" s="45">
        <f t="shared" ref="G1330:H1330" si="1061">G1327*G1329</f>
        <v>7600</v>
      </c>
      <c r="H1330" s="19">
        <f t="shared" si="1061"/>
        <v>1140</v>
      </c>
      <c r="I1330" s="19">
        <f t="shared" ref="I1330:N1330" si="1062">I1327*I1328</f>
        <v>2880.0000000000005</v>
      </c>
      <c r="J1330" s="19">
        <f t="shared" si="1062"/>
        <v>1000</v>
      </c>
      <c r="K1330" s="19">
        <f t="shared" si="1062"/>
        <v>375</v>
      </c>
      <c r="L1330" s="19">
        <f t="shared" si="1062"/>
        <v>877.5</v>
      </c>
      <c r="M1330" s="19">
        <f t="shared" si="1062"/>
        <v>1000</v>
      </c>
      <c r="N1330" s="19">
        <f t="shared" si="1062"/>
        <v>3168</v>
      </c>
      <c r="O1330" s="19">
        <f>SUM(D1330:N1330)</f>
        <v>42865.5</v>
      </c>
      <c r="P1330" s="19">
        <f>O1330/A1328</f>
        <v>42865.5</v>
      </c>
      <c r="Q1330" s="19">
        <f>P1330*Q1327</f>
        <v>85731</v>
      </c>
      <c r="R1330" s="19">
        <f>MROUND(Q1330,100)</f>
        <v>85700</v>
      </c>
    </row>
    <row r="1331" spans="1:18" ht="14.25" customHeight="1" x14ac:dyDescent="0.15">
      <c r="A1331" s="30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</row>
    <row r="1332" spans="1:18" ht="14.25" customHeight="1" x14ac:dyDescent="0.3">
      <c r="A1332" s="109" t="str">
        <f>PRICELIST!I406</f>
        <v>WSTK-LSHP-NSH-LVM-1500-G</v>
      </c>
      <c r="B1332" s="87"/>
      <c r="C1332" s="87"/>
      <c r="D1332" s="13"/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/>
      <c r="Q1332" s="13"/>
      <c r="R1332" s="17"/>
    </row>
    <row r="1333" spans="1:18" ht="14.25" customHeight="1" x14ac:dyDescent="0.15">
      <c r="A1333" s="19" t="s">
        <v>57</v>
      </c>
      <c r="B1333" s="19" t="s">
        <v>59</v>
      </c>
      <c r="C1333" s="19" t="s">
        <v>62</v>
      </c>
      <c r="D1333" s="19" t="s">
        <v>64</v>
      </c>
      <c r="E1333" s="19">
        <v>1200</v>
      </c>
      <c r="F1333" s="67" t="s">
        <v>248</v>
      </c>
      <c r="G1333" s="19">
        <v>600</v>
      </c>
      <c r="H1333" s="19" t="s">
        <v>67</v>
      </c>
      <c r="I1333" s="19" t="s">
        <v>68</v>
      </c>
      <c r="J1333" s="19" t="s">
        <v>69</v>
      </c>
      <c r="K1333" s="19" t="s">
        <v>71</v>
      </c>
      <c r="L1333" s="19" t="s">
        <v>72</v>
      </c>
      <c r="M1333" s="19" t="s">
        <v>73</v>
      </c>
      <c r="N1333" s="19" t="s">
        <v>75</v>
      </c>
      <c r="O1333" s="19" t="s">
        <v>76</v>
      </c>
      <c r="P1333" s="19" t="s">
        <v>78</v>
      </c>
      <c r="Q1333" s="19" t="s">
        <v>79</v>
      </c>
      <c r="R1333" s="19" t="s">
        <v>81</v>
      </c>
    </row>
    <row r="1334" spans="1:18" ht="14.25" customHeight="1" x14ac:dyDescent="0.15">
      <c r="A1334" s="21">
        <f t="shared" ref="A1334:B1334" si="1063">A1327</f>
        <v>0</v>
      </c>
      <c r="B1334" s="21">
        <f t="shared" si="1063"/>
        <v>0</v>
      </c>
      <c r="C1334" s="44" t="s">
        <v>188</v>
      </c>
      <c r="D1334" s="21">
        <f t="shared" ref="D1334:H1334" si="1064">D1327</f>
        <v>0</v>
      </c>
      <c r="E1334" s="23" t="str">
        <f t="shared" si="1064"/>
        <v>4200</v>
      </c>
      <c r="F1334" s="68">
        <f t="shared" si="1064"/>
        <v>800</v>
      </c>
      <c r="G1334" s="23" t="str">
        <f t="shared" si="1064"/>
        <v>3800</v>
      </c>
      <c r="H1334" s="23">
        <f t="shared" si="1064"/>
        <v>380</v>
      </c>
      <c r="I1334" s="23" t="str">
        <f>I1313</f>
        <v>5500</v>
      </c>
      <c r="J1334" s="23" t="str">
        <f t="shared" ref="J1334:Q1334" si="1065">J1327</f>
        <v>1000</v>
      </c>
      <c r="K1334" s="23">
        <f t="shared" si="1065"/>
        <v>375</v>
      </c>
      <c r="L1334" s="23">
        <f t="shared" si="1065"/>
        <v>585</v>
      </c>
      <c r="M1334" s="23" t="str">
        <f t="shared" si="1065"/>
        <v>1000</v>
      </c>
      <c r="N1334" s="23">
        <f t="shared" si="1065"/>
        <v>3300</v>
      </c>
      <c r="O1334" s="23">
        <f t="shared" si="1065"/>
        <v>0</v>
      </c>
      <c r="P1334" s="23">
        <f t="shared" si="1065"/>
        <v>0</v>
      </c>
      <c r="Q1334" s="23">
        <f t="shared" si="1065"/>
        <v>2</v>
      </c>
      <c r="R1334" s="21"/>
    </row>
    <row r="1335" spans="1:18" ht="14.25" customHeight="1" x14ac:dyDescent="0.15">
      <c r="A1335" s="19">
        <v>1</v>
      </c>
      <c r="B1335" s="19">
        <v>1.5</v>
      </c>
      <c r="C1335" s="19">
        <f>0.6+0.3</f>
        <v>0.89999999999999991</v>
      </c>
      <c r="D1335" s="19">
        <f>B1335*C1335</f>
        <v>1.3499999999999999</v>
      </c>
      <c r="E1335" s="19"/>
      <c r="F1335" s="67">
        <f t="shared" ref="F1335:F1336" si="1066">F1328</f>
        <v>6</v>
      </c>
      <c r="G1335" s="19"/>
      <c r="H1335" s="19"/>
      <c r="I1335" s="19">
        <f>B1335*0.4</f>
        <v>0.60000000000000009</v>
      </c>
      <c r="J1335" s="19">
        <v>1</v>
      </c>
      <c r="K1335" s="19">
        <f t="shared" ref="K1335:L1335" si="1067">A1335</f>
        <v>1</v>
      </c>
      <c r="L1335" s="19">
        <f t="shared" si="1067"/>
        <v>1.5</v>
      </c>
      <c r="M1335" s="19">
        <f>A1335</f>
        <v>1</v>
      </c>
      <c r="N1335" s="19">
        <f>(1.2*0.4)*2</f>
        <v>0.96</v>
      </c>
      <c r="O1335" s="19"/>
      <c r="P1335" s="19"/>
      <c r="Q1335" s="19"/>
      <c r="R1335" s="19"/>
    </row>
    <row r="1336" spans="1:18" ht="14.25" customHeight="1" x14ac:dyDescent="0.2">
      <c r="A1336" s="19"/>
      <c r="B1336" s="19"/>
      <c r="C1336" s="19"/>
      <c r="D1336" s="26" t="str">
        <f>D1329</f>
        <v>9500</v>
      </c>
      <c r="E1336" s="45">
        <v>0</v>
      </c>
      <c r="F1336" s="67">
        <f t="shared" si="1066"/>
        <v>2.5</v>
      </c>
      <c r="G1336" s="45">
        <v>2</v>
      </c>
      <c r="H1336" s="19">
        <f>B1335*2</f>
        <v>3</v>
      </c>
      <c r="I1336" s="19"/>
      <c r="J1336" s="19"/>
      <c r="K1336" s="19"/>
      <c r="L1336" s="19"/>
      <c r="M1336" s="19"/>
      <c r="N1336" s="28"/>
      <c r="O1336" s="19"/>
      <c r="P1336" s="19"/>
      <c r="Q1336" s="19"/>
      <c r="R1336" s="19"/>
    </row>
    <row r="1337" spans="1:18" ht="14.25" customHeight="1" x14ac:dyDescent="0.2">
      <c r="A1337" s="19"/>
      <c r="B1337" s="19"/>
      <c r="C1337" s="19"/>
      <c r="D1337" s="19">
        <f>D1335*D1336</f>
        <v>12824.999999999998</v>
      </c>
      <c r="E1337" s="45">
        <f>E1336*E1334</f>
        <v>0</v>
      </c>
      <c r="F1337" s="67">
        <f>F1336*F1335*F1334</f>
        <v>12000</v>
      </c>
      <c r="G1337" s="45">
        <f t="shared" ref="G1337:H1337" si="1068">G1334*G1336</f>
        <v>7600</v>
      </c>
      <c r="H1337" s="19">
        <f t="shared" si="1068"/>
        <v>1140</v>
      </c>
      <c r="I1337" s="19">
        <f t="shared" ref="I1337:N1337" si="1069">I1334*I1335</f>
        <v>3300.0000000000005</v>
      </c>
      <c r="J1337" s="19">
        <f t="shared" si="1069"/>
        <v>1000</v>
      </c>
      <c r="K1337" s="19">
        <f t="shared" si="1069"/>
        <v>375</v>
      </c>
      <c r="L1337" s="19">
        <f t="shared" si="1069"/>
        <v>877.5</v>
      </c>
      <c r="M1337" s="19">
        <f t="shared" si="1069"/>
        <v>1000</v>
      </c>
      <c r="N1337" s="19">
        <f t="shared" si="1069"/>
        <v>3168</v>
      </c>
      <c r="O1337" s="19">
        <f>SUM(D1337:N1337)</f>
        <v>43285.5</v>
      </c>
      <c r="P1337" s="19">
        <f>O1337/A1335</f>
        <v>43285.5</v>
      </c>
      <c r="Q1337" s="19">
        <f>P1337*Q1334</f>
        <v>86571</v>
      </c>
      <c r="R1337" s="19">
        <f>MROUND(Q1337,100)</f>
        <v>86600</v>
      </c>
    </row>
    <row r="1338" spans="1:18" ht="14.25" customHeight="1" x14ac:dyDescent="0.15">
      <c r="A1338" s="30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</row>
    <row r="1339" spans="1:18" ht="14.25" customHeight="1" x14ac:dyDescent="0.3">
      <c r="A1339" s="109" t="str">
        <f>PRICELIST!I407</f>
        <v>WSTK-LSHP-NSH-LVM-1500-X</v>
      </c>
      <c r="B1339" s="87"/>
      <c r="C1339" s="87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/>
      <c r="Q1339" s="13"/>
      <c r="R1339" s="17"/>
    </row>
    <row r="1340" spans="1:18" ht="14.25" customHeight="1" x14ac:dyDescent="0.15">
      <c r="A1340" s="19" t="s">
        <v>57</v>
      </c>
      <c r="B1340" s="19" t="s">
        <v>59</v>
      </c>
      <c r="C1340" s="19" t="s">
        <v>62</v>
      </c>
      <c r="D1340" s="19" t="s">
        <v>64</v>
      </c>
      <c r="E1340" s="19">
        <v>1200</v>
      </c>
      <c r="F1340" s="67" t="s">
        <v>248</v>
      </c>
      <c r="G1340" s="19">
        <v>600</v>
      </c>
      <c r="H1340" s="19" t="s">
        <v>67</v>
      </c>
      <c r="I1340" s="19" t="s">
        <v>68</v>
      </c>
      <c r="J1340" s="19" t="s">
        <v>69</v>
      </c>
      <c r="K1340" s="19" t="s">
        <v>71</v>
      </c>
      <c r="L1340" s="19" t="s">
        <v>72</v>
      </c>
      <c r="M1340" s="19" t="s">
        <v>73</v>
      </c>
      <c r="N1340" s="19" t="s">
        <v>75</v>
      </c>
      <c r="O1340" s="19" t="s">
        <v>76</v>
      </c>
      <c r="P1340" s="19" t="s">
        <v>78</v>
      </c>
      <c r="Q1340" s="19" t="s">
        <v>79</v>
      </c>
      <c r="R1340" s="19" t="s">
        <v>81</v>
      </c>
    </row>
    <row r="1341" spans="1:18" ht="14.25" customHeight="1" x14ac:dyDescent="0.15">
      <c r="A1341" s="21">
        <f t="shared" ref="A1341:B1341" si="1070">A1334</f>
        <v>0</v>
      </c>
      <c r="B1341" s="21">
        <f t="shared" si="1070"/>
        <v>0</v>
      </c>
      <c r="C1341" s="44" t="s">
        <v>188</v>
      </c>
      <c r="D1341" s="21">
        <f t="shared" ref="D1341:E1341" si="1071">D1334</f>
        <v>0</v>
      </c>
      <c r="E1341" s="23" t="str">
        <f t="shared" si="1071"/>
        <v>4200</v>
      </c>
      <c r="F1341" s="68">
        <v>800</v>
      </c>
      <c r="G1341" s="23" t="str">
        <f t="shared" ref="G1341:H1341" si="1072">G1334</f>
        <v>3800</v>
      </c>
      <c r="H1341" s="23">
        <f t="shared" si="1072"/>
        <v>380</v>
      </c>
      <c r="I1341" s="23" t="str">
        <f>I1320</f>
        <v>0</v>
      </c>
      <c r="J1341" s="23" t="str">
        <f t="shared" ref="J1341:Q1341" si="1073">J1334</f>
        <v>1000</v>
      </c>
      <c r="K1341" s="23">
        <f t="shared" si="1073"/>
        <v>375</v>
      </c>
      <c r="L1341" s="23">
        <f t="shared" si="1073"/>
        <v>585</v>
      </c>
      <c r="M1341" s="23" t="str">
        <f t="shared" si="1073"/>
        <v>1000</v>
      </c>
      <c r="N1341" s="23">
        <f t="shared" si="1073"/>
        <v>3300</v>
      </c>
      <c r="O1341" s="23">
        <f t="shared" si="1073"/>
        <v>0</v>
      </c>
      <c r="P1341" s="23">
        <f t="shared" si="1073"/>
        <v>0</v>
      </c>
      <c r="Q1341" s="23">
        <f t="shared" si="1073"/>
        <v>2</v>
      </c>
      <c r="R1341" s="21"/>
    </row>
    <row r="1342" spans="1:18" ht="14.25" customHeight="1" x14ac:dyDescent="0.15">
      <c r="A1342" s="19">
        <v>1</v>
      </c>
      <c r="B1342" s="19">
        <v>1.5</v>
      </c>
      <c r="C1342" s="19">
        <f>0.6+0.3</f>
        <v>0.89999999999999991</v>
      </c>
      <c r="D1342" s="19">
        <f>B1342*C1342</f>
        <v>1.3499999999999999</v>
      </c>
      <c r="E1342" s="19"/>
      <c r="F1342" s="67">
        <v>6</v>
      </c>
      <c r="G1342" s="19"/>
      <c r="H1342" s="19"/>
      <c r="I1342" s="19">
        <f>B1342*0.4</f>
        <v>0.60000000000000009</v>
      </c>
      <c r="J1342" s="19">
        <v>1</v>
      </c>
      <c r="K1342" s="19">
        <f t="shared" ref="K1342:L1342" si="1074">A1342</f>
        <v>1</v>
      </c>
      <c r="L1342" s="19">
        <f t="shared" si="1074"/>
        <v>1.5</v>
      </c>
      <c r="M1342" s="19">
        <f>A1342</f>
        <v>1</v>
      </c>
      <c r="N1342" s="19">
        <f>(1.2*0.4)*2</f>
        <v>0.96</v>
      </c>
      <c r="O1342" s="19"/>
      <c r="P1342" s="19"/>
      <c r="Q1342" s="19"/>
      <c r="R1342" s="19"/>
    </row>
    <row r="1343" spans="1:18" ht="14.25" customHeight="1" x14ac:dyDescent="0.2">
      <c r="A1343" s="19"/>
      <c r="B1343" s="19"/>
      <c r="C1343" s="19"/>
      <c r="D1343" s="26" t="str">
        <f>D1336</f>
        <v>9500</v>
      </c>
      <c r="E1343" s="45">
        <v>0</v>
      </c>
      <c r="F1343" s="67">
        <v>2.5</v>
      </c>
      <c r="G1343" s="45">
        <v>2</v>
      </c>
      <c r="H1343" s="19">
        <f>B1342*2</f>
        <v>3</v>
      </c>
      <c r="I1343" s="19"/>
      <c r="J1343" s="19"/>
      <c r="K1343" s="19"/>
      <c r="L1343" s="19"/>
      <c r="M1343" s="19"/>
      <c r="N1343" s="28"/>
      <c r="O1343" s="19"/>
      <c r="P1343" s="19"/>
      <c r="Q1343" s="19"/>
      <c r="R1343" s="19"/>
    </row>
    <row r="1344" spans="1:18" ht="14.25" customHeight="1" x14ac:dyDescent="0.2">
      <c r="A1344" s="19"/>
      <c r="B1344" s="19"/>
      <c r="C1344" s="19"/>
      <c r="D1344" s="19">
        <f>D1342*D1343</f>
        <v>12824.999999999998</v>
      </c>
      <c r="E1344" s="45">
        <f>E1343*E1341</f>
        <v>0</v>
      </c>
      <c r="F1344" s="67">
        <f>F1343*F1342*F1341</f>
        <v>12000</v>
      </c>
      <c r="G1344" s="45">
        <f t="shared" ref="G1344:H1344" si="1075">G1341*G1343</f>
        <v>7600</v>
      </c>
      <c r="H1344" s="19">
        <f t="shared" si="1075"/>
        <v>1140</v>
      </c>
      <c r="I1344" s="19">
        <f t="shared" ref="I1344:N1344" si="1076">I1341*I1342</f>
        <v>0</v>
      </c>
      <c r="J1344" s="19">
        <f t="shared" si="1076"/>
        <v>1000</v>
      </c>
      <c r="K1344" s="19">
        <f t="shared" si="1076"/>
        <v>375</v>
      </c>
      <c r="L1344" s="19">
        <f t="shared" si="1076"/>
        <v>877.5</v>
      </c>
      <c r="M1344" s="19">
        <f t="shared" si="1076"/>
        <v>1000</v>
      </c>
      <c r="N1344" s="19">
        <f t="shared" si="1076"/>
        <v>3168</v>
      </c>
      <c r="O1344" s="19">
        <f>SUM(D1344:N1344)</f>
        <v>39985.5</v>
      </c>
      <c r="P1344" s="19">
        <f>O1344/A1342</f>
        <v>39985.5</v>
      </c>
      <c r="Q1344" s="19">
        <f>P1344*Q1341</f>
        <v>79971</v>
      </c>
      <c r="R1344" s="19">
        <f>MROUND(Q1344,100)</f>
        <v>80000</v>
      </c>
    </row>
    <row r="1345" spans="1:18" ht="14.25" customHeight="1" x14ac:dyDescent="0.15">
      <c r="A1345" s="30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</row>
    <row r="1346" spans="1:18" ht="14.25" customHeight="1" x14ac:dyDescent="0.3">
      <c r="A1346" s="109" t="str">
        <f>PRICELIST!I408</f>
        <v>WSTK-LSHP-NSH-LVP-1500-F</v>
      </c>
      <c r="B1346" s="87"/>
      <c r="C1346" s="87"/>
      <c r="D1346" s="13"/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/>
      <c r="Q1346" s="13"/>
      <c r="R1346" s="17"/>
    </row>
    <row r="1347" spans="1:18" ht="14.25" customHeight="1" x14ac:dyDescent="0.15">
      <c r="A1347" s="19" t="s">
        <v>57</v>
      </c>
      <c r="B1347" s="19" t="s">
        <v>59</v>
      </c>
      <c r="C1347" s="19" t="s">
        <v>62</v>
      </c>
      <c r="D1347" s="19" t="s">
        <v>64</v>
      </c>
      <c r="E1347" s="19">
        <v>1200</v>
      </c>
      <c r="F1347" s="67" t="s">
        <v>248</v>
      </c>
      <c r="G1347" s="19">
        <v>600</v>
      </c>
      <c r="H1347" s="19" t="s">
        <v>67</v>
      </c>
      <c r="I1347" s="19" t="s">
        <v>68</v>
      </c>
      <c r="J1347" s="19" t="s">
        <v>69</v>
      </c>
      <c r="K1347" s="19" t="s">
        <v>71</v>
      </c>
      <c r="L1347" s="19" t="s">
        <v>72</v>
      </c>
      <c r="M1347" s="19" t="s">
        <v>73</v>
      </c>
      <c r="N1347" s="19" t="s">
        <v>75</v>
      </c>
      <c r="O1347" s="19" t="s">
        <v>76</v>
      </c>
      <c r="P1347" s="19" t="s">
        <v>78</v>
      </c>
      <c r="Q1347" s="19" t="s">
        <v>79</v>
      </c>
      <c r="R1347" s="19" t="s">
        <v>81</v>
      </c>
    </row>
    <row r="1348" spans="1:18" ht="14.25" customHeight="1" x14ac:dyDescent="0.15">
      <c r="A1348" s="21">
        <f t="shared" ref="A1348:B1348" si="1077">A1341</f>
        <v>0</v>
      </c>
      <c r="B1348" s="21">
        <f t="shared" si="1077"/>
        <v>0</v>
      </c>
      <c r="C1348" s="44" t="s">
        <v>188</v>
      </c>
      <c r="D1348" s="21">
        <f t="shared" ref="D1348:H1348" si="1078">D1341</f>
        <v>0</v>
      </c>
      <c r="E1348" s="23" t="str">
        <f t="shared" si="1078"/>
        <v>4200</v>
      </c>
      <c r="F1348" s="68">
        <f t="shared" si="1078"/>
        <v>800</v>
      </c>
      <c r="G1348" s="23" t="str">
        <f t="shared" si="1078"/>
        <v>3800</v>
      </c>
      <c r="H1348" s="23">
        <f t="shared" si="1078"/>
        <v>380</v>
      </c>
      <c r="I1348" s="23" t="str">
        <f>I1327</f>
        <v>4800</v>
      </c>
      <c r="J1348" s="23" t="str">
        <f t="shared" ref="J1348:Q1348" si="1079">J1341</f>
        <v>1000</v>
      </c>
      <c r="K1348" s="23">
        <f t="shared" si="1079"/>
        <v>375</v>
      </c>
      <c r="L1348" s="23">
        <f t="shared" si="1079"/>
        <v>585</v>
      </c>
      <c r="M1348" s="23" t="str">
        <f t="shared" si="1079"/>
        <v>1000</v>
      </c>
      <c r="N1348" s="23">
        <f t="shared" si="1079"/>
        <v>3300</v>
      </c>
      <c r="O1348" s="23">
        <f t="shared" si="1079"/>
        <v>0</v>
      </c>
      <c r="P1348" s="23">
        <f t="shared" si="1079"/>
        <v>0</v>
      </c>
      <c r="Q1348" s="23">
        <f t="shared" si="1079"/>
        <v>2</v>
      </c>
      <c r="R1348" s="21"/>
    </row>
    <row r="1349" spans="1:18" ht="14.25" customHeight="1" x14ac:dyDescent="0.15">
      <c r="A1349" s="19">
        <v>1</v>
      </c>
      <c r="B1349" s="19">
        <v>1.5</v>
      </c>
      <c r="C1349" s="19">
        <f>0.6+0.3</f>
        <v>0.89999999999999991</v>
      </c>
      <c r="D1349" s="19">
        <f>B1349*C1349</f>
        <v>1.3499999999999999</v>
      </c>
      <c r="E1349" s="19"/>
      <c r="F1349" s="67">
        <f t="shared" ref="F1349:F1350" si="1080">F1342</f>
        <v>6</v>
      </c>
      <c r="G1349" s="19"/>
      <c r="H1349" s="19"/>
      <c r="I1349" s="19">
        <f>B1349*0.4</f>
        <v>0.60000000000000009</v>
      </c>
      <c r="J1349" s="19">
        <v>1</v>
      </c>
      <c r="K1349" s="19">
        <f t="shared" ref="K1349:L1349" si="1081">A1349</f>
        <v>1</v>
      </c>
      <c r="L1349" s="19">
        <f t="shared" si="1081"/>
        <v>1.5</v>
      </c>
      <c r="M1349" s="19">
        <f>A1349</f>
        <v>1</v>
      </c>
      <c r="N1349" s="19">
        <f>(1.2*0.4)*2</f>
        <v>0.96</v>
      </c>
      <c r="O1349" s="19"/>
      <c r="P1349" s="19"/>
      <c r="Q1349" s="19"/>
      <c r="R1349" s="19"/>
    </row>
    <row r="1350" spans="1:18" ht="14.25" customHeight="1" x14ac:dyDescent="0.2">
      <c r="A1350" s="19"/>
      <c r="B1350" s="19"/>
      <c r="C1350" s="19"/>
      <c r="D1350" s="26" t="str">
        <f>D1231</f>
        <v>10500</v>
      </c>
      <c r="E1350" s="45">
        <v>0</v>
      </c>
      <c r="F1350" s="67">
        <f t="shared" si="1080"/>
        <v>2.5</v>
      </c>
      <c r="G1350" s="45">
        <v>2</v>
      </c>
      <c r="H1350" s="19">
        <f>B1349*2</f>
        <v>3</v>
      </c>
      <c r="I1350" s="19"/>
      <c r="J1350" s="19"/>
      <c r="K1350" s="19"/>
      <c r="L1350" s="19"/>
      <c r="M1350" s="19"/>
      <c r="N1350" s="28"/>
      <c r="O1350" s="19"/>
      <c r="P1350" s="19"/>
      <c r="Q1350" s="19"/>
      <c r="R1350" s="19"/>
    </row>
    <row r="1351" spans="1:18" ht="14.25" customHeight="1" x14ac:dyDescent="0.2">
      <c r="A1351" s="19"/>
      <c r="B1351" s="19"/>
      <c r="C1351" s="19"/>
      <c r="D1351" s="19">
        <f>D1349*D1350</f>
        <v>14174.999999999998</v>
      </c>
      <c r="E1351" s="45">
        <f>E1350*E1348</f>
        <v>0</v>
      </c>
      <c r="F1351" s="67">
        <f>F1350*F1349*F1348</f>
        <v>12000</v>
      </c>
      <c r="G1351" s="45">
        <f t="shared" ref="G1351:H1351" si="1082">G1348*G1350</f>
        <v>7600</v>
      </c>
      <c r="H1351" s="19">
        <f t="shared" si="1082"/>
        <v>1140</v>
      </c>
      <c r="I1351" s="19">
        <f t="shared" ref="I1351:N1351" si="1083">I1348*I1349</f>
        <v>2880.0000000000005</v>
      </c>
      <c r="J1351" s="19">
        <f t="shared" si="1083"/>
        <v>1000</v>
      </c>
      <c r="K1351" s="19">
        <f t="shared" si="1083"/>
        <v>375</v>
      </c>
      <c r="L1351" s="19">
        <f t="shared" si="1083"/>
        <v>877.5</v>
      </c>
      <c r="M1351" s="19">
        <f t="shared" si="1083"/>
        <v>1000</v>
      </c>
      <c r="N1351" s="19">
        <f t="shared" si="1083"/>
        <v>3168</v>
      </c>
      <c r="O1351" s="19">
        <f>SUM(D1351:N1351)</f>
        <v>44215.5</v>
      </c>
      <c r="P1351" s="19">
        <f>O1351/A1349</f>
        <v>44215.5</v>
      </c>
      <c r="Q1351" s="19">
        <f>P1351*Q1348</f>
        <v>88431</v>
      </c>
      <c r="R1351" s="19">
        <f>MROUND(Q1351,100)</f>
        <v>88400</v>
      </c>
    </row>
    <row r="1352" spans="1:18" ht="14.25" customHeight="1" x14ac:dyDescent="0.15">
      <c r="A1352" s="30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</row>
    <row r="1353" spans="1:18" ht="14.25" customHeight="1" x14ac:dyDescent="0.3">
      <c r="A1353" s="109" t="str">
        <f>PRICELIST!I409</f>
        <v>WSTK-LSHP-NSH-LVP-1500-G</v>
      </c>
      <c r="B1353" s="87"/>
      <c r="C1353" s="87"/>
      <c r="D1353" s="13"/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/>
      <c r="Q1353" s="13"/>
      <c r="R1353" s="17"/>
    </row>
    <row r="1354" spans="1:18" ht="14.25" customHeight="1" x14ac:dyDescent="0.15">
      <c r="A1354" s="19" t="s">
        <v>57</v>
      </c>
      <c r="B1354" s="19" t="s">
        <v>59</v>
      </c>
      <c r="C1354" s="19" t="s">
        <v>62</v>
      </c>
      <c r="D1354" s="19" t="s">
        <v>64</v>
      </c>
      <c r="E1354" s="19">
        <v>1200</v>
      </c>
      <c r="F1354" s="67" t="s">
        <v>248</v>
      </c>
      <c r="G1354" s="19">
        <v>600</v>
      </c>
      <c r="H1354" s="19" t="s">
        <v>67</v>
      </c>
      <c r="I1354" s="19" t="s">
        <v>68</v>
      </c>
      <c r="J1354" s="19" t="s">
        <v>69</v>
      </c>
      <c r="K1354" s="19" t="s">
        <v>71</v>
      </c>
      <c r="L1354" s="19" t="s">
        <v>72</v>
      </c>
      <c r="M1354" s="19" t="s">
        <v>73</v>
      </c>
      <c r="N1354" s="19" t="s">
        <v>75</v>
      </c>
      <c r="O1354" s="19" t="s">
        <v>76</v>
      </c>
      <c r="P1354" s="19" t="s">
        <v>78</v>
      </c>
      <c r="Q1354" s="19" t="s">
        <v>79</v>
      </c>
      <c r="R1354" s="19" t="s">
        <v>81</v>
      </c>
    </row>
    <row r="1355" spans="1:18" ht="14.25" customHeight="1" x14ac:dyDescent="0.15">
      <c r="A1355" s="21">
        <f t="shared" ref="A1355:B1355" si="1084">A1348</f>
        <v>0</v>
      </c>
      <c r="B1355" s="21">
        <f t="shared" si="1084"/>
        <v>0</v>
      </c>
      <c r="C1355" s="44" t="s">
        <v>188</v>
      </c>
      <c r="D1355" s="21">
        <f t="shared" ref="D1355:E1355" si="1085">D1348</f>
        <v>0</v>
      </c>
      <c r="E1355" s="23" t="str">
        <f t="shared" si="1085"/>
        <v>4200</v>
      </c>
      <c r="F1355" s="68">
        <f t="shared" ref="F1355:F1357" si="1086">F1341</f>
        <v>800</v>
      </c>
      <c r="G1355" s="23" t="str">
        <f t="shared" ref="G1355:H1355" si="1087">G1348</f>
        <v>3800</v>
      </c>
      <c r="H1355" s="23">
        <f t="shared" si="1087"/>
        <v>380</v>
      </c>
      <c r="I1355" s="23" t="str">
        <f>I1334</f>
        <v>5500</v>
      </c>
      <c r="J1355" s="23" t="str">
        <f t="shared" ref="J1355:Q1355" si="1088">J1348</f>
        <v>1000</v>
      </c>
      <c r="K1355" s="23">
        <f t="shared" si="1088"/>
        <v>375</v>
      </c>
      <c r="L1355" s="23">
        <f t="shared" si="1088"/>
        <v>585</v>
      </c>
      <c r="M1355" s="23" t="str">
        <f t="shared" si="1088"/>
        <v>1000</v>
      </c>
      <c r="N1355" s="23">
        <f t="shared" si="1088"/>
        <v>3300</v>
      </c>
      <c r="O1355" s="23">
        <f t="shared" si="1088"/>
        <v>0</v>
      </c>
      <c r="P1355" s="23">
        <f t="shared" si="1088"/>
        <v>0</v>
      </c>
      <c r="Q1355" s="23">
        <f t="shared" si="1088"/>
        <v>2</v>
      </c>
      <c r="R1355" s="21"/>
    </row>
    <row r="1356" spans="1:18" ht="14.25" customHeight="1" x14ac:dyDescent="0.15">
      <c r="A1356" s="19">
        <v>1</v>
      </c>
      <c r="B1356" s="19">
        <v>1.5</v>
      </c>
      <c r="C1356" s="19">
        <f>0.6+0.3</f>
        <v>0.89999999999999991</v>
      </c>
      <c r="D1356" s="19">
        <f>B1356*C1356</f>
        <v>1.3499999999999999</v>
      </c>
      <c r="E1356" s="19"/>
      <c r="F1356" s="67">
        <f t="shared" si="1086"/>
        <v>6</v>
      </c>
      <c r="G1356" s="19"/>
      <c r="H1356" s="19"/>
      <c r="I1356" s="19">
        <f>B1356*0.4</f>
        <v>0.60000000000000009</v>
      </c>
      <c r="J1356" s="19">
        <v>1</v>
      </c>
      <c r="K1356" s="19">
        <f t="shared" ref="K1356:L1356" si="1089">A1356</f>
        <v>1</v>
      </c>
      <c r="L1356" s="19">
        <f t="shared" si="1089"/>
        <v>1.5</v>
      </c>
      <c r="M1356" s="19">
        <f>A1356</f>
        <v>1</v>
      </c>
      <c r="N1356" s="19">
        <f>(1.2*0.4)*2</f>
        <v>0.96</v>
      </c>
      <c r="O1356" s="19"/>
      <c r="P1356" s="19"/>
      <c r="Q1356" s="19"/>
      <c r="R1356" s="19"/>
    </row>
    <row r="1357" spans="1:18" ht="14.25" customHeight="1" x14ac:dyDescent="0.2">
      <c r="A1357" s="19"/>
      <c r="B1357" s="19"/>
      <c r="C1357" s="19"/>
      <c r="D1357" s="26" t="str">
        <f>D1350</f>
        <v>10500</v>
      </c>
      <c r="E1357" s="45">
        <v>0</v>
      </c>
      <c r="F1357" s="67">
        <f t="shared" si="1086"/>
        <v>2.5</v>
      </c>
      <c r="G1357" s="45">
        <v>2</v>
      </c>
      <c r="H1357" s="19">
        <f>B1356*2</f>
        <v>3</v>
      </c>
      <c r="I1357" s="19"/>
      <c r="J1357" s="19"/>
      <c r="K1357" s="19"/>
      <c r="L1357" s="19"/>
      <c r="M1357" s="19"/>
      <c r="N1357" s="28"/>
      <c r="O1357" s="19"/>
      <c r="P1357" s="19"/>
      <c r="Q1357" s="19"/>
      <c r="R1357" s="19"/>
    </row>
    <row r="1358" spans="1:18" ht="14.25" customHeight="1" x14ac:dyDescent="0.2">
      <c r="A1358" s="19"/>
      <c r="B1358" s="19"/>
      <c r="C1358" s="19"/>
      <c r="D1358" s="19">
        <f>D1356*D1357</f>
        <v>14174.999999999998</v>
      </c>
      <c r="E1358" s="45">
        <f>E1357*E1355</f>
        <v>0</v>
      </c>
      <c r="F1358" s="67">
        <f>F1357*F1356*F1355</f>
        <v>12000</v>
      </c>
      <c r="G1358" s="45">
        <f t="shared" ref="G1358:H1358" si="1090">G1355*G1357</f>
        <v>7600</v>
      </c>
      <c r="H1358" s="19">
        <f t="shared" si="1090"/>
        <v>1140</v>
      </c>
      <c r="I1358" s="19">
        <f t="shared" ref="I1358:N1358" si="1091">I1355*I1356</f>
        <v>3300.0000000000005</v>
      </c>
      <c r="J1358" s="19">
        <f t="shared" si="1091"/>
        <v>1000</v>
      </c>
      <c r="K1358" s="19">
        <f t="shared" si="1091"/>
        <v>375</v>
      </c>
      <c r="L1358" s="19">
        <f t="shared" si="1091"/>
        <v>877.5</v>
      </c>
      <c r="M1358" s="19">
        <f t="shared" si="1091"/>
        <v>1000</v>
      </c>
      <c r="N1358" s="19">
        <f t="shared" si="1091"/>
        <v>3168</v>
      </c>
      <c r="O1358" s="19">
        <f>SUM(D1358:N1358)</f>
        <v>44635.5</v>
      </c>
      <c r="P1358" s="19">
        <f>O1358/A1356</f>
        <v>44635.5</v>
      </c>
      <c r="Q1358" s="19">
        <f>P1358*Q1355</f>
        <v>89271</v>
      </c>
      <c r="R1358" s="19">
        <f>MROUND(Q1358,100)</f>
        <v>89300</v>
      </c>
    </row>
    <row r="1359" spans="1:18" ht="14.25" customHeight="1" x14ac:dyDescent="0.15">
      <c r="A1359" s="30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</row>
    <row r="1360" spans="1:18" ht="14.25" customHeight="1" x14ac:dyDescent="0.3">
      <c r="A1360" s="109" t="str">
        <f>PRICELIST!I410</f>
        <v>WSTK-LSHP-NSH-LVP-1500-X</v>
      </c>
      <c r="B1360" s="87"/>
      <c r="C1360" s="87"/>
      <c r="D1360" s="13"/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/>
      <c r="Q1360" s="13"/>
      <c r="R1360" s="17"/>
    </row>
    <row r="1361" spans="1:18" ht="14.25" customHeight="1" x14ac:dyDescent="0.15">
      <c r="A1361" s="19" t="s">
        <v>57</v>
      </c>
      <c r="B1361" s="19" t="s">
        <v>59</v>
      </c>
      <c r="C1361" s="19" t="s">
        <v>62</v>
      </c>
      <c r="D1361" s="19" t="s">
        <v>64</v>
      </c>
      <c r="E1361" s="19">
        <v>1200</v>
      </c>
      <c r="F1361" s="67" t="s">
        <v>248</v>
      </c>
      <c r="G1361" s="19">
        <v>600</v>
      </c>
      <c r="H1361" s="19" t="s">
        <v>67</v>
      </c>
      <c r="I1361" s="19" t="s">
        <v>68</v>
      </c>
      <c r="J1361" s="19" t="s">
        <v>69</v>
      </c>
      <c r="K1361" s="19" t="s">
        <v>71</v>
      </c>
      <c r="L1361" s="19" t="s">
        <v>72</v>
      </c>
      <c r="M1361" s="19" t="s">
        <v>73</v>
      </c>
      <c r="N1361" s="19" t="s">
        <v>75</v>
      </c>
      <c r="O1361" s="19" t="s">
        <v>76</v>
      </c>
      <c r="P1361" s="19" t="s">
        <v>78</v>
      </c>
      <c r="Q1361" s="19" t="s">
        <v>79</v>
      </c>
      <c r="R1361" s="19" t="s">
        <v>81</v>
      </c>
    </row>
    <row r="1362" spans="1:18" ht="14.25" customHeight="1" x14ac:dyDescent="0.15">
      <c r="A1362" s="21">
        <f t="shared" ref="A1362:B1362" si="1092">A1355</f>
        <v>0</v>
      </c>
      <c r="B1362" s="21">
        <f t="shared" si="1092"/>
        <v>0</v>
      </c>
      <c r="C1362" s="44" t="s">
        <v>188</v>
      </c>
      <c r="D1362" s="21">
        <f t="shared" ref="D1362:E1362" si="1093">D1355</f>
        <v>0</v>
      </c>
      <c r="E1362" s="23" t="str">
        <f t="shared" si="1093"/>
        <v>4200</v>
      </c>
      <c r="F1362" s="68">
        <v>800</v>
      </c>
      <c r="G1362" s="23" t="str">
        <f t="shared" ref="G1362:H1362" si="1094">G1355</f>
        <v>3800</v>
      </c>
      <c r="H1362" s="23">
        <f t="shared" si="1094"/>
        <v>380</v>
      </c>
      <c r="I1362" s="23" t="str">
        <f>I1341</f>
        <v>0</v>
      </c>
      <c r="J1362" s="23" t="str">
        <f t="shared" ref="J1362:Q1362" si="1095">J1355</f>
        <v>1000</v>
      </c>
      <c r="K1362" s="23">
        <f t="shared" si="1095"/>
        <v>375</v>
      </c>
      <c r="L1362" s="23">
        <f t="shared" si="1095"/>
        <v>585</v>
      </c>
      <c r="M1362" s="23" t="str">
        <f t="shared" si="1095"/>
        <v>1000</v>
      </c>
      <c r="N1362" s="23">
        <f t="shared" si="1095"/>
        <v>3300</v>
      </c>
      <c r="O1362" s="23">
        <f t="shared" si="1095"/>
        <v>0</v>
      </c>
      <c r="P1362" s="23">
        <f t="shared" si="1095"/>
        <v>0</v>
      </c>
      <c r="Q1362" s="23">
        <f t="shared" si="1095"/>
        <v>2</v>
      </c>
      <c r="R1362" s="21"/>
    </row>
    <row r="1363" spans="1:18" ht="14.25" customHeight="1" x14ac:dyDescent="0.15">
      <c r="A1363" s="19">
        <v>1</v>
      </c>
      <c r="B1363" s="19">
        <v>1.5</v>
      </c>
      <c r="C1363" s="19">
        <f>0.6+0.3</f>
        <v>0.89999999999999991</v>
      </c>
      <c r="D1363" s="19">
        <f>B1363*C1363</f>
        <v>1.3499999999999999</v>
      </c>
      <c r="E1363" s="19"/>
      <c r="F1363" s="67">
        <v>6</v>
      </c>
      <c r="G1363" s="19"/>
      <c r="H1363" s="19"/>
      <c r="I1363" s="19">
        <f>B1363*0.4</f>
        <v>0.60000000000000009</v>
      </c>
      <c r="J1363" s="19">
        <v>1</v>
      </c>
      <c r="K1363" s="19">
        <f t="shared" ref="K1363:L1363" si="1096">A1363</f>
        <v>1</v>
      </c>
      <c r="L1363" s="19">
        <f t="shared" si="1096"/>
        <v>1.5</v>
      </c>
      <c r="M1363" s="19">
        <f>A1363</f>
        <v>1</v>
      </c>
      <c r="N1363" s="19">
        <f>(1.2*0.4)*2</f>
        <v>0.96</v>
      </c>
      <c r="O1363" s="19"/>
      <c r="P1363" s="19"/>
      <c r="Q1363" s="19"/>
      <c r="R1363" s="19"/>
    </row>
    <row r="1364" spans="1:18" ht="14.25" customHeight="1" x14ac:dyDescent="0.2">
      <c r="A1364" s="19"/>
      <c r="B1364" s="19"/>
      <c r="C1364" s="19"/>
      <c r="D1364" s="26" t="str">
        <f>D1357</f>
        <v>10500</v>
      </c>
      <c r="E1364" s="45">
        <v>0</v>
      </c>
      <c r="F1364" s="67">
        <v>2.5</v>
      </c>
      <c r="G1364" s="45">
        <v>2</v>
      </c>
      <c r="H1364" s="19">
        <f>B1363*2</f>
        <v>3</v>
      </c>
      <c r="I1364" s="19"/>
      <c r="J1364" s="19"/>
      <c r="K1364" s="19"/>
      <c r="L1364" s="19"/>
      <c r="M1364" s="19"/>
      <c r="N1364" s="28"/>
      <c r="O1364" s="19"/>
      <c r="P1364" s="19"/>
      <c r="Q1364" s="19"/>
      <c r="R1364" s="19"/>
    </row>
    <row r="1365" spans="1:18" ht="14.25" customHeight="1" x14ac:dyDescent="0.2">
      <c r="A1365" s="19"/>
      <c r="B1365" s="19"/>
      <c r="C1365" s="19"/>
      <c r="D1365" s="19">
        <f>D1363*D1364</f>
        <v>14174.999999999998</v>
      </c>
      <c r="E1365" s="45">
        <f>E1364*E1362</f>
        <v>0</v>
      </c>
      <c r="F1365" s="67">
        <f>F1364*F1363*F1362</f>
        <v>12000</v>
      </c>
      <c r="G1365" s="45">
        <f t="shared" ref="G1365:H1365" si="1097">G1362*G1364</f>
        <v>7600</v>
      </c>
      <c r="H1365" s="19">
        <f t="shared" si="1097"/>
        <v>1140</v>
      </c>
      <c r="I1365" s="19">
        <f t="shared" ref="I1365:N1365" si="1098">I1362*I1363</f>
        <v>0</v>
      </c>
      <c r="J1365" s="19">
        <f t="shared" si="1098"/>
        <v>1000</v>
      </c>
      <c r="K1365" s="19">
        <f t="shared" si="1098"/>
        <v>375</v>
      </c>
      <c r="L1365" s="19">
        <f t="shared" si="1098"/>
        <v>877.5</v>
      </c>
      <c r="M1365" s="19">
        <f t="shared" si="1098"/>
        <v>1000</v>
      </c>
      <c r="N1365" s="19">
        <f t="shared" si="1098"/>
        <v>3168</v>
      </c>
      <c r="O1365" s="19">
        <f>SUM(D1365:N1365)</f>
        <v>41335.5</v>
      </c>
      <c r="P1365" s="19">
        <f>O1365/A1363</f>
        <v>41335.5</v>
      </c>
      <c r="Q1365" s="19">
        <f>P1365*Q1362</f>
        <v>82671</v>
      </c>
      <c r="R1365" s="19">
        <f>MROUND(Q1365,100)</f>
        <v>82700</v>
      </c>
    </row>
    <row r="1366" spans="1:18" ht="14.25" customHeight="1" x14ac:dyDescent="0.15">
      <c r="A1366" s="30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</row>
    <row r="1367" spans="1:18" ht="14.25" customHeight="1" x14ac:dyDescent="0.3">
      <c r="A1367" s="109" t="str">
        <f>PRICELIST!I411</f>
        <v>WSTK-LSHP-NSH-MB-1500-F</v>
      </c>
      <c r="B1367" s="87"/>
      <c r="C1367" s="87"/>
      <c r="D1367" s="13"/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/>
      <c r="Q1367" s="13"/>
      <c r="R1367" s="17"/>
    </row>
    <row r="1368" spans="1:18" ht="14.25" customHeight="1" x14ac:dyDescent="0.15">
      <c r="A1368" s="19" t="s">
        <v>57</v>
      </c>
      <c r="B1368" s="19" t="s">
        <v>59</v>
      </c>
      <c r="C1368" s="19" t="s">
        <v>62</v>
      </c>
      <c r="D1368" s="19" t="s">
        <v>64</v>
      </c>
      <c r="E1368" s="19">
        <v>1200</v>
      </c>
      <c r="F1368" s="67" t="s">
        <v>248</v>
      </c>
      <c r="G1368" s="19">
        <v>600</v>
      </c>
      <c r="H1368" s="19" t="s">
        <v>67</v>
      </c>
      <c r="I1368" s="19" t="s">
        <v>68</v>
      </c>
      <c r="J1368" s="19" t="s">
        <v>69</v>
      </c>
      <c r="K1368" s="19" t="s">
        <v>71</v>
      </c>
      <c r="L1368" s="19" t="s">
        <v>72</v>
      </c>
      <c r="M1368" s="19" t="s">
        <v>73</v>
      </c>
      <c r="N1368" s="19" t="s">
        <v>75</v>
      </c>
      <c r="O1368" s="19" t="s">
        <v>76</v>
      </c>
      <c r="P1368" s="19" t="s">
        <v>78</v>
      </c>
      <c r="Q1368" s="19" t="s">
        <v>79</v>
      </c>
      <c r="R1368" s="19" t="s">
        <v>81</v>
      </c>
    </row>
    <row r="1369" spans="1:18" ht="14.25" customHeight="1" x14ac:dyDescent="0.15">
      <c r="A1369" s="21">
        <f t="shared" ref="A1369:B1369" si="1099">A1362</f>
        <v>0</v>
      </c>
      <c r="B1369" s="21">
        <f t="shared" si="1099"/>
        <v>0</v>
      </c>
      <c r="C1369" s="44" t="s">
        <v>188</v>
      </c>
      <c r="D1369" s="21">
        <f t="shared" ref="D1369:H1369" si="1100">D1362</f>
        <v>0</v>
      </c>
      <c r="E1369" s="23" t="str">
        <f t="shared" si="1100"/>
        <v>4200</v>
      </c>
      <c r="F1369" s="68">
        <f t="shared" si="1100"/>
        <v>800</v>
      </c>
      <c r="G1369" s="23" t="str">
        <f t="shared" si="1100"/>
        <v>3800</v>
      </c>
      <c r="H1369" s="23">
        <f t="shared" si="1100"/>
        <v>380</v>
      </c>
      <c r="I1369" s="23" t="str">
        <f>I1348</f>
        <v>4800</v>
      </c>
      <c r="J1369" s="23" t="str">
        <f t="shared" ref="J1369:Q1369" si="1101">J1362</f>
        <v>1000</v>
      </c>
      <c r="K1369" s="23">
        <f t="shared" si="1101"/>
        <v>375</v>
      </c>
      <c r="L1369" s="23">
        <f t="shared" si="1101"/>
        <v>585</v>
      </c>
      <c r="M1369" s="23" t="str">
        <f t="shared" si="1101"/>
        <v>1000</v>
      </c>
      <c r="N1369" s="23">
        <f t="shared" si="1101"/>
        <v>3300</v>
      </c>
      <c r="O1369" s="23">
        <f t="shared" si="1101"/>
        <v>0</v>
      </c>
      <c r="P1369" s="23">
        <f t="shared" si="1101"/>
        <v>0</v>
      </c>
      <c r="Q1369" s="23">
        <f t="shared" si="1101"/>
        <v>2</v>
      </c>
      <c r="R1369" s="21"/>
    </row>
    <row r="1370" spans="1:18" ht="14.25" customHeight="1" x14ac:dyDescent="0.15">
      <c r="A1370" s="19">
        <v>1</v>
      </c>
      <c r="B1370" s="19">
        <v>1.5</v>
      </c>
      <c r="C1370" s="19">
        <f>0.6+0.3</f>
        <v>0.89999999999999991</v>
      </c>
      <c r="D1370" s="19">
        <f>B1370*C1370</f>
        <v>1.3499999999999999</v>
      </c>
      <c r="E1370" s="19"/>
      <c r="F1370" s="67">
        <f t="shared" ref="F1370:F1371" si="1102">F1363</f>
        <v>6</v>
      </c>
      <c r="G1370" s="19"/>
      <c r="H1370" s="19"/>
      <c r="I1370" s="19">
        <f>B1370*0.4</f>
        <v>0.60000000000000009</v>
      </c>
      <c r="J1370" s="19">
        <v>1</v>
      </c>
      <c r="K1370" s="19">
        <f t="shared" ref="K1370:L1370" si="1103">A1370</f>
        <v>1</v>
      </c>
      <c r="L1370" s="19">
        <f t="shared" si="1103"/>
        <v>1.5</v>
      </c>
      <c r="M1370" s="19">
        <f>A1370</f>
        <v>1</v>
      </c>
      <c r="N1370" s="19">
        <f>(1.2*0.4)*2</f>
        <v>0.96</v>
      </c>
      <c r="O1370" s="19"/>
      <c r="P1370" s="19"/>
      <c r="Q1370" s="19"/>
      <c r="R1370" s="19"/>
    </row>
    <row r="1371" spans="1:18" ht="14.25" customHeight="1" x14ac:dyDescent="0.2">
      <c r="A1371" s="19"/>
      <c r="B1371" s="19"/>
      <c r="C1371" s="19"/>
      <c r="D1371" s="26" t="str">
        <f>D1245</f>
        <v>16250</v>
      </c>
      <c r="E1371" s="45">
        <v>0</v>
      </c>
      <c r="F1371" s="67">
        <f t="shared" si="1102"/>
        <v>2.5</v>
      </c>
      <c r="G1371" s="45">
        <v>2</v>
      </c>
      <c r="H1371" s="19">
        <f>B1370*2</f>
        <v>3</v>
      </c>
      <c r="I1371" s="19"/>
      <c r="J1371" s="19"/>
      <c r="K1371" s="19"/>
      <c r="L1371" s="19"/>
      <c r="M1371" s="19"/>
      <c r="N1371" s="28"/>
      <c r="O1371" s="19"/>
      <c r="P1371" s="19"/>
      <c r="Q1371" s="19"/>
      <c r="R1371" s="19"/>
    </row>
    <row r="1372" spans="1:18" ht="14.25" customHeight="1" x14ac:dyDescent="0.2">
      <c r="A1372" s="19"/>
      <c r="B1372" s="19"/>
      <c r="C1372" s="19"/>
      <c r="D1372" s="19">
        <f>D1370*D1371</f>
        <v>21937.499999999996</v>
      </c>
      <c r="E1372" s="45">
        <f>E1371*E1369</f>
        <v>0</v>
      </c>
      <c r="F1372" s="67">
        <f>F1371*F1370*F1369</f>
        <v>12000</v>
      </c>
      <c r="G1372" s="45">
        <f t="shared" ref="G1372:H1372" si="1104">G1369*G1371</f>
        <v>7600</v>
      </c>
      <c r="H1372" s="19">
        <f t="shared" si="1104"/>
        <v>1140</v>
      </c>
      <c r="I1372" s="19">
        <f t="shared" ref="I1372:N1372" si="1105">I1369*I1370</f>
        <v>2880.0000000000005</v>
      </c>
      <c r="J1372" s="19">
        <f t="shared" si="1105"/>
        <v>1000</v>
      </c>
      <c r="K1372" s="19">
        <f t="shared" si="1105"/>
        <v>375</v>
      </c>
      <c r="L1372" s="19">
        <f t="shared" si="1105"/>
        <v>877.5</v>
      </c>
      <c r="M1372" s="19">
        <f t="shared" si="1105"/>
        <v>1000</v>
      </c>
      <c r="N1372" s="19">
        <f t="shared" si="1105"/>
        <v>3168</v>
      </c>
      <c r="O1372" s="19">
        <f>SUM(D1372:N1372)</f>
        <v>51978</v>
      </c>
      <c r="P1372" s="19">
        <f>O1372/A1370</f>
        <v>51978</v>
      </c>
      <c r="Q1372" s="19">
        <f>P1372*Q1369</f>
        <v>103956</v>
      </c>
      <c r="R1372" s="19">
        <f>MROUND(Q1372,100)</f>
        <v>104000</v>
      </c>
    </row>
    <row r="1373" spans="1:18" ht="14.25" customHeight="1" x14ac:dyDescent="0.15">
      <c r="A1373" s="30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</row>
    <row r="1374" spans="1:18" ht="14.25" customHeight="1" x14ac:dyDescent="0.3">
      <c r="A1374" s="109" t="str">
        <f>PRICELIST!I412</f>
        <v>WSTK-LSHP-NSH-MB-1500-G</v>
      </c>
      <c r="B1374" s="87"/>
      <c r="C1374" s="87"/>
      <c r="D1374" s="13"/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/>
      <c r="Q1374" s="13"/>
      <c r="R1374" s="17"/>
    </row>
    <row r="1375" spans="1:18" ht="14.25" customHeight="1" x14ac:dyDescent="0.15">
      <c r="A1375" s="19" t="s">
        <v>57</v>
      </c>
      <c r="B1375" s="19" t="s">
        <v>59</v>
      </c>
      <c r="C1375" s="19" t="s">
        <v>62</v>
      </c>
      <c r="D1375" s="19" t="s">
        <v>64</v>
      </c>
      <c r="E1375" s="19">
        <v>1200</v>
      </c>
      <c r="F1375" s="67" t="s">
        <v>248</v>
      </c>
      <c r="G1375" s="19">
        <v>600</v>
      </c>
      <c r="H1375" s="19" t="s">
        <v>67</v>
      </c>
      <c r="I1375" s="19" t="s">
        <v>68</v>
      </c>
      <c r="J1375" s="19" t="s">
        <v>69</v>
      </c>
      <c r="K1375" s="19" t="s">
        <v>71</v>
      </c>
      <c r="L1375" s="19" t="s">
        <v>72</v>
      </c>
      <c r="M1375" s="19" t="s">
        <v>73</v>
      </c>
      <c r="N1375" s="19" t="s">
        <v>75</v>
      </c>
      <c r="O1375" s="19" t="s">
        <v>76</v>
      </c>
      <c r="P1375" s="19" t="s">
        <v>78</v>
      </c>
      <c r="Q1375" s="19" t="s">
        <v>79</v>
      </c>
      <c r="R1375" s="19" t="s">
        <v>81</v>
      </c>
    </row>
    <row r="1376" spans="1:18" ht="14.25" customHeight="1" x14ac:dyDescent="0.15">
      <c r="A1376" s="21">
        <f t="shared" ref="A1376:B1376" si="1106">A1369</f>
        <v>0</v>
      </c>
      <c r="B1376" s="21">
        <f t="shared" si="1106"/>
        <v>0</v>
      </c>
      <c r="C1376" s="44" t="s">
        <v>188</v>
      </c>
      <c r="D1376" s="21">
        <f t="shared" ref="D1376:E1376" si="1107">D1369</f>
        <v>0</v>
      </c>
      <c r="E1376" s="23" t="str">
        <f t="shared" si="1107"/>
        <v>4200</v>
      </c>
      <c r="F1376" s="68">
        <v>800</v>
      </c>
      <c r="G1376" s="23" t="str">
        <f t="shared" ref="G1376:H1376" si="1108">G1369</f>
        <v>3800</v>
      </c>
      <c r="H1376" s="23">
        <f t="shared" si="1108"/>
        <v>380</v>
      </c>
      <c r="I1376" s="23" t="str">
        <f>I1355</f>
        <v>5500</v>
      </c>
      <c r="J1376" s="23" t="str">
        <f t="shared" ref="J1376:Q1376" si="1109">J1369</f>
        <v>1000</v>
      </c>
      <c r="K1376" s="23">
        <f t="shared" si="1109"/>
        <v>375</v>
      </c>
      <c r="L1376" s="23">
        <f t="shared" si="1109"/>
        <v>585</v>
      </c>
      <c r="M1376" s="23" t="str">
        <f t="shared" si="1109"/>
        <v>1000</v>
      </c>
      <c r="N1376" s="23">
        <f t="shared" si="1109"/>
        <v>3300</v>
      </c>
      <c r="O1376" s="23">
        <f t="shared" si="1109"/>
        <v>0</v>
      </c>
      <c r="P1376" s="23">
        <f t="shared" si="1109"/>
        <v>0</v>
      </c>
      <c r="Q1376" s="23">
        <f t="shared" si="1109"/>
        <v>2</v>
      </c>
      <c r="R1376" s="21"/>
    </row>
    <row r="1377" spans="1:18" ht="14.25" customHeight="1" x14ac:dyDescent="0.15">
      <c r="A1377" s="19">
        <v>1</v>
      </c>
      <c r="B1377" s="19">
        <v>1.5</v>
      </c>
      <c r="C1377" s="19">
        <f>0.6+0.3</f>
        <v>0.89999999999999991</v>
      </c>
      <c r="D1377" s="19">
        <f>B1377*C1377</f>
        <v>1.3499999999999999</v>
      </c>
      <c r="E1377" s="19"/>
      <c r="F1377" s="67">
        <v>6</v>
      </c>
      <c r="G1377" s="19"/>
      <c r="H1377" s="19"/>
      <c r="I1377" s="19">
        <f>B1377*0.4</f>
        <v>0.60000000000000009</v>
      </c>
      <c r="J1377" s="19">
        <v>1</v>
      </c>
      <c r="K1377" s="19">
        <f t="shared" ref="K1377:L1377" si="1110">A1377</f>
        <v>1</v>
      </c>
      <c r="L1377" s="19">
        <f t="shared" si="1110"/>
        <v>1.5</v>
      </c>
      <c r="M1377" s="19">
        <f>A1377</f>
        <v>1</v>
      </c>
      <c r="N1377" s="19">
        <f>(1.2*0.4)*2</f>
        <v>0.96</v>
      </c>
      <c r="O1377" s="19"/>
      <c r="P1377" s="19"/>
      <c r="Q1377" s="19"/>
      <c r="R1377" s="19"/>
    </row>
    <row r="1378" spans="1:18" ht="14.25" customHeight="1" x14ac:dyDescent="0.2">
      <c r="A1378" s="19"/>
      <c r="B1378" s="19"/>
      <c r="C1378" s="19"/>
      <c r="D1378" s="26" t="str">
        <f>D1371</f>
        <v>16250</v>
      </c>
      <c r="E1378" s="45">
        <v>0</v>
      </c>
      <c r="F1378" s="67">
        <v>2.5</v>
      </c>
      <c r="G1378" s="45">
        <v>2</v>
      </c>
      <c r="H1378" s="19">
        <f>B1377*2</f>
        <v>3</v>
      </c>
      <c r="I1378" s="19"/>
      <c r="J1378" s="19"/>
      <c r="K1378" s="19"/>
      <c r="L1378" s="19"/>
      <c r="M1378" s="19"/>
      <c r="N1378" s="28"/>
      <c r="O1378" s="19"/>
      <c r="P1378" s="19"/>
      <c r="Q1378" s="19"/>
      <c r="R1378" s="19"/>
    </row>
    <row r="1379" spans="1:18" ht="14.25" customHeight="1" x14ac:dyDescent="0.2">
      <c r="A1379" s="19"/>
      <c r="B1379" s="19"/>
      <c r="C1379" s="19"/>
      <c r="D1379" s="19">
        <f>D1377*D1378</f>
        <v>21937.499999999996</v>
      </c>
      <c r="E1379" s="45">
        <f>E1378*E1376</f>
        <v>0</v>
      </c>
      <c r="F1379" s="67">
        <f>F1378*F1377*F1376</f>
        <v>12000</v>
      </c>
      <c r="G1379" s="45">
        <f t="shared" ref="G1379:H1379" si="1111">G1376*G1378</f>
        <v>7600</v>
      </c>
      <c r="H1379" s="19">
        <f t="shared" si="1111"/>
        <v>1140</v>
      </c>
      <c r="I1379" s="19">
        <f t="shared" ref="I1379:N1379" si="1112">I1376*I1377</f>
        <v>3300.0000000000005</v>
      </c>
      <c r="J1379" s="19">
        <f t="shared" si="1112"/>
        <v>1000</v>
      </c>
      <c r="K1379" s="19">
        <f t="shared" si="1112"/>
        <v>375</v>
      </c>
      <c r="L1379" s="19">
        <f t="shared" si="1112"/>
        <v>877.5</v>
      </c>
      <c r="M1379" s="19">
        <f t="shared" si="1112"/>
        <v>1000</v>
      </c>
      <c r="N1379" s="19">
        <f t="shared" si="1112"/>
        <v>3168</v>
      </c>
      <c r="O1379" s="19">
        <f>SUM(D1379:N1379)</f>
        <v>52398</v>
      </c>
      <c r="P1379" s="19">
        <f>O1379/A1377</f>
        <v>52398</v>
      </c>
      <c r="Q1379" s="19">
        <f>P1379*Q1376</f>
        <v>104796</v>
      </c>
      <c r="R1379" s="19">
        <f>MROUND(Q1379,100)</f>
        <v>104800</v>
      </c>
    </row>
    <row r="1380" spans="1:18" ht="14.25" customHeight="1" x14ac:dyDescent="0.15">
      <c r="A1380" s="30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</row>
    <row r="1381" spans="1:18" ht="14.25" customHeight="1" x14ac:dyDescent="0.3">
      <c r="A1381" s="109" t="str">
        <f>PRICELIST!I413</f>
        <v>WSTK-LSHP-NSH-MB-1500-X</v>
      </c>
      <c r="B1381" s="87"/>
      <c r="C1381" s="87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/>
      <c r="Q1381" s="13"/>
      <c r="R1381" s="17"/>
    </row>
    <row r="1382" spans="1:18" ht="14.25" customHeight="1" x14ac:dyDescent="0.15">
      <c r="A1382" s="19" t="s">
        <v>57</v>
      </c>
      <c r="B1382" s="19" t="s">
        <v>59</v>
      </c>
      <c r="C1382" s="19" t="s">
        <v>62</v>
      </c>
      <c r="D1382" s="19" t="s">
        <v>64</v>
      </c>
      <c r="E1382" s="19">
        <v>1200</v>
      </c>
      <c r="F1382" s="67" t="s">
        <v>248</v>
      </c>
      <c r="G1382" s="19">
        <v>600</v>
      </c>
      <c r="H1382" s="19" t="s">
        <v>67</v>
      </c>
      <c r="I1382" s="19" t="s">
        <v>68</v>
      </c>
      <c r="J1382" s="19" t="s">
        <v>69</v>
      </c>
      <c r="K1382" s="19" t="s">
        <v>71</v>
      </c>
      <c r="L1382" s="19" t="s">
        <v>72</v>
      </c>
      <c r="M1382" s="19" t="s">
        <v>73</v>
      </c>
      <c r="N1382" s="19" t="s">
        <v>75</v>
      </c>
      <c r="O1382" s="19" t="s">
        <v>76</v>
      </c>
      <c r="P1382" s="19" t="s">
        <v>78</v>
      </c>
      <c r="Q1382" s="19" t="s">
        <v>79</v>
      </c>
      <c r="R1382" s="19" t="s">
        <v>81</v>
      </c>
    </row>
    <row r="1383" spans="1:18" ht="14.25" customHeight="1" x14ac:dyDescent="0.15">
      <c r="A1383" s="21">
        <f t="shared" ref="A1383:B1383" si="1113">A1376</f>
        <v>0</v>
      </c>
      <c r="B1383" s="21">
        <f t="shared" si="1113"/>
        <v>0</v>
      </c>
      <c r="C1383" s="44" t="s">
        <v>188</v>
      </c>
      <c r="D1383" s="21">
        <f t="shared" ref="D1383:H1383" si="1114">D1376</f>
        <v>0</v>
      </c>
      <c r="E1383" s="23" t="str">
        <f t="shared" si="1114"/>
        <v>4200</v>
      </c>
      <c r="F1383" s="68">
        <f t="shared" si="1114"/>
        <v>800</v>
      </c>
      <c r="G1383" s="23" t="str">
        <f t="shared" si="1114"/>
        <v>3800</v>
      </c>
      <c r="H1383" s="23">
        <f t="shared" si="1114"/>
        <v>380</v>
      </c>
      <c r="I1383" s="23" t="str">
        <f>I1362</f>
        <v>0</v>
      </c>
      <c r="J1383" s="23" t="str">
        <f t="shared" ref="J1383:Q1383" si="1115">J1376</f>
        <v>1000</v>
      </c>
      <c r="K1383" s="23">
        <f t="shared" si="1115"/>
        <v>375</v>
      </c>
      <c r="L1383" s="23">
        <f t="shared" si="1115"/>
        <v>585</v>
      </c>
      <c r="M1383" s="23" t="str">
        <f t="shared" si="1115"/>
        <v>1000</v>
      </c>
      <c r="N1383" s="23">
        <f t="shared" si="1115"/>
        <v>3300</v>
      </c>
      <c r="O1383" s="23">
        <f t="shared" si="1115"/>
        <v>0</v>
      </c>
      <c r="P1383" s="23">
        <f t="shared" si="1115"/>
        <v>0</v>
      </c>
      <c r="Q1383" s="23">
        <f t="shared" si="1115"/>
        <v>2</v>
      </c>
      <c r="R1383" s="21"/>
    </row>
    <row r="1384" spans="1:18" ht="14.25" customHeight="1" x14ac:dyDescent="0.15">
      <c r="A1384" s="19">
        <v>1</v>
      </c>
      <c r="B1384" s="19">
        <v>1.5</v>
      </c>
      <c r="C1384" s="19">
        <f>0.6+0.3</f>
        <v>0.89999999999999991</v>
      </c>
      <c r="D1384" s="19">
        <f>B1384*C1384</f>
        <v>1.3499999999999999</v>
      </c>
      <c r="E1384" s="19"/>
      <c r="F1384" s="67">
        <f t="shared" ref="F1384:F1385" si="1116">F1377</f>
        <v>6</v>
      </c>
      <c r="G1384" s="19"/>
      <c r="H1384" s="19"/>
      <c r="I1384" s="19">
        <f>B1384*0.4</f>
        <v>0.60000000000000009</v>
      </c>
      <c r="J1384" s="19">
        <v>1</v>
      </c>
      <c r="K1384" s="19">
        <f t="shared" ref="K1384:L1384" si="1117">A1384</f>
        <v>1</v>
      </c>
      <c r="L1384" s="19">
        <f t="shared" si="1117"/>
        <v>1.5</v>
      </c>
      <c r="M1384" s="19">
        <f>A1384</f>
        <v>1</v>
      </c>
      <c r="N1384" s="19">
        <f>(1.2*0.4)*2</f>
        <v>0.96</v>
      </c>
      <c r="O1384" s="19"/>
      <c r="P1384" s="19"/>
      <c r="Q1384" s="19"/>
      <c r="R1384" s="19"/>
    </row>
    <row r="1385" spans="1:18" ht="14.25" customHeight="1" x14ac:dyDescent="0.2">
      <c r="A1385" s="19"/>
      <c r="B1385" s="19"/>
      <c r="C1385" s="19"/>
      <c r="D1385" s="26" t="str">
        <f>D1378</f>
        <v>16250</v>
      </c>
      <c r="E1385" s="45">
        <v>0</v>
      </c>
      <c r="F1385" s="67">
        <f t="shared" si="1116"/>
        <v>2.5</v>
      </c>
      <c r="G1385" s="45">
        <v>2</v>
      </c>
      <c r="H1385" s="19">
        <f>B1384*2</f>
        <v>3</v>
      </c>
      <c r="I1385" s="19"/>
      <c r="J1385" s="19"/>
      <c r="K1385" s="19"/>
      <c r="L1385" s="19"/>
      <c r="M1385" s="19"/>
      <c r="N1385" s="28"/>
      <c r="O1385" s="19"/>
      <c r="P1385" s="19"/>
      <c r="Q1385" s="19"/>
      <c r="R1385" s="19"/>
    </row>
    <row r="1386" spans="1:18" ht="14.25" customHeight="1" x14ac:dyDescent="0.2">
      <c r="A1386" s="19"/>
      <c r="B1386" s="19"/>
      <c r="C1386" s="19"/>
      <c r="D1386" s="19">
        <f>D1384*D1385</f>
        <v>21937.499999999996</v>
      </c>
      <c r="E1386" s="45">
        <f>E1385*E1383</f>
        <v>0</v>
      </c>
      <c r="F1386" s="67">
        <f>F1385*F1384*F1383</f>
        <v>12000</v>
      </c>
      <c r="G1386" s="45">
        <f t="shared" ref="G1386:H1386" si="1118">G1383*G1385</f>
        <v>7600</v>
      </c>
      <c r="H1386" s="19">
        <f t="shared" si="1118"/>
        <v>1140</v>
      </c>
      <c r="I1386" s="19">
        <f t="shared" ref="I1386:N1386" si="1119">I1383*I1384</f>
        <v>0</v>
      </c>
      <c r="J1386" s="19">
        <f t="shared" si="1119"/>
        <v>1000</v>
      </c>
      <c r="K1386" s="19">
        <f t="shared" si="1119"/>
        <v>375</v>
      </c>
      <c r="L1386" s="19">
        <f t="shared" si="1119"/>
        <v>877.5</v>
      </c>
      <c r="M1386" s="19">
        <f t="shared" si="1119"/>
        <v>1000</v>
      </c>
      <c r="N1386" s="19">
        <f t="shared" si="1119"/>
        <v>3168</v>
      </c>
      <c r="O1386" s="19">
        <f>SUM(D1386:N1386)</f>
        <v>49098</v>
      </c>
      <c r="P1386" s="19">
        <f>O1386/A1384</f>
        <v>49098</v>
      </c>
      <c r="Q1386" s="19">
        <f>P1386*Q1383</f>
        <v>98196</v>
      </c>
      <c r="R1386" s="19">
        <f>MROUND(Q1386,100)</f>
        <v>98200</v>
      </c>
    </row>
  </sheetData>
  <mergeCells count="199">
    <mergeCell ref="A975:C975"/>
    <mergeCell ref="A982:C982"/>
    <mergeCell ref="A989:C989"/>
    <mergeCell ref="A996:C996"/>
    <mergeCell ref="A1003:C1003"/>
    <mergeCell ref="A1010:C1010"/>
    <mergeCell ref="A1017:C1017"/>
    <mergeCell ref="A912:C912"/>
    <mergeCell ref="A919:C919"/>
    <mergeCell ref="A926:C926"/>
    <mergeCell ref="A933:C933"/>
    <mergeCell ref="A940:C940"/>
    <mergeCell ref="A947:C947"/>
    <mergeCell ref="A954:C954"/>
    <mergeCell ref="A961:C961"/>
    <mergeCell ref="A968:C968"/>
    <mergeCell ref="A849:C849"/>
    <mergeCell ref="A856:C856"/>
    <mergeCell ref="A863:C863"/>
    <mergeCell ref="A870:C870"/>
    <mergeCell ref="A877:C877"/>
    <mergeCell ref="A884:C884"/>
    <mergeCell ref="A891:C891"/>
    <mergeCell ref="A898:C898"/>
    <mergeCell ref="A905:C905"/>
    <mergeCell ref="A786:C786"/>
    <mergeCell ref="A793:C793"/>
    <mergeCell ref="A800:C800"/>
    <mergeCell ref="A807:C807"/>
    <mergeCell ref="A814:C814"/>
    <mergeCell ref="A821:C821"/>
    <mergeCell ref="A828:C828"/>
    <mergeCell ref="A835:C835"/>
    <mergeCell ref="A842:C842"/>
    <mergeCell ref="A1283:C1283"/>
    <mergeCell ref="A1290:C1290"/>
    <mergeCell ref="A1297:C1297"/>
    <mergeCell ref="A1304:C1304"/>
    <mergeCell ref="A1311:C1311"/>
    <mergeCell ref="A1367:C1367"/>
    <mergeCell ref="A1374:C1374"/>
    <mergeCell ref="A1381:C1381"/>
    <mergeCell ref="A1318:C1318"/>
    <mergeCell ref="A1325:C1325"/>
    <mergeCell ref="A1332:C1332"/>
    <mergeCell ref="A1339:C1339"/>
    <mergeCell ref="A1346:C1346"/>
    <mergeCell ref="A1353:C1353"/>
    <mergeCell ref="A1360:C1360"/>
    <mergeCell ref="A1220:C1220"/>
    <mergeCell ref="A1227:C1227"/>
    <mergeCell ref="A1234:C1234"/>
    <mergeCell ref="A1241:C1241"/>
    <mergeCell ref="A1248:C1248"/>
    <mergeCell ref="A1255:C1255"/>
    <mergeCell ref="A1262:C1262"/>
    <mergeCell ref="A1269:C1269"/>
    <mergeCell ref="A1276:C1276"/>
    <mergeCell ref="A1157:C1157"/>
    <mergeCell ref="A1164:C1164"/>
    <mergeCell ref="A1171:C1171"/>
    <mergeCell ref="A1178:C1178"/>
    <mergeCell ref="A1185:C1185"/>
    <mergeCell ref="A1192:C1192"/>
    <mergeCell ref="A1199:C1199"/>
    <mergeCell ref="A1206:C1206"/>
    <mergeCell ref="A1213:C1213"/>
    <mergeCell ref="A1094:C1094"/>
    <mergeCell ref="A1101:C1101"/>
    <mergeCell ref="A1108:C1108"/>
    <mergeCell ref="A1115:C1115"/>
    <mergeCell ref="A1122:C1122"/>
    <mergeCell ref="A1129:C1129"/>
    <mergeCell ref="A1136:C1136"/>
    <mergeCell ref="A1143:C1143"/>
    <mergeCell ref="A1150:C1150"/>
    <mergeCell ref="A1031:C1031"/>
    <mergeCell ref="A1038:C1038"/>
    <mergeCell ref="A1045:C1045"/>
    <mergeCell ref="A1052:C1052"/>
    <mergeCell ref="A1059:C1059"/>
    <mergeCell ref="A1066:C1066"/>
    <mergeCell ref="A1073:C1073"/>
    <mergeCell ref="A1080:C1080"/>
    <mergeCell ref="A1087:C1087"/>
    <mergeCell ref="A625:C625"/>
    <mergeCell ref="A632:C632"/>
    <mergeCell ref="A639:C639"/>
    <mergeCell ref="A646:C646"/>
    <mergeCell ref="A653:C653"/>
    <mergeCell ref="A660:C660"/>
    <mergeCell ref="A667:C667"/>
    <mergeCell ref="A674:C674"/>
    <mergeCell ref="A1024:C1024"/>
    <mergeCell ref="A681:C681"/>
    <mergeCell ref="A688:C688"/>
    <mergeCell ref="A695:C695"/>
    <mergeCell ref="A702:C702"/>
    <mergeCell ref="A709:C709"/>
    <mergeCell ref="A716:C716"/>
    <mergeCell ref="A723:C723"/>
    <mergeCell ref="A730:C730"/>
    <mergeCell ref="A737:C737"/>
    <mergeCell ref="A744:C744"/>
    <mergeCell ref="A751:C751"/>
    <mergeCell ref="A758:C758"/>
    <mergeCell ref="A765:C765"/>
    <mergeCell ref="A772:C772"/>
    <mergeCell ref="A779:C779"/>
    <mergeCell ref="A562:C562"/>
    <mergeCell ref="A569:C569"/>
    <mergeCell ref="A576:C576"/>
    <mergeCell ref="A583:C583"/>
    <mergeCell ref="A590:C590"/>
    <mergeCell ref="A597:C597"/>
    <mergeCell ref="A604:C604"/>
    <mergeCell ref="A611:C611"/>
    <mergeCell ref="A618:C618"/>
    <mergeCell ref="A499:C499"/>
    <mergeCell ref="A506:C506"/>
    <mergeCell ref="A513:C513"/>
    <mergeCell ref="A520:C520"/>
    <mergeCell ref="A527:C527"/>
    <mergeCell ref="A534:C534"/>
    <mergeCell ref="A541:C541"/>
    <mergeCell ref="A548:C548"/>
    <mergeCell ref="A555:C555"/>
    <mergeCell ref="A436:C436"/>
    <mergeCell ref="A443:C443"/>
    <mergeCell ref="A450:C450"/>
    <mergeCell ref="A457:C457"/>
    <mergeCell ref="A464:C464"/>
    <mergeCell ref="A471:C471"/>
    <mergeCell ref="A478:C478"/>
    <mergeCell ref="A485:C485"/>
    <mergeCell ref="A492:C492"/>
    <mergeCell ref="A373:C373"/>
    <mergeCell ref="A380:C380"/>
    <mergeCell ref="A387:C387"/>
    <mergeCell ref="A394:C394"/>
    <mergeCell ref="A401:C401"/>
    <mergeCell ref="A408:C408"/>
    <mergeCell ref="A415:C415"/>
    <mergeCell ref="A422:C422"/>
    <mergeCell ref="A429:C429"/>
    <mergeCell ref="A310:C310"/>
    <mergeCell ref="A317:C317"/>
    <mergeCell ref="A324:C324"/>
    <mergeCell ref="A331:C331"/>
    <mergeCell ref="A338:C338"/>
    <mergeCell ref="A345:C345"/>
    <mergeCell ref="A352:C352"/>
    <mergeCell ref="A359:C359"/>
    <mergeCell ref="A366:C366"/>
    <mergeCell ref="A247:C247"/>
    <mergeCell ref="A254:C254"/>
    <mergeCell ref="A261:C261"/>
    <mergeCell ref="A268:C268"/>
    <mergeCell ref="A275:C275"/>
    <mergeCell ref="A282:C282"/>
    <mergeCell ref="A289:C289"/>
    <mergeCell ref="A296:C296"/>
    <mergeCell ref="A303:C303"/>
    <mergeCell ref="A184:C184"/>
    <mergeCell ref="A191:C191"/>
    <mergeCell ref="A198:C198"/>
    <mergeCell ref="A205:C205"/>
    <mergeCell ref="A212:C212"/>
    <mergeCell ref="A219:C219"/>
    <mergeCell ref="A226:C226"/>
    <mergeCell ref="A233:C233"/>
    <mergeCell ref="A240:C240"/>
    <mergeCell ref="A121:C121"/>
    <mergeCell ref="A128:C128"/>
    <mergeCell ref="A135:C135"/>
    <mergeCell ref="A142:C142"/>
    <mergeCell ref="A149:C149"/>
    <mergeCell ref="A156:C156"/>
    <mergeCell ref="A163:C163"/>
    <mergeCell ref="A170:C170"/>
    <mergeCell ref="A177:C177"/>
    <mergeCell ref="A58:C58"/>
    <mergeCell ref="A65:C65"/>
    <mergeCell ref="A72:C72"/>
    <mergeCell ref="A79:C79"/>
    <mergeCell ref="A86:C86"/>
    <mergeCell ref="A93:C93"/>
    <mergeCell ref="A100:C100"/>
    <mergeCell ref="A107:C107"/>
    <mergeCell ref="A114:C114"/>
    <mergeCell ref="A1:R1"/>
    <mergeCell ref="A2:C2"/>
    <mergeCell ref="A9:C9"/>
    <mergeCell ref="A16:C16"/>
    <mergeCell ref="A23:C23"/>
    <mergeCell ref="A30:C30"/>
    <mergeCell ref="A37:C37"/>
    <mergeCell ref="A44:C44"/>
    <mergeCell ref="A51:C5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3"/>
  <sheetViews>
    <sheetView workbookViewId="0"/>
  </sheetViews>
  <sheetFormatPr baseColWidth="10" defaultColWidth="12.6640625" defaultRowHeight="15.75" customHeight="1" x14ac:dyDescent="0.15"/>
  <cols>
    <col min="1" max="11" width="17" customWidth="1"/>
  </cols>
  <sheetData>
    <row r="1" spans="1:11" ht="30" customHeight="1" x14ac:dyDescent="0.15">
      <c r="A1" s="108" t="s">
        <v>8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 ht="14.25" customHeight="1" x14ac:dyDescent="0.3">
      <c r="A2" s="109" t="str">
        <f>PRICELIST!I414</f>
        <v>WPNL-LNR-SH-PB-1200</v>
      </c>
      <c r="B2" s="87"/>
      <c r="C2" s="87"/>
      <c r="D2" s="13"/>
      <c r="E2" s="13"/>
      <c r="F2" s="13"/>
      <c r="G2" s="13"/>
      <c r="H2" s="13"/>
      <c r="I2" s="13"/>
      <c r="J2" s="13"/>
      <c r="K2" s="17"/>
    </row>
    <row r="3" spans="1:11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 t="s">
        <v>104</v>
      </c>
      <c r="F3" s="19" t="s">
        <v>67</v>
      </c>
      <c r="G3" s="19" t="s">
        <v>71</v>
      </c>
      <c r="H3" s="19" t="s">
        <v>76</v>
      </c>
      <c r="I3" s="19" t="s">
        <v>78</v>
      </c>
      <c r="J3" s="19" t="s">
        <v>79</v>
      </c>
      <c r="K3" s="19" t="s">
        <v>81</v>
      </c>
    </row>
    <row r="4" spans="1:11" ht="14.25" customHeight="1" x14ac:dyDescent="0.15">
      <c r="A4" s="21"/>
      <c r="B4" s="21"/>
      <c r="C4" s="21"/>
      <c r="D4" s="21"/>
      <c r="E4" s="23" t="str">
        <f>'MASTER DATA'!E12</f>
        <v>6000</v>
      </c>
      <c r="F4" s="21">
        <v>380</v>
      </c>
      <c r="G4" s="21">
        <v>500</v>
      </c>
      <c r="H4" s="21"/>
      <c r="I4" s="21"/>
      <c r="J4" s="21">
        <f>'MASTER DATA'!C16</f>
        <v>2</v>
      </c>
      <c r="K4" s="21"/>
    </row>
    <row r="5" spans="1:11" ht="14.25" customHeight="1" x14ac:dyDescent="0.15">
      <c r="A5" s="19">
        <v>6</v>
      </c>
      <c r="B5" s="19">
        <f>1.2*3</f>
        <v>3.5999999999999996</v>
      </c>
      <c r="C5" s="19">
        <f>1.2</f>
        <v>1.2</v>
      </c>
      <c r="D5" s="19">
        <f>B5*C5</f>
        <v>4.3199999999999994</v>
      </c>
      <c r="E5" s="19">
        <f>B5+(((A5/2)+1)*C5)</f>
        <v>8.3999999999999986</v>
      </c>
      <c r="F5" s="19"/>
      <c r="G5" s="19">
        <f>A5</f>
        <v>6</v>
      </c>
      <c r="H5" s="19"/>
      <c r="I5" s="19"/>
      <c r="J5" s="19"/>
      <c r="K5" s="19"/>
    </row>
    <row r="6" spans="1:11" ht="14.25" customHeight="1" x14ac:dyDescent="0.15">
      <c r="A6" s="19"/>
      <c r="B6" s="19"/>
      <c r="C6" s="19"/>
      <c r="D6" s="26" t="str">
        <f>'MASTER DATA'!C3</f>
        <v>2200</v>
      </c>
      <c r="E6" s="19">
        <v>1.2</v>
      </c>
      <c r="F6" s="19">
        <f>B5*2</f>
        <v>7.1999999999999993</v>
      </c>
      <c r="G6" s="19"/>
      <c r="H6" s="19"/>
      <c r="I6" s="19"/>
      <c r="J6" s="19"/>
      <c r="K6" s="19"/>
    </row>
    <row r="7" spans="1:11" ht="14.25" customHeight="1" x14ac:dyDescent="0.15">
      <c r="A7" s="19"/>
      <c r="B7" s="19"/>
      <c r="C7" s="19"/>
      <c r="D7" s="19">
        <f>D5*D6</f>
        <v>9503.9999999999982</v>
      </c>
      <c r="E7" s="19">
        <f>E6*E5*E4</f>
        <v>60479.999999999993</v>
      </c>
      <c r="F7" s="19">
        <f>F4*F6</f>
        <v>2735.9999999999995</v>
      </c>
      <c r="G7" s="19">
        <f>G4*G5</f>
        <v>3000</v>
      </c>
      <c r="H7" s="19">
        <f>SUM(D7:G7)</f>
        <v>75719.999999999985</v>
      </c>
      <c r="I7" s="19">
        <f>H7/A5</f>
        <v>12619.999999999998</v>
      </c>
      <c r="J7" s="19">
        <f>I7*J4</f>
        <v>25239.999999999996</v>
      </c>
      <c r="K7" s="19">
        <f>MROUND(J7,100)</f>
        <v>25200</v>
      </c>
    </row>
    <row r="8" spans="1:11" ht="14.25" customHeight="1" x14ac:dyDescent="0.15">
      <c r="A8" s="30"/>
      <c r="B8" s="30"/>
      <c r="C8" s="30"/>
      <c r="D8" s="30"/>
      <c r="E8" s="30"/>
      <c r="F8" s="30"/>
      <c r="G8" s="30"/>
      <c r="H8" s="30"/>
      <c r="I8" s="30"/>
      <c r="J8" s="30"/>
    </row>
    <row r="9" spans="1:11" ht="14.25" customHeight="1" x14ac:dyDescent="0.3">
      <c r="A9" s="109" t="str">
        <f>PRICELIST!I415</f>
        <v>WPNL-LNR-NSH-PB-1200</v>
      </c>
      <c r="B9" s="87"/>
      <c r="C9" s="87"/>
      <c r="D9" s="13"/>
      <c r="E9" s="13"/>
      <c r="F9" s="13"/>
      <c r="G9" s="13"/>
      <c r="H9" s="13"/>
      <c r="I9" s="13"/>
      <c r="J9" s="13"/>
      <c r="K9" s="17"/>
    </row>
    <row r="10" spans="1:11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 t="s">
        <v>104</v>
      </c>
      <c r="F10" s="19" t="s">
        <v>67</v>
      </c>
      <c r="G10" s="19" t="s">
        <v>71</v>
      </c>
      <c r="H10" s="19" t="s">
        <v>76</v>
      </c>
      <c r="I10" s="19" t="s">
        <v>78</v>
      </c>
      <c r="J10" s="19" t="s">
        <v>79</v>
      </c>
      <c r="K10" s="19" t="s">
        <v>81</v>
      </c>
    </row>
    <row r="11" spans="1:11" ht="14.25" customHeight="1" x14ac:dyDescent="0.15">
      <c r="A11" s="21"/>
      <c r="B11" s="21"/>
      <c r="C11" s="21"/>
      <c r="D11" s="21"/>
      <c r="E11" s="23" t="str">
        <f>E4</f>
        <v>6000</v>
      </c>
      <c r="F11" s="21">
        <v>380</v>
      </c>
      <c r="G11" s="21">
        <v>500</v>
      </c>
      <c r="H11" s="21"/>
      <c r="I11" s="21"/>
      <c r="J11" s="21">
        <f>J4</f>
        <v>2</v>
      </c>
      <c r="K11" s="21"/>
    </row>
    <row r="12" spans="1:11" ht="14.25" customHeight="1" x14ac:dyDescent="0.15">
      <c r="A12" s="19">
        <v>3</v>
      </c>
      <c r="B12" s="19">
        <f>1.2*3</f>
        <v>3.5999999999999996</v>
      </c>
      <c r="C12" s="19">
        <v>0.6</v>
      </c>
      <c r="D12" s="19">
        <f>B12*C12</f>
        <v>2.1599999999999997</v>
      </c>
      <c r="E12" s="19">
        <f>B12+(((A12/2)+1)*C12)</f>
        <v>5.0999999999999996</v>
      </c>
      <c r="F12" s="19"/>
      <c r="G12" s="19">
        <f>A12</f>
        <v>3</v>
      </c>
      <c r="H12" s="19"/>
      <c r="I12" s="19"/>
      <c r="J12" s="19"/>
      <c r="K12" s="19"/>
    </row>
    <row r="13" spans="1:11" ht="14.25" customHeight="1" x14ac:dyDescent="0.15">
      <c r="A13" s="19"/>
      <c r="B13" s="19"/>
      <c r="C13" s="19"/>
      <c r="D13" s="26" t="str">
        <f>D6</f>
        <v>2200</v>
      </c>
      <c r="E13" s="19">
        <v>1.2</v>
      </c>
      <c r="F13" s="19">
        <f>B12*2</f>
        <v>7.1999999999999993</v>
      </c>
      <c r="G13" s="19"/>
      <c r="H13" s="19"/>
      <c r="I13" s="19"/>
      <c r="J13" s="19"/>
      <c r="K13" s="19"/>
    </row>
    <row r="14" spans="1:11" ht="14.25" customHeight="1" x14ac:dyDescent="0.15">
      <c r="A14" s="19"/>
      <c r="B14" s="19"/>
      <c r="C14" s="19"/>
      <c r="D14" s="19">
        <f>D12*D13</f>
        <v>4751.9999999999991</v>
      </c>
      <c r="E14" s="19">
        <f>E13*E12*E11</f>
        <v>36719.999999999993</v>
      </c>
      <c r="F14" s="19">
        <f>F11*F13</f>
        <v>2735.9999999999995</v>
      </c>
      <c r="G14" s="19">
        <f>G11*G12</f>
        <v>1500</v>
      </c>
      <c r="H14" s="19">
        <f>SUM(D14:G14)</f>
        <v>45707.999999999993</v>
      </c>
      <c r="I14" s="19">
        <f>H14/A12</f>
        <v>15235.999999999998</v>
      </c>
      <c r="J14" s="19">
        <f>I14*J11</f>
        <v>30471.999999999996</v>
      </c>
      <c r="K14" s="19">
        <f>MROUND(J14,100)</f>
        <v>30500</v>
      </c>
    </row>
    <row r="15" spans="1:11" ht="14.25" customHeight="1" x14ac:dyDescent="0.15">
      <c r="A15" s="30"/>
      <c r="B15" s="30"/>
      <c r="C15" s="30"/>
      <c r="D15" s="30"/>
      <c r="E15" s="30"/>
      <c r="F15" s="30"/>
      <c r="G15" s="30"/>
      <c r="H15" s="30"/>
      <c r="I15" s="30"/>
      <c r="J15" s="23">
        <f>J8</f>
        <v>0</v>
      </c>
    </row>
    <row r="16" spans="1:11" ht="14.25" customHeight="1" x14ac:dyDescent="0.3">
      <c r="A16" s="109" t="str">
        <f>PRICELIST!I416</f>
        <v>WPNL-LNR-SU-PB-1200</v>
      </c>
      <c r="B16" s="87"/>
      <c r="C16" s="87"/>
      <c r="D16" s="13"/>
      <c r="E16" s="13"/>
      <c r="F16" s="13"/>
      <c r="G16" s="13"/>
      <c r="H16" s="13"/>
      <c r="I16" s="13"/>
      <c r="J16" s="13"/>
      <c r="K16" s="17"/>
    </row>
    <row r="17" spans="1:11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 t="s">
        <v>104</v>
      </c>
      <c r="F17" s="19" t="s">
        <v>67</v>
      </c>
      <c r="G17" s="19" t="s">
        <v>71</v>
      </c>
      <c r="H17" s="19" t="s">
        <v>76</v>
      </c>
      <c r="I17" s="19" t="s">
        <v>78</v>
      </c>
      <c r="J17" s="19" t="s">
        <v>79</v>
      </c>
      <c r="K17" s="19" t="s">
        <v>81</v>
      </c>
    </row>
    <row r="18" spans="1:11" ht="14.25" customHeight="1" x14ac:dyDescent="0.15">
      <c r="A18" s="21"/>
      <c r="B18" s="21"/>
      <c r="C18" s="21"/>
      <c r="D18" s="21"/>
      <c r="E18" s="23" t="str">
        <f>E11</f>
        <v>6000</v>
      </c>
      <c r="F18" s="21">
        <v>380</v>
      </c>
      <c r="G18" s="21">
        <v>500</v>
      </c>
      <c r="H18" s="21"/>
      <c r="I18" s="21"/>
      <c r="J18" s="21">
        <f>J11</f>
        <v>2</v>
      </c>
      <c r="K18" s="21"/>
    </row>
    <row r="19" spans="1:11" ht="14.25" customHeight="1" x14ac:dyDescent="0.15">
      <c r="A19" s="19">
        <v>1</v>
      </c>
      <c r="B19" s="19">
        <v>1.2</v>
      </c>
      <c r="C19" s="19">
        <v>0.6</v>
      </c>
      <c r="D19" s="19">
        <f>B19*C19</f>
        <v>0.72</v>
      </c>
      <c r="E19" s="19">
        <f>(C19*2)+B19</f>
        <v>2.4</v>
      </c>
      <c r="F19" s="19"/>
      <c r="G19" s="19">
        <f>A19</f>
        <v>1</v>
      </c>
      <c r="H19" s="19"/>
      <c r="I19" s="19"/>
      <c r="J19" s="19"/>
      <c r="K19" s="19"/>
    </row>
    <row r="20" spans="1:11" ht="14.25" customHeight="1" x14ac:dyDescent="0.15">
      <c r="A20" s="19"/>
      <c r="B20" s="19"/>
      <c r="C20" s="19"/>
      <c r="D20" s="26" t="str">
        <f>D13</f>
        <v>2200</v>
      </c>
      <c r="E20" s="19">
        <v>1.2</v>
      </c>
      <c r="F20" s="19">
        <f>B19*2</f>
        <v>2.4</v>
      </c>
      <c r="G20" s="19"/>
      <c r="H20" s="19"/>
      <c r="I20" s="19"/>
      <c r="J20" s="19"/>
      <c r="K20" s="19"/>
    </row>
    <row r="21" spans="1:11" ht="14.25" customHeight="1" x14ac:dyDescent="0.15">
      <c r="A21" s="19"/>
      <c r="B21" s="19"/>
      <c r="C21" s="19"/>
      <c r="D21" s="19">
        <f>D19*D20</f>
        <v>1584</v>
      </c>
      <c r="E21" s="19">
        <f>E20*E19*E18</f>
        <v>17280</v>
      </c>
      <c r="F21" s="19">
        <f>F18*F20</f>
        <v>912</v>
      </c>
      <c r="G21" s="19">
        <f>G18*G19</f>
        <v>500</v>
      </c>
      <c r="H21" s="19">
        <f>SUM(D21:G21)</f>
        <v>20276</v>
      </c>
      <c r="I21" s="19">
        <f>H21/A19</f>
        <v>20276</v>
      </c>
      <c r="J21" s="19">
        <f>I21*J18</f>
        <v>40552</v>
      </c>
      <c r="K21" s="19">
        <f>MROUND(J21,100)</f>
        <v>40600</v>
      </c>
    </row>
    <row r="22" spans="1:11" ht="14.25" customHeight="1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</row>
    <row r="23" spans="1:11" ht="14.25" customHeight="1" x14ac:dyDescent="0.3">
      <c r="A23" s="109" t="str">
        <f>PRICELIST!I417</f>
        <v>WPNL-LNR-SH-PB-1500</v>
      </c>
      <c r="B23" s="87"/>
      <c r="C23" s="87"/>
      <c r="D23" s="13"/>
      <c r="E23" s="13"/>
      <c r="F23" s="13"/>
      <c r="G23" s="13"/>
      <c r="H23" s="13"/>
      <c r="I23" s="13"/>
      <c r="J23" s="13"/>
      <c r="K23" s="17"/>
    </row>
    <row r="24" spans="1:11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 t="s">
        <v>104</v>
      </c>
      <c r="F24" s="19" t="s">
        <v>67</v>
      </c>
      <c r="G24" s="19" t="s">
        <v>71</v>
      </c>
      <c r="H24" s="19" t="s">
        <v>76</v>
      </c>
      <c r="I24" s="19" t="s">
        <v>78</v>
      </c>
      <c r="J24" s="19" t="s">
        <v>79</v>
      </c>
      <c r="K24" s="19" t="s">
        <v>81</v>
      </c>
    </row>
    <row r="25" spans="1:11" ht="14.25" customHeight="1" x14ac:dyDescent="0.15">
      <c r="A25" s="21"/>
      <c r="B25" s="21"/>
      <c r="C25" s="21"/>
      <c r="D25" s="21"/>
      <c r="E25" s="23" t="str">
        <f>E18</f>
        <v>6000</v>
      </c>
      <c r="F25" s="21">
        <v>380</v>
      </c>
      <c r="G25" s="21">
        <v>500</v>
      </c>
      <c r="H25" s="21"/>
      <c r="I25" s="21"/>
      <c r="J25" s="21">
        <f>J18</f>
        <v>2</v>
      </c>
      <c r="K25" s="21"/>
    </row>
    <row r="26" spans="1:11" ht="14.25" customHeight="1" x14ac:dyDescent="0.15">
      <c r="A26" s="19">
        <v>6</v>
      </c>
      <c r="B26" s="19">
        <v>4.5</v>
      </c>
      <c r="C26" s="19">
        <f>1.2</f>
        <v>1.2</v>
      </c>
      <c r="D26" s="19">
        <f>B26*C26</f>
        <v>5.3999999999999995</v>
      </c>
      <c r="E26" s="19">
        <f>B26+(((A26/2)+1)*C26)</f>
        <v>9.3000000000000007</v>
      </c>
      <c r="F26" s="19"/>
      <c r="G26" s="19">
        <f>A26</f>
        <v>6</v>
      </c>
      <c r="H26" s="19"/>
      <c r="I26" s="19"/>
      <c r="J26" s="19"/>
      <c r="K26" s="19"/>
    </row>
    <row r="27" spans="1:11" ht="14.25" customHeight="1" x14ac:dyDescent="0.15">
      <c r="A27" s="19"/>
      <c r="B27" s="19"/>
      <c r="C27" s="19"/>
      <c r="D27" s="26" t="str">
        <f>D20</f>
        <v>2200</v>
      </c>
      <c r="E27" s="19">
        <v>1.2</v>
      </c>
      <c r="F27" s="19">
        <f>B26*2</f>
        <v>9</v>
      </c>
      <c r="G27" s="19"/>
      <c r="H27" s="19"/>
      <c r="I27" s="19"/>
      <c r="J27" s="19"/>
      <c r="K27" s="19"/>
    </row>
    <row r="28" spans="1:11" ht="14.25" customHeight="1" x14ac:dyDescent="0.15">
      <c r="A28" s="19"/>
      <c r="B28" s="19"/>
      <c r="C28" s="19"/>
      <c r="D28" s="19">
        <f>D26*D27</f>
        <v>11879.999999999998</v>
      </c>
      <c r="E28" s="19">
        <f>E27*E26*E25</f>
        <v>66960</v>
      </c>
      <c r="F28" s="19">
        <f>F25*F27</f>
        <v>3420</v>
      </c>
      <c r="G28" s="19">
        <f>G25*G26</f>
        <v>3000</v>
      </c>
      <c r="H28" s="19">
        <f>SUM(D28:G28)</f>
        <v>85260</v>
      </c>
      <c r="I28" s="19">
        <f>H28/A26</f>
        <v>14210</v>
      </c>
      <c r="J28" s="19">
        <f>I28*J25</f>
        <v>28420</v>
      </c>
      <c r="K28" s="19">
        <f>MROUND(J28,100)</f>
        <v>28400</v>
      </c>
    </row>
    <row r="29" spans="1:11" ht="14.25" customHeight="1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23"/>
    </row>
    <row r="30" spans="1:11" ht="14.25" customHeight="1" x14ac:dyDescent="0.3">
      <c r="A30" s="109" t="str">
        <f>PRICELIST!I418</f>
        <v>WPNL-LNR-NSH-PB-1500</v>
      </c>
      <c r="B30" s="87"/>
      <c r="C30" s="87"/>
      <c r="D30" s="13"/>
      <c r="E30" s="13"/>
      <c r="F30" s="13"/>
      <c r="G30" s="13"/>
      <c r="H30" s="13"/>
      <c r="I30" s="13"/>
      <c r="J30" s="13"/>
      <c r="K30" s="17"/>
    </row>
    <row r="31" spans="1:11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 t="s">
        <v>104</v>
      </c>
      <c r="F31" s="19" t="s">
        <v>67</v>
      </c>
      <c r="G31" s="19" t="s">
        <v>71</v>
      </c>
      <c r="H31" s="19" t="s">
        <v>76</v>
      </c>
      <c r="I31" s="19" t="s">
        <v>78</v>
      </c>
      <c r="J31" s="19" t="s">
        <v>79</v>
      </c>
      <c r="K31" s="19" t="s">
        <v>81</v>
      </c>
    </row>
    <row r="32" spans="1:11" ht="14.25" customHeight="1" x14ac:dyDescent="0.15">
      <c r="A32" s="21"/>
      <c r="B32" s="21"/>
      <c r="C32" s="21"/>
      <c r="D32" s="21"/>
      <c r="E32" s="23" t="str">
        <f>E25</f>
        <v>6000</v>
      </c>
      <c r="F32" s="21">
        <v>380</v>
      </c>
      <c r="G32" s="21">
        <v>500</v>
      </c>
      <c r="H32" s="21"/>
      <c r="I32" s="21"/>
      <c r="J32" s="21">
        <f>J25</f>
        <v>2</v>
      </c>
      <c r="K32" s="21"/>
    </row>
    <row r="33" spans="1:11" ht="14.25" customHeight="1" x14ac:dyDescent="0.15">
      <c r="A33" s="19">
        <v>3</v>
      </c>
      <c r="B33" s="19">
        <f>1.5*3</f>
        <v>4.5</v>
      </c>
      <c r="C33" s="19">
        <v>0.6</v>
      </c>
      <c r="D33" s="19">
        <f>B33*C33</f>
        <v>2.6999999999999997</v>
      </c>
      <c r="E33" s="19">
        <f>B33+(((A33/2)+1)*C33)</f>
        <v>6</v>
      </c>
      <c r="F33" s="19"/>
      <c r="G33" s="19">
        <f>A33</f>
        <v>3</v>
      </c>
      <c r="H33" s="19"/>
      <c r="I33" s="19"/>
      <c r="J33" s="19"/>
      <c r="K33" s="19"/>
    </row>
    <row r="34" spans="1:11" ht="14.25" customHeight="1" x14ac:dyDescent="0.15">
      <c r="A34" s="19"/>
      <c r="B34" s="19"/>
      <c r="C34" s="19"/>
      <c r="D34" s="26" t="str">
        <f>D27</f>
        <v>2200</v>
      </c>
      <c r="E34" s="19">
        <v>1.2</v>
      </c>
      <c r="F34" s="19">
        <f>B33*2</f>
        <v>9</v>
      </c>
      <c r="G34" s="19"/>
      <c r="H34" s="19"/>
      <c r="I34" s="19"/>
      <c r="J34" s="19"/>
      <c r="K34" s="19"/>
    </row>
    <row r="35" spans="1:11" ht="14.25" customHeight="1" x14ac:dyDescent="0.15">
      <c r="A35" s="19"/>
      <c r="B35" s="19"/>
      <c r="C35" s="19"/>
      <c r="D35" s="19">
        <f>D33*D34</f>
        <v>5939.9999999999991</v>
      </c>
      <c r="E35" s="19">
        <f>E34*E33*E32</f>
        <v>43199.999999999993</v>
      </c>
      <c r="F35" s="19">
        <f>F32*F34</f>
        <v>3420</v>
      </c>
      <c r="G35" s="19">
        <f>G32*G33</f>
        <v>1500</v>
      </c>
      <c r="H35" s="19">
        <f>SUM(D35:G35)</f>
        <v>54059.999999999993</v>
      </c>
      <c r="I35" s="19">
        <f>H35/A33</f>
        <v>18019.999999999996</v>
      </c>
      <c r="J35" s="19">
        <f>I35*J32</f>
        <v>36039.999999999993</v>
      </c>
      <c r="K35" s="19">
        <f>MROUND(J35,100)</f>
        <v>36000</v>
      </c>
    </row>
    <row r="36" spans="1:11" ht="14.2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</row>
    <row r="37" spans="1:11" ht="14.25" customHeight="1" x14ac:dyDescent="0.3">
      <c r="A37" s="109" t="str">
        <f>PRICELIST!I419</f>
        <v>WPNL-LNR-SU-PB-1500</v>
      </c>
      <c r="B37" s="87"/>
      <c r="C37" s="87"/>
      <c r="D37" s="13"/>
      <c r="E37" s="13"/>
      <c r="F37" s="13"/>
      <c r="G37" s="13"/>
      <c r="H37" s="13"/>
      <c r="I37" s="13"/>
      <c r="J37" s="13"/>
      <c r="K37" s="17"/>
    </row>
    <row r="38" spans="1:11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 t="s">
        <v>104</v>
      </c>
      <c r="F38" s="19" t="s">
        <v>67</v>
      </c>
      <c r="G38" s="19" t="s">
        <v>71</v>
      </c>
      <c r="H38" s="19" t="s">
        <v>76</v>
      </c>
      <c r="I38" s="19" t="s">
        <v>78</v>
      </c>
      <c r="J38" s="19" t="s">
        <v>79</v>
      </c>
      <c r="K38" s="19" t="s">
        <v>81</v>
      </c>
    </row>
    <row r="39" spans="1:11" ht="14.25" customHeight="1" x14ac:dyDescent="0.15">
      <c r="A39" s="21"/>
      <c r="B39" s="21"/>
      <c r="C39" s="21"/>
      <c r="D39" s="21"/>
      <c r="E39" s="23" t="str">
        <f>E32</f>
        <v>6000</v>
      </c>
      <c r="F39" s="21">
        <v>380</v>
      </c>
      <c r="G39" s="21">
        <v>500</v>
      </c>
      <c r="H39" s="21"/>
      <c r="I39" s="21"/>
      <c r="J39" s="21">
        <f>J32</f>
        <v>2</v>
      </c>
      <c r="K39" s="21"/>
    </row>
    <row r="40" spans="1:11" ht="14.25" customHeight="1" x14ac:dyDescent="0.15">
      <c r="A40" s="19">
        <v>1</v>
      </c>
      <c r="B40" s="19">
        <v>1.5</v>
      </c>
      <c r="C40" s="19">
        <v>0.6</v>
      </c>
      <c r="D40" s="19">
        <f>B40*C40</f>
        <v>0.89999999999999991</v>
      </c>
      <c r="E40" s="19">
        <f>(C40*2)+B40</f>
        <v>2.7</v>
      </c>
      <c r="F40" s="19"/>
      <c r="G40" s="19">
        <f>A40</f>
        <v>1</v>
      </c>
      <c r="H40" s="19"/>
      <c r="I40" s="19"/>
      <c r="J40" s="19"/>
      <c r="K40" s="19"/>
    </row>
    <row r="41" spans="1:11" ht="14.25" customHeight="1" x14ac:dyDescent="0.15">
      <c r="A41" s="19"/>
      <c r="B41" s="19"/>
      <c r="C41" s="19"/>
      <c r="D41" s="26" t="str">
        <f>D34</f>
        <v>2200</v>
      </c>
      <c r="E41" s="19">
        <v>1.2</v>
      </c>
      <c r="F41" s="19">
        <f>B40*2</f>
        <v>3</v>
      </c>
      <c r="G41" s="19"/>
      <c r="H41" s="19"/>
      <c r="I41" s="19"/>
      <c r="J41" s="19"/>
      <c r="K41" s="19"/>
    </row>
    <row r="42" spans="1:11" ht="14.25" customHeight="1" x14ac:dyDescent="0.15">
      <c r="A42" s="19"/>
      <c r="B42" s="19"/>
      <c r="C42" s="19"/>
      <c r="D42" s="19">
        <f>D40*D41</f>
        <v>1979.9999999999998</v>
      </c>
      <c r="E42" s="19">
        <f>E41*E40*E39</f>
        <v>19440</v>
      </c>
      <c r="F42" s="19">
        <f>F39*F41</f>
        <v>1140</v>
      </c>
      <c r="G42" s="19">
        <f>G39*G40</f>
        <v>500</v>
      </c>
      <c r="H42" s="19">
        <f>SUM(D42:G42)</f>
        <v>23060</v>
      </c>
      <c r="I42" s="19">
        <f>H42/A40</f>
        <v>23060</v>
      </c>
      <c r="J42" s="19">
        <f>I42*J39</f>
        <v>46120</v>
      </c>
      <c r="K42" s="19">
        <f>MROUND(J42,100)</f>
        <v>46100</v>
      </c>
    </row>
    <row r="43" spans="1:11" ht="14.25" customHeight="1" x14ac:dyDescent="0.15">
      <c r="A43" s="30"/>
      <c r="B43" s="30"/>
      <c r="C43" s="30"/>
      <c r="D43" s="30"/>
      <c r="E43" s="30"/>
      <c r="F43" s="30"/>
      <c r="G43" s="30"/>
      <c r="H43" s="30"/>
      <c r="I43" s="30"/>
      <c r="J43" s="23"/>
    </row>
  </sheetData>
  <mergeCells count="7">
    <mergeCell ref="A30:C30"/>
    <mergeCell ref="A37:C37"/>
    <mergeCell ref="A1:K1"/>
    <mergeCell ref="A2:C2"/>
    <mergeCell ref="A9:C9"/>
    <mergeCell ref="A16:C16"/>
    <mergeCell ref="A23:C2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37"/>
  <sheetViews>
    <sheetView workbookViewId="0"/>
  </sheetViews>
  <sheetFormatPr baseColWidth="10" defaultColWidth="12.6640625" defaultRowHeight="15.75" customHeight="1" x14ac:dyDescent="0.15"/>
  <cols>
    <col min="1" max="2" width="17" customWidth="1"/>
    <col min="3" max="3" width="22.83203125" customWidth="1"/>
    <col min="4" max="16" width="17" customWidth="1"/>
  </cols>
  <sheetData>
    <row r="1" spans="1:16" ht="30" customHeight="1" x14ac:dyDescent="0.15">
      <c r="A1" s="112" t="s">
        <v>159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1:16" ht="14.25" customHeight="1" x14ac:dyDescent="0.3">
      <c r="A2" s="109" t="str">
        <f>PRICELIST!I422</f>
        <v>MTFLX-SM-PB-1500-900</v>
      </c>
      <c r="B2" s="87"/>
      <c r="C2" s="87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7"/>
    </row>
    <row r="3" spans="1:16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>
        <v>1200</v>
      </c>
      <c r="F3" s="19">
        <v>900</v>
      </c>
      <c r="G3" s="19">
        <v>600</v>
      </c>
      <c r="H3" s="19" t="s">
        <v>67</v>
      </c>
      <c r="I3" s="19" t="s">
        <v>69</v>
      </c>
      <c r="J3" s="19" t="s">
        <v>71</v>
      </c>
      <c r="K3" s="19" t="s">
        <v>72</v>
      </c>
      <c r="L3" s="19" t="s">
        <v>73</v>
      </c>
      <c r="M3" s="19" t="s">
        <v>76</v>
      </c>
      <c r="N3" s="19" t="s">
        <v>78</v>
      </c>
      <c r="O3" s="19" t="s">
        <v>79</v>
      </c>
      <c r="P3" s="19" t="s">
        <v>81</v>
      </c>
    </row>
    <row r="4" spans="1:16" ht="14.25" customHeight="1" x14ac:dyDescent="0.15">
      <c r="A4" s="21"/>
      <c r="B4" s="21"/>
      <c r="C4" s="21"/>
      <c r="D4" s="21"/>
      <c r="E4" s="23" t="str">
        <f>'MASTER DATA'!E5</f>
        <v>2100</v>
      </c>
      <c r="F4" s="23" t="str">
        <f>'MASTER DATA'!E4</f>
        <v>1900</v>
      </c>
      <c r="G4" s="23" t="str">
        <f>'MASTER DATA'!E3</f>
        <v>1800</v>
      </c>
      <c r="H4" s="21">
        <v>380</v>
      </c>
      <c r="I4" s="23" t="str">
        <f>'MASTER DATA'!I5</f>
        <v>1500</v>
      </c>
      <c r="J4" s="21">
        <v>375</v>
      </c>
      <c r="K4" s="21">
        <v>585</v>
      </c>
      <c r="L4" s="23" t="str">
        <f>'MASTER DATA'!G7</f>
        <v>3500</v>
      </c>
      <c r="M4" s="21"/>
      <c r="N4" s="21"/>
      <c r="O4" s="21">
        <f>'MASTER DATA'!C16</f>
        <v>2</v>
      </c>
      <c r="P4" s="21"/>
    </row>
    <row r="5" spans="1:16" ht="14.25" customHeight="1" x14ac:dyDescent="0.15">
      <c r="A5" s="19">
        <v>1</v>
      </c>
      <c r="B5" s="19">
        <v>1.5</v>
      </c>
      <c r="C5" s="19">
        <v>0.9</v>
      </c>
      <c r="D5" s="19">
        <f>B5*C5</f>
        <v>1.35</v>
      </c>
      <c r="E5" s="19"/>
      <c r="F5" s="19"/>
      <c r="G5" s="19"/>
      <c r="H5" s="19"/>
      <c r="I5" s="19">
        <v>1</v>
      </c>
      <c r="J5" s="19">
        <f t="shared" ref="J5:K5" si="0">A5</f>
        <v>1</v>
      </c>
      <c r="K5" s="19">
        <f t="shared" si="0"/>
        <v>1.5</v>
      </c>
      <c r="L5" s="19">
        <f>A5</f>
        <v>1</v>
      </c>
      <c r="M5" s="19"/>
      <c r="N5" s="19"/>
      <c r="O5" s="19"/>
      <c r="P5" s="19"/>
    </row>
    <row r="6" spans="1:16" ht="14.25" customHeight="1" x14ac:dyDescent="0.15">
      <c r="A6" s="19"/>
      <c r="B6" s="19"/>
      <c r="C6" s="19"/>
      <c r="D6" s="26" t="str">
        <f>'MASTER DATA'!C3</f>
        <v>2200</v>
      </c>
      <c r="E6" s="19">
        <v>0</v>
      </c>
      <c r="F6" s="19">
        <v>2</v>
      </c>
      <c r="G6" s="19">
        <v>0</v>
      </c>
      <c r="H6" s="19">
        <f>B5*2</f>
        <v>3</v>
      </c>
      <c r="I6" s="19"/>
      <c r="J6" s="19"/>
      <c r="K6" s="19"/>
      <c r="L6" s="19"/>
      <c r="M6" s="19"/>
      <c r="N6" s="19"/>
      <c r="O6" s="19"/>
      <c r="P6" s="19"/>
    </row>
    <row r="7" spans="1:16" ht="14.25" customHeight="1" x14ac:dyDescent="0.15">
      <c r="A7" s="19"/>
      <c r="B7" s="19"/>
      <c r="C7" s="19"/>
      <c r="D7" s="19">
        <f>D5*D6</f>
        <v>2970</v>
      </c>
      <c r="E7" s="19">
        <f>E6*E4</f>
        <v>0</v>
      </c>
      <c r="F7" s="19">
        <f t="shared" ref="F7:H7" si="1">F4*F6</f>
        <v>3800</v>
      </c>
      <c r="G7" s="19">
        <f t="shared" si="1"/>
        <v>0</v>
      </c>
      <c r="H7" s="19">
        <f t="shared" si="1"/>
        <v>1140</v>
      </c>
      <c r="I7" s="19">
        <f t="shared" ref="I7:L7" si="2">I4*I5</f>
        <v>1500</v>
      </c>
      <c r="J7" s="19">
        <f t="shared" si="2"/>
        <v>375</v>
      </c>
      <c r="K7" s="19">
        <f t="shared" si="2"/>
        <v>877.5</v>
      </c>
      <c r="L7" s="19">
        <f t="shared" si="2"/>
        <v>3500</v>
      </c>
      <c r="M7" s="19">
        <f>SUM(D7:L7)</f>
        <v>14162.5</v>
      </c>
      <c r="N7" s="19">
        <f>M7/A5</f>
        <v>14162.5</v>
      </c>
      <c r="O7" s="19">
        <f>N7*O4</f>
        <v>28325</v>
      </c>
      <c r="P7" s="19">
        <f>MROUND(O7,100)</f>
        <v>28300</v>
      </c>
    </row>
    <row r="8" spans="1:16" ht="14.25" customHeight="1" x14ac:dyDescent="0.1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16" ht="14.25" customHeight="1" x14ac:dyDescent="0.15">
      <c r="A9" s="109" t="str">
        <f>PRICELIST!I423</f>
        <v>MTFLX-SM-PLM-1500-900</v>
      </c>
      <c r="B9" s="87"/>
      <c r="C9" s="87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6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>
        <v>1200</v>
      </c>
      <c r="F10" s="19">
        <v>900</v>
      </c>
      <c r="G10" s="19">
        <v>600</v>
      </c>
      <c r="H10" s="19" t="s">
        <v>67</v>
      </c>
      <c r="I10" s="19" t="s">
        <v>69</v>
      </c>
      <c r="J10" s="19" t="s">
        <v>71</v>
      </c>
      <c r="K10" s="19" t="s">
        <v>72</v>
      </c>
      <c r="L10" s="19" t="s">
        <v>73</v>
      </c>
      <c r="M10" s="19" t="s">
        <v>76</v>
      </c>
      <c r="N10" s="19" t="s">
        <v>78</v>
      </c>
      <c r="O10" s="19" t="s">
        <v>79</v>
      </c>
      <c r="P10" s="19" t="s">
        <v>81</v>
      </c>
    </row>
    <row r="11" spans="1:16" ht="14.25" customHeight="1" x14ac:dyDescent="0.15">
      <c r="A11" s="21"/>
      <c r="B11" s="21"/>
      <c r="C11" s="21"/>
      <c r="D11" s="21"/>
      <c r="E11" s="23" t="str">
        <f t="shared" ref="E11:G11" si="3">E4</f>
        <v>2100</v>
      </c>
      <c r="F11" s="23" t="str">
        <f t="shared" si="3"/>
        <v>1900</v>
      </c>
      <c r="G11" s="23" t="str">
        <f t="shared" si="3"/>
        <v>1800</v>
      </c>
      <c r="H11" s="21">
        <v>380</v>
      </c>
      <c r="I11" s="23" t="str">
        <f>I4</f>
        <v>1500</v>
      </c>
      <c r="J11" s="21">
        <v>375</v>
      </c>
      <c r="K11" s="21">
        <v>585</v>
      </c>
      <c r="L11" s="23" t="str">
        <f>L4</f>
        <v>3500</v>
      </c>
      <c r="M11" s="21"/>
      <c r="N11" s="21"/>
      <c r="O11" s="21">
        <f>O4</f>
        <v>2</v>
      </c>
      <c r="P11" s="21"/>
    </row>
    <row r="12" spans="1:16" ht="14.25" customHeight="1" x14ac:dyDescent="0.15">
      <c r="A12" s="19">
        <v>1</v>
      </c>
      <c r="B12" s="19">
        <v>1.5</v>
      </c>
      <c r="C12" s="19">
        <v>0.9</v>
      </c>
      <c r="D12" s="19">
        <f>B12*C12</f>
        <v>1.35</v>
      </c>
      <c r="E12" s="19"/>
      <c r="F12" s="19"/>
      <c r="G12" s="19"/>
      <c r="H12" s="19"/>
      <c r="I12" s="19">
        <v>1</v>
      </c>
      <c r="J12" s="19">
        <f t="shared" ref="J12:K12" si="4">A12</f>
        <v>1</v>
      </c>
      <c r="K12" s="19">
        <f t="shared" si="4"/>
        <v>1.5</v>
      </c>
      <c r="L12" s="19">
        <f>A12</f>
        <v>1</v>
      </c>
      <c r="M12" s="19"/>
      <c r="N12" s="19"/>
      <c r="O12" s="19"/>
      <c r="P12" s="19"/>
    </row>
    <row r="13" spans="1:16" ht="14.25" customHeight="1" x14ac:dyDescent="0.15">
      <c r="A13" s="19"/>
      <c r="B13" s="19"/>
      <c r="C13" s="19"/>
      <c r="D13" s="26" t="str">
        <f>'MASTER DATA'!C4</f>
        <v>3000</v>
      </c>
      <c r="E13" s="19">
        <v>0</v>
      </c>
      <c r="F13" s="19">
        <v>2</v>
      </c>
      <c r="G13" s="19">
        <v>0</v>
      </c>
      <c r="H13" s="19">
        <f>B12*2</f>
        <v>3</v>
      </c>
      <c r="I13" s="19"/>
      <c r="J13" s="19"/>
      <c r="K13" s="19"/>
      <c r="L13" s="19"/>
      <c r="M13" s="19"/>
      <c r="N13" s="19"/>
      <c r="O13" s="19"/>
      <c r="P13" s="19"/>
    </row>
    <row r="14" spans="1:16" ht="14.25" customHeight="1" x14ac:dyDescent="0.15">
      <c r="A14" s="19"/>
      <c r="B14" s="19"/>
      <c r="C14" s="19"/>
      <c r="D14" s="19">
        <f>D12*D13</f>
        <v>4050.0000000000005</v>
      </c>
      <c r="E14" s="19">
        <f>E13*E11</f>
        <v>0</v>
      </c>
      <c r="F14" s="19">
        <f t="shared" ref="F14:H14" si="5">F11*F13</f>
        <v>3800</v>
      </c>
      <c r="G14" s="19">
        <f t="shared" si="5"/>
        <v>0</v>
      </c>
      <c r="H14" s="19">
        <f t="shared" si="5"/>
        <v>1140</v>
      </c>
      <c r="I14" s="19">
        <f t="shared" ref="I14:L14" si="6">I11*I12</f>
        <v>1500</v>
      </c>
      <c r="J14" s="19">
        <f t="shared" si="6"/>
        <v>375</v>
      </c>
      <c r="K14" s="19">
        <f t="shared" si="6"/>
        <v>877.5</v>
      </c>
      <c r="L14" s="19">
        <f t="shared" si="6"/>
        <v>3500</v>
      </c>
      <c r="M14" s="19">
        <f>SUM(D14:L14)</f>
        <v>15242.5</v>
      </c>
      <c r="N14" s="19">
        <f>M14/A12</f>
        <v>15242.5</v>
      </c>
      <c r="O14" s="19">
        <f>N14*O11</f>
        <v>30485</v>
      </c>
      <c r="P14" s="19">
        <f>MROUND(O14,100)</f>
        <v>30500</v>
      </c>
    </row>
    <row r="15" spans="1:16" ht="14.25" customHeight="1" x14ac:dyDescent="0.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16" ht="14.25" customHeight="1" x14ac:dyDescent="0.15">
      <c r="A16" s="109" t="str">
        <f>PRICELIST!I424</f>
        <v>MTFLX-SM-PoLM-1500-900</v>
      </c>
      <c r="B16" s="87"/>
      <c r="C16" s="87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</row>
    <row r="17" spans="1:16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>
        <v>1200</v>
      </c>
      <c r="F17" s="19">
        <v>900</v>
      </c>
      <c r="G17" s="19">
        <v>600</v>
      </c>
      <c r="H17" s="19" t="s">
        <v>67</v>
      </c>
      <c r="I17" s="19" t="s">
        <v>69</v>
      </c>
      <c r="J17" s="19" t="s">
        <v>71</v>
      </c>
      <c r="K17" s="19" t="s">
        <v>72</v>
      </c>
      <c r="L17" s="19" t="s">
        <v>73</v>
      </c>
      <c r="M17" s="19" t="s">
        <v>76</v>
      </c>
      <c r="N17" s="19" t="s">
        <v>78</v>
      </c>
      <c r="O17" s="19" t="s">
        <v>79</v>
      </c>
      <c r="P17" s="19" t="s">
        <v>81</v>
      </c>
    </row>
    <row r="18" spans="1:16" ht="14.25" customHeight="1" x14ac:dyDescent="0.15">
      <c r="A18" s="21"/>
      <c r="B18" s="21"/>
      <c r="C18" s="21"/>
      <c r="D18" s="21"/>
      <c r="E18" s="23" t="str">
        <f t="shared" ref="E18:G18" si="7">E11</f>
        <v>2100</v>
      </c>
      <c r="F18" s="23" t="str">
        <f t="shared" si="7"/>
        <v>1900</v>
      </c>
      <c r="G18" s="23" t="str">
        <f t="shared" si="7"/>
        <v>1800</v>
      </c>
      <c r="H18" s="21">
        <v>380</v>
      </c>
      <c r="I18" s="23" t="str">
        <f>I11</f>
        <v>1500</v>
      </c>
      <c r="J18" s="21">
        <v>375</v>
      </c>
      <c r="K18" s="21">
        <v>585</v>
      </c>
      <c r="L18" s="23" t="str">
        <f>L11</f>
        <v>3500</v>
      </c>
      <c r="M18" s="21"/>
      <c r="N18" s="21"/>
      <c r="O18" s="21">
        <f>O11</f>
        <v>2</v>
      </c>
      <c r="P18" s="21"/>
    </row>
    <row r="19" spans="1:16" ht="14.25" customHeight="1" x14ac:dyDescent="0.15">
      <c r="A19" s="19">
        <v>1</v>
      </c>
      <c r="B19" s="19">
        <v>1.5</v>
      </c>
      <c r="C19" s="19">
        <v>0.9</v>
      </c>
      <c r="D19" s="19">
        <f>B19*C19</f>
        <v>1.35</v>
      </c>
      <c r="E19" s="19"/>
      <c r="F19" s="19"/>
      <c r="G19" s="19"/>
      <c r="H19" s="19"/>
      <c r="I19" s="19">
        <v>1</v>
      </c>
      <c r="J19" s="19">
        <f t="shared" ref="J19:K19" si="8">A19</f>
        <v>1</v>
      </c>
      <c r="K19" s="19">
        <f t="shared" si="8"/>
        <v>1.5</v>
      </c>
      <c r="L19" s="19">
        <f>A19</f>
        <v>1</v>
      </c>
      <c r="M19" s="19"/>
      <c r="N19" s="19"/>
      <c r="O19" s="19"/>
      <c r="P19" s="19"/>
    </row>
    <row r="20" spans="1:16" ht="14.25" customHeight="1" x14ac:dyDescent="0.15">
      <c r="A20" s="19"/>
      <c r="B20" s="19"/>
      <c r="C20" s="19"/>
      <c r="D20" s="26" t="str">
        <f>'MASTER DATA'!C5</f>
        <v>7500</v>
      </c>
      <c r="E20" s="19">
        <v>0</v>
      </c>
      <c r="F20" s="19">
        <v>2</v>
      </c>
      <c r="G20" s="19">
        <v>0</v>
      </c>
      <c r="H20" s="19">
        <f>B19*2</f>
        <v>3</v>
      </c>
      <c r="I20" s="19"/>
      <c r="J20" s="19"/>
      <c r="K20" s="19"/>
      <c r="L20" s="19"/>
      <c r="M20" s="19"/>
      <c r="N20" s="19"/>
      <c r="O20" s="19"/>
      <c r="P20" s="19"/>
    </row>
    <row r="21" spans="1:16" ht="14.25" customHeight="1" x14ac:dyDescent="0.15">
      <c r="A21" s="19"/>
      <c r="B21" s="19"/>
      <c r="C21" s="19"/>
      <c r="D21" s="19">
        <f>D19*D20</f>
        <v>10125</v>
      </c>
      <c r="E21" s="19">
        <f>E20*E18</f>
        <v>0</v>
      </c>
      <c r="F21" s="19">
        <f t="shared" ref="F21:H21" si="9">F18*F20</f>
        <v>3800</v>
      </c>
      <c r="G21" s="19">
        <f t="shared" si="9"/>
        <v>0</v>
      </c>
      <c r="H21" s="19">
        <f t="shared" si="9"/>
        <v>1140</v>
      </c>
      <c r="I21" s="19">
        <f t="shared" ref="I21:L21" si="10">I18*I19</f>
        <v>1500</v>
      </c>
      <c r="J21" s="19">
        <f t="shared" si="10"/>
        <v>375</v>
      </c>
      <c r="K21" s="19">
        <f t="shared" si="10"/>
        <v>877.5</v>
      </c>
      <c r="L21" s="19">
        <f t="shared" si="10"/>
        <v>3500</v>
      </c>
      <c r="M21" s="19">
        <f>SUM(D21:L21)</f>
        <v>21317.5</v>
      </c>
      <c r="N21" s="19">
        <f>M21/A19</f>
        <v>21317.5</v>
      </c>
      <c r="O21" s="19">
        <f>N21*O18</f>
        <v>42635</v>
      </c>
      <c r="P21" s="19">
        <f>MROUND(O21,100)</f>
        <v>42600</v>
      </c>
    </row>
    <row r="22" spans="1:16" ht="14.25" customHeight="1" x14ac:dyDescent="0.15">
      <c r="A22" s="111"/>
      <c r="B22" s="87"/>
      <c r="C22" s="87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6" ht="14.25" customHeight="1" x14ac:dyDescent="0.15">
      <c r="A23" s="109" t="str">
        <f>PRICELIST!I425</f>
        <v>MTFLX-SM-LVM-1500-900</v>
      </c>
      <c r="B23" s="87"/>
      <c r="C23" s="87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</row>
    <row r="24" spans="1:16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>
        <v>1200</v>
      </c>
      <c r="F24" s="19">
        <v>900</v>
      </c>
      <c r="G24" s="19">
        <v>600</v>
      </c>
      <c r="H24" s="19" t="s">
        <v>67</v>
      </c>
      <c r="I24" s="19" t="s">
        <v>69</v>
      </c>
      <c r="J24" s="19" t="s">
        <v>71</v>
      </c>
      <c r="K24" s="19" t="s">
        <v>72</v>
      </c>
      <c r="L24" s="19" t="s">
        <v>73</v>
      </c>
      <c r="M24" s="19" t="s">
        <v>76</v>
      </c>
      <c r="N24" s="19" t="s">
        <v>78</v>
      </c>
      <c r="O24" s="19" t="s">
        <v>79</v>
      </c>
      <c r="P24" s="19" t="s">
        <v>81</v>
      </c>
    </row>
    <row r="25" spans="1:16" ht="14.25" customHeight="1" x14ac:dyDescent="0.15">
      <c r="A25" s="21"/>
      <c r="B25" s="21"/>
      <c r="C25" s="21"/>
      <c r="D25" s="21"/>
      <c r="E25" s="23" t="str">
        <f t="shared" ref="E25:G25" si="11">E18</f>
        <v>2100</v>
      </c>
      <c r="F25" s="23" t="str">
        <f t="shared" si="11"/>
        <v>1900</v>
      </c>
      <c r="G25" s="23" t="str">
        <f t="shared" si="11"/>
        <v>1800</v>
      </c>
      <c r="H25" s="21">
        <v>380</v>
      </c>
      <c r="I25" s="23" t="str">
        <f>I18</f>
        <v>1500</v>
      </c>
      <c r="J25" s="21">
        <v>375</v>
      </c>
      <c r="K25" s="21">
        <v>585</v>
      </c>
      <c r="L25" s="23" t="str">
        <f>L18</f>
        <v>3500</v>
      </c>
      <c r="M25" s="21"/>
      <c r="N25" s="21"/>
      <c r="O25" s="21">
        <f>O18</f>
        <v>2</v>
      </c>
      <c r="P25" s="21"/>
    </row>
    <row r="26" spans="1:16" ht="14.25" customHeight="1" x14ac:dyDescent="0.15">
      <c r="A26" s="19">
        <v>1</v>
      </c>
      <c r="B26" s="19">
        <v>1.5</v>
      </c>
      <c r="C26" s="19">
        <v>0.9</v>
      </c>
      <c r="D26" s="19">
        <f>B26*C26</f>
        <v>1.35</v>
      </c>
      <c r="E26" s="19"/>
      <c r="F26" s="19"/>
      <c r="G26" s="19"/>
      <c r="H26" s="19"/>
      <c r="I26" s="19">
        <v>1</v>
      </c>
      <c r="J26" s="19">
        <f t="shared" ref="J26:K26" si="12">A26</f>
        <v>1</v>
      </c>
      <c r="K26" s="19">
        <f t="shared" si="12"/>
        <v>1.5</v>
      </c>
      <c r="L26" s="19">
        <f>A26</f>
        <v>1</v>
      </c>
      <c r="M26" s="19"/>
      <c r="N26" s="19"/>
      <c r="O26" s="19"/>
      <c r="P26" s="19"/>
    </row>
    <row r="27" spans="1:16" ht="14.25" customHeight="1" x14ac:dyDescent="0.15">
      <c r="A27" s="19"/>
      <c r="B27" s="19"/>
      <c r="C27" s="19"/>
      <c r="D27" s="26" t="str">
        <f>'MASTER DATA'!C6</f>
        <v>9500</v>
      </c>
      <c r="E27" s="19">
        <v>0</v>
      </c>
      <c r="F27" s="19">
        <v>2</v>
      </c>
      <c r="G27" s="19">
        <v>0</v>
      </c>
      <c r="H27" s="19">
        <f>B26*2</f>
        <v>3</v>
      </c>
      <c r="I27" s="19"/>
      <c r="J27" s="19"/>
      <c r="K27" s="19"/>
      <c r="L27" s="19"/>
      <c r="M27" s="19"/>
      <c r="N27" s="19"/>
      <c r="O27" s="19"/>
      <c r="P27" s="19"/>
    </row>
    <row r="28" spans="1:16" ht="14.25" customHeight="1" x14ac:dyDescent="0.15">
      <c r="A28" s="19"/>
      <c r="B28" s="19"/>
      <c r="C28" s="19"/>
      <c r="D28" s="19">
        <f>D26*D27</f>
        <v>12825</v>
      </c>
      <c r="E28" s="19">
        <f>E27*E25</f>
        <v>0</v>
      </c>
      <c r="F28" s="19">
        <f t="shared" ref="F28:H28" si="13">F25*F27</f>
        <v>3800</v>
      </c>
      <c r="G28" s="19">
        <f t="shared" si="13"/>
        <v>0</v>
      </c>
      <c r="H28" s="19">
        <f t="shared" si="13"/>
        <v>1140</v>
      </c>
      <c r="I28" s="19">
        <f t="shared" ref="I28:L28" si="14">I25*I26</f>
        <v>1500</v>
      </c>
      <c r="J28" s="19">
        <f t="shared" si="14"/>
        <v>375</v>
      </c>
      <c r="K28" s="19">
        <f t="shared" si="14"/>
        <v>877.5</v>
      </c>
      <c r="L28" s="19">
        <f t="shared" si="14"/>
        <v>3500</v>
      </c>
      <c r="M28" s="19">
        <f>SUM(D28:L28)</f>
        <v>24017.5</v>
      </c>
      <c r="N28" s="19">
        <f>M28/A26</f>
        <v>24017.5</v>
      </c>
      <c r="O28" s="19">
        <f>N28*O25</f>
        <v>48035</v>
      </c>
      <c r="P28" s="19">
        <f>MROUND(O28,100)</f>
        <v>48000</v>
      </c>
    </row>
    <row r="29" spans="1:16" ht="14.25" customHeight="1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1:16" ht="14.25" customHeight="1" x14ac:dyDescent="0.15">
      <c r="A30" s="109" t="str">
        <f>PRICELIST!I426</f>
        <v>MTFLX-SM-LVP-1500-900</v>
      </c>
      <c r="B30" s="87"/>
      <c r="C30" s="87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</row>
    <row r="31" spans="1:16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>
        <v>1200</v>
      </c>
      <c r="F31" s="19">
        <v>900</v>
      </c>
      <c r="G31" s="19">
        <v>600</v>
      </c>
      <c r="H31" s="19" t="s">
        <v>67</v>
      </c>
      <c r="I31" s="19" t="s">
        <v>69</v>
      </c>
      <c r="J31" s="19" t="s">
        <v>71</v>
      </c>
      <c r="K31" s="19" t="s">
        <v>72</v>
      </c>
      <c r="L31" s="19" t="s">
        <v>73</v>
      </c>
      <c r="M31" s="19" t="s">
        <v>76</v>
      </c>
      <c r="N31" s="19" t="s">
        <v>78</v>
      </c>
      <c r="O31" s="19" t="s">
        <v>79</v>
      </c>
      <c r="P31" s="19" t="s">
        <v>81</v>
      </c>
    </row>
    <row r="32" spans="1:16" ht="14.25" customHeight="1" x14ac:dyDescent="0.15">
      <c r="A32" s="21"/>
      <c r="B32" s="21"/>
      <c r="C32" s="21"/>
      <c r="D32" s="21"/>
      <c r="E32" s="23" t="str">
        <f t="shared" ref="E32:G32" si="15">E25</f>
        <v>2100</v>
      </c>
      <c r="F32" s="23" t="str">
        <f t="shared" si="15"/>
        <v>1900</v>
      </c>
      <c r="G32" s="23" t="str">
        <f t="shared" si="15"/>
        <v>1800</v>
      </c>
      <c r="H32" s="21">
        <v>380</v>
      </c>
      <c r="I32" s="23" t="str">
        <f>I25</f>
        <v>1500</v>
      </c>
      <c r="J32" s="21">
        <v>375</v>
      </c>
      <c r="K32" s="21">
        <v>585</v>
      </c>
      <c r="L32" s="23" t="str">
        <f>L25</f>
        <v>3500</v>
      </c>
      <c r="M32" s="21"/>
      <c r="N32" s="21"/>
      <c r="O32" s="21">
        <f>O25</f>
        <v>2</v>
      </c>
      <c r="P32" s="21"/>
    </row>
    <row r="33" spans="1:16" ht="14.25" customHeight="1" x14ac:dyDescent="0.15">
      <c r="A33" s="19">
        <v>1</v>
      </c>
      <c r="B33" s="19">
        <v>1.5</v>
      </c>
      <c r="C33" s="19">
        <v>0.9</v>
      </c>
      <c r="D33" s="19">
        <f>B33*C33</f>
        <v>1.35</v>
      </c>
      <c r="E33" s="19"/>
      <c r="F33" s="19"/>
      <c r="G33" s="19"/>
      <c r="H33" s="19"/>
      <c r="I33" s="19">
        <v>1</v>
      </c>
      <c r="J33" s="19">
        <f t="shared" ref="J33:K33" si="16">A33</f>
        <v>1</v>
      </c>
      <c r="K33" s="19">
        <f t="shared" si="16"/>
        <v>1.5</v>
      </c>
      <c r="L33" s="19">
        <f>A33</f>
        <v>1</v>
      </c>
      <c r="M33" s="19"/>
      <c r="N33" s="19"/>
      <c r="O33" s="19"/>
      <c r="P33" s="19"/>
    </row>
    <row r="34" spans="1:16" ht="14.25" customHeight="1" x14ac:dyDescent="0.15">
      <c r="A34" s="19"/>
      <c r="B34" s="19"/>
      <c r="C34" s="19"/>
      <c r="D34" s="26" t="str">
        <f>'MASTER DATA'!C7</f>
        <v>10500</v>
      </c>
      <c r="E34" s="19">
        <v>0</v>
      </c>
      <c r="F34" s="19">
        <v>2</v>
      </c>
      <c r="G34" s="19">
        <v>0</v>
      </c>
      <c r="H34" s="19">
        <f>B33*2</f>
        <v>3</v>
      </c>
      <c r="I34" s="19"/>
      <c r="J34" s="19"/>
      <c r="K34" s="19"/>
      <c r="L34" s="19"/>
      <c r="M34" s="19"/>
      <c r="N34" s="19"/>
      <c r="O34" s="19"/>
      <c r="P34" s="19"/>
    </row>
    <row r="35" spans="1:16" ht="14.25" customHeight="1" x14ac:dyDescent="0.15">
      <c r="A35" s="19"/>
      <c r="B35" s="19"/>
      <c r="C35" s="19"/>
      <c r="D35" s="19">
        <f>D33*D34</f>
        <v>14175.000000000002</v>
      </c>
      <c r="E35" s="19">
        <f>E34*E32</f>
        <v>0</v>
      </c>
      <c r="F35" s="19">
        <f t="shared" ref="F35:H35" si="17">F32*F34</f>
        <v>3800</v>
      </c>
      <c r="G35" s="19">
        <f t="shared" si="17"/>
        <v>0</v>
      </c>
      <c r="H35" s="19">
        <f t="shared" si="17"/>
        <v>1140</v>
      </c>
      <c r="I35" s="19">
        <f t="shared" ref="I35:L35" si="18">I32*I33</f>
        <v>1500</v>
      </c>
      <c r="J35" s="19">
        <f t="shared" si="18"/>
        <v>375</v>
      </c>
      <c r="K35" s="19">
        <f t="shared" si="18"/>
        <v>877.5</v>
      </c>
      <c r="L35" s="19">
        <f t="shared" si="18"/>
        <v>3500</v>
      </c>
      <c r="M35" s="19">
        <f>SUM(D35:L35)</f>
        <v>25367.5</v>
      </c>
      <c r="N35" s="19">
        <f>M35/A33</f>
        <v>25367.5</v>
      </c>
      <c r="O35" s="19">
        <f>N35*O32</f>
        <v>50735</v>
      </c>
      <c r="P35" s="19">
        <f>MROUND(O35,100)</f>
        <v>50700</v>
      </c>
    </row>
    <row r="36" spans="1:16" ht="14.2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6" ht="14.25" customHeight="1" x14ac:dyDescent="0.15">
      <c r="A37" s="109" t="str">
        <f>PRICELIST!I427</f>
        <v>MTFLX-SM-GL-1500-900</v>
      </c>
      <c r="B37" s="87"/>
      <c r="C37" s="87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</row>
    <row r="38" spans="1:16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>
        <v>1200</v>
      </c>
      <c r="F38" s="19">
        <v>900</v>
      </c>
      <c r="G38" s="19">
        <v>600</v>
      </c>
      <c r="H38" s="19" t="s">
        <v>67</v>
      </c>
      <c r="I38" s="19" t="s">
        <v>69</v>
      </c>
      <c r="J38" s="19" t="s">
        <v>71</v>
      </c>
      <c r="K38" s="19" t="s">
        <v>72</v>
      </c>
      <c r="L38" s="19" t="s">
        <v>73</v>
      </c>
      <c r="M38" s="19" t="s">
        <v>76</v>
      </c>
      <c r="N38" s="19" t="s">
        <v>78</v>
      </c>
      <c r="O38" s="19" t="s">
        <v>79</v>
      </c>
      <c r="P38" s="19" t="s">
        <v>81</v>
      </c>
    </row>
    <row r="39" spans="1:16" ht="14.25" customHeight="1" x14ac:dyDescent="0.15">
      <c r="A39" s="21"/>
      <c r="B39" s="21"/>
      <c r="C39" s="21"/>
      <c r="D39" s="21"/>
      <c r="E39" s="23" t="str">
        <f t="shared" ref="E39:G39" si="19">E32</f>
        <v>2100</v>
      </c>
      <c r="F39" s="23" t="str">
        <f t="shared" si="19"/>
        <v>1900</v>
      </c>
      <c r="G39" s="23" t="str">
        <f t="shared" si="19"/>
        <v>1800</v>
      </c>
      <c r="H39" s="21">
        <v>380</v>
      </c>
      <c r="I39" s="23" t="str">
        <f>I32</f>
        <v>1500</v>
      </c>
      <c r="J39" s="21">
        <v>375</v>
      </c>
      <c r="K39" s="21">
        <v>585</v>
      </c>
      <c r="L39" s="23" t="str">
        <f>L32</f>
        <v>3500</v>
      </c>
      <c r="M39" s="21"/>
      <c r="N39" s="21"/>
      <c r="O39" s="21">
        <f>O32</f>
        <v>2</v>
      </c>
      <c r="P39" s="21"/>
    </row>
    <row r="40" spans="1:16" ht="14.25" customHeight="1" x14ac:dyDescent="0.15">
      <c r="A40" s="19">
        <v>1</v>
      </c>
      <c r="B40" s="19">
        <v>1.5</v>
      </c>
      <c r="C40" s="19">
        <v>0.9</v>
      </c>
      <c r="D40" s="19">
        <f>B40*C40</f>
        <v>1.35</v>
      </c>
      <c r="E40" s="19"/>
      <c r="F40" s="19"/>
      <c r="G40" s="19"/>
      <c r="H40" s="19"/>
      <c r="I40" s="19">
        <v>1</v>
      </c>
      <c r="J40" s="19">
        <f t="shared" ref="J40:K40" si="20">A40</f>
        <v>1</v>
      </c>
      <c r="K40" s="19">
        <f t="shared" si="20"/>
        <v>1.5</v>
      </c>
      <c r="L40" s="19">
        <f>A40</f>
        <v>1</v>
      </c>
      <c r="M40" s="19"/>
      <c r="N40" s="19"/>
      <c r="O40" s="19"/>
      <c r="P40" s="19"/>
    </row>
    <row r="41" spans="1:16" ht="14.25" customHeight="1" x14ac:dyDescent="0.15">
      <c r="A41" s="19"/>
      <c r="B41" s="19"/>
      <c r="C41" s="19"/>
      <c r="D41" s="26" t="str">
        <f>'MASTER DATA'!C9</f>
        <v>7500</v>
      </c>
      <c r="E41" s="19">
        <v>0</v>
      </c>
      <c r="F41" s="19">
        <v>2</v>
      </c>
      <c r="G41" s="19">
        <v>0</v>
      </c>
      <c r="H41" s="19">
        <f>B40*2</f>
        <v>3</v>
      </c>
      <c r="I41" s="19"/>
      <c r="J41" s="19"/>
      <c r="K41" s="19"/>
      <c r="L41" s="19"/>
      <c r="M41" s="19"/>
      <c r="N41" s="19"/>
      <c r="O41" s="19"/>
      <c r="P41" s="19"/>
    </row>
    <row r="42" spans="1:16" ht="14.25" customHeight="1" x14ac:dyDescent="0.15">
      <c r="A42" s="19"/>
      <c r="B42" s="19"/>
      <c r="C42" s="19"/>
      <c r="D42" s="19">
        <f>D40*D41</f>
        <v>10125</v>
      </c>
      <c r="E42" s="19">
        <f>E41*E39</f>
        <v>0</v>
      </c>
      <c r="F42" s="19">
        <f t="shared" ref="F42:H42" si="21">F39*F41</f>
        <v>3800</v>
      </c>
      <c r="G42" s="19">
        <f t="shared" si="21"/>
        <v>0</v>
      </c>
      <c r="H42" s="19">
        <f t="shared" si="21"/>
        <v>1140</v>
      </c>
      <c r="I42" s="19">
        <f t="shared" ref="I42:L42" si="22">I39*I40</f>
        <v>1500</v>
      </c>
      <c r="J42" s="19">
        <f t="shared" si="22"/>
        <v>375</v>
      </c>
      <c r="K42" s="19">
        <f t="shared" si="22"/>
        <v>877.5</v>
      </c>
      <c r="L42" s="19">
        <f t="shared" si="22"/>
        <v>3500</v>
      </c>
      <c r="M42" s="19">
        <f>SUM(D42:L42)</f>
        <v>21317.5</v>
      </c>
      <c r="N42" s="19">
        <f>M42/A40</f>
        <v>21317.5</v>
      </c>
      <c r="O42" s="19">
        <f>N42*O39</f>
        <v>42635</v>
      </c>
      <c r="P42" s="19">
        <f>MROUND(O42,100)</f>
        <v>42600</v>
      </c>
    </row>
    <row r="43" spans="1:16" ht="14.25" customHeight="1" x14ac:dyDescent="0.1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6" ht="14.25" customHeight="1" x14ac:dyDescent="0.15">
      <c r="A44" s="109" t="str">
        <f>PRICELIST!I428</f>
        <v>MTFLX-MD-PB-2400-1200</v>
      </c>
      <c r="B44" s="87"/>
      <c r="C44" s="87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1:16" ht="14.25" customHeight="1" x14ac:dyDescent="0.15">
      <c r="A45" s="19" t="s">
        <v>57</v>
      </c>
      <c r="B45" s="19" t="s">
        <v>59</v>
      </c>
      <c r="C45" s="19" t="s">
        <v>62</v>
      </c>
      <c r="D45" s="19" t="s">
        <v>64</v>
      </c>
      <c r="E45" s="19">
        <v>1200</v>
      </c>
      <c r="F45" s="19">
        <v>900</v>
      </c>
      <c r="G45" s="19">
        <v>600</v>
      </c>
      <c r="H45" s="19" t="s">
        <v>67</v>
      </c>
      <c r="I45" s="19" t="s">
        <v>69</v>
      </c>
      <c r="J45" s="19" t="s">
        <v>71</v>
      </c>
      <c r="K45" s="19" t="s">
        <v>72</v>
      </c>
      <c r="L45" s="19" t="s">
        <v>73</v>
      </c>
      <c r="M45" s="19" t="s">
        <v>76</v>
      </c>
      <c r="N45" s="19" t="s">
        <v>78</v>
      </c>
      <c r="O45" s="19" t="s">
        <v>79</v>
      </c>
      <c r="P45" s="19" t="s">
        <v>81</v>
      </c>
    </row>
    <row r="46" spans="1:16" ht="14.25" customHeight="1" x14ac:dyDescent="0.15">
      <c r="A46" s="21"/>
      <c r="B46" s="21"/>
      <c r="C46" s="21"/>
      <c r="D46" s="21"/>
      <c r="E46" s="23" t="str">
        <f t="shared" ref="E46:G46" si="23">E39</f>
        <v>2100</v>
      </c>
      <c r="F46" s="23" t="str">
        <f t="shared" si="23"/>
        <v>1900</v>
      </c>
      <c r="G46" s="23" t="str">
        <f t="shared" si="23"/>
        <v>1800</v>
      </c>
      <c r="H46" s="21">
        <v>380</v>
      </c>
      <c r="I46" s="23" t="str">
        <f>'MASTER DATA'!I4</f>
        <v>4000</v>
      </c>
      <c r="J46" s="21">
        <v>375</v>
      </c>
      <c r="K46" s="21">
        <v>585</v>
      </c>
      <c r="L46" s="23" t="str">
        <f>L39</f>
        <v>3500</v>
      </c>
      <c r="M46" s="21"/>
      <c r="N46" s="21"/>
      <c r="O46" s="21">
        <f>O39</f>
        <v>2</v>
      </c>
      <c r="P46" s="21"/>
    </row>
    <row r="47" spans="1:16" ht="14.25" customHeight="1" x14ac:dyDescent="0.15">
      <c r="A47" s="19">
        <v>1</v>
      </c>
      <c r="B47" s="19">
        <v>2.4</v>
      </c>
      <c r="C47" s="19">
        <v>1.2</v>
      </c>
      <c r="D47" s="19">
        <f>B47*C47</f>
        <v>2.88</v>
      </c>
      <c r="E47" s="19"/>
      <c r="F47" s="19"/>
      <c r="G47" s="19"/>
      <c r="H47" s="19"/>
      <c r="I47" s="19">
        <v>1</v>
      </c>
      <c r="J47" s="19">
        <f t="shared" ref="J47:K47" si="24">A47</f>
        <v>1</v>
      </c>
      <c r="K47" s="19">
        <f t="shared" si="24"/>
        <v>2.4</v>
      </c>
      <c r="L47" s="19">
        <v>2</v>
      </c>
      <c r="M47" s="19"/>
      <c r="N47" s="19"/>
      <c r="O47" s="19"/>
      <c r="P47" s="19"/>
    </row>
    <row r="48" spans="1:16" ht="14.25" customHeight="1" x14ac:dyDescent="0.15">
      <c r="A48" s="19"/>
      <c r="B48" s="19"/>
      <c r="C48" s="19"/>
      <c r="D48" s="26" t="str">
        <f>D6</f>
        <v>2200</v>
      </c>
      <c r="E48" s="19">
        <v>2</v>
      </c>
      <c r="F48" s="19">
        <v>0</v>
      </c>
      <c r="G48" s="19">
        <v>0</v>
      </c>
      <c r="H48" s="19">
        <f>B47*2</f>
        <v>4.8</v>
      </c>
      <c r="I48" s="19"/>
      <c r="J48" s="19"/>
      <c r="K48" s="19"/>
      <c r="L48" s="19"/>
      <c r="M48" s="19"/>
      <c r="N48" s="19"/>
      <c r="O48" s="19"/>
      <c r="P48" s="19"/>
    </row>
    <row r="49" spans="1:16" ht="14.25" customHeight="1" x14ac:dyDescent="0.15">
      <c r="A49" s="19"/>
      <c r="B49" s="19"/>
      <c r="C49" s="19"/>
      <c r="D49" s="19">
        <f>D47*D48</f>
        <v>6336</v>
      </c>
      <c r="E49" s="19">
        <f>E48*E46</f>
        <v>4200</v>
      </c>
      <c r="F49" s="19">
        <f t="shared" ref="F49:H49" si="25">F46*F48</f>
        <v>0</v>
      </c>
      <c r="G49" s="19">
        <f t="shared" si="25"/>
        <v>0</v>
      </c>
      <c r="H49" s="19">
        <f t="shared" si="25"/>
        <v>1824</v>
      </c>
      <c r="I49" s="19">
        <f t="shared" ref="I49:L49" si="26">I46*I47</f>
        <v>4000</v>
      </c>
      <c r="J49" s="19">
        <f t="shared" si="26"/>
        <v>375</v>
      </c>
      <c r="K49" s="19">
        <f t="shared" si="26"/>
        <v>1404</v>
      </c>
      <c r="L49" s="19">
        <f t="shared" si="26"/>
        <v>7000</v>
      </c>
      <c r="M49" s="19">
        <f>SUM(D49:L49)</f>
        <v>25139</v>
      </c>
      <c r="N49" s="19">
        <f>M49/A47</f>
        <v>25139</v>
      </c>
      <c r="O49" s="19">
        <f>N49*O46</f>
        <v>50278</v>
      </c>
      <c r="P49" s="19">
        <f>MROUND(O49,100)</f>
        <v>50300</v>
      </c>
    </row>
    <row r="50" spans="1:16" ht="14.25" customHeight="1" x14ac:dyDescent="0.15">
      <c r="A50" s="111"/>
      <c r="B50" s="87"/>
      <c r="C50" s="8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6" ht="14.25" customHeight="1" x14ac:dyDescent="0.15">
      <c r="A51" s="109" t="str">
        <f>PRICELIST!I429</f>
        <v>MTFLX-MD-PLM-2400-1200</v>
      </c>
      <c r="B51" s="87"/>
      <c r="C51" s="8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1:16" ht="14.25" customHeight="1" x14ac:dyDescent="0.15">
      <c r="A52" s="19" t="s">
        <v>57</v>
      </c>
      <c r="B52" s="19" t="s">
        <v>59</v>
      </c>
      <c r="C52" s="19" t="s">
        <v>62</v>
      </c>
      <c r="D52" s="19" t="s">
        <v>64</v>
      </c>
      <c r="E52" s="19">
        <v>1200</v>
      </c>
      <c r="F52" s="19">
        <v>900</v>
      </c>
      <c r="G52" s="19">
        <v>600</v>
      </c>
      <c r="H52" s="19" t="s">
        <v>67</v>
      </c>
      <c r="I52" s="19" t="s">
        <v>69</v>
      </c>
      <c r="J52" s="19" t="s">
        <v>71</v>
      </c>
      <c r="K52" s="19" t="s">
        <v>72</v>
      </c>
      <c r="L52" s="19" t="s">
        <v>73</v>
      </c>
      <c r="M52" s="19" t="s">
        <v>76</v>
      </c>
      <c r="N52" s="19" t="s">
        <v>78</v>
      </c>
      <c r="O52" s="19" t="s">
        <v>79</v>
      </c>
      <c r="P52" s="19" t="s">
        <v>81</v>
      </c>
    </row>
    <row r="53" spans="1:16" ht="14.25" customHeight="1" x14ac:dyDescent="0.15">
      <c r="A53" s="21"/>
      <c r="B53" s="21"/>
      <c r="C53" s="21"/>
      <c r="D53" s="21"/>
      <c r="E53" s="23" t="str">
        <f t="shared" ref="E53:G53" si="27">E46</f>
        <v>2100</v>
      </c>
      <c r="F53" s="23" t="str">
        <f t="shared" si="27"/>
        <v>1900</v>
      </c>
      <c r="G53" s="23" t="str">
        <f t="shared" si="27"/>
        <v>1800</v>
      </c>
      <c r="H53" s="21">
        <v>380</v>
      </c>
      <c r="I53" s="23" t="str">
        <f>I46</f>
        <v>4000</v>
      </c>
      <c r="J53" s="21">
        <v>375</v>
      </c>
      <c r="K53" s="21">
        <v>585</v>
      </c>
      <c r="L53" s="23" t="str">
        <f t="shared" ref="L53:L54" si="28">L46</f>
        <v>3500</v>
      </c>
      <c r="M53" s="21"/>
      <c r="N53" s="21"/>
      <c r="O53" s="21">
        <f>O46</f>
        <v>2</v>
      </c>
      <c r="P53" s="21"/>
    </row>
    <row r="54" spans="1:16" ht="14.25" customHeight="1" x14ac:dyDescent="0.15">
      <c r="A54" s="19">
        <v>1</v>
      </c>
      <c r="B54" s="19">
        <v>2.4</v>
      </c>
      <c r="C54" s="19">
        <v>1.2</v>
      </c>
      <c r="D54" s="19">
        <f>B54*C54</f>
        <v>2.88</v>
      </c>
      <c r="E54" s="19"/>
      <c r="F54" s="19"/>
      <c r="G54" s="19"/>
      <c r="H54" s="19"/>
      <c r="I54" s="19">
        <v>1</v>
      </c>
      <c r="J54" s="19">
        <f t="shared" ref="J54:K54" si="29">A54</f>
        <v>1</v>
      </c>
      <c r="K54" s="19">
        <f t="shared" si="29"/>
        <v>2.4</v>
      </c>
      <c r="L54" s="19">
        <f t="shared" si="28"/>
        <v>2</v>
      </c>
      <c r="M54" s="19"/>
      <c r="N54" s="19"/>
      <c r="O54" s="19"/>
      <c r="P54" s="19"/>
    </row>
    <row r="55" spans="1:16" ht="14.25" customHeight="1" x14ac:dyDescent="0.15">
      <c r="A55" s="19"/>
      <c r="B55" s="19"/>
      <c r="C55" s="19"/>
      <c r="D55" s="26" t="str">
        <f>D13</f>
        <v>3000</v>
      </c>
      <c r="E55" s="19">
        <v>2</v>
      </c>
      <c r="F55" s="19">
        <v>0</v>
      </c>
      <c r="G55" s="19">
        <v>0</v>
      </c>
      <c r="H55" s="19">
        <f>B54*2</f>
        <v>4.8</v>
      </c>
      <c r="I55" s="19"/>
      <c r="J55" s="19"/>
      <c r="K55" s="19"/>
      <c r="L55" s="19"/>
      <c r="M55" s="19"/>
      <c r="N55" s="19"/>
      <c r="O55" s="19"/>
      <c r="P55" s="19"/>
    </row>
    <row r="56" spans="1:16" ht="14.25" customHeight="1" x14ac:dyDescent="0.15">
      <c r="A56" s="19"/>
      <c r="B56" s="19"/>
      <c r="C56" s="19"/>
      <c r="D56" s="19">
        <f>D54*D55</f>
        <v>8640</v>
      </c>
      <c r="E56" s="19">
        <f>E55*E53</f>
        <v>4200</v>
      </c>
      <c r="F56" s="19">
        <f t="shared" ref="F56:H56" si="30">F53*F55</f>
        <v>0</v>
      </c>
      <c r="G56" s="19">
        <f t="shared" si="30"/>
        <v>0</v>
      </c>
      <c r="H56" s="19">
        <f t="shared" si="30"/>
        <v>1824</v>
      </c>
      <c r="I56" s="19">
        <f t="shared" ref="I56:L56" si="31">I53*I54</f>
        <v>4000</v>
      </c>
      <c r="J56" s="19">
        <f t="shared" si="31"/>
        <v>375</v>
      </c>
      <c r="K56" s="19">
        <f t="shared" si="31"/>
        <v>1404</v>
      </c>
      <c r="L56" s="19">
        <f t="shared" si="31"/>
        <v>7000</v>
      </c>
      <c r="M56" s="19">
        <f>SUM(D56:L56)</f>
        <v>27443</v>
      </c>
      <c r="N56" s="19">
        <f>M56/A54</f>
        <v>27443</v>
      </c>
      <c r="O56" s="19">
        <f>N56*O53</f>
        <v>54886</v>
      </c>
      <c r="P56" s="19">
        <f>MROUND(O56,100)</f>
        <v>54900</v>
      </c>
    </row>
    <row r="57" spans="1:16" ht="14.25" customHeight="1" x14ac:dyDescent="0.1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spans="1:16" ht="14.25" customHeight="1" x14ac:dyDescent="0.15">
      <c r="A58" s="109" t="str">
        <f>PRICELIST!I430</f>
        <v>MTFLX-MD-PoLM-2400-1200</v>
      </c>
      <c r="B58" s="87"/>
      <c r="C58" s="87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</row>
    <row r="59" spans="1:16" ht="14.25" customHeight="1" x14ac:dyDescent="0.15">
      <c r="A59" s="19" t="s">
        <v>57</v>
      </c>
      <c r="B59" s="19" t="s">
        <v>59</v>
      </c>
      <c r="C59" s="19" t="s">
        <v>62</v>
      </c>
      <c r="D59" s="19" t="s">
        <v>64</v>
      </c>
      <c r="E59" s="19">
        <v>1200</v>
      </c>
      <c r="F59" s="19">
        <v>900</v>
      </c>
      <c r="G59" s="19">
        <v>600</v>
      </c>
      <c r="H59" s="19" t="s">
        <v>67</v>
      </c>
      <c r="I59" s="19" t="s">
        <v>69</v>
      </c>
      <c r="J59" s="19" t="s">
        <v>71</v>
      </c>
      <c r="K59" s="19" t="s">
        <v>72</v>
      </c>
      <c r="L59" s="19" t="s">
        <v>73</v>
      </c>
      <c r="M59" s="19" t="s">
        <v>76</v>
      </c>
      <c r="N59" s="19" t="s">
        <v>78</v>
      </c>
      <c r="O59" s="19" t="s">
        <v>79</v>
      </c>
      <c r="P59" s="19" t="s">
        <v>81</v>
      </c>
    </row>
    <row r="60" spans="1:16" ht="14.25" customHeight="1" x14ac:dyDescent="0.15">
      <c r="A60" s="21"/>
      <c r="B60" s="21"/>
      <c r="C60" s="21"/>
      <c r="D60" s="21"/>
      <c r="E60" s="23" t="str">
        <f t="shared" ref="E60:G60" si="32">E53</f>
        <v>2100</v>
      </c>
      <c r="F60" s="23" t="str">
        <f t="shared" si="32"/>
        <v>1900</v>
      </c>
      <c r="G60" s="23" t="str">
        <f t="shared" si="32"/>
        <v>1800</v>
      </c>
      <c r="H60" s="21">
        <v>380</v>
      </c>
      <c r="I60" s="23" t="str">
        <f>I53</f>
        <v>4000</v>
      </c>
      <c r="J60" s="21">
        <v>375</v>
      </c>
      <c r="K60" s="21">
        <v>585</v>
      </c>
      <c r="L60" s="23" t="str">
        <f t="shared" ref="L60:L61" si="33">L53</f>
        <v>3500</v>
      </c>
      <c r="M60" s="21"/>
      <c r="N60" s="21"/>
      <c r="O60" s="21">
        <f>O53</f>
        <v>2</v>
      </c>
      <c r="P60" s="21"/>
    </row>
    <row r="61" spans="1:16" ht="14.25" customHeight="1" x14ac:dyDescent="0.15">
      <c r="A61" s="19">
        <v>1</v>
      </c>
      <c r="B61" s="19">
        <v>2.4</v>
      </c>
      <c r="C61" s="19">
        <v>1.2</v>
      </c>
      <c r="D61" s="19">
        <f>B61*C61</f>
        <v>2.88</v>
      </c>
      <c r="E61" s="19"/>
      <c r="F61" s="19"/>
      <c r="G61" s="19"/>
      <c r="H61" s="19"/>
      <c r="I61" s="19">
        <v>1</v>
      </c>
      <c r="J61" s="19">
        <f t="shared" ref="J61:K61" si="34">A61</f>
        <v>1</v>
      </c>
      <c r="K61" s="19">
        <f t="shared" si="34"/>
        <v>2.4</v>
      </c>
      <c r="L61" s="19">
        <f t="shared" si="33"/>
        <v>2</v>
      </c>
      <c r="M61" s="19"/>
      <c r="N61" s="19"/>
      <c r="O61" s="19"/>
      <c r="P61" s="19"/>
    </row>
    <row r="62" spans="1:16" ht="14.25" customHeight="1" x14ac:dyDescent="0.15">
      <c r="A62" s="19"/>
      <c r="B62" s="19"/>
      <c r="C62" s="19"/>
      <c r="D62" s="26" t="str">
        <f>D20</f>
        <v>7500</v>
      </c>
      <c r="E62" s="19">
        <v>2</v>
      </c>
      <c r="F62" s="19">
        <v>0</v>
      </c>
      <c r="G62" s="19">
        <v>0</v>
      </c>
      <c r="H62" s="19">
        <f>B61*2</f>
        <v>4.8</v>
      </c>
      <c r="I62" s="19"/>
      <c r="J62" s="19"/>
      <c r="K62" s="19"/>
      <c r="L62" s="19"/>
      <c r="M62" s="19"/>
      <c r="N62" s="19"/>
      <c r="O62" s="19"/>
      <c r="P62" s="19"/>
    </row>
    <row r="63" spans="1:16" ht="14.25" customHeight="1" x14ac:dyDescent="0.15">
      <c r="A63" s="19"/>
      <c r="B63" s="19"/>
      <c r="C63" s="19"/>
      <c r="D63" s="19">
        <f>D61*D62</f>
        <v>21600</v>
      </c>
      <c r="E63" s="19">
        <f>E62*E60</f>
        <v>4200</v>
      </c>
      <c r="F63" s="19">
        <f t="shared" ref="F63:H63" si="35">F60*F62</f>
        <v>0</v>
      </c>
      <c r="G63" s="19">
        <f t="shared" si="35"/>
        <v>0</v>
      </c>
      <c r="H63" s="19">
        <f t="shared" si="35"/>
        <v>1824</v>
      </c>
      <c r="I63" s="19">
        <f t="shared" ref="I63:L63" si="36">I60*I61</f>
        <v>4000</v>
      </c>
      <c r="J63" s="19">
        <f t="shared" si="36"/>
        <v>375</v>
      </c>
      <c r="K63" s="19">
        <f t="shared" si="36"/>
        <v>1404</v>
      </c>
      <c r="L63" s="19">
        <f t="shared" si="36"/>
        <v>7000</v>
      </c>
      <c r="M63" s="19">
        <f>SUM(D63:L63)</f>
        <v>40403</v>
      </c>
      <c r="N63" s="19">
        <f>M63/A61</f>
        <v>40403</v>
      </c>
      <c r="O63" s="19">
        <f>N63*O60</f>
        <v>80806</v>
      </c>
      <c r="P63" s="19">
        <f>MROUND(O63,100)</f>
        <v>80800</v>
      </c>
    </row>
    <row r="64" spans="1:16" ht="14.25" customHeight="1" x14ac:dyDescent="0.15">
      <c r="A64" s="111"/>
      <c r="B64" s="87"/>
      <c r="C64" s="87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spans="1:16" ht="14.25" customHeight="1" x14ac:dyDescent="0.15">
      <c r="A65" s="109" t="str">
        <f>PRICELIST!I431</f>
        <v>MTFLX-MD-LVM-2400-1200</v>
      </c>
      <c r="B65" s="87"/>
      <c r="C65" s="87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</row>
    <row r="66" spans="1:16" ht="14.25" customHeight="1" x14ac:dyDescent="0.15">
      <c r="A66" s="19" t="s">
        <v>57</v>
      </c>
      <c r="B66" s="19" t="s">
        <v>59</v>
      </c>
      <c r="C66" s="19" t="s">
        <v>62</v>
      </c>
      <c r="D66" s="19" t="s">
        <v>64</v>
      </c>
      <c r="E66" s="19">
        <v>1200</v>
      </c>
      <c r="F66" s="19">
        <v>900</v>
      </c>
      <c r="G66" s="19">
        <v>600</v>
      </c>
      <c r="H66" s="19" t="s">
        <v>67</v>
      </c>
      <c r="I66" s="19" t="s">
        <v>69</v>
      </c>
      <c r="J66" s="19" t="s">
        <v>71</v>
      </c>
      <c r="K66" s="19" t="s">
        <v>72</v>
      </c>
      <c r="L66" s="19" t="s">
        <v>73</v>
      </c>
      <c r="M66" s="19" t="s">
        <v>76</v>
      </c>
      <c r="N66" s="19" t="s">
        <v>78</v>
      </c>
      <c r="O66" s="19" t="s">
        <v>79</v>
      </c>
      <c r="P66" s="19" t="s">
        <v>81</v>
      </c>
    </row>
    <row r="67" spans="1:16" ht="14.25" customHeight="1" x14ac:dyDescent="0.15">
      <c r="A67" s="21"/>
      <c r="B67" s="21"/>
      <c r="C67" s="21"/>
      <c r="D67" s="21"/>
      <c r="E67" s="23" t="str">
        <f t="shared" ref="E67:G67" si="37">E60</f>
        <v>2100</v>
      </c>
      <c r="F67" s="23" t="str">
        <f t="shared" si="37"/>
        <v>1900</v>
      </c>
      <c r="G67" s="23" t="str">
        <f t="shared" si="37"/>
        <v>1800</v>
      </c>
      <c r="H67" s="21">
        <v>380</v>
      </c>
      <c r="I67" s="23" t="str">
        <f>I60</f>
        <v>4000</v>
      </c>
      <c r="J67" s="21">
        <v>375</v>
      </c>
      <c r="K67" s="21">
        <v>585</v>
      </c>
      <c r="L67" s="23" t="str">
        <f t="shared" ref="L67:L68" si="38">L60</f>
        <v>3500</v>
      </c>
      <c r="M67" s="21"/>
      <c r="N67" s="21"/>
      <c r="O67" s="21">
        <f>O60</f>
        <v>2</v>
      </c>
      <c r="P67" s="21"/>
    </row>
    <row r="68" spans="1:16" ht="14.25" customHeight="1" x14ac:dyDescent="0.15">
      <c r="A68" s="19">
        <v>1</v>
      </c>
      <c r="B68" s="19">
        <v>2.4</v>
      </c>
      <c r="C68" s="19">
        <v>1.2</v>
      </c>
      <c r="D68" s="19">
        <f>B68*C68</f>
        <v>2.88</v>
      </c>
      <c r="E68" s="19"/>
      <c r="F68" s="19"/>
      <c r="G68" s="19"/>
      <c r="H68" s="19"/>
      <c r="I68" s="19">
        <v>1</v>
      </c>
      <c r="J68" s="19">
        <f t="shared" ref="J68:K68" si="39">A68</f>
        <v>1</v>
      </c>
      <c r="K68" s="19">
        <f t="shared" si="39"/>
        <v>2.4</v>
      </c>
      <c r="L68" s="19">
        <f t="shared" si="38"/>
        <v>2</v>
      </c>
      <c r="M68" s="19"/>
      <c r="N68" s="19"/>
      <c r="O68" s="19"/>
      <c r="P68" s="19"/>
    </row>
    <row r="69" spans="1:16" ht="14.25" customHeight="1" x14ac:dyDescent="0.15">
      <c r="A69" s="19"/>
      <c r="B69" s="19"/>
      <c r="C69" s="19"/>
      <c r="D69" s="26" t="str">
        <f>D27</f>
        <v>9500</v>
      </c>
      <c r="E69" s="19">
        <v>2</v>
      </c>
      <c r="F69" s="19">
        <v>0</v>
      </c>
      <c r="G69" s="19">
        <v>0</v>
      </c>
      <c r="H69" s="19">
        <f>B68*2</f>
        <v>4.8</v>
      </c>
      <c r="I69" s="19"/>
      <c r="J69" s="19"/>
      <c r="K69" s="19"/>
      <c r="L69" s="19"/>
      <c r="M69" s="19"/>
      <c r="N69" s="19"/>
      <c r="O69" s="19"/>
      <c r="P69" s="19"/>
    </row>
    <row r="70" spans="1:16" ht="14.25" customHeight="1" x14ac:dyDescent="0.15">
      <c r="A70" s="19"/>
      <c r="B70" s="19"/>
      <c r="C70" s="19"/>
      <c r="D70" s="19">
        <f>D68*D69</f>
        <v>27360</v>
      </c>
      <c r="E70" s="19">
        <f>E69*E67</f>
        <v>4200</v>
      </c>
      <c r="F70" s="19">
        <f t="shared" ref="F70:H70" si="40">F67*F69</f>
        <v>0</v>
      </c>
      <c r="G70" s="19">
        <f t="shared" si="40"/>
        <v>0</v>
      </c>
      <c r="H70" s="19">
        <f t="shared" si="40"/>
        <v>1824</v>
      </c>
      <c r="I70" s="19">
        <f t="shared" ref="I70:L70" si="41">I67*I68</f>
        <v>4000</v>
      </c>
      <c r="J70" s="19">
        <f t="shared" si="41"/>
        <v>375</v>
      </c>
      <c r="K70" s="19">
        <f t="shared" si="41"/>
        <v>1404</v>
      </c>
      <c r="L70" s="19">
        <f t="shared" si="41"/>
        <v>7000</v>
      </c>
      <c r="M70" s="19">
        <f>SUM(D70:L70)</f>
        <v>46163</v>
      </c>
      <c r="N70" s="19">
        <f>M70/A68</f>
        <v>46163</v>
      </c>
      <c r="O70" s="19">
        <f>N70*O67</f>
        <v>92326</v>
      </c>
      <c r="P70" s="19">
        <f>MROUND(O70,100)</f>
        <v>92300</v>
      </c>
    </row>
    <row r="71" spans="1:16" ht="14.25" customHeight="1" x14ac:dyDescent="0.1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spans="1:16" ht="14.25" customHeight="1" x14ac:dyDescent="0.15">
      <c r="A72" s="109" t="str">
        <f>PRICELIST!I432</f>
        <v>MTFLX-MD-LVP-2400-1200</v>
      </c>
      <c r="B72" s="87"/>
      <c r="C72" s="87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</row>
    <row r="73" spans="1:16" ht="14.25" customHeight="1" x14ac:dyDescent="0.15">
      <c r="A73" s="19" t="s">
        <v>57</v>
      </c>
      <c r="B73" s="19" t="s">
        <v>59</v>
      </c>
      <c r="C73" s="19" t="s">
        <v>62</v>
      </c>
      <c r="D73" s="19" t="s">
        <v>64</v>
      </c>
      <c r="E73" s="19">
        <v>1200</v>
      </c>
      <c r="F73" s="19">
        <v>900</v>
      </c>
      <c r="G73" s="19">
        <v>600</v>
      </c>
      <c r="H73" s="19" t="s">
        <v>67</v>
      </c>
      <c r="I73" s="19" t="s">
        <v>69</v>
      </c>
      <c r="J73" s="19" t="s">
        <v>71</v>
      </c>
      <c r="K73" s="19" t="s">
        <v>72</v>
      </c>
      <c r="L73" s="19" t="s">
        <v>73</v>
      </c>
      <c r="M73" s="19" t="s">
        <v>76</v>
      </c>
      <c r="N73" s="19" t="s">
        <v>78</v>
      </c>
      <c r="O73" s="19" t="s">
        <v>79</v>
      </c>
      <c r="P73" s="19" t="s">
        <v>81</v>
      </c>
    </row>
    <row r="74" spans="1:16" ht="14.25" customHeight="1" x14ac:dyDescent="0.15">
      <c r="A74" s="21"/>
      <c r="B74" s="21"/>
      <c r="C74" s="21"/>
      <c r="D74" s="21"/>
      <c r="E74" s="23" t="str">
        <f t="shared" ref="E74:G74" si="42">E67</f>
        <v>2100</v>
      </c>
      <c r="F74" s="23" t="str">
        <f t="shared" si="42"/>
        <v>1900</v>
      </c>
      <c r="G74" s="23" t="str">
        <f t="shared" si="42"/>
        <v>1800</v>
      </c>
      <c r="H74" s="21">
        <v>380</v>
      </c>
      <c r="I74" s="23" t="str">
        <f>I67</f>
        <v>4000</v>
      </c>
      <c r="J74" s="21">
        <v>375</v>
      </c>
      <c r="K74" s="21">
        <v>585</v>
      </c>
      <c r="L74" s="23" t="str">
        <f t="shared" ref="L74:L75" si="43">L67</f>
        <v>3500</v>
      </c>
      <c r="M74" s="21"/>
      <c r="N74" s="21"/>
      <c r="O74" s="21">
        <f>O67</f>
        <v>2</v>
      </c>
      <c r="P74" s="21"/>
    </row>
    <row r="75" spans="1:16" ht="14.25" customHeight="1" x14ac:dyDescent="0.15">
      <c r="A75" s="19">
        <v>1</v>
      </c>
      <c r="B75" s="19">
        <v>2.4</v>
      </c>
      <c r="C75" s="19">
        <v>1.2</v>
      </c>
      <c r="D75" s="19">
        <f>B75*C75</f>
        <v>2.88</v>
      </c>
      <c r="E75" s="19"/>
      <c r="F75" s="19"/>
      <c r="G75" s="19"/>
      <c r="H75" s="19"/>
      <c r="I75" s="19">
        <v>1</v>
      </c>
      <c r="J75" s="19">
        <f t="shared" ref="J75:K75" si="44">A75</f>
        <v>1</v>
      </c>
      <c r="K75" s="19">
        <f t="shared" si="44"/>
        <v>2.4</v>
      </c>
      <c r="L75" s="19">
        <f t="shared" si="43"/>
        <v>2</v>
      </c>
      <c r="M75" s="19"/>
      <c r="N75" s="19"/>
      <c r="O75" s="19"/>
      <c r="P75" s="19"/>
    </row>
    <row r="76" spans="1:16" ht="14.25" customHeight="1" x14ac:dyDescent="0.15">
      <c r="A76" s="19"/>
      <c r="B76" s="19"/>
      <c r="C76" s="19"/>
      <c r="D76" s="26" t="str">
        <f>D34</f>
        <v>10500</v>
      </c>
      <c r="E76" s="19">
        <v>2</v>
      </c>
      <c r="F76" s="19">
        <v>0</v>
      </c>
      <c r="G76" s="19">
        <v>0</v>
      </c>
      <c r="H76" s="19">
        <f>B75*2</f>
        <v>4.8</v>
      </c>
      <c r="I76" s="19"/>
      <c r="J76" s="19"/>
      <c r="K76" s="19"/>
      <c r="L76" s="19"/>
      <c r="M76" s="19"/>
      <c r="N76" s="19"/>
      <c r="O76" s="19"/>
      <c r="P76" s="19"/>
    </row>
    <row r="77" spans="1:16" ht="14.25" customHeight="1" x14ac:dyDescent="0.15">
      <c r="A77" s="19"/>
      <c r="B77" s="19"/>
      <c r="C77" s="19"/>
      <c r="D77" s="19">
        <f>D75*D76</f>
        <v>30240</v>
      </c>
      <c r="E77" s="19">
        <f>E76*E74</f>
        <v>4200</v>
      </c>
      <c r="F77" s="19">
        <f t="shared" ref="F77:H77" si="45">F74*F76</f>
        <v>0</v>
      </c>
      <c r="G77" s="19">
        <f t="shared" si="45"/>
        <v>0</v>
      </c>
      <c r="H77" s="19">
        <f t="shared" si="45"/>
        <v>1824</v>
      </c>
      <c r="I77" s="19">
        <f t="shared" ref="I77:L77" si="46">I74*I75</f>
        <v>4000</v>
      </c>
      <c r="J77" s="19">
        <f t="shared" si="46"/>
        <v>375</v>
      </c>
      <c r="K77" s="19">
        <f t="shared" si="46"/>
        <v>1404</v>
      </c>
      <c r="L77" s="19">
        <f t="shared" si="46"/>
        <v>7000</v>
      </c>
      <c r="M77" s="19">
        <f>SUM(D77:L77)</f>
        <v>49043</v>
      </c>
      <c r="N77" s="19">
        <f>M77/A75</f>
        <v>49043</v>
      </c>
      <c r="O77" s="19">
        <f>N77*O74</f>
        <v>98086</v>
      </c>
      <c r="P77" s="19">
        <f>MROUND(O77,100)</f>
        <v>98100</v>
      </c>
    </row>
    <row r="78" spans="1:16" ht="14.25" customHeight="1" x14ac:dyDescent="0.1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1:16" ht="14.25" customHeight="1" x14ac:dyDescent="0.15">
      <c r="A79" s="109" t="str">
        <f>PRICELIST!I433</f>
        <v>MTFLX-MD-GL-2400-1200</v>
      </c>
      <c r="B79" s="87"/>
      <c r="C79" s="87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</row>
    <row r="80" spans="1:16" ht="14.25" customHeight="1" x14ac:dyDescent="0.15">
      <c r="A80" s="19" t="s">
        <v>57</v>
      </c>
      <c r="B80" s="19" t="s">
        <v>59</v>
      </c>
      <c r="C80" s="19" t="s">
        <v>62</v>
      </c>
      <c r="D80" s="19" t="s">
        <v>64</v>
      </c>
      <c r="E80" s="19">
        <v>1200</v>
      </c>
      <c r="F80" s="19">
        <v>900</v>
      </c>
      <c r="G80" s="19">
        <v>600</v>
      </c>
      <c r="H80" s="19" t="s">
        <v>67</v>
      </c>
      <c r="I80" s="19" t="s">
        <v>69</v>
      </c>
      <c r="J80" s="19" t="s">
        <v>71</v>
      </c>
      <c r="K80" s="19" t="s">
        <v>72</v>
      </c>
      <c r="L80" s="19" t="s">
        <v>73</v>
      </c>
      <c r="M80" s="19" t="s">
        <v>76</v>
      </c>
      <c r="N80" s="19" t="s">
        <v>78</v>
      </c>
      <c r="O80" s="19" t="s">
        <v>79</v>
      </c>
      <c r="P80" s="19" t="s">
        <v>81</v>
      </c>
    </row>
    <row r="81" spans="1:16" ht="14.25" customHeight="1" x14ac:dyDescent="0.15">
      <c r="A81" s="21"/>
      <c r="B81" s="21"/>
      <c r="C81" s="21"/>
      <c r="D81" s="21"/>
      <c r="E81" s="23" t="str">
        <f t="shared" ref="E81:G81" si="47">E74</f>
        <v>2100</v>
      </c>
      <c r="F81" s="23" t="str">
        <f t="shared" si="47"/>
        <v>1900</v>
      </c>
      <c r="G81" s="23" t="str">
        <f t="shared" si="47"/>
        <v>1800</v>
      </c>
      <c r="H81" s="21">
        <v>380</v>
      </c>
      <c r="I81" s="23" t="str">
        <f>I74</f>
        <v>4000</v>
      </c>
      <c r="J81" s="21">
        <v>375</v>
      </c>
      <c r="K81" s="21">
        <v>585</v>
      </c>
      <c r="L81" s="23" t="str">
        <f t="shared" ref="L81:L82" si="48">L74</f>
        <v>3500</v>
      </c>
      <c r="M81" s="21"/>
      <c r="N81" s="21"/>
      <c r="O81" s="21">
        <f>O74</f>
        <v>2</v>
      </c>
      <c r="P81" s="21"/>
    </row>
    <row r="82" spans="1:16" ht="14.25" customHeight="1" x14ac:dyDescent="0.15">
      <c r="A82" s="19">
        <v>1</v>
      </c>
      <c r="B82" s="19">
        <v>2.4</v>
      </c>
      <c r="C82" s="19">
        <v>1.2</v>
      </c>
      <c r="D82" s="19">
        <f>B82*C82</f>
        <v>2.88</v>
      </c>
      <c r="E82" s="19"/>
      <c r="F82" s="19"/>
      <c r="G82" s="19"/>
      <c r="H82" s="19"/>
      <c r="I82" s="19">
        <v>1</v>
      </c>
      <c r="J82" s="19">
        <f t="shared" ref="J82:K82" si="49">A82</f>
        <v>1</v>
      </c>
      <c r="K82" s="19">
        <f t="shared" si="49"/>
        <v>2.4</v>
      </c>
      <c r="L82" s="19">
        <f t="shared" si="48"/>
        <v>2</v>
      </c>
      <c r="M82" s="19"/>
      <c r="N82" s="19"/>
      <c r="O82" s="19"/>
      <c r="P82" s="19"/>
    </row>
    <row r="83" spans="1:16" ht="14.25" customHeight="1" x14ac:dyDescent="0.15">
      <c r="A83" s="19"/>
      <c r="B83" s="19"/>
      <c r="C83" s="19"/>
      <c r="D83" s="26" t="str">
        <f>D41</f>
        <v>7500</v>
      </c>
      <c r="E83" s="19">
        <v>2</v>
      </c>
      <c r="F83" s="19">
        <v>0</v>
      </c>
      <c r="G83" s="19">
        <v>0</v>
      </c>
      <c r="H83" s="19">
        <f>B82*2</f>
        <v>4.8</v>
      </c>
      <c r="I83" s="19"/>
      <c r="J83" s="19"/>
      <c r="K83" s="19"/>
      <c r="L83" s="19"/>
      <c r="M83" s="19"/>
      <c r="N83" s="19"/>
      <c r="O83" s="19"/>
      <c r="P83" s="19"/>
    </row>
    <row r="84" spans="1:16" ht="14.25" customHeight="1" x14ac:dyDescent="0.15">
      <c r="A84" s="19"/>
      <c r="B84" s="19"/>
      <c r="C84" s="19"/>
      <c r="D84" s="19">
        <f>D82*D83</f>
        <v>21600</v>
      </c>
      <c r="E84" s="19">
        <f>E83*E81</f>
        <v>4200</v>
      </c>
      <c r="F84" s="19">
        <f t="shared" ref="F84:H84" si="50">F81*F83</f>
        <v>0</v>
      </c>
      <c r="G84" s="19">
        <f t="shared" si="50"/>
        <v>0</v>
      </c>
      <c r="H84" s="19">
        <f t="shared" si="50"/>
        <v>1824</v>
      </c>
      <c r="I84" s="19">
        <f t="shared" ref="I84:L84" si="51">I81*I82</f>
        <v>4000</v>
      </c>
      <c r="J84" s="19">
        <f t="shared" si="51"/>
        <v>375</v>
      </c>
      <c r="K84" s="19">
        <f t="shared" si="51"/>
        <v>1404</v>
      </c>
      <c r="L84" s="19">
        <f t="shared" si="51"/>
        <v>7000</v>
      </c>
      <c r="M84" s="19">
        <f>SUM(D84:L84)</f>
        <v>40403</v>
      </c>
      <c r="N84" s="19">
        <f>M84/A82</f>
        <v>40403</v>
      </c>
      <c r="O84" s="19">
        <f>N84*O81</f>
        <v>80806</v>
      </c>
      <c r="P84" s="19">
        <f>MROUND(O84,100)</f>
        <v>80800</v>
      </c>
    </row>
    <row r="85" spans="1:16" ht="14.25" customHeight="1" x14ac:dyDescent="0.15">
      <c r="A85" s="111"/>
      <c r="B85" s="87"/>
      <c r="C85" s="8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</row>
    <row r="86" spans="1:16" ht="14.25" customHeight="1" x14ac:dyDescent="0.15">
      <c r="A86" s="109" t="str">
        <f>PRICELIST!I434</f>
        <v>MTFLX-LG-PB-3600-1200</v>
      </c>
      <c r="B86" s="87"/>
      <c r="C86" s="87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</row>
    <row r="87" spans="1:16" ht="14.25" customHeight="1" x14ac:dyDescent="0.15">
      <c r="A87" s="19" t="s">
        <v>57</v>
      </c>
      <c r="B87" s="19" t="s">
        <v>59</v>
      </c>
      <c r="C87" s="19" t="s">
        <v>62</v>
      </c>
      <c r="D87" s="19" t="s">
        <v>64</v>
      </c>
      <c r="E87" s="19">
        <v>1200</v>
      </c>
      <c r="F87" s="19">
        <v>900</v>
      </c>
      <c r="G87" s="19">
        <v>600</v>
      </c>
      <c r="H87" s="19" t="s">
        <v>67</v>
      </c>
      <c r="I87" s="19" t="s">
        <v>69</v>
      </c>
      <c r="J87" s="19" t="s">
        <v>71</v>
      </c>
      <c r="K87" s="19" t="s">
        <v>72</v>
      </c>
      <c r="L87" s="19" t="s">
        <v>73</v>
      </c>
      <c r="M87" s="19" t="s">
        <v>76</v>
      </c>
      <c r="N87" s="19" t="s">
        <v>78</v>
      </c>
      <c r="O87" s="19" t="s">
        <v>79</v>
      </c>
      <c r="P87" s="19" t="s">
        <v>81</v>
      </c>
    </row>
    <row r="88" spans="1:16" ht="14.25" customHeight="1" x14ac:dyDescent="0.15">
      <c r="A88" s="21"/>
      <c r="B88" s="21"/>
      <c r="C88" s="21"/>
      <c r="D88" s="21"/>
      <c r="E88" s="23" t="str">
        <f t="shared" ref="E88:G88" si="52">E81</f>
        <v>2100</v>
      </c>
      <c r="F88" s="23" t="str">
        <f t="shared" si="52"/>
        <v>1900</v>
      </c>
      <c r="G88" s="23" t="str">
        <f t="shared" si="52"/>
        <v>1800</v>
      </c>
      <c r="H88" s="21">
        <v>380</v>
      </c>
      <c r="I88" s="23" t="str">
        <f>I81</f>
        <v>4000</v>
      </c>
      <c r="J88" s="21">
        <v>375</v>
      </c>
      <c r="K88" s="21">
        <v>585</v>
      </c>
      <c r="L88" s="23" t="str">
        <f>L81</f>
        <v>3500</v>
      </c>
      <c r="M88" s="21"/>
      <c r="N88" s="21"/>
      <c r="O88" s="21">
        <f>O81</f>
        <v>2</v>
      </c>
      <c r="P88" s="21"/>
    </row>
    <row r="89" spans="1:16" ht="14.25" customHeight="1" x14ac:dyDescent="0.15">
      <c r="A89" s="19">
        <v>1</v>
      </c>
      <c r="B89" s="19">
        <v>3.6</v>
      </c>
      <c r="C89" s="19">
        <v>1.2</v>
      </c>
      <c r="D89" s="19">
        <f>B89*C89</f>
        <v>4.32</v>
      </c>
      <c r="E89" s="19"/>
      <c r="F89" s="19"/>
      <c r="G89" s="19"/>
      <c r="H89" s="19"/>
      <c r="I89" s="19">
        <v>2</v>
      </c>
      <c r="J89" s="19">
        <f t="shared" ref="J89:K89" si="53">A89</f>
        <v>1</v>
      </c>
      <c r="K89" s="19">
        <f t="shared" si="53"/>
        <v>3.6</v>
      </c>
      <c r="L89" s="19">
        <v>3</v>
      </c>
      <c r="M89" s="19"/>
      <c r="N89" s="19"/>
      <c r="O89" s="19"/>
      <c r="P89" s="19"/>
    </row>
    <row r="90" spans="1:16" ht="14.25" customHeight="1" x14ac:dyDescent="0.15">
      <c r="A90" s="19"/>
      <c r="B90" s="19"/>
      <c r="C90" s="19"/>
      <c r="D90" s="26" t="str">
        <f>D48</f>
        <v>2200</v>
      </c>
      <c r="E90" s="19">
        <v>2</v>
      </c>
      <c r="F90" s="19">
        <v>0</v>
      </c>
      <c r="G90" s="19">
        <v>0</v>
      </c>
      <c r="H90" s="19">
        <f>B89*2</f>
        <v>7.2</v>
      </c>
      <c r="I90" s="19"/>
      <c r="J90" s="19"/>
      <c r="K90" s="19"/>
      <c r="L90" s="19"/>
      <c r="M90" s="19"/>
      <c r="N90" s="19"/>
      <c r="O90" s="19"/>
      <c r="P90" s="19"/>
    </row>
    <row r="91" spans="1:16" ht="14.25" customHeight="1" x14ac:dyDescent="0.15">
      <c r="A91" s="19"/>
      <c r="B91" s="19"/>
      <c r="C91" s="19"/>
      <c r="D91" s="19">
        <f>D89*D90</f>
        <v>9504</v>
      </c>
      <c r="E91" s="19">
        <f>E90*E88</f>
        <v>4200</v>
      </c>
      <c r="F91" s="19">
        <f t="shared" ref="F91:H91" si="54">F88*F90</f>
        <v>0</v>
      </c>
      <c r="G91" s="19">
        <f t="shared" si="54"/>
        <v>0</v>
      </c>
      <c r="H91" s="19">
        <f t="shared" si="54"/>
        <v>2736</v>
      </c>
      <c r="I91" s="19">
        <f t="shared" ref="I91:L91" si="55">I88*I89</f>
        <v>8000</v>
      </c>
      <c r="J91" s="19">
        <f t="shared" si="55"/>
        <v>375</v>
      </c>
      <c r="K91" s="19">
        <f t="shared" si="55"/>
        <v>2106</v>
      </c>
      <c r="L91" s="19">
        <f t="shared" si="55"/>
        <v>10500</v>
      </c>
      <c r="M91" s="19">
        <f>SUM(D91:L91)</f>
        <v>37421</v>
      </c>
      <c r="N91" s="19">
        <f>M91/A89</f>
        <v>37421</v>
      </c>
      <c r="O91" s="19">
        <f>N91*O88</f>
        <v>74842</v>
      </c>
      <c r="P91" s="19">
        <f>MROUND(O91,100)</f>
        <v>74800</v>
      </c>
    </row>
    <row r="92" spans="1:16" ht="14.25" customHeight="1" x14ac:dyDescent="0.15">
      <c r="A92" s="111"/>
      <c r="B92" s="87"/>
      <c r="C92" s="87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6" ht="14.25" customHeight="1" x14ac:dyDescent="0.15">
      <c r="A93" s="109" t="str">
        <f>PRICELIST!I435</f>
        <v>MTFLX-LG-PLM-3600-1200</v>
      </c>
      <c r="B93" s="87"/>
      <c r="C93" s="87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</row>
    <row r="94" spans="1:16" ht="14.25" customHeight="1" x14ac:dyDescent="0.15">
      <c r="A94" s="19" t="s">
        <v>57</v>
      </c>
      <c r="B94" s="19" t="s">
        <v>59</v>
      </c>
      <c r="C94" s="19" t="s">
        <v>62</v>
      </c>
      <c r="D94" s="19" t="s">
        <v>64</v>
      </c>
      <c r="E94" s="19">
        <v>1200</v>
      </c>
      <c r="F94" s="19">
        <v>900</v>
      </c>
      <c r="G94" s="19">
        <v>600</v>
      </c>
      <c r="H94" s="19" t="s">
        <v>67</v>
      </c>
      <c r="I94" s="19" t="s">
        <v>69</v>
      </c>
      <c r="J94" s="19" t="s">
        <v>71</v>
      </c>
      <c r="K94" s="19" t="s">
        <v>72</v>
      </c>
      <c r="L94" s="19" t="s">
        <v>73</v>
      </c>
      <c r="M94" s="19" t="s">
        <v>76</v>
      </c>
      <c r="N94" s="19" t="s">
        <v>78</v>
      </c>
      <c r="O94" s="19" t="s">
        <v>79</v>
      </c>
      <c r="P94" s="19" t="s">
        <v>81</v>
      </c>
    </row>
    <row r="95" spans="1:16" ht="14.25" customHeight="1" x14ac:dyDescent="0.15">
      <c r="A95" s="21"/>
      <c r="B95" s="21"/>
      <c r="C95" s="21"/>
      <c r="D95" s="21"/>
      <c r="E95" s="23" t="str">
        <f t="shared" ref="E95:G95" si="56">E88</f>
        <v>2100</v>
      </c>
      <c r="F95" s="23" t="str">
        <f t="shared" si="56"/>
        <v>1900</v>
      </c>
      <c r="G95" s="23" t="str">
        <f t="shared" si="56"/>
        <v>1800</v>
      </c>
      <c r="H95" s="21">
        <v>380</v>
      </c>
      <c r="I95" s="23" t="str">
        <f>I88</f>
        <v>4000</v>
      </c>
      <c r="J95" s="21">
        <v>375</v>
      </c>
      <c r="K95" s="21">
        <v>585</v>
      </c>
      <c r="L95" s="23" t="str">
        <f t="shared" ref="L95:L96" si="57">L88</f>
        <v>3500</v>
      </c>
      <c r="M95" s="21"/>
      <c r="N95" s="21"/>
      <c r="O95" s="21">
        <f>O88</f>
        <v>2</v>
      </c>
      <c r="P95" s="21"/>
    </row>
    <row r="96" spans="1:16" ht="14.25" customHeight="1" x14ac:dyDescent="0.15">
      <c r="A96" s="19">
        <v>1</v>
      </c>
      <c r="B96" s="19">
        <v>3.6</v>
      </c>
      <c r="C96" s="19">
        <v>1.2</v>
      </c>
      <c r="D96" s="19">
        <f>B96*C96</f>
        <v>4.32</v>
      </c>
      <c r="E96" s="19"/>
      <c r="F96" s="19"/>
      <c r="G96" s="19"/>
      <c r="H96" s="19"/>
      <c r="I96" s="19">
        <v>2</v>
      </c>
      <c r="J96" s="19">
        <f t="shared" ref="J96:K96" si="58">A96</f>
        <v>1</v>
      </c>
      <c r="K96" s="19">
        <f t="shared" si="58"/>
        <v>3.6</v>
      </c>
      <c r="L96" s="19">
        <f t="shared" si="57"/>
        <v>3</v>
      </c>
      <c r="M96" s="19"/>
      <c r="N96" s="19"/>
      <c r="O96" s="19"/>
      <c r="P96" s="19"/>
    </row>
    <row r="97" spans="1:16" ht="14.25" customHeight="1" x14ac:dyDescent="0.15">
      <c r="A97" s="19"/>
      <c r="B97" s="19"/>
      <c r="C97" s="19"/>
      <c r="D97" s="26" t="str">
        <f>D55</f>
        <v>3000</v>
      </c>
      <c r="E97" s="19">
        <v>2</v>
      </c>
      <c r="F97" s="19">
        <v>0</v>
      </c>
      <c r="G97" s="19">
        <v>0</v>
      </c>
      <c r="H97" s="19">
        <f>B96*2</f>
        <v>7.2</v>
      </c>
      <c r="I97" s="19"/>
      <c r="J97" s="19"/>
      <c r="K97" s="19"/>
      <c r="L97" s="19"/>
      <c r="M97" s="19"/>
      <c r="N97" s="19"/>
      <c r="O97" s="19"/>
      <c r="P97" s="19"/>
    </row>
    <row r="98" spans="1:16" ht="14.25" customHeight="1" x14ac:dyDescent="0.15">
      <c r="A98" s="19"/>
      <c r="B98" s="19"/>
      <c r="C98" s="19"/>
      <c r="D98" s="19">
        <f>D96*D97</f>
        <v>12960</v>
      </c>
      <c r="E98" s="19">
        <f>E97*E95</f>
        <v>4200</v>
      </c>
      <c r="F98" s="19">
        <f t="shared" ref="F98:H98" si="59">F95*F97</f>
        <v>0</v>
      </c>
      <c r="G98" s="19">
        <f t="shared" si="59"/>
        <v>0</v>
      </c>
      <c r="H98" s="19">
        <f t="shared" si="59"/>
        <v>2736</v>
      </c>
      <c r="I98" s="19">
        <f t="shared" ref="I98:L98" si="60">I95*I96</f>
        <v>8000</v>
      </c>
      <c r="J98" s="19">
        <f t="shared" si="60"/>
        <v>375</v>
      </c>
      <c r="K98" s="19">
        <f t="shared" si="60"/>
        <v>2106</v>
      </c>
      <c r="L98" s="19">
        <f t="shared" si="60"/>
        <v>10500</v>
      </c>
      <c r="M98" s="19">
        <f>SUM(D98:L98)</f>
        <v>40877</v>
      </c>
      <c r="N98" s="19">
        <f>M98/A96</f>
        <v>40877</v>
      </c>
      <c r="O98" s="19">
        <f>N98*O95</f>
        <v>81754</v>
      </c>
      <c r="P98" s="19">
        <f>MROUND(O98,100)</f>
        <v>81800</v>
      </c>
    </row>
    <row r="99" spans="1:16" ht="14.25" customHeight="1" x14ac:dyDescent="0.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6" ht="14.25" customHeight="1" x14ac:dyDescent="0.15">
      <c r="A100" s="109" t="str">
        <f>PRICELIST!I436</f>
        <v>MTFLX-LG-PoLM-3600-1200</v>
      </c>
      <c r="B100" s="87"/>
      <c r="C100" s="87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</row>
    <row r="101" spans="1:16" ht="14.25" customHeight="1" x14ac:dyDescent="0.15">
      <c r="A101" s="19" t="s">
        <v>57</v>
      </c>
      <c r="B101" s="19" t="s">
        <v>59</v>
      </c>
      <c r="C101" s="19" t="s">
        <v>62</v>
      </c>
      <c r="D101" s="19" t="s">
        <v>64</v>
      </c>
      <c r="E101" s="19">
        <v>1200</v>
      </c>
      <c r="F101" s="19">
        <v>900</v>
      </c>
      <c r="G101" s="19">
        <v>600</v>
      </c>
      <c r="H101" s="19" t="s">
        <v>67</v>
      </c>
      <c r="I101" s="19" t="s">
        <v>69</v>
      </c>
      <c r="J101" s="19" t="s">
        <v>71</v>
      </c>
      <c r="K101" s="19" t="s">
        <v>72</v>
      </c>
      <c r="L101" s="19" t="s">
        <v>73</v>
      </c>
      <c r="M101" s="19" t="s">
        <v>76</v>
      </c>
      <c r="N101" s="19" t="s">
        <v>78</v>
      </c>
      <c r="O101" s="19" t="s">
        <v>79</v>
      </c>
      <c r="P101" s="19" t="s">
        <v>81</v>
      </c>
    </row>
    <row r="102" spans="1:16" ht="14.25" customHeight="1" x14ac:dyDescent="0.15">
      <c r="A102" s="21"/>
      <c r="B102" s="21"/>
      <c r="C102" s="21"/>
      <c r="D102" s="21"/>
      <c r="E102" s="23" t="str">
        <f t="shared" ref="E102:G102" si="61">E95</f>
        <v>2100</v>
      </c>
      <c r="F102" s="23" t="str">
        <f t="shared" si="61"/>
        <v>1900</v>
      </c>
      <c r="G102" s="23" t="str">
        <f t="shared" si="61"/>
        <v>1800</v>
      </c>
      <c r="H102" s="21">
        <v>380</v>
      </c>
      <c r="I102" s="23" t="str">
        <f>I95</f>
        <v>4000</v>
      </c>
      <c r="J102" s="21">
        <v>375</v>
      </c>
      <c r="K102" s="21">
        <v>585</v>
      </c>
      <c r="L102" s="23" t="str">
        <f t="shared" ref="L102:L103" si="62">L95</f>
        <v>3500</v>
      </c>
      <c r="M102" s="21"/>
      <c r="N102" s="21"/>
      <c r="O102" s="21">
        <f>O95</f>
        <v>2</v>
      </c>
      <c r="P102" s="21"/>
    </row>
    <row r="103" spans="1:16" ht="14.25" customHeight="1" x14ac:dyDescent="0.15">
      <c r="A103" s="19">
        <v>1</v>
      </c>
      <c r="B103" s="19">
        <v>3.6</v>
      </c>
      <c r="C103" s="19">
        <v>1.2</v>
      </c>
      <c r="D103" s="19">
        <f>B103*C103</f>
        <v>4.32</v>
      </c>
      <c r="E103" s="19"/>
      <c r="F103" s="19"/>
      <c r="G103" s="19"/>
      <c r="H103" s="19"/>
      <c r="I103" s="19">
        <v>2</v>
      </c>
      <c r="J103" s="19">
        <f t="shared" ref="J103:K103" si="63">A103</f>
        <v>1</v>
      </c>
      <c r="K103" s="19">
        <f t="shared" si="63"/>
        <v>3.6</v>
      </c>
      <c r="L103" s="19">
        <f t="shared" si="62"/>
        <v>3</v>
      </c>
      <c r="M103" s="19"/>
      <c r="N103" s="19"/>
      <c r="O103" s="19"/>
      <c r="P103" s="19"/>
    </row>
    <row r="104" spans="1:16" ht="14.25" customHeight="1" x14ac:dyDescent="0.15">
      <c r="A104" s="19"/>
      <c r="B104" s="19"/>
      <c r="C104" s="19"/>
      <c r="D104" s="26" t="str">
        <f>D62</f>
        <v>7500</v>
      </c>
      <c r="E104" s="19">
        <v>2</v>
      </c>
      <c r="F104" s="19">
        <v>0</v>
      </c>
      <c r="G104" s="19">
        <v>0</v>
      </c>
      <c r="H104" s="19">
        <f>B103*2</f>
        <v>7.2</v>
      </c>
      <c r="I104" s="19"/>
      <c r="J104" s="19"/>
      <c r="K104" s="19"/>
      <c r="L104" s="19"/>
      <c r="M104" s="19"/>
      <c r="N104" s="19"/>
      <c r="O104" s="19"/>
      <c r="P104" s="19"/>
    </row>
    <row r="105" spans="1:16" ht="14.25" customHeight="1" x14ac:dyDescent="0.15">
      <c r="A105" s="19"/>
      <c r="B105" s="19"/>
      <c r="C105" s="19"/>
      <c r="D105" s="19">
        <f>D103*D104</f>
        <v>32400.000000000004</v>
      </c>
      <c r="E105" s="19">
        <f>E104*E102</f>
        <v>4200</v>
      </c>
      <c r="F105" s="19">
        <f t="shared" ref="F105:H105" si="64">F102*F104</f>
        <v>0</v>
      </c>
      <c r="G105" s="19">
        <f t="shared" si="64"/>
        <v>0</v>
      </c>
      <c r="H105" s="19">
        <f t="shared" si="64"/>
        <v>2736</v>
      </c>
      <c r="I105" s="19">
        <f t="shared" ref="I105:L105" si="65">I102*I103</f>
        <v>8000</v>
      </c>
      <c r="J105" s="19">
        <f t="shared" si="65"/>
        <v>375</v>
      </c>
      <c r="K105" s="19">
        <f t="shared" si="65"/>
        <v>2106</v>
      </c>
      <c r="L105" s="19">
        <f t="shared" si="65"/>
        <v>10500</v>
      </c>
      <c r="M105" s="19">
        <f>SUM(D105:L105)</f>
        <v>60317</v>
      </c>
      <c r="N105" s="19">
        <f>M105/A103</f>
        <v>60317</v>
      </c>
      <c r="O105" s="19">
        <f>N105*O102</f>
        <v>120634</v>
      </c>
      <c r="P105" s="19">
        <f>MROUND(O105,100)</f>
        <v>120600</v>
      </c>
    </row>
    <row r="106" spans="1:16" ht="14.25" customHeight="1" x14ac:dyDescent="0.15">
      <c r="A106" s="111"/>
      <c r="B106" s="87"/>
      <c r="C106" s="87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6" ht="14.25" customHeight="1" x14ac:dyDescent="0.15">
      <c r="A107" s="109" t="str">
        <f>PRICELIST!I437</f>
        <v>MTFLX-LG-LVM-3600-1200</v>
      </c>
      <c r="B107" s="87"/>
      <c r="C107" s="87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</row>
    <row r="108" spans="1:16" ht="14.25" customHeight="1" x14ac:dyDescent="0.15">
      <c r="A108" s="19" t="s">
        <v>57</v>
      </c>
      <c r="B108" s="19" t="s">
        <v>59</v>
      </c>
      <c r="C108" s="19" t="s">
        <v>62</v>
      </c>
      <c r="D108" s="19" t="s">
        <v>64</v>
      </c>
      <c r="E108" s="19">
        <v>1200</v>
      </c>
      <c r="F108" s="19">
        <v>900</v>
      </c>
      <c r="G108" s="19">
        <v>600</v>
      </c>
      <c r="H108" s="19" t="s">
        <v>67</v>
      </c>
      <c r="I108" s="19" t="s">
        <v>69</v>
      </c>
      <c r="J108" s="19" t="s">
        <v>71</v>
      </c>
      <c r="K108" s="19" t="s">
        <v>72</v>
      </c>
      <c r="L108" s="19" t="s">
        <v>73</v>
      </c>
      <c r="M108" s="19" t="s">
        <v>76</v>
      </c>
      <c r="N108" s="19" t="s">
        <v>78</v>
      </c>
      <c r="O108" s="19" t="s">
        <v>79</v>
      </c>
      <c r="P108" s="19" t="s">
        <v>81</v>
      </c>
    </row>
    <row r="109" spans="1:16" ht="14.25" customHeight="1" x14ac:dyDescent="0.15">
      <c r="A109" s="21"/>
      <c r="B109" s="21"/>
      <c r="C109" s="21"/>
      <c r="D109" s="21"/>
      <c r="E109" s="23" t="str">
        <f t="shared" ref="E109:G109" si="66">E102</f>
        <v>2100</v>
      </c>
      <c r="F109" s="23" t="str">
        <f t="shared" si="66"/>
        <v>1900</v>
      </c>
      <c r="G109" s="23" t="str">
        <f t="shared" si="66"/>
        <v>1800</v>
      </c>
      <c r="H109" s="21">
        <v>380</v>
      </c>
      <c r="I109" s="23" t="str">
        <f>I102</f>
        <v>4000</v>
      </c>
      <c r="J109" s="21">
        <v>375</v>
      </c>
      <c r="K109" s="21">
        <v>585</v>
      </c>
      <c r="L109" s="23" t="str">
        <f t="shared" ref="L109:L110" si="67">L102</f>
        <v>3500</v>
      </c>
      <c r="M109" s="21"/>
      <c r="N109" s="21"/>
      <c r="O109" s="21">
        <f>O102</f>
        <v>2</v>
      </c>
      <c r="P109" s="21"/>
    </row>
    <row r="110" spans="1:16" ht="14.25" customHeight="1" x14ac:dyDescent="0.15">
      <c r="A110" s="19">
        <v>1</v>
      </c>
      <c r="B110" s="19">
        <v>3.6</v>
      </c>
      <c r="C110" s="19">
        <v>1.2</v>
      </c>
      <c r="D110" s="19">
        <f>B110*C110</f>
        <v>4.32</v>
      </c>
      <c r="E110" s="19"/>
      <c r="F110" s="19"/>
      <c r="G110" s="19"/>
      <c r="H110" s="19"/>
      <c r="I110" s="19">
        <v>2</v>
      </c>
      <c r="J110" s="19">
        <f t="shared" ref="J110:K110" si="68">A110</f>
        <v>1</v>
      </c>
      <c r="K110" s="19">
        <f t="shared" si="68"/>
        <v>3.6</v>
      </c>
      <c r="L110" s="19">
        <f t="shared" si="67"/>
        <v>3</v>
      </c>
      <c r="M110" s="19"/>
      <c r="N110" s="19"/>
      <c r="O110" s="19"/>
      <c r="P110" s="19"/>
    </row>
    <row r="111" spans="1:16" ht="14.25" customHeight="1" x14ac:dyDescent="0.15">
      <c r="A111" s="19"/>
      <c r="B111" s="19"/>
      <c r="C111" s="19"/>
      <c r="D111" s="26" t="str">
        <f>D69</f>
        <v>9500</v>
      </c>
      <c r="E111" s="19">
        <v>2</v>
      </c>
      <c r="F111" s="19">
        <v>0</v>
      </c>
      <c r="G111" s="19">
        <v>0</v>
      </c>
      <c r="H111" s="19">
        <f>B110*2</f>
        <v>7.2</v>
      </c>
      <c r="I111" s="19"/>
      <c r="J111" s="19"/>
      <c r="K111" s="19"/>
      <c r="L111" s="19"/>
      <c r="M111" s="19"/>
      <c r="N111" s="19"/>
      <c r="O111" s="19"/>
      <c r="P111" s="19"/>
    </row>
    <row r="112" spans="1:16" ht="14.25" customHeight="1" x14ac:dyDescent="0.15">
      <c r="A112" s="19"/>
      <c r="B112" s="19"/>
      <c r="C112" s="19"/>
      <c r="D112" s="19">
        <f>D110*D111</f>
        <v>41040</v>
      </c>
      <c r="E112" s="19">
        <f>E111*E109</f>
        <v>4200</v>
      </c>
      <c r="F112" s="19">
        <f t="shared" ref="F112:H112" si="69">F109*F111</f>
        <v>0</v>
      </c>
      <c r="G112" s="19">
        <f t="shared" si="69"/>
        <v>0</v>
      </c>
      <c r="H112" s="19">
        <f t="shared" si="69"/>
        <v>2736</v>
      </c>
      <c r="I112" s="19">
        <f t="shared" ref="I112:L112" si="70">I109*I110</f>
        <v>8000</v>
      </c>
      <c r="J112" s="19">
        <f t="shared" si="70"/>
        <v>375</v>
      </c>
      <c r="K112" s="19">
        <f t="shared" si="70"/>
        <v>2106</v>
      </c>
      <c r="L112" s="19">
        <f t="shared" si="70"/>
        <v>10500</v>
      </c>
      <c r="M112" s="19">
        <f>SUM(D112:L112)</f>
        <v>68957</v>
      </c>
      <c r="N112" s="19">
        <f>M112/A110</f>
        <v>68957</v>
      </c>
      <c r="O112" s="19">
        <f>N112*O109</f>
        <v>137914</v>
      </c>
      <c r="P112" s="19">
        <f>MROUND(O112,100)</f>
        <v>137900</v>
      </c>
    </row>
    <row r="113" spans="1:16" ht="14.25" customHeight="1" x14ac:dyDescent="0.1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6" ht="14.25" customHeight="1" x14ac:dyDescent="0.15">
      <c r="A114" s="109" t="str">
        <f>PRICELIST!I438</f>
        <v>MTFLX-LG-LVP-3600-1200</v>
      </c>
      <c r="B114" s="87"/>
      <c r="C114" s="87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</row>
    <row r="115" spans="1:16" ht="14.25" customHeight="1" x14ac:dyDescent="0.15">
      <c r="A115" s="19" t="s">
        <v>57</v>
      </c>
      <c r="B115" s="19" t="s">
        <v>59</v>
      </c>
      <c r="C115" s="19" t="s">
        <v>62</v>
      </c>
      <c r="D115" s="19" t="s">
        <v>64</v>
      </c>
      <c r="E115" s="19">
        <v>1200</v>
      </c>
      <c r="F115" s="19">
        <v>900</v>
      </c>
      <c r="G115" s="19">
        <v>600</v>
      </c>
      <c r="H115" s="19" t="s">
        <v>67</v>
      </c>
      <c r="I115" s="19" t="s">
        <v>69</v>
      </c>
      <c r="J115" s="19" t="s">
        <v>71</v>
      </c>
      <c r="K115" s="19" t="s">
        <v>72</v>
      </c>
      <c r="L115" s="19" t="s">
        <v>73</v>
      </c>
      <c r="M115" s="19" t="s">
        <v>76</v>
      </c>
      <c r="N115" s="19" t="s">
        <v>78</v>
      </c>
      <c r="O115" s="19" t="s">
        <v>79</v>
      </c>
      <c r="P115" s="19" t="s">
        <v>81</v>
      </c>
    </row>
    <row r="116" spans="1:16" ht="14.25" customHeight="1" x14ac:dyDescent="0.15">
      <c r="A116" s="21"/>
      <c r="B116" s="21"/>
      <c r="C116" s="21"/>
      <c r="D116" s="21"/>
      <c r="E116" s="23" t="str">
        <f t="shared" ref="E116:G116" si="71">E109</f>
        <v>2100</v>
      </c>
      <c r="F116" s="23" t="str">
        <f t="shared" si="71"/>
        <v>1900</v>
      </c>
      <c r="G116" s="23" t="str">
        <f t="shared" si="71"/>
        <v>1800</v>
      </c>
      <c r="H116" s="21">
        <v>380</v>
      </c>
      <c r="I116" s="23" t="str">
        <f>I109</f>
        <v>4000</v>
      </c>
      <c r="J116" s="21">
        <v>375</v>
      </c>
      <c r="K116" s="21">
        <v>585</v>
      </c>
      <c r="L116" s="23" t="str">
        <f t="shared" ref="L116:L117" si="72">L109</f>
        <v>3500</v>
      </c>
      <c r="M116" s="21"/>
      <c r="N116" s="21"/>
      <c r="O116" s="21">
        <f>O109</f>
        <v>2</v>
      </c>
      <c r="P116" s="21"/>
    </row>
    <row r="117" spans="1:16" ht="14.25" customHeight="1" x14ac:dyDescent="0.15">
      <c r="A117" s="19">
        <v>1</v>
      </c>
      <c r="B117" s="19">
        <v>3.6</v>
      </c>
      <c r="C117" s="19">
        <v>1.2</v>
      </c>
      <c r="D117" s="19">
        <f>B117*C117</f>
        <v>4.32</v>
      </c>
      <c r="E117" s="19"/>
      <c r="F117" s="19"/>
      <c r="G117" s="19"/>
      <c r="H117" s="19"/>
      <c r="I117" s="19">
        <v>2</v>
      </c>
      <c r="J117" s="19">
        <f t="shared" ref="J117:K117" si="73">A117</f>
        <v>1</v>
      </c>
      <c r="K117" s="19">
        <f t="shared" si="73"/>
        <v>3.6</v>
      </c>
      <c r="L117" s="19">
        <f t="shared" si="72"/>
        <v>3</v>
      </c>
      <c r="M117" s="19"/>
      <c r="N117" s="19"/>
      <c r="O117" s="19"/>
      <c r="P117" s="19"/>
    </row>
    <row r="118" spans="1:16" ht="14.25" customHeight="1" x14ac:dyDescent="0.15">
      <c r="A118" s="19"/>
      <c r="B118" s="19"/>
      <c r="C118" s="19"/>
      <c r="D118" s="26" t="str">
        <f>D76</f>
        <v>10500</v>
      </c>
      <c r="E118" s="19">
        <v>2</v>
      </c>
      <c r="F118" s="19">
        <v>0</v>
      </c>
      <c r="G118" s="19">
        <v>0</v>
      </c>
      <c r="H118" s="19">
        <f>B117*2</f>
        <v>7.2</v>
      </c>
      <c r="I118" s="19"/>
      <c r="J118" s="19"/>
      <c r="K118" s="19"/>
      <c r="L118" s="19"/>
      <c r="M118" s="19"/>
      <c r="N118" s="19"/>
      <c r="O118" s="19"/>
      <c r="P118" s="19"/>
    </row>
    <row r="119" spans="1:16" ht="14.25" customHeight="1" x14ac:dyDescent="0.15">
      <c r="A119" s="19"/>
      <c r="B119" s="19"/>
      <c r="C119" s="19"/>
      <c r="D119" s="19">
        <f>D117*D118</f>
        <v>45360</v>
      </c>
      <c r="E119" s="19">
        <f>E118*E116</f>
        <v>4200</v>
      </c>
      <c r="F119" s="19">
        <f t="shared" ref="F119:H119" si="74">F116*F118</f>
        <v>0</v>
      </c>
      <c r="G119" s="19">
        <f t="shared" si="74"/>
        <v>0</v>
      </c>
      <c r="H119" s="19">
        <f t="shared" si="74"/>
        <v>2736</v>
      </c>
      <c r="I119" s="19">
        <f t="shared" ref="I119:L119" si="75">I116*I117</f>
        <v>8000</v>
      </c>
      <c r="J119" s="19">
        <f t="shared" si="75"/>
        <v>375</v>
      </c>
      <c r="K119" s="19">
        <f t="shared" si="75"/>
        <v>2106</v>
      </c>
      <c r="L119" s="19">
        <f t="shared" si="75"/>
        <v>10500</v>
      </c>
      <c r="M119" s="19">
        <f>SUM(D119:L119)</f>
        <v>73277</v>
      </c>
      <c r="N119" s="19">
        <f>M119/A117</f>
        <v>73277</v>
      </c>
      <c r="O119" s="19">
        <f>N119*O116</f>
        <v>146554</v>
      </c>
      <c r="P119" s="19">
        <f>MROUND(O119,100)</f>
        <v>146600</v>
      </c>
    </row>
    <row r="120" spans="1:16" ht="14.25" customHeight="1" x14ac:dyDescent="0.1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6" ht="14.25" customHeight="1" x14ac:dyDescent="0.15">
      <c r="A121" s="109" t="str">
        <f>PRICELIST!I439</f>
        <v>MTFLX-LG-GL-3600-1200</v>
      </c>
      <c r="B121" s="87"/>
      <c r="C121" s="87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  <row r="122" spans="1:16" ht="14.25" customHeight="1" x14ac:dyDescent="0.15">
      <c r="A122" s="19" t="s">
        <v>57</v>
      </c>
      <c r="B122" s="19" t="s">
        <v>59</v>
      </c>
      <c r="C122" s="19" t="s">
        <v>62</v>
      </c>
      <c r="D122" s="19" t="s">
        <v>64</v>
      </c>
      <c r="E122" s="19">
        <v>1200</v>
      </c>
      <c r="F122" s="19">
        <v>900</v>
      </c>
      <c r="G122" s="19">
        <v>600</v>
      </c>
      <c r="H122" s="19" t="s">
        <v>67</v>
      </c>
      <c r="I122" s="19" t="s">
        <v>69</v>
      </c>
      <c r="J122" s="19" t="s">
        <v>71</v>
      </c>
      <c r="K122" s="19" t="s">
        <v>72</v>
      </c>
      <c r="L122" s="19" t="s">
        <v>73</v>
      </c>
      <c r="M122" s="19" t="s">
        <v>76</v>
      </c>
      <c r="N122" s="19" t="s">
        <v>78</v>
      </c>
      <c r="O122" s="19" t="s">
        <v>79</v>
      </c>
      <c r="P122" s="19" t="s">
        <v>81</v>
      </c>
    </row>
    <row r="123" spans="1:16" ht="14.25" customHeight="1" x14ac:dyDescent="0.15">
      <c r="A123" s="21"/>
      <c r="B123" s="21"/>
      <c r="C123" s="21"/>
      <c r="D123" s="21"/>
      <c r="E123" s="23" t="str">
        <f t="shared" ref="E123:G123" si="76">E116</f>
        <v>2100</v>
      </c>
      <c r="F123" s="23" t="str">
        <f t="shared" si="76"/>
        <v>1900</v>
      </c>
      <c r="G123" s="23" t="str">
        <f t="shared" si="76"/>
        <v>1800</v>
      </c>
      <c r="H123" s="21">
        <v>380</v>
      </c>
      <c r="I123" s="23" t="str">
        <f>I116</f>
        <v>4000</v>
      </c>
      <c r="J123" s="21">
        <v>375</v>
      </c>
      <c r="K123" s="21">
        <v>585</v>
      </c>
      <c r="L123" s="23" t="str">
        <f t="shared" ref="L123:L124" si="77">L116</f>
        <v>3500</v>
      </c>
      <c r="M123" s="21"/>
      <c r="N123" s="21"/>
      <c r="O123" s="21">
        <f>O116</f>
        <v>2</v>
      </c>
      <c r="P123" s="21"/>
    </row>
    <row r="124" spans="1:16" ht="14.25" customHeight="1" x14ac:dyDescent="0.15">
      <c r="A124" s="19">
        <v>1</v>
      </c>
      <c r="B124" s="19">
        <v>3.6</v>
      </c>
      <c r="C124" s="19">
        <v>1.2</v>
      </c>
      <c r="D124" s="19">
        <f>B124*C124</f>
        <v>4.32</v>
      </c>
      <c r="E124" s="19"/>
      <c r="F124" s="19"/>
      <c r="G124" s="19"/>
      <c r="H124" s="19"/>
      <c r="I124" s="19">
        <v>2</v>
      </c>
      <c r="J124" s="19">
        <f t="shared" ref="J124:K124" si="78">A124</f>
        <v>1</v>
      </c>
      <c r="K124" s="19">
        <f t="shared" si="78"/>
        <v>3.6</v>
      </c>
      <c r="L124" s="19">
        <f t="shared" si="77"/>
        <v>3</v>
      </c>
      <c r="M124" s="19"/>
      <c r="N124" s="19"/>
      <c r="O124" s="19"/>
      <c r="P124" s="19"/>
    </row>
    <row r="125" spans="1:16" ht="14.25" customHeight="1" x14ac:dyDescent="0.15">
      <c r="A125" s="19"/>
      <c r="B125" s="19"/>
      <c r="C125" s="19"/>
      <c r="D125" s="26" t="str">
        <f>D83</f>
        <v>7500</v>
      </c>
      <c r="E125" s="19">
        <v>2</v>
      </c>
      <c r="F125" s="19">
        <v>0</v>
      </c>
      <c r="G125" s="19">
        <v>0</v>
      </c>
      <c r="H125" s="19">
        <f>B124*2</f>
        <v>7.2</v>
      </c>
      <c r="I125" s="19"/>
      <c r="J125" s="19"/>
      <c r="K125" s="19"/>
      <c r="L125" s="19"/>
      <c r="M125" s="19"/>
      <c r="N125" s="19"/>
      <c r="O125" s="19"/>
      <c r="P125" s="19"/>
    </row>
    <row r="126" spans="1:16" ht="14.25" customHeight="1" x14ac:dyDescent="0.15">
      <c r="A126" s="19"/>
      <c r="B126" s="19"/>
      <c r="C126" s="19"/>
      <c r="D126" s="19">
        <f>D124*D125</f>
        <v>32400.000000000004</v>
      </c>
      <c r="E126" s="19">
        <f>E125*E123</f>
        <v>4200</v>
      </c>
      <c r="F126" s="19">
        <f t="shared" ref="F126:H126" si="79">F123*F125</f>
        <v>0</v>
      </c>
      <c r="G126" s="19">
        <f t="shared" si="79"/>
        <v>0</v>
      </c>
      <c r="H126" s="19">
        <f t="shared" si="79"/>
        <v>2736</v>
      </c>
      <c r="I126" s="19">
        <f t="shared" ref="I126:L126" si="80">I123*I124</f>
        <v>8000</v>
      </c>
      <c r="J126" s="19">
        <f t="shared" si="80"/>
        <v>375</v>
      </c>
      <c r="K126" s="19">
        <f t="shared" si="80"/>
        <v>2106</v>
      </c>
      <c r="L126" s="19">
        <f t="shared" si="80"/>
        <v>10500</v>
      </c>
      <c r="M126" s="19">
        <f>SUM(D126:L126)</f>
        <v>60317</v>
      </c>
      <c r="N126" s="19">
        <f>M126/A124</f>
        <v>60317</v>
      </c>
      <c r="O126" s="19">
        <f>N126*O123</f>
        <v>120634</v>
      </c>
      <c r="P126" s="19">
        <f>MROUND(O126,100)</f>
        <v>120600</v>
      </c>
    </row>
    <row r="127" spans="1:16" ht="30" customHeight="1" x14ac:dyDescent="0.15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</row>
    <row r="128" spans="1:16" ht="14.25" customHeight="1" x14ac:dyDescent="0.15">
      <c r="A128" s="109" t="str">
        <f>PRICELIST!I440</f>
        <v>MTFLX-XL-PB-4800-1200</v>
      </c>
      <c r="B128" s="87"/>
      <c r="C128" s="87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</row>
    <row r="129" spans="1:16" ht="14.25" customHeight="1" x14ac:dyDescent="0.15">
      <c r="A129" s="19" t="s">
        <v>57</v>
      </c>
      <c r="B129" s="19" t="s">
        <v>59</v>
      </c>
      <c r="C129" s="19" t="s">
        <v>62</v>
      </c>
      <c r="D129" s="19" t="s">
        <v>64</v>
      </c>
      <c r="E129" s="19">
        <v>1200</v>
      </c>
      <c r="F129" s="19">
        <v>900</v>
      </c>
      <c r="G129" s="19">
        <v>600</v>
      </c>
      <c r="H129" s="19" t="s">
        <v>67</v>
      </c>
      <c r="I129" s="19" t="s">
        <v>69</v>
      </c>
      <c r="J129" s="19" t="s">
        <v>71</v>
      </c>
      <c r="K129" s="19" t="s">
        <v>72</v>
      </c>
      <c r="L129" s="19" t="s">
        <v>73</v>
      </c>
      <c r="M129" s="19" t="s">
        <v>76</v>
      </c>
      <c r="N129" s="19" t="s">
        <v>78</v>
      </c>
      <c r="O129" s="19" t="s">
        <v>79</v>
      </c>
      <c r="P129" s="19" t="s">
        <v>81</v>
      </c>
    </row>
    <row r="130" spans="1:16" ht="14.25" customHeight="1" x14ac:dyDescent="0.15">
      <c r="A130" s="21"/>
      <c r="B130" s="21"/>
      <c r="C130" s="21"/>
      <c r="D130" s="21"/>
      <c r="E130" s="23" t="str">
        <f t="shared" ref="E130:G130" si="81">E123</f>
        <v>2100</v>
      </c>
      <c r="F130" s="23" t="str">
        <f t="shared" si="81"/>
        <v>1900</v>
      </c>
      <c r="G130" s="23" t="str">
        <f t="shared" si="81"/>
        <v>1800</v>
      </c>
      <c r="H130" s="21">
        <v>380</v>
      </c>
      <c r="I130" s="23" t="str">
        <f>I123</f>
        <v>4000</v>
      </c>
      <c r="J130" s="21">
        <v>375</v>
      </c>
      <c r="K130" s="21">
        <v>585</v>
      </c>
      <c r="L130" s="23" t="str">
        <f>L123</f>
        <v>3500</v>
      </c>
      <c r="M130" s="21"/>
      <c r="N130" s="21"/>
      <c r="O130" s="21">
        <f>O123</f>
        <v>2</v>
      </c>
      <c r="P130" s="21"/>
    </row>
    <row r="131" spans="1:16" ht="14.25" customHeight="1" x14ac:dyDescent="0.15">
      <c r="A131" s="19">
        <v>1</v>
      </c>
      <c r="B131" s="19">
        <v>4.8</v>
      </c>
      <c r="C131" s="19">
        <v>1.2</v>
      </c>
      <c r="D131" s="19">
        <f>B131*C131</f>
        <v>5.76</v>
      </c>
      <c r="E131" s="19"/>
      <c r="F131" s="19"/>
      <c r="G131" s="19"/>
      <c r="H131" s="19"/>
      <c r="I131" s="19">
        <v>2</v>
      </c>
      <c r="J131" s="19">
        <f t="shared" ref="J131:K131" si="82">A131</f>
        <v>1</v>
      </c>
      <c r="K131" s="19">
        <f t="shared" si="82"/>
        <v>4.8</v>
      </c>
      <c r="L131" s="19">
        <v>3</v>
      </c>
      <c r="M131" s="19"/>
      <c r="N131" s="19"/>
      <c r="O131" s="19"/>
      <c r="P131" s="19"/>
    </row>
    <row r="132" spans="1:16" ht="14.25" customHeight="1" x14ac:dyDescent="0.15">
      <c r="A132" s="19"/>
      <c r="B132" s="19"/>
      <c r="C132" s="19"/>
      <c r="D132" s="26" t="str">
        <f>D90</f>
        <v>2200</v>
      </c>
      <c r="E132" s="19">
        <v>3</v>
      </c>
      <c r="F132" s="19">
        <v>0</v>
      </c>
      <c r="G132" s="19">
        <v>0</v>
      </c>
      <c r="H132" s="19">
        <f>B131*2</f>
        <v>9.6</v>
      </c>
      <c r="I132" s="19"/>
      <c r="J132" s="19"/>
      <c r="K132" s="19"/>
      <c r="L132" s="19"/>
      <c r="M132" s="19"/>
      <c r="N132" s="19"/>
      <c r="O132" s="19"/>
      <c r="P132" s="19"/>
    </row>
    <row r="133" spans="1:16" ht="14.25" customHeight="1" x14ac:dyDescent="0.15">
      <c r="A133" s="19"/>
      <c r="B133" s="19"/>
      <c r="C133" s="19"/>
      <c r="D133" s="19">
        <f>D131*D132</f>
        <v>12672</v>
      </c>
      <c r="E133" s="19">
        <f>E132*E130</f>
        <v>6300</v>
      </c>
      <c r="F133" s="19">
        <f t="shared" ref="F133:H133" si="83">F130*F132</f>
        <v>0</v>
      </c>
      <c r="G133" s="19">
        <f t="shared" si="83"/>
        <v>0</v>
      </c>
      <c r="H133" s="19">
        <f t="shared" si="83"/>
        <v>3648</v>
      </c>
      <c r="I133" s="19">
        <f t="shared" ref="I133:L133" si="84">I130*I131</f>
        <v>8000</v>
      </c>
      <c r="J133" s="19">
        <f t="shared" si="84"/>
        <v>375</v>
      </c>
      <c r="K133" s="19">
        <f t="shared" si="84"/>
        <v>2808</v>
      </c>
      <c r="L133" s="19">
        <f t="shared" si="84"/>
        <v>10500</v>
      </c>
      <c r="M133" s="19">
        <f>SUM(D133:L133)</f>
        <v>44303</v>
      </c>
      <c r="N133" s="19">
        <f>M133/A131</f>
        <v>44303</v>
      </c>
      <c r="O133" s="19">
        <f>N133*O130</f>
        <v>88606</v>
      </c>
      <c r="P133" s="19">
        <f>MROUND(O133,100)</f>
        <v>88600</v>
      </c>
    </row>
    <row r="134" spans="1:16" ht="14.25" customHeight="1" x14ac:dyDescent="0.15">
      <c r="A134" s="111"/>
      <c r="B134" s="87"/>
      <c r="C134" s="87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6" ht="14.25" customHeight="1" x14ac:dyDescent="0.15">
      <c r="A135" s="109" t="str">
        <f>PRICELIST!I441</f>
        <v>MTFLX-XL-PLM-4800-1200</v>
      </c>
      <c r="B135" s="87"/>
      <c r="C135" s="87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</row>
    <row r="136" spans="1:16" ht="14.25" customHeight="1" x14ac:dyDescent="0.15">
      <c r="A136" s="19" t="s">
        <v>57</v>
      </c>
      <c r="B136" s="19" t="s">
        <v>59</v>
      </c>
      <c r="C136" s="19" t="s">
        <v>62</v>
      </c>
      <c r="D136" s="19" t="s">
        <v>64</v>
      </c>
      <c r="E136" s="19">
        <v>1200</v>
      </c>
      <c r="F136" s="19">
        <v>900</v>
      </c>
      <c r="G136" s="19">
        <v>600</v>
      </c>
      <c r="H136" s="19" t="s">
        <v>67</v>
      </c>
      <c r="I136" s="19" t="s">
        <v>69</v>
      </c>
      <c r="J136" s="19" t="s">
        <v>71</v>
      </c>
      <c r="K136" s="19" t="s">
        <v>72</v>
      </c>
      <c r="L136" s="19" t="s">
        <v>73</v>
      </c>
      <c r="M136" s="19" t="s">
        <v>76</v>
      </c>
      <c r="N136" s="19" t="s">
        <v>78</v>
      </c>
      <c r="O136" s="19" t="s">
        <v>79</v>
      </c>
      <c r="P136" s="19" t="s">
        <v>81</v>
      </c>
    </row>
    <row r="137" spans="1:16" ht="14.25" customHeight="1" x14ac:dyDescent="0.15">
      <c r="A137" s="21"/>
      <c r="B137" s="21"/>
      <c r="C137" s="21"/>
      <c r="D137" s="21"/>
      <c r="E137" s="23" t="str">
        <f t="shared" ref="E137:G137" si="85">E130</f>
        <v>2100</v>
      </c>
      <c r="F137" s="23" t="str">
        <f t="shared" si="85"/>
        <v>1900</v>
      </c>
      <c r="G137" s="23" t="str">
        <f t="shared" si="85"/>
        <v>1800</v>
      </c>
      <c r="H137" s="21">
        <v>380</v>
      </c>
      <c r="I137" s="23" t="str">
        <f>I130</f>
        <v>4000</v>
      </c>
      <c r="J137" s="21">
        <v>375</v>
      </c>
      <c r="K137" s="21">
        <v>585</v>
      </c>
      <c r="L137" s="23" t="str">
        <f t="shared" ref="L137:L138" si="86">L130</f>
        <v>3500</v>
      </c>
      <c r="M137" s="21"/>
      <c r="N137" s="21"/>
      <c r="O137" s="21">
        <f>O130</f>
        <v>2</v>
      </c>
      <c r="P137" s="21"/>
    </row>
    <row r="138" spans="1:16" ht="14.25" customHeight="1" x14ac:dyDescent="0.15">
      <c r="A138" s="19">
        <v>1</v>
      </c>
      <c r="B138" s="19">
        <v>4.8</v>
      </c>
      <c r="C138" s="19">
        <v>1.2</v>
      </c>
      <c r="D138" s="19">
        <f>B138*C138</f>
        <v>5.76</v>
      </c>
      <c r="E138" s="19"/>
      <c r="F138" s="19"/>
      <c r="G138" s="19"/>
      <c r="H138" s="19"/>
      <c r="I138" s="19">
        <v>2</v>
      </c>
      <c r="J138" s="19">
        <f t="shared" ref="J138:K138" si="87">A138</f>
        <v>1</v>
      </c>
      <c r="K138" s="19">
        <f t="shared" si="87"/>
        <v>4.8</v>
      </c>
      <c r="L138" s="19">
        <f t="shared" si="86"/>
        <v>3</v>
      </c>
      <c r="M138" s="19"/>
      <c r="N138" s="19"/>
      <c r="O138" s="19"/>
      <c r="P138" s="19"/>
    </row>
    <row r="139" spans="1:16" ht="14.25" customHeight="1" x14ac:dyDescent="0.15">
      <c r="A139" s="19"/>
      <c r="B139" s="19"/>
      <c r="C139" s="19"/>
      <c r="D139" s="26" t="str">
        <f>D97</f>
        <v>3000</v>
      </c>
      <c r="E139" s="19">
        <v>3</v>
      </c>
      <c r="F139" s="19">
        <v>0</v>
      </c>
      <c r="G139" s="19">
        <v>0</v>
      </c>
      <c r="H139" s="19">
        <f>B138*2</f>
        <v>9.6</v>
      </c>
      <c r="I139" s="19"/>
      <c r="J139" s="19"/>
      <c r="K139" s="19"/>
      <c r="L139" s="19"/>
      <c r="M139" s="19"/>
      <c r="N139" s="19"/>
      <c r="O139" s="19"/>
      <c r="P139" s="19"/>
    </row>
    <row r="140" spans="1:16" ht="14.25" customHeight="1" x14ac:dyDescent="0.15">
      <c r="A140" s="19"/>
      <c r="B140" s="19"/>
      <c r="C140" s="19"/>
      <c r="D140" s="19">
        <f>D138*D139</f>
        <v>17280</v>
      </c>
      <c r="E140" s="19">
        <f>E139*E137</f>
        <v>6300</v>
      </c>
      <c r="F140" s="19">
        <f t="shared" ref="F140:H140" si="88">F137*F139</f>
        <v>0</v>
      </c>
      <c r="G140" s="19">
        <f t="shared" si="88"/>
        <v>0</v>
      </c>
      <c r="H140" s="19">
        <f t="shared" si="88"/>
        <v>3648</v>
      </c>
      <c r="I140" s="19">
        <f t="shared" ref="I140:L140" si="89">I137*I138</f>
        <v>8000</v>
      </c>
      <c r="J140" s="19">
        <f t="shared" si="89"/>
        <v>375</v>
      </c>
      <c r="K140" s="19">
        <f t="shared" si="89"/>
        <v>2808</v>
      </c>
      <c r="L140" s="19">
        <f t="shared" si="89"/>
        <v>10500</v>
      </c>
      <c r="M140" s="19">
        <f>SUM(D140:L140)</f>
        <v>48911</v>
      </c>
      <c r="N140" s="19">
        <f>M140/A138</f>
        <v>48911</v>
      </c>
      <c r="O140" s="19">
        <f>N140*O137</f>
        <v>97822</v>
      </c>
      <c r="P140" s="19">
        <f>MROUND(O140,100)</f>
        <v>97800</v>
      </c>
    </row>
    <row r="141" spans="1:16" ht="14.25" customHeight="1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6" ht="14.25" customHeight="1" x14ac:dyDescent="0.15">
      <c r="A142" s="109" t="str">
        <f>PRICELIST!I442</f>
        <v>MTFLX-XL-PoLM-4800-1200</v>
      </c>
      <c r="B142" s="87"/>
      <c r="C142" s="87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</row>
    <row r="143" spans="1:16" ht="14.25" customHeight="1" x14ac:dyDescent="0.15">
      <c r="A143" s="19" t="s">
        <v>57</v>
      </c>
      <c r="B143" s="19" t="s">
        <v>59</v>
      </c>
      <c r="C143" s="19" t="s">
        <v>62</v>
      </c>
      <c r="D143" s="19" t="s">
        <v>64</v>
      </c>
      <c r="E143" s="19">
        <v>1200</v>
      </c>
      <c r="F143" s="19">
        <v>900</v>
      </c>
      <c r="G143" s="19">
        <v>600</v>
      </c>
      <c r="H143" s="19" t="s">
        <v>67</v>
      </c>
      <c r="I143" s="19" t="s">
        <v>69</v>
      </c>
      <c r="J143" s="19" t="s">
        <v>71</v>
      </c>
      <c r="K143" s="19" t="s">
        <v>72</v>
      </c>
      <c r="L143" s="19" t="s">
        <v>73</v>
      </c>
      <c r="M143" s="19" t="s">
        <v>76</v>
      </c>
      <c r="N143" s="19" t="s">
        <v>78</v>
      </c>
      <c r="O143" s="19" t="s">
        <v>79</v>
      </c>
      <c r="P143" s="19" t="s">
        <v>81</v>
      </c>
    </row>
    <row r="144" spans="1:16" ht="14.25" customHeight="1" x14ac:dyDescent="0.15">
      <c r="A144" s="21"/>
      <c r="B144" s="21"/>
      <c r="C144" s="21"/>
      <c r="D144" s="21"/>
      <c r="E144" s="23" t="str">
        <f t="shared" ref="E144:G144" si="90">E137</f>
        <v>2100</v>
      </c>
      <c r="F144" s="23" t="str">
        <f t="shared" si="90"/>
        <v>1900</v>
      </c>
      <c r="G144" s="23" t="str">
        <f t="shared" si="90"/>
        <v>1800</v>
      </c>
      <c r="H144" s="21">
        <v>380</v>
      </c>
      <c r="I144" s="23" t="str">
        <f>I137</f>
        <v>4000</v>
      </c>
      <c r="J144" s="21">
        <v>375</v>
      </c>
      <c r="K144" s="21">
        <v>585</v>
      </c>
      <c r="L144" s="23" t="str">
        <f t="shared" ref="L144:L145" si="91">L137</f>
        <v>3500</v>
      </c>
      <c r="M144" s="21"/>
      <c r="N144" s="21"/>
      <c r="O144" s="21">
        <f>O137</f>
        <v>2</v>
      </c>
      <c r="P144" s="21"/>
    </row>
    <row r="145" spans="1:16" ht="14.25" customHeight="1" x14ac:dyDescent="0.15">
      <c r="A145" s="19">
        <v>1</v>
      </c>
      <c r="B145" s="19">
        <v>4.8</v>
      </c>
      <c r="C145" s="19">
        <v>1.2</v>
      </c>
      <c r="D145" s="19">
        <f>B145*C145</f>
        <v>5.76</v>
      </c>
      <c r="E145" s="19"/>
      <c r="F145" s="19"/>
      <c r="G145" s="19"/>
      <c r="H145" s="19"/>
      <c r="I145" s="19">
        <v>2</v>
      </c>
      <c r="J145" s="19">
        <f t="shared" ref="J145:K145" si="92">A145</f>
        <v>1</v>
      </c>
      <c r="K145" s="19">
        <f t="shared" si="92"/>
        <v>4.8</v>
      </c>
      <c r="L145" s="19">
        <f t="shared" si="91"/>
        <v>3</v>
      </c>
      <c r="M145" s="19"/>
      <c r="N145" s="19"/>
      <c r="O145" s="19"/>
      <c r="P145" s="19"/>
    </row>
    <row r="146" spans="1:16" ht="14.25" customHeight="1" x14ac:dyDescent="0.15">
      <c r="A146" s="19"/>
      <c r="B146" s="19"/>
      <c r="C146" s="19"/>
      <c r="D146" s="26" t="str">
        <f>D104</f>
        <v>7500</v>
      </c>
      <c r="E146" s="19">
        <v>3</v>
      </c>
      <c r="F146" s="19">
        <v>0</v>
      </c>
      <c r="G146" s="19">
        <v>0</v>
      </c>
      <c r="H146" s="19">
        <f>B145*2</f>
        <v>9.6</v>
      </c>
      <c r="I146" s="19"/>
      <c r="J146" s="19"/>
      <c r="K146" s="19"/>
      <c r="L146" s="19"/>
      <c r="M146" s="19"/>
      <c r="N146" s="19"/>
      <c r="O146" s="19"/>
      <c r="P146" s="19"/>
    </row>
    <row r="147" spans="1:16" ht="14.25" customHeight="1" x14ac:dyDescent="0.15">
      <c r="A147" s="19"/>
      <c r="B147" s="19"/>
      <c r="C147" s="19"/>
      <c r="D147" s="19">
        <f>D145*D146</f>
        <v>43200</v>
      </c>
      <c r="E147" s="19">
        <f>E146*E144</f>
        <v>6300</v>
      </c>
      <c r="F147" s="19">
        <f t="shared" ref="F147:H147" si="93">F144*F146</f>
        <v>0</v>
      </c>
      <c r="G147" s="19">
        <f t="shared" si="93"/>
        <v>0</v>
      </c>
      <c r="H147" s="19">
        <f t="shared" si="93"/>
        <v>3648</v>
      </c>
      <c r="I147" s="19">
        <f t="shared" ref="I147:L147" si="94">I144*I145</f>
        <v>8000</v>
      </c>
      <c r="J147" s="19">
        <f t="shared" si="94"/>
        <v>375</v>
      </c>
      <c r="K147" s="19">
        <f t="shared" si="94"/>
        <v>2808</v>
      </c>
      <c r="L147" s="19">
        <f t="shared" si="94"/>
        <v>10500</v>
      </c>
      <c r="M147" s="19">
        <f>SUM(D147:L147)</f>
        <v>74831</v>
      </c>
      <c r="N147" s="19">
        <f>M147/A145</f>
        <v>74831</v>
      </c>
      <c r="O147" s="19">
        <f>N147*O144</f>
        <v>149662</v>
      </c>
      <c r="P147" s="19">
        <f>MROUND(O147,100)</f>
        <v>149700</v>
      </c>
    </row>
    <row r="148" spans="1:16" ht="14.25" customHeight="1" x14ac:dyDescent="0.15">
      <c r="A148" s="111"/>
      <c r="B148" s="87"/>
      <c r="C148" s="87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</row>
    <row r="149" spans="1:16" ht="14.25" customHeight="1" x14ac:dyDescent="0.15">
      <c r="A149" s="109" t="str">
        <f>PRICELIST!I443</f>
        <v>MTFLX-XL-LVM-4800-1200</v>
      </c>
      <c r="B149" s="87"/>
      <c r="C149" s="87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</row>
    <row r="150" spans="1:16" ht="14.25" customHeight="1" x14ac:dyDescent="0.15">
      <c r="A150" s="19" t="s">
        <v>57</v>
      </c>
      <c r="B150" s="19" t="s">
        <v>59</v>
      </c>
      <c r="C150" s="19" t="s">
        <v>62</v>
      </c>
      <c r="D150" s="19" t="s">
        <v>64</v>
      </c>
      <c r="E150" s="19">
        <v>1200</v>
      </c>
      <c r="F150" s="19">
        <v>900</v>
      </c>
      <c r="G150" s="19">
        <v>600</v>
      </c>
      <c r="H150" s="19" t="s">
        <v>67</v>
      </c>
      <c r="I150" s="19" t="s">
        <v>69</v>
      </c>
      <c r="J150" s="19" t="s">
        <v>71</v>
      </c>
      <c r="K150" s="19" t="s">
        <v>72</v>
      </c>
      <c r="L150" s="19" t="s">
        <v>73</v>
      </c>
      <c r="M150" s="19" t="s">
        <v>76</v>
      </c>
      <c r="N150" s="19" t="s">
        <v>78</v>
      </c>
      <c r="O150" s="19" t="s">
        <v>79</v>
      </c>
      <c r="P150" s="19" t="s">
        <v>81</v>
      </c>
    </row>
    <row r="151" spans="1:16" ht="14.25" customHeight="1" x14ac:dyDescent="0.15">
      <c r="A151" s="21"/>
      <c r="B151" s="21"/>
      <c r="C151" s="21"/>
      <c r="D151" s="21"/>
      <c r="E151" s="23" t="str">
        <f t="shared" ref="E151:G151" si="95">E144</f>
        <v>2100</v>
      </c>
      <c r="F151" s="23" t="str">
        <f t="shared" si="95"/>
        <v>1900</v>
      </c>
      <c r="G151" s="23" t="str">
        <f t="shared" si="95"/>
        <v>1800</v>
      </c>
      <c r="H151" s="21">
        <v>380</v>
      </c>
      <c r="I151" s="23" t="str">
        <f>I144</f>
        <v>4000</v>
      </c>
      <c r="J151" s="21">
        <v>375</v>
      </c>
      <c r="K151" s="21">
        <v>585</v>
      </c>
      <c r="L151" s="23" t="str">
        <f t="shared" ref="L151:L152" si="96">L144</f>
        <v>3500</v>
      </c>
      <c r="M151" s="21"/>
      <c r="N151" s="21"/>
      <c r="O151" s="21">
        <f>O144</f>
        <v>2</v>
      </c>
      <c r="P151" s="21"/>
    </row>
    <row r="152" spans="1:16" ht="14.25" customHeight="1" x14ac:dyDescent="0.15">
      <c r="A152" s="19">
        <v>1</v>
      </c>
      <c r="B152" s="19">
        <v>4.8</v>
      </c>
      <c r="C152" s="19">
        <v>1.2</v>
      </c>
      <c r="D152" s="19">
        <f>B152*C152</f>
        <v>5.76</v>
      </c>
      <c r="E152" s="19"/>
      <c r="F152" s="19"/>
      <c r="G152" s="19"/>
      <c r="H152" s="19"/>
      <c r="I152" s="19">
        <v>2</v>
      </c>
      <c r="J152" s="19">
        <f t="shared" ref="J152:K152" si="97">A152</f>
        <v>1</v>
      </c>
      <c r="K152" s="19">
        <f t="shared" si="97"/>
        <v>4.8</v>
      </c>
      <c r="L152" s="19">
        <f t="shared" si="96"/>
        <v>3</v>
      </c>
      <c r="M152" s="19"/>
      <c r="N152" s="19"/>
      <c r="O152" s="19"/>
      <c r="P152" s="19"/>
    </row>
    <row r="153" spans="1:16" ht="14.25" customHeight="1" x14ac:dyDescent="0.15">
      <c r="A153" s="19"/>
      <c r="B153" s="19"/>
      <c r="C153" s="19"/>
      <c r="D153" s="26" t="str">
        <f>D111</f>
        <v>9500</v>
      </c>
      <c r="E153" s="19">
        <v>3</v>
      </c>
      <c r="F153" s="19">
        <v>0</v>
      </c>
      <c r="G153" s="19">
        <v>0</v>
      </c>
      <c r="H153" s="19">
        <f>B152*2</f>
        <v>9.6</v>
      </c>
      <c r="I153" s="19"/>
      <c r="J153" s="19"/>
      <c r="K153" s="19"/>
      <c r="L153" s="19"/>
      <c r="M153" s="19"/>
      <c r="N153" s="19"/>
      <c r="O153" s="19"/>
      <c r="P153" s="19"/>
    </row>
    <row r="154" spans="1:16" ht="14.25" customHeight="1" x14ac:dyDescent="0.15">
      <c r="A154" s="19"/>
      <c r="B154" s="19"/>
      <c r="C154" s="19"/>
      <c r="D154" s="19">
        <f>D152*D153</f>
        <v>54720</v>
      </c>
      <c r="E154" s="19">
        <f>E153*E151</f>
        <v>6300</v>
      </c>
      <c r="F154" s="19">
        <f t="shared" ref="F154:H154" si="98">F151*F153</f>
        <v>0</v>
      </c>
      <c r="G154" s="19">
        <f t="shared" si="98"/>
        <v>0</v>
      </c>
      <c r="H154" s="19">
        <f t="shared" si="98"/>
        <v>3648</v>
      </c>
      <c r="I154" s="19">
        <f t="shared" ref="I154:L154" si="99">I151*I152</f>
        <v>8000</v>
      </c>
      <c r="J154" s="19">
        <f t="shared" si="99"/>
        <v>375</v>
      </c>
      <c r="K154" s="19">
        <f t="shared" si="99"/>
        <v>2808</v>
      </c>
      <c r="L154" s="19">
        <f t="shared" si="99"/>
        <v>10500</v>
      </c>
      <c r="M154" s="19">
        <f>SUM(D154:L154)</f>
        <v>86351</v>
      </c>
      <c r="N154" s="19">
        <f>M154/A152</f>
        <v>86351</v>
      </c>
      <c r="O154" s="19">
        <f>N154*O151</f>
        <v>172702</v>
      </c>
      <c r="P154" s="19">
        <f>MROUND(O154,100)</f>
        <v>172700</v>
      </c>
    </row>
    <row r="155" spans="1:16" ht="14.25" customHeight="1" x14ac:dyDescent="0.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1:16" ht="14.25" customHeight="1" x14ac:dyDescent="0.15">
      <c r="A156" s="109" t="str">
        <f>PRICELIST!I444</f>
        <v>MTFLX-XL-LVP-4800-1200</v>
      </c>
      <c r="B156" s="87"/>
      <c r="C156" s="8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1:16" ht="14.25" customHeight="1" x14ac:dyDescent="0.15">
      <c r="A157" s="19" t="s">
        <v>57</v>
      </c>
      <c r="B157" s="19" t="s">
        <v>59</v>
      </c>
      <c r="C157" s="19" t="s">
        <v>62</v>
      </c>
      <c r="D157" s="19" t="s">
        <v>64</v>
      </c>
      <c r="E157" s="19">
        <v>1200</v>
      </c>
      <c r="F157" s="19">
        <v>900</v>
      </c>
      <c r="G157" s="19">
        <v>600</v>
      </c>
      <c r="H157" s="19" t="s">
        <v>67</v>
      </c>
      <c r="I157" s="19" t="s">
        <v>69</v>
      </c>
      <c r="J157" s="19" t="s">
        <v>71</v>
      </c>
      <c r="K157" s="19" t="s">
        <v>72</v>
      </c>
      <c r="L157" s="19" t="s">
        <v>73</v>
      </c>
      <c r="M157" s="19" t="s">
        <v>76</v>
      </c>
      <c r="N157" s="19" t="s">
        <v>78</v>
      </c>
      <c r="O157" s="19" t="s">
        <v>79</v>
      </c>
      <c r="P157" s="19" t="s">
        <v>81</v>
      </c>
    </row>
    <row r="158" spans="1:16" ht="14.25" customHeight="1" x14ac:dyDescent="0.15">
      <c r="A158" s="21"/>
      <c r="B158" s="21"/>
      <c r="C158" s="21"/>
      <c r="D158" s="21"/>
      <c r="E158" s="23" t="str">
        <f t="shared" ref="E158:G158" si="100">E151</f>
        <v>2100</v>
      </c>
      <c r="F158" s="23" t="str">
        <f t="shared" si="100"/>
        <v>1900</v>
      </c>
      <c r="G158" s="23" t="str">
        <f t="shared" si="100"/>
        <v>1800</v>
      </c>
      <c r="H158" s="21">
        <v>380</v>
      </c>
      <c r="I158" s="23" t="str">
        <f>I151</f>
        <v>4000</v>
      </c>
      <c r="J158" s="21">
        <v>375</v>
      </c>
      <c r="K158" s="21">
        <v>585</v>
      </c>
      <c r="L158" s="23" t="str">
        <f t="shared" ref="L158:L159" si="101">L151</f>
        <v>3500</v>
      </c>
      <c r="M158" s="21"/>
      <c r="N158" s="21"/>
      <c r="O158" s="21">
        <f>O151</f>
        <v>2</v>
      </c>
      <c r="P158" s="21"/>
    </row>
    <row r="159" spans="1:16" ht="14.25" customHeight="1" x14ac:dyDescent="0.15">
      <c r="A159" s="19">
        <v>1</v>
      </c>
      <c r="B159" s="19">
        <v>4.8</v>
      </c>
      <c r="C159" s="19">
        <v>1.2</v>
      </c>
      <c r="D159" s="19">
        <f>B159*C159</f>
        <v>5.76</v>
      </c>
      <c r="E159" s="19"/>
      <c r="F159" s="19"/>
      <c r="G159" s="19"/>
      <c r="H159" s="19"/>
      <c r="I159" s="19">
        <v>2</v>
      </c>
      <c r="J159" s="19">
        <f t="shared" ref="J159:K159" si="102">A159</f>
        <v>1</v>
      </c>
      <c r="K159" s="19">
        <f t="shared" si="102"/>
        <v>4.8</v>
      </c>
      <c r="L159" s="19">
        <f t="shared" si="101"/>
        <v>3</v>
      </c>
      <c r="M159" s="19"/>
      <c r="N159" s="19"/>
      <c r="O159" s="19"/>
      <c r="P159" s="19"/>
    </row>
    <row r="160" spans="1:16" ht="14.25" customHeight="1" x14ac:dyDescent="0.15">
      <c r="A160" s="19"/>
      <c r="B160" s="19"/>
      <c r="C160" s="19"/>
      <c r="D160" s="26" t="str">
        <f>D118</f>
        <v>10500</v>
      </c>
      <c r="E160" s="19">
        <v>3</v>
      </c>
      <c r="F160" s="19">
        <v>0</v>
      </c>
      <c r="G160" s="19">
        <v>0</v>
      </c>
      <c r="H160" s="19">
        <f>B159*2</f>
        <v>9.6</v>
      </c>
      <c r="I160" s="19"/>
      <c r="J160" s="19"/>
      <c r="K160" s="19"/>
      <c r="L160" s="19"/>
      <c r="M160" s="19"/>
      <c r="N160" s="19"/>
      <c r="O160" s="19"/>
      <c r="P160" s="19"/>
    </row>
    <row r="161" spans="1:16" ht="14.25" customHeight="1" x14ac:dyDescent="0.15">
      <c r="A161" s="19"/>
      <c r="B161" s="19"/>
      <c r="C161" s="19"/>
      <c r="D161" s="19">
        <f>D159*D160</f>
        <v>60480</v>
      </c>
      <c r="E161" s="19">
        <f>E160*E158</f>
        <v>6300</v>
      </c>
      <c r="F161" s="19">
        <f t="shared" ref="F161:H161" si="103">F158*F160</f>
        <v>0</v>
      </c>
      <c r="G161" s="19">
        <f t="shared" si="103"/>
        <v>0</v>
      </c>
      <c r="H161" s="19">
        <f t="shared" si="103"/>
        <v>3648</v>
      </c>
      <c r="I161" s="19">
        <f t="shared" ref="I161:L161" si="104">I158*I159</f>
        <v>8000</v>
      </c>
      <c r="J161" s="19">
        <f t="shared" si="104"/>
        <v>375</v>
      </c>
      <c r="K161" s="19">
        <f t="shared" si="104"/>
        <v>2808</v>
      </c>
      <c r="L161" s="19">
        <f t="shared" si="104"/>
        <v>10500</v>
      </c>
      <c r="M161" s="19">
        <f>SUM(D161:L161)</f>
        <v>92111</v>
      </c>
      <c r="N161" s="19">
        <f>M161/A159</f>
        <v>92111</v>
      </c>
      <c r="O161" s="19">
        <f>N161*O158</f>
        <v>184222</v>
      </c>
      <c r="P161" s="19">
        <f>MROUND(O161,100)</f>
        <v>184200</v>
      </c>
    </row>
    <row r="162" spans="1:16" ht="14.25" customHeight="1" x14ac:dyDescent="0.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6" ht="14.25" customHeight="1" x14ac:dyDescent="0.15">
      <c r="A163" s="109" t="str">
        <f>PRICELIST!I445</f>
        <v>MTFLX-XL-GL-4800-1200</v>
      </c>
      <c r="B163" s="87"/>
      <c r="C163" s="87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</row>
    <row r="164" spans="1:16" ht="14.25" customHeight="1" x14ac:dyDescent="0.15">
      <c r="A164" s="19" t="s">
        <v>57</v>
      </c>
      <c r="B164" s="19" t="s">
        <v>59</v>
      </c>
      <c r="C164" s="19" t="s">
        <v>62</v>
      </c>
      <c r="D164" s="19" t="s">
        <v>64</v>
      </c>
      <c r="E164" s="19">
        <v>1200</v>
      </c>
      <c r="F164" s="19">
        <v>900</v>
      </c>
      <c r="G164" s="19">
        <v>600</v>
      </c>
      <c r="H164" s="19" t="s">
        <v>67</v>
      </c>
      <c r="I164" s="19" t="s">
        <v>69</v>
      </c>
      <c r="J164" s="19" t="s">
        <v>71</v>
      </c>
      <c r="K164" s="19" t="s">
        <v>72</v>
      </c>
      <c r="L164" s="19" t="s">
        <v>73</v>
      </c>
      <c r="M164" s="19" t="s">
        <v>76</v>
      </c>
      <c r="N164" s="19" t="s">
        <v>78</v>
      </c>
      <c r="O164" s="19" t="s">
        <v>79</v>
      </c>
      <c r="P164" s="19" t="s">
        <v>81</v>
      </c>
    </row>
    <row r="165" spans="1:16" ht="14.25" customHeight="1" x14ac:dyDescent="0.15">
      <c r="A165" s="21"/>
      <c r="B165" s="21"/>
      <c r="C165" s="21"/>
      <c r="D165" s="21"/>
      <c r="E165" s="23" t="str">
        <f t="shared" ref="E165:G165" si="105">E158</f>
        <v>2100</v>
      </c>
      <c r="F165" s="23" t="str">
        <f t="shared" si="105"/>
        <v>1900</v>
      </c>
      <c r="G165" s="23" t="str">
        <f t="shared" si="105"/>
        <v>1800</v>
      </c>
      <c r="H165" s="21">
        <v>380</v>
      </c>
      <c r="I165" s="23" t="str">
        <f>I158</f>
        <v>4000</v>
      </c>
      <c r="J165" s="21">
        <v>375</v>
      </c>
      <c r="K165" s="21">
        <v>585</v>
      </c>
      <c r="L165" s="23" t="str">
        <f t="shared" ref="L165:L166" si="106">L158</f>
        <v>3500</v>
      </c>
      <c r="M165" s="21"/>
      <c r="N165" s="21"/>
      <c r="O165" s="21">
        <f>O158</f>
        <v>2</v>
      </c>
      <c r="P165" s="21"/>
    </row>
    <row r="166" spans="1:16" ht="14.25" customHeight="1" x14ac:dyDescent="0.15">
      <c r="A166" s="19">
        <v>1</v>
      </c>
      <c r="B166" s="19">
        <v>4.8</v>
      </c>
      <c r="C166" s="19">
        <v>1.2</v>
      </c>
      <c r="D166" s="19">
        <f>B166*C166</f>
        <v>5.76</v>
      </c>
      <c r="E166" s="19"/>
      <c r="F166" s="19"/>
      <c r="G166" s="19"/>
      <c r="H166" s="19"/>
      <c r="I166" s="19">
        <v>2</v>
      </c>
      <c r="J166" s="19">
        <f t="shared" ref="J166:K166" si="107">A166</f>
        <v>1</v>
      </c>
      <c r="K166" s="19">
        <f t="shared" si="107"/>
        <v>4.8</v>
      </c>
      <c r="L166" s="19">
        <f t="shared" si="106"/>
        <v>3</v>
      </c>
      <c r="M166" s="19"/>
      <c r="N166" s="19"/>
      <c r="O166" s="19"/>
      <c r="P166" s="19"/>
    </row>
    <row r="167" spans="1:16" ht="14.25" customHeight="1" x14ac:dyDescent="0.15">
      <c r="A167" s="19"/>
      <c r="B167" s="19"/>
      <c r="C167" s="19"/>
      <c r="D167" s="26" t="str">
        <f>D125</f>
        <v>7500</v>
      </c>
      <c r="E167" s="19">
        <v>3</v>
      </c>
      <c r="F167" s="19">
        <v>0</v>
      </c>
      <c r="G167" s="19">
        <v>0</v>
      </c>
      <c r="H167" s="19">
        <f>B166*2</f>
        <v>9.6</v>
      </c>
      <c r="I167" s="19"/>
      <c r="J167" s="19"/>
      <c r="K167" s="19"/>
      <c r="L167" s="19"/>
      <c r="M167" s="19"/>
      <c r="N167" s="19"/>
      <c r="O167" s="19"/>
      <c r="P167" s="19"/>
    </row>
    <row r="168" spans="1:16" ht="14.25" customHeight="1" x14ac:dyDescent="0.15">
      <c r="A168" s="19"/>
      <c r="B168" s="19"/>
      <c r="C168" s="19"/>
      <c r="D168" s="19">
        <f>D166*D167</f>
        <v>43200</v>
      </c>
      <c r="E168" s="19">
        <f>E167*E165</f>
        <v>6300</v>
      </c>
      <c r="F168" s="19">
        <f t="shared" ref="F168:H168" si="108">F165*F167</f>
        <v>0</v>
      </c>
      <c r="G168" s="19">
        <f t="shared" si="108"/>
        <v>0</v>
      </c>
      <c r="H168" s="19">
        <f t="shared" si="108"/>
        <v>3648</v>
      </c>
      <c r="I168" s="19">
        <f t="shared" ref="I168:L168" si="109">I165*I166</f>
        <v>8000</v>
      </c>
      <c r="J168" s="19">
        <f t="shared" si="109"/>
        <v>375</v>
      </c>
      <c r="K168" s="19">
        <f t="shared" si="109"/>
        <v>2808</v>
      </c>
      <c r="L168" s="19">
        <f t="shared" si="109"/>
        <v>10500</v>
      </c>
      <c r="M168" s="19">
        <f>SUM(D168:L168)</f>
        <v>74831</v>
      </c>
      <c r="N168" s="19">
        <f>M168/A166</f>
        <v>74831</v>
      </c>
      <c r="O168" s="19">
        <f>N168*O165</f>
        <v>149662</v>
      </c>
      <c r="P168" s="19">
        <f>MROUND(O168,100)</f>
        <v>149700</v>
      </c>
    </row>
    <row r="169" spans="1:16" ht="30" customHeight="1" x14ac:dyDescent="0.15">
      <c r="A169" s="112" t="s">
        <v>187</v>
      </c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</row>
    <row r="170" spans="1:16" ht="14.25" customHeight="1" x14ac:dyDescent="0.3">
      <c r="A170" s="109" t="str">
        <f>PRICELIST!I446</f>
        <v>MTSTK-SM-PB-1500-900</v>
      </c>
      <c r="B170" s="87"/>
      <c r="C170" s="87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7"/>
    </row>
    <row r="171" spans="1:16" ht="14.25" customHeight="1" x14ac:dyDescent="0.15">
      <c r="A171" s="19" t="s">
        <v>57</v>
      </c>
      <c r="B171" s="19" t="s">
        <v>59</v>
      </c>
      <c r="C171" s="19" t="s">
        <v>62</v>
      </c>
      <c r="D171" s="19" t="s">
        <v>64</v>
      </c>
      <c r="E171" s="19">
        <v>1200</v>
      </c>
      <c r="F171" s="19">
        <v>900</v>
      </c>
      <c r="G171" s="19">
        <v>600</v>
      </c>
      <c r="H171" s="19" t="s">
        <v>67</v>
      </c>
      <c r="I171" s="19" t="s">
        <v>69</v>
      </c>
      <c r="J171" s="19" t="s">
        <v>71</v>
      </c>
      <c r="K171" s="19" t="s">
        <v>72</v>
      </c>
      <c r="L171" s="19" t="s">
        <v>73</v>
      </c>
      <c r="M171" s="19" t="s">
        <v>76</v>
      </c>
      <c r="N171" s="19" t="s">
        <v>78</v>
      </c>
      <c r="O171" s="19" t="s">
        <v>79</v>
      </c>
      <c r="P171" s="19" t="s">
        <v>81</v>
      </c>
    </row>
    <row r="172" spans="1:16" ht="14.25" customHeight="1" x14ac:dyDescent="0.15">
      <c r="A172" s="21"/>
      <c r="B172" s="21"/>
      <c r="C172" s="21"/>
      <c r="D172" s="21"/>
      <c r="E172" s="23" t="str">
        <f>'MASTER DATA'!E8</f>
        <v>4200</v>
      </c>
      <c r="F172" s="23" t="str">
        <f>'MASTER DATA'!E7</f>
        <v>4000</v>
      </c>
      <c r="G172" s="23" t="str">
        <f>'MASTER DATA'!E6</f>
        <v>3800</v>
      </c>
      <c r="H172" s="21">
        <v>380</v>
      </c>
      <c r="I172" s="23" t="str">
        <f>I4</f>
        <v>1500</v>
      </c>
      <c r="J172" s="21">
        <v>375</v>
      </c>
      <c r="K172" s="21">
        <v>585</v>
      </c>
      <c r="L172" s="23" t="str">
        <f>L123</f>
        <v>3500</v>
      </c>
      <c r="M172" s="21"/>
      <c r="N172" s="21"/>
      <c r="O172" s="21">
        <f>O123</f>
        <v>2</v>
      </c>
      <c r="P172" s="21"/>
    </row>
    <row r="173" spans="1:16" ht="14.25" customHeight="1" x14ac:dyDescent="0.15">
      <c r="A173" s="19">
        <v>1</v>
      </c>
      <c r="B173" s="19">
        <v>1.5</v>
      </c>
      <c r="C173" s="19">
        <v>0.9</v>
      </c>
      <c r="D173" s="19">
        <f>B173*C173</f>
        <v>1.35</v>
      </c>
      <c r="E173" s="19"/>
      <c r="F173" s="19"/>
      <c r="G173" s="19"/>
      <c r="H173" s="19"/>
      <c r="I173" s="19">
        <v>1</v>
      </c>
      <c r="J173" s="19">
        <f t="shared" ref="J173:K173" si="110">A173</f>
        <v>1</v>
      </c>
      <c r="K173" s="19">
        <f t="shared" si="110"/>
        <v>1.5</v>
      </c>
      <c r="L173" s="19">
        <f>A173</f>
        <v>1</v>
      </c>
      <c r="M173" s="19"/>
      <c r="N173" s="19"/>
      <c r="O173" s="19"/>
      <c r="P173" s="19"/>
    </row>
    <row r="174" spans="1:16" ht="14.25" customHeight="1" x14ac:dyDescent="0.15">
      <c r="A174" s="19"/>
      <c r="B174" s="19"/>
      <c r="C174" s="19"/>
      <c r="D174" s="26" t="str">
        <f>D6</f>
        <v>2200</v>
      </c>
      <c r="E174" s="19">
        <v>0</v>
      </c>
      <c r="F174" s="19">
        <v>2</v>
      </c>
      <c r="G174" s="19">
        <v>0</v>
      </c>
      <c r="H174" s="19">
        <f>B173*2</f>
        <v>3</v>
      </c>
      <c r="I174" s="19"/>
      <c r="J174" s="19"/>
      <c r="K174" s="19"/>
      <c r="L174" s="19"/>
      <c r="M174" s="19"/>
      <c r="N174" s="19"/>
      <c r="O174" s="19"/>
      <c r="P174" s="19"/>
    </row>
    <row r="175" spans="1:16" ht="14.25" customHeight="1" x14ac:dyDescent="0.15">
      <c r="A175" s="19"/>
      <c r="B175" s="19"/>
      <c r="C175" s="19"/>
      <c r="D175" s="19">
        <f>D173*D174</f>
        <v>2970</v>
      </c>
      <c r="E175" s="19">
        <f>E174*E172</f>
        <v>0</v>
      </c>
      <c r="F175" s="19">
        <f t="shared" ref="F175:H175" si="111">F172*F174</f>
        <v>8000</v>
      </c>
      <c r="G175" s="19">
        <f t="shared" si="111"/>
        <v>0</v>
      </c>
      <c r="H175" s="19">
        <f t="shared" si="111"/>
        <v>1140</v>
      </c>
      <c r="I175" s="19">
        <f t="shared" ref="I175:L175" si="112">I172*I173</f>
        <v>1500</v>
      </c>
      <c r="J175" s="19">
        <f t="shared" si="112"/>
        <v>375</v>
      </c>
      <c r="K175" s="19">
        <f t="shared" si="112"/>
        <v>877.5</v>
      </c>
      <c r="L175" s="19">
        <f t="shared" si="112"/>
        <v>3500</v>
      </c>
      <c r="M175" s="19">
        <f>SUM(D175:L175)</f>
        <v>18362.5</v>
      </c>
      <c r="N175" s="19">
        <f>M175/A173</f>
        <v>18362.5</v>
      </c>
      <c r="O175" s="19">
        <f>N175*O172</f>
        <v>36725</v>
      </c>
      <c r="P175" s="19">
        <f>MROUND(O175,100)</f>
        <v>36700</v>
      </c>
    </row>
    <row r="176" spans="1:16" ht="14.25" customHeight="1" x14ac:dyDescent="0.1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6" ht="14.25" customHeight="1" x14ac:dyDescent="0.15">
      <c r="A177" s="109" t="str">
        <f>PRICELIST!I447</f>
        <v>MTSTK-SM-PLM-1500-900</v>
      </c>
      <c r="B177" s="87"/>
      <c r="C177" s="87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</row>
    <row r="178" spans="1:16" ht="14.25" customHeight="1" x14ac:dyDescent="0.15">
      <c r="A178" s="19" t="s">
        <v>57</v>
      </c>
      <c r="B178" s="19" t="s">
        <v>59</v>
      </c>
      <c r="C178" s="19" t="s">
        <v>62</v>
      </c>
      <c r="D178" s="19" t="s">
        <v>64</v>
      </c>
      <c r="E178" s="19">
        <v>1200</v>
      </c>
      <c r="F178" s="19">
        <v>900</v>
      </c>
      <c r="G178" s="19">
        <v>600</v>
      </c>
      <c r="H178" s="19" t="s">
        <v>67</v>
      </c>
      <c r="I178" s="19" t="s">
        <v>69</v>
      </c>
      <c r="J178" s="19" t="s">
        <v>71</v>
      </c>
      <c r="K178" s="19" t="s">
        <v>72</v>
      </c>
      <c r="L178" s="19" t="s">
        <v>73</v>
      </c>
      <c r="M178" s="19" t="s">
        <v>76</v>
      </c>
      <c r="N178" s="19" t="s">
        <v>78</v>
      </c>
      <c r="O178" s="19" t="s">
        <v>79</v>
      </c>
      <c r="P178" s="19" t="s">
        <v>81</v>
      </c>
    </row>
    <row r="179" spans="1:16" ht="14.25" customHeight="1" x14ac:dyDescent="0.15">
      <c r="A179" s="21"/>
      <c r="B179" s="21"/>
      <c r="C179" s="21"/>
      <c r="D179" s="21"/>
      <c r="E179" s="23" t="str">
        <f t="shared" ref="E179:G179" si="113">E172</f>
        <v>4200</v>
      </c>
      <c r="F179" s="23" t="str">
        <f t="shared" si="113"/>
        <v>4000</v>
      </c>
      <c r="G179" s="23" t="str">
        <f t="shared" si="113"/>
        <v>3800</v>
      </c>
      <c r="H179" s="21">
        <v>380</v>
      </c>
      <c r="I179" s="23" t="str">
        <f>I172</f>
        <v>1500</v>
      </c>
      <c r="J179" s="21">
        <v>375</v>
      </c>
      <c r="K179" s="21">
        <v>585</v>
      </c>
      <c r="L179" s="23" t="str">
        <f>L172</f>
        <v>3500</v>
      </c>
      <c r="M179" s="21"/>
      <c r="N179" s="21"/>
      <c r="O179" s="21">
        <f>O172</f>
        <v>2</v>
      </c>
      <c r="P179" s="21"/>
    </row>
    <row r="180" spans="1:16" ht="14.25" customHeight="1" x14ac:dyDescent="0.15">
      <c r="A180" s="19">
        <v>1</v>
      </c>
      <c r="B180" s="19">
        <v>1.5</v>
      </c>
      <c r="C180" s="19">
        <v>0.9</v>
      </c>
      <c r="D180" s="19">
        <f>B180*C180</f>
        <v>1.35</v>
      </c>
      <c r="E180" s="19"/>
      <c r="F180" s="19"/>
      <c r="G180" s="19"/>
      <c r="H180" s="19"/>
      <c r="I180" s="19">
        <v>1</v>
      </c>
      <c r="J180" s="19">
        <f t="shared" ref="J180:K180" si="114">A180</f>
        <v>1</v>
      </c>
      <c r="K180" s="19">
        <f t="shared" si="114"/>
        <v>1.5</v>
      </c>
      <c r="L180" s="19">
        <f>A180</f>
        <v>1</v>
      </c>
      <c r="M180" s="19"/>
      <c r="N180" s="19"/>
      <c r="O180" s="19"/>
      <c r="P180" s="19"/>
    </row>
    <row r="181" spans="1:16" ht="14.25" customHeight="1" x14ac:dyDescent="0.15">
      <c r="A181" s="19"/>
      <c r="B181" s="19"/>
      <c r="C181" s="19"/>
      <c r="D181" s="26" t="str">
        <f>'MASTER DATA'!C4</f>
        <v>3000</v>
      </c>
      <c r="E181" s="19">
        <v>0</v>
      </c>
      <c r="F181" s="19">
        <v>2</v>
      </c>
      <c r="G181" s="19">
        <v>0</v>
      </c>
      <c r="H181" s="19">
        <f>B180*2</f>
        <v>3</v>
      </c>
      <c r="I181" s="19"/>
      <c r="J181" s="19"/>
      <c r="K181" s="19"/>
      <c r="L181" s="19"/>
      <c r="M181" s="19"/>
      <c r="N181" s="19"/>
      <c r="O181" s="19"/>
      <c r="P181" s="19"/>
    </row>
    <row r="182" spans="1:16" ht="14.25" customHeight="1" x14ac:dyDescent="0.15">
      <c r="A182" s="19"/>
      <c r="B182" s="19"/>
      <c r="C182" s="19"/>
      <c r="D182" s="19">
        <f>D180*D181</f>
        <v>4050.0000000000005</v>
      </c>
      <c r="E182" s="19">
        <f>E181*E179</f>
        <v>0</v>
      </c>
      <c r="F182" s="19">
        <f t="shared" ref="F182:H182" si="115">F179*F181</f>
        <v>8000</v>
      </c>
      <c r="G182" s="19">
        <f t="shared" si="115"/>
        <v>0</v>
      </c>
      <c r="H182" s="19">
        <f t="shared" si="115"/>
        <v>1140</v>
      </c>
      <c r="I182" s="19">
        <f t="shared" ref="I182:L182" si="116">I179*I180</f>
        <v>1500</v>
      </c>
      <c r="J182" s="19">
        <f t="shared" si="116"/>
        <v>375</v>
      </c>
      <c r="K182" s="19">
        <f t="shared" si="116"/>
        <v>877.5</v>
      </c>
      <c r="L182" s="19">
        <f t="shared" si="116"/>
        <v>3500</v>
      </c>
      <c r="M182" s="19">
        <f>SUM(D182:L182)</f>
        <v>19442.5</v>
      </c>
      <c r="N182" s="19">
        <f>M182/A180</f>
        <v>19442.5</v>
      </c>
      <c r="O182" s="19">
        <f>N182*O179</f>
        <v>38885</v>
      </c>
      <c r="P182" s="19">
        <f>MROUND(O182,100)</f>
        <v>38900</v>
      </c>
    </row>
    <row r="183" spans="1:16" ht="14.25" customHeight="1" x14ac:dyDescent="0.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6" ht="14.25" customHeight="1" x14ac:dyDescent="0.15">
      <c r="A184" s="109" t="str">
        <f>PRICELIST!I448</f>
        <v>MTSTK-SM-PoLM-1500-900</v>
      </c>
      <c r="B184" s="87"/>
      <c r="C184" s="87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</row>
    <row r="185" spans="1:16" ht="14.25" customHeight="1" x14ac:dyDescent="0.15">
      <c r="A185" s="19" t="s">
        <v>57</v>
      </c>
      <c r="B185" s="19" t="s">
        <v>59</v>
      </c>
      <c r="C185" s="19" t="s">
        <v>62</v>
      </c>
      <c r="D185" s="19" t="s">
        <v>64</v>
      </c>
      <c r="E185" s="19">
        <v>1200</v>
      </c>
      <c r="F185" s="19">
        <v>900</v>
      </c>
      <c r="G185" s="19">
        <v>600</v>
      </c>
      <c r="H185" s="19" t="s">
        <v>67</v>
      </c>
      <c r="I185" s="19" t="s">
        <v>69</v>
      </c>
      <c r="J185" s="19" t="s">
        <v>71</v>
      </c>
      <c r="K185" s="19" t="s">
        <v>72</v>
      </c>
      <c r="L185" s="19" t="s">
        <v>73</v>
      </c>
      <c r="M185" s="19" t="s">
        <v>76</v>
      </c>
      <c r="N185" s="19" t="s">
        <v>78</v>
      </c>
      <c r="O185" s="19" t="s">
        <v>79</v>
      </c>
      <c r="P185" s="19" t="s">
        <v>81</v>
      </c>
    </row>
    <row r="186" spans="1:16" ht="14.25" customHeight="1" x14ac:dyDescent="0.15">
      <c r="A186" s="21"/>
      <c r="B186" s="21"/>
      <c r="C186" s="21"/>
      <c r="D186" s="21"/>
      <c r="E186" s="23" t="str">
        <f t="shared" ref="E186:G186" si="117">E179</f>
        <v>4200</v>
      </c>
      <c r="F186" s="23" t="str">
        <f t="shared" si="117"/>
        <v>4000</v>
      </c>
      <c r="G186" s="23" t="str">
        <f t="shared" si="117"/>
        <v>3800</v>
      </c>
      <c r="H186" s="21">
        <v>380</v>
      </c>
      <c r="I186" s="23" t="str">
        <f>I179</f>
        <v>1500</v>
      </c>
      <c r="J186" s="21">
        <v>375</v>
      </c>
      <c r="K186" s="21">
        <v>585</v>
      </c>
      <c r="L186" s="23" t="str">
        <f>L179</f>
        <v>3500</v>
      </c>
      <c r="M186" s="21"/>
      <c r="N186" s="21"/>
      <c r="O186" s="21">
        <f>O179</f>
        <v>2</v>
      </c>
      <c r="P186" s="21"/>
    </row>
    <row r="187" spans="1:16" ht="14.25" customHeight="1" x14ac:dyDescent="0.15">
      <c r="A187" s="19">
        <v>1</v>
      </c>
      <c r="B187" s="19">
        <v>1.5</v>
      </c>
      <c r="C187" s="19">
        <v>0.9</v>
      </c>
      <c r="D187" s="19">
        <f>B187*C187</f>
        <v>1.35</v>
      </c>
      <c r="E187" s="19"/>
      <c r="F187" s="19"/>
      <c r="G187" s="19"/>
      <c r="H187" s="19"/>
      <c r="I187" s="19">
        <v>1</v>
      </c>
      <c r="J187" s="19">
        <f t="shared" ref="J187:K187" si="118">A187</f>
        <v>1</v>
      </c>
      <c r="K187" s="19">
        <f t="shared" si="118"/>
        <v>1.5</v>
      </c>
      <c r="L187" s="19">
        <f>A187</f>
        <v>1</v>
      </c>
      <c r="M187" s="19"/>
      <c r="N187" s="19"/>
      <c r="O187" s="19"/>
      <c r="P187" s="19"/>
    </row>
    <row r="188" spans="1:16" ht="14.25" customHeight="1" x14ac:dyDescent="0.15">
      <c r="A188" s="19"/>
      <c r="B188" s="19"/>
      <c r="C188" s="19"/>
      <c r="D188" s="26" t="str">
        <f>'MASTER DATA'!C5</f>
        <v>7500</v>
      </c>
      <c r="E188" s="19">
        <v>0</v>
      </c>
      <c r="F188" s="19">
        <v>2</v>
      </c>
      <c r="G188" s="19">
        <v>0</v>
      </c>
      <c r="H188" s="19">
        <f>B187*2</f>
        <v>3</v>
      </c>
      <c r="I188" s="19"/>
      <c r="J188" s="19"/>
      <c r="K188" s="19"/>
      <c r="L188" s="19"/>
      <c r="M188" s="19"/>
      <c r="N188" s="19"/>
      <c r="O188" s="19"/>
      <c r="P188" s="19"/>
    </row>
    <row r="189" spans="1:16" ht="14.25" customHeight="1" x14ac:dyDescent="0.15">
      <c r="A189" s="19"/>
      <c r="B189" s="19"/>
      <c r="C189" s="19"/>
      <c r="D189" s="19">
        <f>D187*D188</f>
        <v>10125</v>
      </c>
      <c r="E189" s="19">
        <f>E188*E186</f>
        <v>0</v>
      </c>
      <c r="F189" s="19">
        <f t="shared" ref="F189:H189" si="119">F186*F188</f>
        <v>8000</v>
      </c>
      <c r="G189" s="19">
        <f t="shared" si="119"/>
        <v>0</v>
      </c>
      <c r="H189" s="19">
        <f t="shared" si="119"/>
        <v>1140</v>
      </c>
      <c r="I189" s="19">
        <f t="shared" ref="I189:L189" si="120">I186*I187</f>
        <v>1500</v>
      </c>
      <c r="J189" s="19">
        <f t="shared" si="120"/>
        <v>375</v>
      </c>
      <c r="K189" s="19">
        <f t="shared" si="120"/>
        <v>877.5</v>
      </c>
      <c r="L189" s="19">
        <f t="shared" si="120"/>
        <v>3500</v>
      </c>
      <c r="M189" s="19">
        <f>SUM(D189:L189)</f>
        <v>25517.5</v>
      </c>
      <c r="N189" s="19">
        <f>M189/A187</f>
        <v>25517.5</v>
      </c>
      <c r="O189" s="19">
        <f>N189*O186</f>
        <v>51035</v>
      </c>
      <c r="P189" s="19">
        <f>MROUND(O189,100)</f>
        <v>51000</v>
      </c>
    </row>
    <row r="190" spans="1:16" ht="14.25" customHeight="1" x14ac:dyDescent="0.15">
      <c r="A190" s="111"/>
      <c r="B190" s="87"/>
      <c r="C190" s="8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6" ht="14.25" customHeight="1" x14ac:dyDescent="0.15">
      <c r="A191" s="109" t="str">
        <f>PRICELIST!I449</f>
        <v>MTSTK-SM-LVM-1500-900</v>
      </c>
      <c r="B191" s="87"/>
      <c r="C191" s="87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</row>
    <row r="192" spans="1:16" ht="14.25" customHeight="1" x14ac:dyDescent="0.15">
      <c r="A192" s="19" t="s">
        <v>57</v>
      </c>
      <c r="B192" s="19" t="s">
        <v>59</v>
      </c>
      <c r="C192" s="19" t="s">
        <v>62</v>
      </c>
      <c r="D192" s="19" t="s">
        <v>64</v>
      </c>
      <c r="E192" s="19">
        <v>1200</v>
      </c>
      <c r="F192" s="19">
        <v>900</v>
      </c>
      <c r="G192" s="19">
        <v>600</v>
      </c>
      <c r="H192" s="19" t="s">
        <v>67</v>
      </c>
      <c r="I192" s="19" t="s">
        <v>69</v>
      </c>
      <c r="J192" s="19" t="s">
        <v>71</v>
      </c>
      <c r="K192" s="19" t="s">
        <v>72</v>
      </c>
      <c r="L192" s="19" t="s">
        <v>73</v>
      </c>
      <c r="M192" s="19" t="s">
        <v>76</v>
      </c>
      <c r="N192" s="19" t="s">
        <v>78</v>
      </c>
      <c r="O192" s="19" t="s">
        <v>79</v>
      </c>
      <c r="P192" s="19" t="s">
        <v>81</v>
      </c>
    </row>
    <row r="193" spans="1:16" ht="14.25" customHeight="1" x14ac:dyDescent="0.15">
      <c r="A193" s="21"/>
      <c r="B193" s="21"/>
      <c r="C193" s="21"/>
      <c r="D193" s="21"/>
      <c r="E193" s="23" t="str">
        <f t="shared" ref="E193:G193" si="121">E186</f>
        <v>4200</v>
      </c>
      <c r="F193" s="23" t="str">
        <f t="shared" si="121"/>
        <v>4000</v>
      </c>
      <c r="G193" s="23" t="str">
        <f t="shared" si="121"/>
        <v>3800</v>
      </c>
      <c r="H193" s="21">
        <v>380</v>
      </c>
      <c r="I193" s="23" t="str">
        <f>I186</f>
        <v>1500</v>
      </c>
      <c r="J193" s="21">
        <v>375</v>
      </c>
      <c r="K193" s="21">
        <v>585</v>
      </c>
      <c r="L193" s="23" t="str">
        <f>L186</f>
        <v>3500</v>
      </c>
      <c r="M193" s="21"/>
      <c r="N193" s="21"/>
      <c r="O193" s="21">
        <f>O186</f>
        <v>2</v>
      </c>
      <c r="P193" s="21"/>
    </row>
    <row r="194" spans="1:16" ht="14.25" customHeight="1" x14ac:dyDescent="0.15">
      <c r="A194" s="19">
        <v>1</v>
      </c>
      <c r="B194" s="19">
        <v>1.5</v>
      </c>
      <c r="C194" s="19">
        <v>0.9</v>
      </c>
      <c r="D194" s="19">
        <f>B194*C194</f>
        <v>1.35</v>
      </c>
      <c r="E194" s="19"/>
      <c r="F194" s="19"/>
      <c r="G194" s="19"/>
      <c r="H194" s="19"/>
      <c r="I194" s="19">
        <v>1</v>
      </c>
      <c r="J194" s="19">
        <f t="shared" ref="J194:K194" si="122">A194</f>
        <v>1</v>
      </c>
      <c r="K194" s="19">
        <f t="shared" si="122"/>
        <v>1.5</v>
      </c>
      <c r="L194" s="19">
        <f>A194</f>
        <v>1</v>
      </c>
      <c r="M194" s="19"/>
      <c r="N194" s="19"/>
      <c r="O194" s="19"/>
      <c r="P194" s="19"/>
    </row>
    <row r="195" spans="1:16" ht="14.25" customHeight="1" x14ac:dyDescent="0.15">
      <c r="A195" s="19"/>
      <c r="B195" s="19"/>
      <c r="C195" s="19"/>
      <c r="D195" s="26" t="str">
        <f>'MASTER DATA'!C6</f>
        <v>9500</v>
      </c>
      <c r="E195" s="19">
        <v>0</v>
      </c>
      <c r="F195" s="19">
        <v>2</v>
      </c>
      <c r="G195" s="19">
        <v>0</v>
      </c>
      <c r="H195" s="19">
        <f>B194*2</f>
        <v>3</v>
      </c>
      <c r="I195" s="19"/>
      <c r="J195" s="19"/>
      <c r="K195" s="19"/>
      <c r="L195" s="19"/>
      <c r="M195" s="19"/>
      <c r="N195" s="19"/>
      <c r="O195" s="19"/>
      <c r="P195" s="19"/>
    </row>
    <row r="196" spans="1:16" ht="14.25" customHeight="1" x14ac:dyDescent="0.15">
      <c r="A196" s="19"/>
      <c r="B196" s="19"/>
      <c r="C196" s="19"/>
      <c r="D196" s="19">
        <f>D194*D195</f>
        <v>12825</v>
      </c>
      <c r="E196" s="19">
        <f>E195*E193</f>
        <v>0</v>
      </c>
      <c r="F196" s="19">
        <f t="shared" ref="F196:H196" si="123">F193*F195</f>
        <v>8000</v>
      </c>
      <c r="G196" s="19">
        <f t="shared" si="123"/>
        <v>0</v>
      </c>
      <c r="H196" s="19">
        <f t="shared" si="123"/>
        <v>1140</v>
      </c>
      <c r="I196" s="19">
        <f t="shared" ref="I196:L196" si="124">I193*I194</f>
        <v>1500</v>
      </c>
      <c r="J196" s="19">
        <f t="shared" si="124"/>
        <v>375</v>
      </c>
      <c r="K196" s="19">
        <f t="shared" si="124"/>
        <v>877.5</v>
      </c>
      <c r="L196" s="19">
        <f t="shared" si="124"/>
        <v>3500</v>
      </c>
      <c r="M196" s="19">
        <f>SUM(D196:L196)</f>
        <v>28217.5</v>
      </c>
      <c r="N196" s="19">
        <f>M196/A194</f>
        <v>28217.5</v>
      </c>
      <c r="O196" s="19">
        <f>N196*O193</f>
        <v>56435</v>
      </c>
      <c r="P196" s="19">
        <f>MROUND(O196,100)</f>
        <v>56400</v>
      </c>
    </row>
    <row r="197" spans="1:16" ht="14.25" customHeight="1" x14ac:dyDescent="0.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spans="1:16" ht="14.25" customHeight="1" x14ac:dyDescent="0.15">
      <c r="A198" s="109" t="str">
        <f>PRICELIST!I450</f>
        <v>MTSTK-SM-LVP-1500-900</v>
      </c>
      <c r="B198" s="87"/>
      <c r="C198" s="8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spans="1:16" ht="14.25" customHeight="1" x14ac:dyDescent="0.15">
      <c r="A199" s="19" t="s">
        <v>57</v>
      </c>
      <c r="B199" s="19" t="s">
        <v>59</v>
      </c>
      <c r="C199" s="19" t="s">
        <v>62</v>
      </c>
      <c r="D199" s="19" t="s">
        <v>64</v>
      </c>
      <c r="E199" s="19">
        <v>1200</v>
      </c>
      <c r="F199" s="19">
        <v>900</v>
      </c>
      <c r="G199" s="19">
        <v>600</v>
      </c>
      <c r="H199" s="19" t="s">
        <v>67</v>
      </c>
      <c r="I199" s="19" t="s">
        <v>69</v>
      </c>
      <c r="J199" s="19" t="s">
        <v>71</v>
      </c>
      <c r="K199" s="19" t="s">
        <v>72</v>
      </c>
      <c r="L199" s="19" t="s">
        <v>73</v>
      </c>
      <c r="M199" s="19" t="s">
        <v>76</v>
      </c>
      <c r="N199" s="19" t="s">
        <v>78</v>
      </c>
      <c r="O199" s="19" t="s">
        <v>79</v>
      </c>
      <c r="P199" s="19" t="s">
        <v>81</v>
      </c>
    </row>
    <row r="200" spans="1:16" ht="14.25" customHeight="1" x14ac:dyDescent="0.15">
      <c r="A200" s="21"/>
      <c r="B200" s="21"/>
      <c r="C200" s="21"/>
      <c r="D200" s="21"/>
      <c r="E200" s="23" t="str">
        <f t="shared" ref="E200:G200" si="125">E193</f>
        <v>4200</v>
      </c>
      <c r="F200" s="23" t="str">
        <f t="shared" si="125"/>
        <v>4000</v>
      </c>
      <c r="G200" s="23" t="str">
        <f t="shared" si="125"/>
        <v>3800</v>
      </c>
      <c r="H200" s="21">
        <v>380</v>
      </c>
      <c r="I200" s="23" t="str">
        <f>I193</f>
        <v>1500</v>
      </c>
      <c r="J200" s="21">
        <v>375</v>
      </c>
      <c r="K200" s="21">
        <v>585</v>
      </c>
      <c r="L200" s="23" t="str">
        <f>L193</f>
        <v>3500</v>
      </c>
      <c r="M200" s="21"/>
      <c r="N200" s="21"/>
      <c r="O200" s="21">
        <f>O193</f>
        <v>2</v>
      </c>
      <c r="P200" s="21"/>
    </row>
    <row r="201" spans="1:16" ht="14.25" customHeight="1" x14ac:dyDescent="0.15">
      <c r="A201" s="19">
        <v>1</v>
      </c>
      <c r="B201" s="19">
        <v>1.5</v>
      </c>
      <c r="C201" s="19">
        <v>0.9</v>
      </c>
      <c r="D201" s="19">
        <f>B201*C201</f>
        <v>1.35</v>
      </c>
      <c r="E201" s="19"/>
      <c r="F201" s="19"/>
      <c r="G201" s="19"/>
      <c r="H201" s="19"/>
      <c r="I201" s="19">
        <v>1</v>
      </c>
      <c r="J201" s="19">
        <f t="shared" ref="J201:K201" si="126">A201</f>
        <v>1</v>
      </c>
      <c r="K201" s="19">
        <f t="shared" si="126"/>
        <v>1.5</v>
      </c>
      <c r="L201" s="19">
        <f>A201</f>
        <v>1</v>
      </c>
      <c r="M201" s="19"/>
      <c r="N201" s="19"/>
      <c r="O201" s="19"/>
      <c r="P201" s="19"/>
    </row>
    <row r="202" spans="1:16" ht="14.25" customHeight="1" x14ac:dyDescent="0.15">
      <c r="A202" s="19"/>
      <c r="B202" s="19"/>
      <c r="C202" s="19"/>
      <c r="D202" s="26" t="str">
        <f>'MASTER DATA'!C7</f>
        <v>10500</v>
      </c>
      <c r="E202" s="19">
        <v>0</v>
      </c>
      <c r="F202" s="19">
        <v>2</v>
      </c>
      <c r="G202" s="19">
        <v>0</v>
      </c>
      <c r="H202" s="19">
        <f>B201*2</f>
        <v>3</v>
      </c>
      <c r="I202" s="19"/>
      <c r="J202" s="19"/>
      <c r="K202" s="19"/>
      <c r="L202" s="19"/>
      <c r="M202" s="19"/>
      <c r="N202" s="19"/>
      <c r="O202" s="19"/>
      <c r="P202" s="19"/>
    </row>
    <row r="203" spans="1:16" ht="14.25" customHeight="1" x14ac:dyDescent="0.15">
      <c r="A203" s="19"/>
      <c r="B203" s="19"/>
      <c r="C203" s="19"/>
      <c r="D203" s="19">
        <f>D201*D202</f>
        <v>14175.000000000002</v>
      </c>
      <c r="E203" s="19">
        <f>E202*E200</f>
        <v>0</v>
      </c>
      <c r="F203" s="19">
        <f t="shared" ref="F203:H203" si="127">F200*F202</f>
        <v>8000</v>
      </c>
      <c r="G203" s="19">
        <f t="shared" si="127"/>
        <v>0</v>
      </c>
      <c r="H203" s="19">
        <f t="shared" si="127"/>
        <v>1140</v>
      </c>
      <c r="I203" s="19">
        <f t="shared" ref="I203:L203" si="128">I200*I201</f>
        <v>1500</v>
      </c>
      <c r="J203" s="19">
        <f t="shared" si="128"/>
        <v>375</v>
      </c>
      <c r="K203" s="19">
        <f t="shared" si="128"/>
        <v>877.5</v>
      </c>
      <c r="L203" s="19">
        <f t="shared" si="128"/>
        <v>3500</v>
      </c>
      <c r="M203" s="19">
        <f>SUM(D203:L203)</f>
        <v>29567.5</v>
      </c>
      <c r="N203" s="19">
        <f>M203/A201</f>
        <v>29567.5</v>
      </c>
      <c r="O203" s="19">
        <f>N203*O200</f>
        <v>59135</v>
      </c>
      <c r="P203" s="19">
        <f>MROUND(O203,100)</f>
        <v>59100</v>
      </c>
    </row>
    <row r="204" spans="1:16" ht="14.25" customHeight="1" x14ac:dyDescent="0.1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</row>
    <row r="205" spans="1:16" ht="14.25" customHeight="1" x14ac:dyDescent="0.15">
      <c r="A205" s="109" t="str">
        <f>PRICELIST!I451</f>
        <v>MTSTK-SM-GL-1500-900</v>
      </c>
      <c r="B205" s="87"/>
      <c r="C205" s="87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</row>
    <row r="206" spans="1:16" ht="14.25" customHeight="1" x14ac:dyDescent="0.15">
      <c r="A206" s="19" t="s">
        <v>57</v>
      </c>
      <c r="B206" s="19" t="s">
        <v>59</v>
      </c>
      <c r="C206" s="19" t="s">
        <v>62</v>
      </c>
      <c r="D206" s="19" t="s">
        <v>64</v>
      </c>
      <c r="E206" s="19">
        <v>1200</v>
      </c>
      <c r="F206" s="19">
        <v>900</v>
      </c>
      <c r="G206" s="19">
        <v>600</v>
      </c>
      <c r="H206" s="19" t="s">
        <v>67</v>
      </c>
      <c r="I206" s="19" t="s">
        <v>69</v>
      </c>
      <c r="J206" s="19" t="s">
        <v>71</v>
      </c>
      <c r="K206" s="19" t="s">
        <v>72</v>
      </c>
      <c r="L206" s="19" t="s">
        <v>73</v>
      </c>
      <c r="M206" s="19" t="s">
        <v>76</v>
      </c>
      <c r="N206" s="19" t="s">
        <v>78</v>
      </c>
      <c r="O206" s="19" t="s">
        <v>79</v>
      </c>
      <c r="P206" s="19" t="s">
        <v>81</v>
      </c>
    </row>
    <row r="207" spans="1:16" ht="14.25" customHeight="1" x14ac:dyDescent="0.15">
      <c r="A207" s="21"/>
      <c r="B207" s="21"/>
      <c r="C207" s="21"/>
      <c r="D207" s="21"/>
      <c r="E207" s="23" t="str">
        <f t="shared" ref="E207:G207" si="129">E200</f>
        <v>4200</v>
      </c>
      <c r="F207" s="23" t="str">
        <f t="shared" si="129"/>
        <v>4000</v>
      </c>
      <c r="G207" s="23" t="str">
        <f t="shared" si="129"/>
        <v>3800</v>
      </c>
      <c r="H207" s="21">
        <v>380</v>
      </c>
      <c r="I207" s="23" t="str">
        <f>I200</f>
        <v>1500</v>
      </c>
      <c r="J207" s="21">
        <v>375</v>
      </c>
      <c r="K207" s="21">
        <v>585</v>
      </c>
      <c r="L207" s="23" t="str">
        <f>L200</f>
        <v>3500</v>
      </c>
      <c r="M207" s="21"/>
      <c r="N207" s="21"/>
      <c r="O207" s="21">
        <f>O200</f>
        <v>2</v>
      </c>
      <c r="P207" s="21"/>
    </row>
    <row r="208" spans="1:16" ht="14.25" customHeight="1" x14ac:dyDescent="0.15">
      <c r="A208" s="19">
        <v>1</v>
      </c>
      <c r="B208" s="19">
        <v>1.5</v>
      </c>
      <c r="C208" s="19">
        <v>0.9</v>
      </c>
      <c r="D208" s="19">
        <f>B208*C208</f>
        <v>1.35</v>
      </c>
      <c r="E208" s="19"/>
      <c r="F208" s="19"/>
      <c r="G208" s="19"/>
      <c r="H208" s="19"/>
      <c r="I208" s="19">
        <v>1</v>
      </c>
      <c r="J208" s="19">
        <f t="shared" ref="J208:K208" si="130">A208</f>
        <v>1</v>
      </c>
      <c r="K208" s="19">
        <f t="shared" si="130"/>
        <v>1.5</v>
      </c>
      <c r="L208" s="19">
        <f>A208</f>
        <v>1</v>
      </c>
      <c r="M208" s="19"/>
      <c r="N208" s="19"/>
      <c r="O208" s="19"/>
      <c r="P208" s="19"/>
    </row>
    <row r="209" spans="1:16" ht="14.25" customHeight="1" x14ac:dyDescent="0.15">
      <c r="A209" s="19"/>
      <c r="B209" s="19"/>
      <c r="C209" s="19"/>
      <c r="D209" s="26" t="str">
        <f>'MASTER DATA'!C9</f>
        <v>7500</v>
      </c>
      <c r="E209" s="19">
        <v>0</v>
      </c>
      <c r="F209" s="19">
        <v>2</v>
      </c>
      <c r="G209" s="19">
        <v>0</v>
      </c>
      <c r="H209" s="19">
        <f>B208*2</f>
        <v>3</v>
      </c>
      <c r="I209" s="19"/>
      <c r="J209" s="19"/>
      <c r="K209" s="19"/>
      <c r="L209" s="19"/>
      <c r="M209" s="19"/>
      <c r="N209" s="19"/>
      <c r="O209" s="19"/>
      <c r="P209" s="19"/>
    </row>
    <row r="210" spans="1:16" ht="14.25" customHeight="1" x14ac:dyDescent="0.15">
      <c r="A210" s="19"/>
      <c r="B210" s="19"/>
      <c r="C210" s="19"/>
      <c r="D210" s="19">
        <f>D208*D209</f>
        <v>10125</v>
      </c>
      <c r="E210" s="19">
        <f>E209*E207</f>
        <v>0</v>
      </c>
      <c r="F210" s="19">
        <f t="shared" ref="F210:H210" si="131">F207*F209</f>
        <v>8000</v>
      </c>
      <c r="G210" s="19">
        <f t="shared" si="131"/>
        <v>0</v>
      </c>
      <c r="H210" s="19">
        <f t="shared" si="131"/>
        <v>1140</v>
      </c>
      <c r="I210" s="19">
        <f t="shared" ref="I210:L210" si="132">I207*I208</f>
        <v>1500</v>
      </c>
      <c r="J210" s="19">
        <f t="shared" si="132"/>
        <v>375</v>
      </c>
      <c r="K210" s="19">
        <f t="shared" si="132"/>
        <v>877.5</v>
      </c>
      <c r="L210" s="19">
        <f t="shared" si="132"/>
        <v>3500</v>
      </c>
      <c r="M210" s="19">
        <f>SUM(D210:L210)</f>
        <v>25517.5</v>
      </c>
      <c r="N210" s="19">
        <f>M210/A208</f>
        <v>25517.5</v>
      </c>
      <c r="O210" s="19">
        <f>N210*O207</f>
        <v>51035</v>
      </c>
      <c r="P210" s="19">
        <f>MROUND(O210,100)</f>
        <v>51000</v>
      </c>
    </row>
    <row r="211" spans="1:16" ht="14.25" customHeight="1" x14ac:dyDescent="0.1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spans="1:16" ht="14.25" customHeight="1" x14ac:dyDescent="0.15">
      <c r="A212" s="109" t="str">
        <f>PRICELIST!I452</f>
        <v>MTSTK-MD-PB-2400-1200</v>
      </c>
      <c r="B212" s="87"/>
      <c r="C212" s="87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</row>
    <row r="213" spans="1:16" ht="14.25" customHeight="1" x14ac:dyDescent="0.15">
      <c r="A213" s="19" t="s">
        <v>57</v>
      </c>
      <c r="B213" s="19" t="s">
        <v>59</v>
      </c>
      <c r="C213" s="19" t="s">
        <v>62</v>
      </c>
      <c r="D213" s="19" t="s">
        <v>64</v>
      </c>
      <c r="E213" s="19">
        <v>1200</v>
      </c>
      <c r="F213" s="19">
        <v>900</v>
      </c>
      <c r="G213" s="19">
        <v>600</v>
      </c>
      <c r="H213" s="19" t="s">
        <v>67</v>
      </c>
      <c r="I213" s="19" t="s">
        <v>69</v>
      </c>
      <c r="J213" s="19" t="s">
        <v>71</v>
      </c>
      <c r="K213" s="19" t="s">
        <v>72</v>
      </c>
      <c r="L213" s="19" t="s">
        <v>73</v>
      </c>
      <c r="M213" s="19" t="s">
        <v>76</v>
      </c>
      <c r="N213" s="19" t="s">
        <v>78</v>
      </c>
      <c r="O213" s="19" t="s">
        <v>79</v>
      </c>
      <c r="P213" s="19" t="s">
        <v>81</v>
      </c>
    </row>
    <row r="214" spans="1:16" ht="14.25" customHeight="1" x14ac:dyDescent="0.15">
      <c r="A214" s="21"/>
      <c r="B214" s="21"/>
      <c r="C214" s="21"/>
      <c r="D214" s="21"/>
      <c r="E214" s="23" t="str">
        <f t="shared" ref="E214:G214" si="133">E207</f>
        <v>4200</v>
      </c>
      <c r="F214" s="23" t="str">
        <f t="shared" si="133"/>
        <v>4000</v>
      </c>
      <c r="G214" s="23" t="str">
        <f t="shared" si="133"/>
        <v>3800</v>
      </c>
      <c r="H214" s="21">
        <v>380</v>
      </c>
      <c r="I214" s="23" t="str">
        <f>I81</f>
        <v>4000</v>
      </c>
      <c r="J214" s="21">
        <v>375</v>
      </c>
      <c r="K214" s="21">
        <v>585</v>
      </c>
      <c r="L214" s="23" t="str">
        <f>L207</f>
        <v>3500</v>
      </c>
      <c r="M214" s="21"/>
      <c r="N214" s="21"/>
      <c r="O214" s="21">
        <f>O207</f>
        <v>2</v>
      </c>
      <c r="P214" s="21"/>
    </row>
    <row r="215" spans="1:16" ht="14.25" customHeight="1" x14ac:dyDescent="0.15">
      <c r="A215" s="19">
        <v>1</v>
      </c>
      <c r="B215" s="19">
        <v>2.4</v>
      </c>
      <c r="C215" s="19">
        <v>1.2</v>
      </c>
      <c r="D215" s="19">
        <f>B215*C215</f>
        <v>2.88</v>
      </c>
      <c r="E215" s="19"/>
      <c r="F215" s="19"/>
      <c r="G215" s="19"/>
      <c r="H215" s="19"/>
      <c r="I215" s="19">
        <v>1</v>
      </c>
      <c r="J215" s="19">
        <f t="shared" ref="J215:K215" si="134">A215</f>
        <v>1</v>
      </c>
      <c r="K215" s="19">
        <f t="shared" si="134"/>
        <v>2.4</v>
      </c>
      <c r="L215" s="19">
        <v>2</v>
      </c>
      <c r="M215" s="19"/>
      <c r="N215" s="19"/>
      <c r="O215" s="19"/>
      <c r="P215" s="19"/>
    </row>
    <row r="216" spans="1:16" ht="14.25" customHeight="1" x14ac:dyDescent="0.15">
      <c r="A216" s="19"/>
      <c r="B216" s="19"/>
      <c r="C216" s="19"/>
      <c r="D216" s="26" t="str">
        <f>D174</f>
        <v>2200</v>
      </c>
      <c r="E216" s="19">
        <v>2</v>
      </c>
      <c r="F216" s="19">
        <v>0</v>
      </c>
      <c r="G216" s="19">
        <v>0</v>
      </c>
      <c r="H216" s="19">
        <f>B215*2</f>
        <v>4.8</v>
      </c>
      <c r="I216" s="19"/>
      <c r="J216" s="19"/>
      <c r="K216" s="19"/>
      <c r="L216" s="19"/>
      <c r="M216" s="19"/>
      <c r="N216" s="19"/>
      <c r="O216" s="19"/>
      <c r="P216" s="19"/>
    </row>
    <row r="217" spans="1:16" ht="14.25" customHeight="1" x14ac:dyDescent="0.15">
      <c r="A217" s="19"/>
      <c r="B217" s="19"/>
      <c r="C217" s="19"/>
      <c r="D217" s="19">
        <f>D215*D216</f>
        <v>6336</v>
      </c>
      <c r="E217" s="19">
        <f>E216*E214</f>
        <v>8400</v>
      </c>
      <c r="F217" s="19">
        <f t="shared" ref="F217:H217" si="135">F214*F216</f>
        <v>0</v>
      </c>
      <c r="G217" s="19">
        <f t="shared" si="135"/>
        <v>0</v>
      </c>
      <c r="H217" s="19">
        <f t="shared" si="135"/>
        <v>1824</v>
      </c>
      <c r="I217" s="19">
        <f t="shared" ref="I217:L217" si="136">I214*I215</f>
        <v>4000</v>
      </c>
      <c r="J217" s="19">
        <f t="shared" si="136"/>
        <v>375</v>
      </c>
      <c r="K217" s="19">
        <f t="shared" si="136"/>
        <v>1404</v>
      </c>
      <c r="L217" s="19">
        <f t="shared" si="136"/>
        <v>7000</v>
      </c>
      <c r="M217" s="19">
        <f>SUM(D217:L217)</f>
        <v>29339</v>
      </c>
      <c r="N217" s="19">
        <f>M217/A215</f>
        <v>29339</v>
      </c>
      <c r="O217" s="19">
        <f>N217*O214</f>
        <v>58678</v>
      </c>
      <c r="P217" s="19">
        <f>MROUND(O217,100)</f>
        <v>58700</v>
      </c>
    </row>
    <row r="218" spans="1:16" ht="14.25" customHeight="1" x14ac:dyDescent="0.15">
      <c r="A218" s="111"/>
      <c r="B218" s="87"/>
      <c r="C218" s="8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</row>
    <row r="219" spans="1:16" ht="14.25" customHeight="1" x14ac:dyDescent="0.15">
      <c r="A219" s="109" t="str">
        <f>PRICELIST!I453</f>
        <v>MTSTK-MD-PLM-2400-1200</v>
      </c>
      <c r="B219" s="87"/>
      <c r="C219" s="87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</row>
    <row r="220" spans="1:16" ht="14.25" customHeight="1" x14ac:dyDescent="0.15">
      <c r="A220" s="19" t="s">
        <v>57</v>
      </c>
      <c r="B220" s="19" t="s">
        <v>59</v>
      </c>
      <c r="C220" s="19" t="s">
        <v>62</v>
      </c>
      <c r="D220" s="19" t="s">
        <v>64</v>
      </c>
      <c r="E220" s="19">
        <v>1200</v>
      </c>
      <c r="F220" s="19">
        <v>900</v>
      </c>
      <c r="G220" s="19">
        <v>600</v>
      </c>
      <c r="H220" s="19" t="s">
        <v>67</v>
      </c>
      <c r="I220" s="19" t="s">
        <v>69</v>
      </c>
      <c r="J220" s="19" t="s">
        <v>71</v>
      </c>
      <c r="K220" s="19" t="s">
        <v>72</v>
      </c>
      <c r="L220" s="19" t="s">
        <v>73</v>
      </c>
      <c r="M220" s="19" t="s">
        <v>76</v>
      </c>
      <c r="N220" s="19" t="s">
        <v>78</v>
      </c>
      <c r="O220" s="19" t="s">
        <v>79</v>
      </c>
      <c r="P220" s="19" t="s">
        <v>81</v>
      </c>
    </row>
    <row r="221" spans="1:16" ht="14.25" customHeight="1" x14ac:dyDescent="0.15">
      <c r="A221" s="21"/>
      <c r="B221" s="21"/>
      <c r="C221" s="21"/>
      <c r="D221" s="21"/>
      <c r="E221" s="23" t="str">
        <f t="shared" ref="E221:G221" si="137">E214</f>
        <v>4200</v>
      </c>
      <c r="F221" s="23" t="str">
        <f t="shared" si="137"/>
        <v>4000</v>
      </c>
      <c r="G221" s="23" t="str">
        <f t="shared" si="137"/>
        <v>3800</v>
      </c>
      <c r="H221" s="21">
        <v>380</v>
      </c>
      <c r="I221" s="23" t="str">
        <f>I214</f>
        <v>4000</v>
      </c>
      <c r="J221" s="21">
        <v>375</v>
      </c>
      <c r="K221" s="21">
        <v>585</v>
      </c>
      <c r="L221" s="23" t="str">
        <f t="shared" ref="L221:L222" si="138">L214</f>
        <v>3500</v>
      </c>
      <c r="M221" s="21"/>
      <c r="N221" s="21"/>
      <c r="O221" s="21">
        <f>O214</f>
        <v>2</v>
      </c>
      <c r="P221" s="21"/>
    </row>
    <row r="222" spans="1:16" ht="14.25" customHeight="1" x14ac:dyDescent="0.15">
      <c r="A222" s="19">
        <v>1</v>
      </c>
      <c r="B222" s="19">
        <v>2.4</v>
      </c>
      <c r="C222" s="19">
        <v>1.2</v>
      </c>
      <c r="D222" s="19">
        <f>B222*C222</f>
        <v>2.88</v>
      </c>
      <c r="E222" s="19"/>
      <c r="F222" s="19"/>
      <c r="G222" s="19"/>
      <c r="H222" s="19"/>
      <c r="I222" s="19">
        <v>1</v>
      </c>
      <c r="J222" s="19">
        <f t="shared" ref="J222:K222" si="139">A222</f>
        <v>1</v>
      </c>
      <c r="K222" s="19">
        <f t="shared" si="139"/>
        <v>2.4</v>
      </c>
      <c r="L222" s="19">
        <f t="shared" si="138"/>
        <v>2</v>
      </c>
      <c r="M222" s="19"/>
      <c r="N222" s="19"/>
      <c r="O222" s="19"/>
      <c r="P222" s="19"/>
    </row>
    <row r="223" spans="1:16" ht="14.25" customHeight="1" x14ac:dyDescent="0.15">
      <c r="A223" s="19"/>
      <c r="B223" s="19"/>
      <c r="C223" s="19"/>
      <c r="D223" s="26" t="str">
        <f>D181</f>
        <v>3000</v>
      </c>
      <c r="E223" s="19">
        <v>2</v>
      </c>
      <c r="F223" s="19">
        <v>0</v>
      </c>
      <c r="G223" s="19">
        <v>0</v>
      </c>
      <c r="H223" s="19">
        <f>B222*2</f>
        <v>4.8</v>
      </c>
      <c r="I223" s="19"/>
      <c r="J223" s="19"/>
      <c r="K223" s="19"/>
      <c r="L223" s="19"/>
      <c r="M223" s="19"/>
      <c r="N223" s="19"/>
      <c r="O223" s="19"/>
      <c r="P223" s="19"/>
    </row>
    <row r="224" spans="1:16" ht="14.25" customHeight="1" x14ac:dyDescent="0.15">
      <c r="A224" s="19"/>
      <c r="B224" s="19"/>
      <c r="C224" s="19"/>
      <c r="D224" s="19">
        <f>D222*D223</f>
        <v>8640</v>
      </c>
      <c r="E224" s="19">
        <f>E223*E221</f>
        <v>8400</v>
      </c>
      <c r="F224" s="19">
        <f t="shared" ref="F224:H224" si="140">F221*F223</f>
        <v>0</v>
      </c>
      <c r="G224" s="19">
        <f t="shared" si="140"/>
        <v>0</v>
      </c>
      <c r="H224" s="19">
        <f t="shared" si="140"/>
        <v>1824</v>
      </c>
      <c r="I224" s="19">
        <f t="shared" ref="I224:L224" si="141">I221*I222</f>
        <v>4000</v>
      </c>
      <c r="J224" s="19">
        <f t="shared" si="141"/>
        <v>375</v>
      </c>
      <c r="K224" s="19">
        <f t="shared" si="141"/>
        <v>1404</v>
      </c>
      <c r="L224" s="19">
        <f t="shared" si="141"/>
        <v>7000</v>
      </c>
      <c r="M224" s="19">
        <f>SUM(D224:L224)</f>
        <v>31643</v>
      </c>
      <c r="N224" s="19">
        <f>M224/A222</f>
        <v>31643</v>
      </c>
      <c r="O224" s="19">
        <f>N224*O221</f>
        <v>63286</v>
      </c>
      <c r="P224" s="19">
        <f>MROUND(O224,100)</f>
        <v>63300</v>
      </c>
    </row>
    <row r="225" spans="1:16" ht="14.25" customHeight="1" x14ac:dyDescent="0.1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spans="1:16" ht="14.25" customHeight="1" x14ac:dyDescent="0.15">
      <c r="A226" s="109" t="str">
        <f>PRICELIST!I454</f>
        <v>MTSTK-MD-PoLM-2400-1200</v>
      </c>
      <c r="B226" s="87"/>
      <c r="C226" s="87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</row>
    <row r="227" spans="1:16" ht="14.25" customHeight="1" x14ac:dyDescent="0.15">
      <c r="A227" s="19" t="s">
        <v>57</v>
      </c>
      <c r="B227" s="19" t="s">
        <v>59</v>
      </c>
      <c r="C227" s="19" t="s">
        <v>62</v>
      </c>
      <c r="D227" s="19" t="s">
        <v>64</v>
      </c>
      <c r="E227" s="19">
        <v>1200</v>
      </c>
      <c r="F227" s="19">
        <v>900</v>
      </c>
      <c r="G227" s="19">
        <v>600</v>
      </c>
      <c r="H227" s="19" t="s">
        <v>67</v>
      </c>
      <c r="I227" s="19" t="s">
        <v>69</v>
      </c>
      <c r="J227" s="19" t="s">
        <v>71</v>
      </c>
      <c r="K227" s="19" t="s">
        <v>72</v>
      </c>
      <c r="L227" s="19" t="s">
        <v>73</v>
      </c>
      <c r="M227" s="19" t="s">
        <v>76</v>
      </c>
      <c r="N227" s="19" t="s">
        <v>78</v>
      </c>
      <c r="O227" s="19" t="s">
        <v>79</v>
      </c>
      <c r="P227" s="19" t="s">
        <v>81</v>
      </c>
    </row>
    <row r="228" spans="1:16" ht="14.25" customHeight="1" x14ac:dyDescent="0.15">
      <c r="A228" s="21"/>
      <c r="B228" s="21"/>
      <c r="C228" s="21"/>
      <c r="D228" s="21"/>
      <c r="E228" s="23" t="str">
        <f t="shared" ref="E228:G228" si="142">E221</f>
        <v>4200</v>
      </c>
      <c r="F228" s="23" t="str">
        <f t="shared" si="142"/>
        <v>4000</v>
      </c>
      <c r="G228" s="23" t="str">
        <f t="shared" si="142"/>
        <v>3800</v>
      </c>
      <c r="H228" s="21">
        <v>380</v>
      </c>
      <c r="I228" s="23" t="str">
        <f>I221</f>
        <v>4000</v>
      </c>
      <c r="J228" s="21">
        <v>375</v>
      </c>
      <c r="K228" s="21">
        <v>585</v>
      </c>
      <c r="L228" s="23" t="str">
        <f t="shared" ref="L228:L229" si="143">L221</f>
        <v>3500</v>
      </c>
      <c r="M228" s="21"/>
      <c r="N228" s="21"/>
      <c r="O228" s="21">
        <f>O221</f>
        <v>2</v>
      </c>
      <c r="P228" s="21"/>
    </row>
    <row r="229" spans="1:16" ht="14.25" customHeight="1" x14ac:dyDescent="0.15">
      <c r="A229" s="19">
        <v>1</v>
      </c>
      <c r="B229" s="19">
        <v>2.4</v>
      </c>
      <c r="C229" s="19">
        <v>1.2</v>
      </c>
      <c r="D229" s="19">
        <f>B229*C229</f>
        <v>2.88</v>
      </c>
      <c r="E229" s="19"/>
      <c r="F229" s="19"/>
      <c r="G229" s="19"/>
      <c r="H229" s="19"/>
      <c r="I229" s="19">
        <v>1</v>
      </c>
      <c r="J229" s="19">
        <f t="shared" ref="J229:K229" si="144">A229</f>
        <v>1</v>
      </c>
      <c r="K229" s="19">
        <f t="shared" si="144"/>
        <v>2.4</v>
      </c>
      <c r="L229" s="19">
        <f t="shared" si="143"/>
        <v>2</v>
      </c>
      <c r="M229" s="19"/>
      <c r="N229" s="19"/>
      <c r="O229" s="19"/>
      <c r="P229" s="19"/>
    </row>
    <row r="230" spans="1:16" ht="14.25" customHeight="1" x14ac:dyDescent="0.15">
      <c r="A230" s="19"/>
      <c r="B230" s="19"/>
      <c r="C230" s="19"/>
      <c r="D230" s="26" t="str">
        <f>D188</f>
        <v>7500</v>
      </c>
      <c r="E230" s="19">
        <v>2</v>
      </c>
      <c r="F230" s="19">
        <v>0</v>
      </c>
      <c r="G230" s="19">
        <v>0</v>
      </c>
      <c r="H230" s="19">
        <f>B229*2</f>
        <v>4.8</v>
      </c>
      <c r="I230" s="19"/>
      <c r="J230" s="19"/>
      <c r="K230" s="19"/>
      <c r="L230" s="19"/>
      <c r="M230" s="19"/>
      <c r="N230" s="19"/>
      <c r="O230" s="19"/>
      <c r="P230" s="19"/>
    </row>
    <row r="231" spans="1:16" ht="14.25" customHeight="1" x14ac:dyDescent="0.15">
      <c r="A231" s="19"/>
      <c r="B231" s="19"/>
      <c r="C231" s="19"/>
      <c r="D231" s="19">
        <f>D229*D230</f>
        <v>21600</v>
      </c>
      <c r="E231" s="19">
        <f>E230*E228</f>
        <v>8400</v>
      </c>
      <c r="F231" s="19">
        <f t="shared" ref="F231:H231" si="145">F228*F230</f>
        <v>0</v>
      </c>
      <c r="G231" s="19">
        <f t="shared" si="145"/>
        <v>0</v>
      </c>
      <c r="H231" s="19">
        <f t="shared" si="145"/>
        <v>1824</v>
      </c>
      <c r="I231" s="19">
        <f t="shared" ref="I231:L231" si="146">I228*I229</f>
        <v>4000</v>
      </c>
      <c r="J231" s="19">
        <f t="shared" si="146"/>
        <v>375</v>
      </c>
      <c r="K231" s="19">
        <f t="shared" si="146"/>
        <v>1404</v>
      </c>
      <c r="L231" s="19">
        <f t="shared" si="146"/>
        <v>7000</v>
      </c>
      <c r="M231" s="19">
        <f>SUM(D231:L231)</f>
        <v>44603</v>
      </c>
      <c r="N231" s="19">
        <f>M231/A229</f>
        <v>44603</v>
      </c>
      <c r="O231" s="19">
        <f>N231*O228</f>
        <v>89206</v>
      </c>
      <c r="P231" s="19">
        <f>MROUND(O231,100)</f>
        <v>89200</v>
      </c>
    </row>
    <row r="232" spans="1:16" ht="14.25" customHeight="1" x14ac:dyDescent="0.15">
      <c r="A232" s="111"/>
      <c r="B232" s="87"/>
      <c r="C232" s="8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</row>
    <row r="233" spans="1:16" ht="14.25" customHeight="1" x14ac:dyDescent="0.15">
      <c r="A233" s="109" t="str">
        <f>PRICELIST!I455</f>
        <v>MTSTK-MD-LVM-2400-1200</v>
      </c>
      <c r="B233" s="87"/>
      <c r="C233" s="87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</row>
    <row r="234" spans="1:16" ht="14.25" customHeight="1" x14ac:dyDescent="0.15">
      <c r="A234" s="19" t="s">
        <v>57</v>
      </c>
      <c r="B234" s="19" t="s">
        <v>59</v>
      </c>
      <c r="C234" s="19" t="s">
        <v>62</v>
      </c>
      <c r="D234" s="19" t="s">
        <v>64</v>
      </c>
      <c r="E234" s="19">
        <v>1200</v>
      </c>
      <c r="F234" s="19">
        <v>900</v>
      </c>
      <c r="G234" s="19">
        <v>600</v>
      </c>
      <c r="H234" s="19" t="s">
        <v>67</v>
      </c>
      <c r="I234" s="19" t="s">
        <v>69</v>
      </c>
      <c r="J234" s="19" t="s">
        <v>71</v>
      </c>
      <c r="K234" s="19" t="s">
        <v>72</v>
      </c>
      <c r="L234" s="19" t="s">
        <v>73</v>
      </c>
      <c r="M234" s="19" t="s">
        <v>76</v>
      </c>
      <c r="N234" s="19" t="s">
        <v>78</v>
      </c>
      <c r="O234" s="19" t="s">
        <v>79</v>
      </c>
      <c r="P234" s="19" t="s">
        <v>81</v>
      </c>
    </row>
    <row r="235" spans="1:16" ht="14.25" customHeight="1" x14ac:dyDescent="0.15">
      <c r="A235" s="21"/>
      <c r="B235" s="21"/>
      <c r="C235" s="21"/>
      <c r="D235" s="21"/>
      <c r="E235" s="23" t="str">
        <f t="shared" ref="E235:G235" si="147">E228</f>
        <v>4200</v>
      </c>
      <c r="F235" s="23" t="str">
        <f t="shared" si="147"/>
        <v>4000</v>
      </c>
      <c r="G235" s="23" t="str">
        <f t="shared" si="147"/>
        <v>3800</v>
      </c>
      <c r="H235" s="21">
        <v>380</v>
      </c>
      <c r="I235" s="23" t="str">
        <f>I228</f>
        <v>4000</v>
      </c>
      <c r="J235" s="21">
        <v>375</v>
      </c>
      <c r="K235" s="21">
        <v>585</v>
      </c>
      <c r="L235" s="23" t="str">
        <f t="shared" ref="L235:L236" si="148">L228</f>
        <v>3500</v>
      </c>
      <c r="M235" s="21"/>
      <c r="N235" s="21"/>
      <c r="O235" s="21">
        <f>O228</f>
        <v>2</v>
      </c>
      <c r="P235" s="21"/>
    </row>
    <row r="236" spans="1:16" ht="14.25" customHeight="1" x14ac:dyDescent="0.15">
      <c r="A236" s="19">
        <v>1</v>
      </c>
      <c r="B236" s="19">
        <v>2.4</v>
      </c>
      <c r="C236" s="19">
        <v>1.2</v>
      </c>
      <c r="D236" s="19">
        <f>B236*C236</f>
        <v>2.88</v>
      </c>
      <c r="E236" s="19"/>
      <c r="F236" s="19"/>
      <c r="G236" s="19"/>
      <c r="H236" s="19"/>
      <c r="I236" s="19">
        <v>1</v>
      </c>
      <c r="J236" s="19">
        <f t="shared" ref="J236:K236" si="149">A236</f>
        <v>1</v>
      </c>
      <c r="K236" s="19">
        <f t="shared" si="149"/>
        <v>2.4</v>
      </c>
      <c r="L236" s="19">
        <f t="shared" si="148"/>
        <v>2</v>
      </c>
      <c r="M236" s="19"/>
      <c r="N236" s="19"/>
      <c r="O236" s="19"/>
      <c r="P236" s="19"/>
    </row>
    <row r="237" spans="1:16" ht="14.25" customHeight="1" x14ac:dyDescent="0.15">
      <c r="A237" s="19"/>
      <c r="B237" s="19"/>
      <c r="C237" s="19"/>
      <c r="D237" s="26" t="str">
        <f>D195</f>
        <v>9500</v>
      </c>
      <c r="E237" s="19">
        <v>2</v>
      </c>
      <c r="F237" s="19">
        <v>0</v>
      </c>
      <c r="G237" s="19">
        <v>0</v>
      </c>
      <c r="H237" s="19">
        <f>B236*2</f>
        <v>4.8</v>
      </c>
      <c r="I237" s="19"/>
      <c r="J237" s="19"/>
      <c r="K237" s="19"/>
      <c r="L237" s="19"/>
      <c r="M237" s="19"/>
      <c r="N237" s="19"/>
      <c r="O237" s="19"/>
      <c r="P237" s="19"/>
    </row>
    <row r="238" spans="1:16" ht="14.25" customHeight="1" x14ac:dyDescent="0.15">
      <c r="A238" s="19"/>
      <c r="B238" s="19"/>
      <c r="C238" s="19"/>
      <c r="D238" s="19">
        <f>D236*D237</f>
        <v>27360</v>
      </c>
      <c r="E238" s="19">
        <f>E237*E235</f>
        <v>8400</v>
      </c>
      <c r="F238" s="19">
        <f t="shared" ref="F238:H238" si="150">F235*F237</f>
        <v>0</v>
      </c>
      <c r="G238" s="19">
        <f t="shared" si="150"/>
        <v>0</v>
      </c>
      <c r="H238" s="19">
        <f t="shared" si="150"/>
        <v>1824</v>
      </c>
      <c r="I238" s="19">
        <f t="shared" ref="I238:L238" si="151">I235*I236</f>
        <v>4000</v>
      </c>
      <c r="J238" s="19">
        <f t="shared" si="151"/>
        <v>375</v>
      </c>
      <c r="K238" s="19">
        <f t="shared" si="151"/>
        <v>1404</v>
      </c>
      <c r="L238" s="19">
        <f t="shared" si="151"/>
        <v>7000</v>
      </c>
      <c r="M238" s="19">
        <f>SUM(D238:L238)</f>
        <v>50363</v>
      </c>
      <c r="N238" s="19">
        <f>M238/A236</f>
        <v>50363</v>
      </c>
      <c r="O238" s="19">
        <f>N238*O235</f>
        <v>100726</v>
      </c>
      <c r="P238" s="19">
        <f>MROUND(O238,100)</f>
        <v>100700</v>
      </c>
    </row>
    <row r="239" spans="1:16" ht="14.25" customHeight="1" x14ac:dyDescent="0.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</row>
    <row r="240" spans="1:16" ht="14.25" customHeight="1" x14ac:dyDescent="0.15">
      <c r="A240" s="109" t="str">
        <f>PRICELIST!I456</f>
        <v>MTSTK-MD-LVP-2400-1200</v>
      </c>
      <c r="B240" s="87"/>
      <c r="C240" s="87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</row>
    <row r="241" spans="1:16" ht="14.25" customHeight="1" x14ac:dyDescent="0.15">
      <c r="A241" s="19" t="s">
        <v>57</v>
      </c>
      <c r="B241" s="19" t="s">
        <v>59</v>
      </c>
      <c r="C241" s="19" t="s">
        <v>62</v>
      </c>
      <c r="D241" s="19" t="s">
        <v>64</v>
      </c>
      <c r="E241" s="19">
        <v>1200</v>
      </c>
      <c r="F241" s="19">
        <v>900</v>
      </c>
      <c r="G241" s="19">
        <v>600</v>
      </c>
      <c r="H241" s="19" t="s">
        <v>67</v>
      </c>
      <c r="I241" s="19" t="s">
        <v>69</v>
      </c>
      <c r="J241" s="19" t="s">
        <v>71</v>
      </c>
      <c r="K241" s="19" t="s">
        <v>72</v>
      </c>
      <c r="L241" s="19" t="s">
        <v>73</v>
      </c>
      <c r="M241" s="19" t="s">
        <v>76</v>
      </c>
      <c r="N241" s="19" t="s">
        <v>78</v>
      </c>
      <c r="O241" s="19" t="s">
        <v>79</v>
      </c>
      <c r="P241" s="19" t="s">
        <v>81</v>
      </c>
    </row>
    <row r="242" spans="1:16" ht="14.25" customHeight="1" x14ac:dyDescent="0.15">
      <c r="A242" s="21"/>
      <c r="B242" s="21"/>
      <c r="C242" s="21"/>
      <c r="D242" s="21"/>
      <c r="E242" s="23" t="str">
        <f t="shared" ref="E242:G242" si="152">E235</f>
        <v>4200</v>
      </c>
      <c r="F242" s="23" t="str">
        <f t="shared" si="152"/>
        <v>4000</v>
      </c>
      <c r="G242" s="23" t="str">
        <f t="shared" si="152"/>
        <v>3800</v>
      </c>
      <c r="H242" s="21">
        <v>380</v>
      </c>
      <c r="I242" s="23" t="str">
        <f>I235</f>
        <v>4000</v>
      </c>
      <c r="J242" s="21">
        <v>375</v>
      </c>
      <c r="K242" s="21">
        <v>585</v>
      </c>
      <c r="L242" s="23" t="str">
        <f t="shared" ref="L242:L243" si="153">L235</f>
        <v>3500</v>
      </c>
      <c r="M242" s="21"/>
      <c r="N242" s="21"/>
      <c r="O242" s="21">
        <f>O235</f>
        <v>2</v>
      </c>
      <c r="P242" s="21"/>
    </row>
    <row r="243" spans="1:16" ht="14.25" customHeight="1" x14ac:dyDescent="0.15">
      <c r="A243" s="19">
        <v>1</v>
      </c>
      <c r="B243" s="19">
        <v>2.4</v>
      </c>
      <c r="C243" s="19">
        <v>1.2</v>
      </c>
      <c r="D243" s="19">
        <f>B243*C243</f>
        <v>2.88</v>
      </c>
      <c r="E243" s="19"/>
      <c r="F243" s="19"/>
      <c r="G243" s="19"/>
      <c r="H243" s="19"/>
      <c r="I243" s="19">
        <v>1</v>
      </c>
      <c r="J243" s="19">
        <f t="shared" ref="J243:K243" si="154">A243</f>
        <v>1</v>
      </c>
      <c r="K243" s="19">
        <f t="shared" si="154"/>
        <v>2.4</v>
      </c>
      <c r="L243" s="19">
        <f t="shared" si="153"/>
        <v>2</v>
      </c>
      <c r="M243" s="19"/>
      <c r="N243" s="19"/>
      <c r="O243" s="19"/>
      <c r="P243" s="19"/>
    </row>
    <row r="244" spans="1:16" ht="14.25" customHeight="1" x14ac:dyDescent="0.15">
      <c r="A244" s="19"/>
      <c r="B244" s="19"/>
      <c r="C244" s="19"/>
      <c r="D244" s="26" t="str">
        <f>D202</f>
        <v>10500</v>
      </c>
      <c r="E244" s="19">
        <v>2</v>
      </c>
      <c r="F244" s="19">
        <v>0</v>
      </c>
      <c r="G244" s="19">
        <v>0</v>
      </c>
      <c r="H244" s="19">
        <f>B243*2</f>
        <v>4.8</v>
      </c>
      <c r="I244" s="19"/>
      <c r="J244" s="19"/>
      <c r="K244" s="19"/>
      <c r="L244" s="19"/>
      <c r="M244" s="19"/>
      <c r="N244" s="19"/>
      <c r="O244" s="19"/>
      <c r="P244" s="19"/>
    </row>
    <row r="245" spans="1:16" ht="14.25" customHeight="1" x14ac:dyDescent="0.15">
      <c r="A245" s="19"/>
      <c r="B245" s="19"/>
      <c r="C245" s="19"/>
      <c r="D245" s="19">
        <f>D243*D244</f>
        <v>30240</v>
      </c>
      <c r="E245" s="19">
        <f>E244*E242</f>
        <v>8400</v>
      </c>
      <c r="F245" s="19">
        <f t="shared" ref="F245:H245" si="155">F242*F244</f>
        <v>0</v>
      </c>
      <c r="G245" s="19">
        <f t="shared" si="155"/>
        <v>0</v>
      </c>
      <c r="H245" s="19">
        <f t="shared" si="155"/>
        <v>1824</v>
      </c>
      <c r="I245" s="19">
        <f t="shared" ref="I245:L245" si="156">I242*I243</f>
        <v>4000</v>
      </c>
      <c r="J245" s="19">
        <f t="shared" si="156"/>
        <v>375</v>
      </c>
      <c r="K245" s="19">
        <f t="shared" si="156"/>
        <v>1404</v>
      </c>
      <c r="L245" s="19">
        <f t="shared" si="156"/>
        <v>7000</v>
      </c>
      <c r="M245" s="19">
        <f>SUM(D245:L245)</f>
        <v>53243</v>
      </c>
      <c r="N245" s="19">
        <f>M245/A243</f>
        <v>53243</v>
      </c>
      <c r="O245" s="19">
        <f>N245*O242</f>
        <v>106486</v>
      </c>
      <c r="P245" s="19">
        <f>MROUND(O245,100)</f>
        <v>106500</v>
      </c>
    </row>
    <row r="246" spans="1:16" ht="14.25" customHeight="1" x14ac:dyDescent="0.1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</row>
    <row r="247" spans="1:16" ht="14.25" customHeight="1" x14ac:dyDescent="0.15">
      <c r="A247" s="109" t="str">
        <f>PRICELIST!I457</f>
        <v>MTSTK-MD-GL-2400-1200</v>
      </c>
      <c r="B247" s="87"/>
      <c r="C247" s="87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</row>
    <row r="248" spans="1:16" ht="14.25" customHeight="1" x14ac:dyDescent="0.15">
      <c r="A248" s="19" t="s">
        <v>57</v>
      </c>
      <c r="B248" s="19" t="s">
        <v>59</v>
      </c>
      <c r="C248" s="19" t="s">
        <v>62</v>
      </c>
      <c r="D248" s="19" t="s">
        <v>64</v>
      </c>
      <c r="E248" s="19">
        <v>1200</v>
      </c>
      <c r="F248" s="19">
        <v>900</v>
      </c>
      <c r="G248" s="19">
        <v>600</v>
      </c>
      <c r="H248" s="19" t="s">
        <v>67</v>
      </c>
      <c r="I248" s="19" t="s">
        <v>69</v>
      </c>
      <c r="J248" s="19" t="s">
        <v>71</v>
      </c>
      <c r="K248" s="19" t="s">
        <v>72</v>
      </c>
      <c r="L248" s="19" t="s">
        <v>73</v>
      </c>
      <c r="M248" s="19" t="s">
        <v>76</v>
      </c>
      <c r="N248" s="19" t="s">
        <v>78</v>
      </c>
      <c r="O248" s="19" t="s">
        <v>79</v>
      </c>
      <c r="P248" s="19" t="s">
        <v>81</v>
      </c>
    </row>
    <row r="249" spans="1:16" ht="14.25" customHeight="1" x14ac:dyDescent="0.15">
      <c r="A249" s="21"/>
      <c r="B249" s="21"/>
      <c r="C249" s="21"/>
      <c r="D249" s="21"/>
      <c r="E249" s="23" t="str">
        <f t="shared" ref="E249:G249" si="157">E242</f>
        <v>4200</v>
      </c>
      <c r="F249" s="23" t="str">
        <f t="shared" si="157"/>
        <v>4000</v>
      </c>
      <c r="G249" s="23" t="str">
        <f t="shared" si="157"/>
        <v>3800</v>
      </c>
      <c r="H249" s="21">
        <v>380</v>
      </c>
      <c r="I249" s="23" t="str">
        <f>I242</f>
        <v>4000</v>
      </c>
      <c r="J249" s="21">
        <v>375</v>
      </c>
      <c r="K249" s="21">
        <v>585</v>
      </c>
      <c r="L249" s="23" t="str">
        <f t="shared" ref="L249:L250" si="158">L242</f>
        <v>3500</v>
      </c>
      <c r="M249" s="21"/>
      <c r="N249" s="21"/>
      <c r="O249" s="21">
        <f>O242</f>
        <v>2</v>
      </c>
      <c r="P249" s="21"/>
    </row>
    <row r="250" spans="1:16" ht="14.25" customHeight="1" x14ac:dyDescent="0.15">
      <c r="A250" s="19">
        <v>1</v>
      </c>
      <c r="B250" s="19">
        <v>2.4</v>
      </c>
      <c r="C250" s="19">
        <v>1.2</v>
      </c>
      <c r="D250" s="19">
        <f>B250*C250</f>
        <v>2.88</v>
      </c>
      <c r="E250" s="19"/>
      <c r="F250" s="19"/>
      <c r="G250" s="19"/>
      <c r="H250" s="19"/>
      <c r="I250" s="19">
        <v>1</v>
      </c>
      <c r="J250" s="19">
        <f t="shared" ref="J250:K250" si="159">A250</f>
        <v>1</v>
      </c>
      <c r="K250" s="19">
        <f t="shared" si="159"/>
        <v>2.4</v>
      </c>
      <c r="L250" s="19">
        <f t="shared" si="158"/>
        <v>2</v>
      </c>
      <c r="M250" s="19"/>
      <c r="N250" s="19"/>
      <c r="O250" s="19"/>
      <c r="P250" s="19"/>
    </row>
    <row r="251" spans="1:16" ht="14.25" customHeight="1" x14ac:dyDescent="0.15">
      <c r="A251" s="19"/>
      <c r="B251" s="19"/>
      <c r="C251" s="19"/>
      <c r="D251" s="26" t="str">
        <f>D209</f>
        <v>7500</v>
      </c>
      <c r="E251" s="19">
        <v>2</v>
      </c>
      <c r="F251" s="19">
        <v>0</v>
      </c>
      <c r="G251" s="19">
        <v>0</v>
      </c>
      <c r="H251" s="19">
        <f>B250*2</f>
        <v>4.8</v>
      </c>
      <c r="I251" s="19"/>
      <c r="J251" s="19"/>
      <c r="K251" s="19"/>
      <c r="L251" s="19"/>
      <c r="M251" s="19"/>
      <c r="N251" s="19"/>
      <c r="O251" s="19"/>
      <c r="P251" s="19"/>
    </row>
    <row r="252" spans="1:16" ht="14.25" customHeight="1" x14ac:dyDescent="0.15">
      <c r="A252" s="19"/>
      <c r="B252" s="19"/>
      <c r="C252" s="19"/>
      <c r="D252" s="19">
        <f>D250*D251</f>
        <v>21600</v>
      </c>
      <c r="E252" s="19">
        <f>E251*E249</f>
        <v>8400</v>
      </c>
      <c r="F252" s="19">
        <f t="shared" ref="F252:H252" si="160">F249*F251</f>
        <v>0</v>
      </c>
      <c r="G252" s="19">
        <f t="shared" si="160"/>
        <v>0</v>
      </c>
      <c r="H252" s="19">
        <f t="shared" si="160"/>
        <v>1824</v>
      </c>
      <c r="I252" s="19">
        <f t="shared" ref="I252:L252" si="161">I249*I250</f>
        <v>4000</v>
      </c>
      <c r="J252" s="19">
        <f t="shared" si="161"/>
        <v>375</v>
      </c>
      <c r="K252" s="19">
        <f t="shared" si="161"/>
        <v>1404</v>
      </c>
      <c r="L252" s="19">
        <f t="shared" si="161"/>
        <v>7000</v>
      </c>
      <c r="M252" s="19">
        <f>SUM(D252:L252)</f>
        <v>44603</v>
      </c>
      <c r="N252" s="19">
        <f>M252/A250</f>
        <v>44603</v>
      </c>
      <c r="O252" s="19">
        <f>N252*O249</f>
        <v>89206</v>
      </c>
      <c r="P252" s="19">
        <f>MROUND(O252,100)</f>
        <v>89200</v>
      </c>
    </row>
    <row r="253" spans="1:16" ht="14.25" customHeight="1" x14ac:dyDescent="0.15">
      <c r="A253" s="111"/>
      <c r="B253" s="87"/>
      <c r="C253" s="8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</row>
    <row r="254" spans="1:16" ht="14.25" customHeight="1" x14ac:dyDescent="0.15">
      <c r="A254" s="109" t="str">
        <f>PRICELIST!I458</f>
        <v>MTSTK-LG-PB-3600-1200</v>
      </c>
      <c r="B254" s="87"/>
      <c r="C254" s="87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</row>
    <row r="255" spans="1:16" ht="14.25" customHeight="1" x14ac:dyDescent="0.15">
      <c r="A255" s="19" t="s">
        <v>57</v>
      </c>
      <c r="B255" s="19" t="s">
        <v>59</v>
      </c>
      <c r="C255" s="19" t="s">
        <v>62</v>
      </c>
      <c r="D255" s="19" t="s">
        <v>64</v>
      </c>
      <c r="E255" s="19">
        <v>1200</v>
      </c>
      <c r="F255" s="19">
        <v>900</v>
      </c>
      <c r="G255" s="19">
        <v>600</v>
      </c>
      <c r="H255" s="19" t="s">
        <v>67</v>
      </c>
      <c r="I255" s="19" t="s">
        <v>69</v>
      </c>
      <c r="J255" s="19" t="s">
        <v>71</v>
      </c>
      <c r="K255" s="19" t="s">
        <v>72</v>
      </c>
      <c r="L255" s="19" t="s">
        <v>73</v>
      </c>
      <c r="M255" s="19" t="s">
        <v>76</v>
      </c>
      <c r="N255" s="19" t="s">
        <v>78</v>
      </c>
      <c r="O255" s="19" t="s">
        <v>79</v>
      </c>
      <c r="P255" s="19" t="s">
        <v>81</v>
      </c>
    </row>
    <row r="256" spans="1:16" ht="14.25" customHeight="1" x14ac:dyDescent="0.15">
      <c r="A256" s="21"/>
      <c r="B256" s="21"/>
      <c r="C256" s="21"/>
      <c r="D256" s="21"/>
      <c r="E256" s="23" t="str">
        <f t="shared" ref="E256:G256" si="162">E249</f>
        <v>4200</v>
      </c>
      <c r="F256" s="23" t="str">
        <f t="shared" si="162"/>
        <v>4000</v>
      </c>
      <c r="G256" s="23" t="str">
        <f t="shared" si="162"/>
        <v>3800</v>
      </c>
      <c r="H256" s="21">
        <v>380</v>
      </c>
      <c r="I256" s="23" t="str">
        <f>I249</f>
        <v>4000</v>
      </c>
      <c r="J256" s="21">
        <v>375</v>
      </c>
      <c r="K256" s="21">
        <v>585</v>
      </c>
      <c r="L256" s="23" t="str">
        <f>L249</f>
        <v>3500</v>
      </c>
      <c r="M256" s="21"/>
      <c r="N256" s="21"/>
      <c r="O256" s="21">
        <f>O249</f>
        <v>2</v>
      </c>
      <c r="P256" s="21"/>
    </row>
    <row r="257" spans="1:16" ht="14.25" customHeight="1" x14ac:dyDescent="0.15">
      <c r="A257" s="19">
        <v>1</v>
      </c>
      <c r="B257" s="19">
        <v>3.6</v>
      </c>
      <c r="C257" s="19">
        <v>1.2</v>
      </c>
      <c r="D257" s="19">
        <f>B257*C257</f>
        <v>4.32</v>
      </c>
      <c r="E257" s="19"/>
      <c r="F257" s="19"/>
      <c r="G257" s="19"/>
      <c r="H257" s="19"/>
      <c r="I257" s="19">
        <v>2</v>
      </c>
      <c r="J257" s="19">
        <f t="shared" ref="J257:K257" si="163">A257</f>
        <v>1</v>
      </c>
      <c r="K257" s="19">
        <f t="shared" si="163"/>
        <v>3.6</v>
      </c>
      <c r="L257" s="19">
        <v>3</v>
      </c>
      <c r="M257" s="19"/>
      <c r="N257" s="19"/>
      <c r="O257" s="19"/>
      <c r="P257" s="19"/>
    </row>
    <row r="258" spans="1:16" ht="14.25" customHeight="1" x14ac:dyDescent="0.15">
      <c r="A258" s="19"/>
      <c r="B258" s="19"/>
      <c r="C258" s="19"/>
      <c r="D258" s="26" t="str">
        <f>D216</f>
        <v>2200</v>
      </c>
      <c r="E258" s="19">
        <v>2</v>
      </c>
      <c r="F258" s="19">
        <v>0</v>
      </c>
      <c r="G258" s="19">
        <v>0</v>
      </c>
      <c r="H258" s="19">
        <f>B257*2</f>
        <v>7.2</v>
      </c>
      <c r="I258" s="19"/>
      <c r="J258" s="19"/>
      <c r="K258" s="19"/>
      <c r="L258" s="19"/>
      <c r="M258" s="19"/>
      <c r="N258" s="19"/>
      <c r="O258" s="19"/>
      <c r="P258" s="19"/>
    </row>
    <row r="259" spans="1:16" ht="14.25" customHeight="1" x14ac:dyDescent="0.15">
      <c r="A259" s="19"/>
      <c r="B259" s="19"/>
      <c r="C259" s="19"/>
      <c r="D259" s="19">
        <f>D257*D258</f>
        <v>9504</v>
      </c>
      <c r="E259" s="19">
        <f>E258*E256</f>
        <v>8400</v>
      </c>
      <c r="F259" s="19">
        <f t="shared" ref="F259:H259" si="164">F256*F258</f>
        <v>0</v>
      </c>
      <c r="G259" s="19">
        <f t="shared" si="164"/>
        <v>0</v>
      </c>
      <c r="H259" s="19">
        <f t="shared" si="164"/>
        <v>2736</v>
      </c>
      <c r="I259" s="19">
        <f t="shared" ref="I259:L259" si="165">I256*I257</f>
        <v>8000</v>
      </c>
      <c r="J259" s="19">
        <f t="shared" si="165"/>
        <v>375</v>
      </c>
      <c r="K259" s="19">
        <f t="shared" si="165"/>
        <v>2106</v>
      </c>
      <c r="L259" s="19">
        <f t="shared" si="165"/>
        <v>10500</v>
      </c>
      <c r="M259" s="19">
        <f>SUM(D259:L259)</f>
        <v>41621</v>
      </c>
      <c r="N259" s="19">
        <f>M259/A257</f>
        <v>41621</v>
      </c>
      <c r="O259" s="19">
        <f>N259*O256</f>
        <v>83242</v>
      </c>
      <c r="P259" s="19">
        <f>MROUND(O259,100)</f>
        <v>83200</v>
      </c>
    </row>
    <row r="260" spans="1:16" ht="14.25" customHeight="1" x14ac:dyDescent="0.15">
      <c r="A260" s="111"/>
      <c r="B260" s="87"/>
      <c r="C260" s="87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</row>
    <row r="261" spans="1:16" ht="14.25" customHeight="1" x14ac:dyDescent="0.15">
      <c r="A261" s="109" t="str">
        <f>PRICELIST!I459</f>
        <v>MTSTK-LG-PLM-3600-1200</v>
      </c>
      <c r="B261" s="87"/>
      <c r="C261" s="87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</row>
    <row r="262" spans="1:16" ht="14.25" customHeight="1" x14ac:dyDescent="0.15">
      <c r="A262" s="19" t="s">
        <v>57</v>
      </c>
      <c r="B262" s="19" t="s">
        <v>59</v>
      </c>
      <c r="C262" s="19" t="s">
        <v>62</v>
      </c>
      <c r="D262" s="19" t="s">
        <v>64</v>
      </c>
      <c r="E262" s="19">
        <v>1200</v>
      </c>
      <c r="F262" s="19">
        <v>900</v>
      </c>
      <c r="G262" s="19">
        <v>600</v>
      </c>
      <c r="H262" s="19" t="s">
        <v>67</v>
      </c>
      <c r="I262" s="19" t="s">
        <v>69</v>
      </c>
      <c r="J262" s="19" t="s">
        <v>71</v>
      </c>
      <c r="K262" s="19" t="s">
        <v>72</v>
      </c>
      <c r="L262" s="19" t="s">
        <v>73</v>
      </c>
      <c r="M262" s="19" t="s">
        <v>76</v>
      </c>
      <c r="N262" s="19" t="s">
        <v>78</v>
      </c>
      <c r="O262" s="19" t="s">
        <v>79</v>
      </c>
      <c r="P262" s="19" t="s">
        <v>81</v>
      </c>
    </row>
    <row r="263" spans="1:16" ht="14.25" customHeight="1" x14ac:dyDescent="0.15">
      <c r="A263" s="21"/>
      <c r="B263" s="21"/>
      <c r="C263" s="21"/>
      <c r="D263" s="21"/>
      <c r="E263" s="23" t="str">
        <f t="shared" ref="E263:G263" si="166">E256</f>
        <v>4200</v>
      </c>
      <c r="F263" s="23" t="str">
        <f t="shared" si="166"/>
        <v>4000</v>
      </c>
      <c r="G263" s="23" t="str">
        <f t="shared" si="166"/>
        <v>3800</v>
      </c>
      <c r="H263" s="21">
        <v>380</v>
      </c>
      <c r="I263" s="23" t="str">
        <f>I256</f>
        <v>4000</v>
      </c>
      <c r="J263" s="21">
        <v>375</v>
      </c>
      <c r="K263" s="21">
        <v>585</v>
      </c>
      <c r="L263" s="23" t="str">
        <f t="shared" ref="L263:L264" si="167">L256</f>
        <v>3500</v>
      </c>
      <c r="M263" s="21"/>
      <c r="N263" s="21"/>
      <c r="O263" s="21">
        <f>O256</f>
        <v>2</v>
      </c>
      <c r="P263" s="21"/>
    </row>
    <row r="264" spans="1:16" ht="14.25" customHeight="1" x14ac:dyDescent="0.15">
      <c r="A264" s="19">
        <v>1</v>
      </c>
      <c r="B264" s="19">
        <v>3.6</v>
      </c>
      <c r="C264" s="19">
        <v>1.2</v>
      </c>
      <c r="D264" s="19">
        <f>B264*C264</f>
        <v>4.32</v>
      </c>
      <c r="E264" s="19"/>
      <c r="F264" s="19"/>
      <c r="G264" s="19"/>
      <c r="H264" s="19"/>
      <c r="I264" s="19">
        <v>2</v>
      </c>
      <c r="J264" s="19">
        <f t="shared" ref="J264:K264" si="168">A264</f>
        <v>1</v>
      </c>
      <c r="K264" s="19">
        <f t="shared" si="168"/>
        <v>3.6</v>
      </c>
      <c r="L264" s="19">
        <f t="shared" si="167"/>
        <v>3</v>
      </c>
      <c r="M264" s="19"/>
      <c r="N264" s="19"/>
      <c r="O264" s="19"/>
      <c r="P264" s="19"/>
    </row>
    <row r="265" spans="1:16" ht="14.25" customHeight="1" x14ac:dyDescent="0.15">
      <c r="A265" s="19"/>
      <c r="B265" s="19"/>
      <c r="C265" s="19"/>
      <c r="D265" s="26" t="str">
        <f>D223</f>
        <v>3000</v>
      </c>
      <c r="E265" s="19">
        <v>2</v>
      </c>
      <c r="F265" s="19">
        <v>0</v>
      </c>
      <c r="G265" s="19">
        <v>0</v>
      </c>
      <c r="H265" s="19">
        <f>B264*2</f>
        <v>7.2</v>
      </c>
      <c r="I265" s="19"/>
      <c r="J265" s="19"/>
      <c r="K265" s="19"/>
      <c r="L265" s="19"/>
      <c r="M265" s="19"/>
      <c r="N265" s="19"/>
      <c r="O265" s="19"/>
      <c r="P265" s="19"/>
    </row>
    <row r="266" spans="1:16" ht="14.25" customHeight="1" x14ac:dyDescent="0.15">
      <c r="A266" s="19"/>
      <c r="B266" s="19"/>
      <c r="C266" s="19"/>
      <c r="D266" s="19">
        <f>D264*D265</f>
        <v>12960</v>
      </c>
      <c r="E266" s="19">
        <f>E265*E263</f>
        <v>8400</v>
      </c>
      <c r="F266" s="19">
        <f t="shared" ref="F266:H266" si="169">F263*F265</f>
        <v>0</v>
      </c>
      <c r="G266" s="19">
        <f t="shared" si="169"/>
        <v>0</v>
      </c>
      <c r="H266" s="19">
        <f t="shared" si="169"/>
        <v>2736</v>
      </c>
      <c r="I266" s="19">
        <f t="shared" ref="I266:L266" si="170">I263*I264</f>
        <v>8000</v>
      </c>
      <c r="J266" s="19">
        <f t="shared" si="170"/>
        <v>375</v>
      </c>
      <c r="K266" s="19">
        <f t="shared" si="170"/>
        <v>2106</v>
      </c>
      <c r="L266" s="19">
        <f t="shared" si="170"/>
        <v>10500</v>
      </c>
      <c r="M266" s="19">
        <f>SUM(D266:L266)</f>
        <v>45077</v>
      </c>
      <c r="N266" s="19">
        <f>M266/A264</f>
        <v>45077</v>
      </c>
      <c r="O266" s="19">
        <f>N266*O263</f>
        <v>90154</v>
      </c>
      <c r="P266" s="19">
        <f>MROUND(O266,100)</f>
        <v>90200</v>
      </c>
    </row>
    <row r="267" spans="1:16" ht="14.25" customHeight="1" x14ac:dyDescent="0.1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</row>
    <row r="268" spans="1:16" ht="14.25" customHeight="1" x14ac:dyDescent="0.15">
      <c r="A268" s="109" t="str">
        <f>PRICELIST!I460</f>
        <v>MTSTK-LG-PoLM-3600-1200</v>
      </c>
      <c r="B268" s="87"/>
      <c r="C268" s="87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</row>
    <row r="269" spans="1:16" ht="14.25" customHeight="1" x14ac:dyDescent="0.15">
      <c r="A269" s="19" t="s">
        <v>57</v>
      </c>
      <c r="B269" s="19" t="s">
        <v>59</v>
      </c>
      <c r="C269" s="19" t="s">
        <v>62</v>
      </c>
      <c r="D269" s="19" t="s">
        <v>64</v>
      </c>
      <c r="E269" s="19">
        <v>1200</v>
      </c>
      <c r="F269" s="19">
        <v>900</v>
      </c>
      <c r="G269" s="19">
        <v>600</v>
      </c>
      <c r="H269" s="19" t="s">
        <v>67</v>
      </c>
      <c r="I269" s="19" t="s">
        <v>69</v>
      </c>
      <c r="J269" s="19" t="s">
        <v>71</v>
      </c>
      <c r="K269" s="19" t="s">
        <v>72</v>
      </c>
      <c r="L269" s="19" t="s">
        <v>73</v>
      </c>
      <c r="M269" s="19" t="s">
        <v>76</v>
      </c>
      <c r="N269" s="19" t="s">
        <v>78</v>
      </c>
      <c r="O269" s="19" t="s">
        <v>79</v>
      </c>
      <c r="P269" s="19" t="s">
        <v>81</v>
      </c>
    </row>
    <row r="270" spans="1:16" ht="14.25" customHeight="1" x14ac:dyDescent="0.15">
      <c r="A270" s="21"/>
      <c r="B270" s="21"/>
      <c r="C270" s="21"/>
      <c r="D270" s="21"/>
      <c r="E270" s="23" t="str">
        <f t="shared" ref="E270:G270" si="171">E263</f>
        <v>4200</v>
      </c>
      <c r="F270" s="23" t="str">
        <f t="shared" si="171"/>
        <v>4000</v>
      </c>
      <c r="G270" s="23" t="str">
        <f t="shared" si="171"/>
        <v>3800</v>
      </c>
      <c r="H270" s="21">
        <v>380</v>
      </c>
      <c r="I270" s="23" t="str">
        <f>I263</f>
        <v>4000</v>
      </c>
      <c r="J270" s="21">
        <v>375</v>
      </c>
      <c r="K270" s="21">
        <v>585</v>
      </c>
      <c r="L270" s="23" t="str">
        <f t="shared" ref="L270:L271" si="172">L263</f>
        <v>3500</v>
      </c>
      <c r="M270" s="21"/>
      <c r="N270" s="21"/>
      <c r="O270" s="21">
        <f>O263</f>
        <v>2</v>
      </c>
      <c r="P270" s="21"/>
    </row>
    <row r="271" spans="1:16" ht="14.25" customHeight="1" x14ac:dyDescent="0.15">
      <c r="A271" s="19">
        <v>1</v>
      </c>
      <c r="B271" s="19">
        <v>3.6</v>
      </c>
      <c r="C271" s="19">
        <v>1.2</v>
      </c>
      <c r="D271" s="19">
        <f>B271*C271</f>
        <v>4.32</v>
      </c>
      <c r="E271" s="19"/>
      <c r="F271" s="19"/>
      <c r="G271" s="19"/>
      <c r="H271" s="19"/>
      <c r="I271" s="19">
        <v>2</v>
      </c>
      <c r="J271" s="19">
        <f t="shared" ref="J271:K271" si="173">A271</f>
        <v>1</v>
      </c>
      <c r="K271" s="19">
        <f t="shared" si="173"/>
        <v>3.6</v>
      </c>
      <c r="L271" s="19">
        <f t="shared" si="172"/>
        <v>3</v>
      </c>
      <c r="M271" s="19"/>
      <c r="N271" s="19"/>
      <c r="O271" s="19"/>
      <c r="P271" s="19"/>
    </row>
    <row r="272" spans="1:16" ht="14.25" customHeight="1" x14ac:dyDescent="0.15">
      <c r="A272" s="19"/>
      <c r="B272" s="19"/>
      <c r="C272" s="19"/>
      <c r="D272" s="26" t="str">
        <f>D230</f>
        <v>7500</v>
      </c>
      <c r="E272" s="19">
        <v>2</v>
      </c>
      <c r="F272" s="19">
        <v>0</v>
      </c>
      <c r="G272" s="19">
        <v>0</v>
      </c>
      <c r="H272" s="19">
        <f>B271*2</f>
        <v>7.2</v>
      </c>
      <c r="I272" s="19"/>
      <c r="J272" s="19"/>
      <c r="K272" s="19"/>
      <c r="L272" s="19"/>
      <c r="M272" s="19"/>
      <c r="N272" s="19"/>
      <c r="O272" s="19"/>
      <c r="P272" s="19"/>
    </row>
    <row r="273" spans="1:16" ht="14.25" customHeight="1" x14ac:dyDescent="0.15">
      <c r="A273" s="19"/>
      <c r="B273" s="19"/>
      <c r="C273" s="19"/>
      <c r="D273" s="19">
        <f>D271*D272</f>
        <v>32400.000000000004</v>
      </c>
      <c r="E273" s="19">
        <f>E272*E270</f>
        <v>8400</v>
      </c>
      <c r="F273" s="19">
        <f t="shared" ref="F273:H273" si="174">F270*F272</f>
        <v>0</v>
      </c>
      <c r="G273" s="19">
        <f t="shared" si="174"/>
        <v>0</v>
      </c>
      <c r="H273" s="19">
        <f t="shared" si="174"/>
        <v>2736</v>
      </c>
      <c r="I273" s="19">
        <f t="shared" ref="I273:L273" si="175">I270*I271</f>
        <v>8000</v>
      </c>
      <c r="J273" s="19">
        <f t="shared" si="175"/>
        <v>375</v>
      </c>
      <c r="K273" s="19">
        <f t="shared" si="175"/>
        <v>2106</v>
      </c>
      <c r="L273" s="19">
        <f t="shared" si="175"/>
        <v>10500</v>
      </c>
      <c r="M273" s="19">
        <f>SUM(D273:L273)</f>
        <v>64517</v>
      </c>
      <c r="N273" s="19">
        <f>M273/A271</f>
        <v>64517</v>
      </c>
      <c r="O273" s="19">
        <f>N273*O270</f>
        <v>129034</v>
      </c>
      <c r="P273" s="19">
        <f>MROUND(O273,100)</f>
        <v>129000</v>
      </c>
    </row>
    <row r="274" spans="1:16" ht="14.25" customHeight="1" x14ac:dyDescent="0.15">
      <c r="A274" s="111"/>
      <c r="B274" s="87"/>
      <c r="C274" s="87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</row>
    <row r="275" spans="1:16" ht="14.25" customHeight="1" x14ac:dyDescent="0.15">
      <c r="A275" s="109" t="str">
        <f>PRICELIST!I461</f>
        <v>MTSTK-LG-LVM-3600-1200</v>
      </c>
      <c r="B275" s="87"/>
      <c r="C275" s="87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</row>
    <row r="276" spans="1:16" ht="14.25" customHeight="1" x14ac:dyDescent="0.15">
      <c r="A276" s="19" t="s">
        <v>57</v>
      </c>
      <c r="B276" s="19" t="s">
        <v>59</v>
      </c>
      <c r="C276" s="19" t="s">
        <v>62</v>
      </c>
      <c r="D276" s="19" t="s">
        <v>64</v>
      </c>
      <c r="E276" s="19">
        <v>1200</v>
      </c>
      <c r="F276" s="19">
        <v>900</v>
      </c>
      <c r="G276" s="19">
        <v>600</v>
      </c>
      <c r="H276" s="19" t="s">
        <v>67</v>
      </c>
      <c r="I276" s="19" t="s">
        <v>69</v>
      </c>
      <c r="J276" s="19" t="s">
        <v>71</v>
      </c>
      <c r="K276" s="19" t="s">
        <v>72</v>
      </c>
      <c r="L276" s="19" t="s">
        <v>73</v>
      </c>
      <c r="M276" s="19" t="s">
        <v>76</v>
      </c>
      <c r="N276" s="19" t="s">
        <v>78</v>
      </c>
      <c r="O276" s="19" t="s">
        <v>79</v>
      </c>
      <c r="P276" s="19" t="s">
        <v>81</v>
      </c>
    </row>
    <row r="277" spans="1:16" ht="14.25" customHeight="1" x14ac:dyDescent="0.15">
      <c r="A277" s="21"/>
      <c r="B277" s="21"/>
      <c r="C277" s="21"/>
      <c r="D277" s="21"/>
      <c r="E277" s="23" t="str">
        <f t="shared" ref="E277:G277" si="176">E270</f>
        <v>4200</v>
      </c>
      <c r="F277" s="23" t="str">
        <f t="shared" si="176"/>
        <v>4000</v>
      </c>
      <c r="G277" s="23" t="str">
        <f t="shared" si="176"/>
        <v>3800</v>
      </c>
      <c r="H277" s="21">
        <v>380</v>
      </c>
      <c r="I277" s="23" t="str">
        <f>I270</f>
        <v>4000</v>
      </c>
      <c r="J277" s="21">
        <v>375</v>
      </c>
      <c r="K277" s="21">
        <v>585</v>
      </c>
      <c r="L277" s="23" t="str">
        <f t="shared" ref="L277:L278" si="177">L270</f>
        <v>3500</v>
      </c>
      <c r="M277" s="21"/>
      <c r="N277" s="21"/>
      <c r="O277" s="21">
        <f>O270</f>
        <v>2</v>
      </c>
      <c r="P277" s="21"/>
    </row>
    <row r="278" spans="1:16" ht="14.25" customHeight="1" x14ac:dyDescent="0.15">
      <c r="A278" s="19">
        <v>1</v>
      </c>
      <c r="B278" s="19">
        <v>3.6</v>
      </c>
      <c r="C278" s="19">
        <v>1.2</v>
      </c>
      <c r="D278" s="19">
        <f>B278*C278</f>
        <v>4.32</v>
      </c>
      <c r="E278" s="19"/>
      <c r="F278" s="19"/>
      <c r="G278" s="19"/>
      <c r="H278" s="19"/>
      <c r="I278" s="19">
        <v>2</v>
      </c>
      <c r="J278" s="19">
        <f t="shared" ref="J278:K278" si="178">A278</f>
        <v>1</v>
      </c>
      <c r="K278" s="19">
        <f t="shared" si="178"/>
        <v>3.6</v>
      </c>
      <c r="L278" s="19">
        <f t="shared" si="177"/>
        <v>3</v>
      </c>
      <c r="M278" s="19"/>
      <c r="N278" s="19"/>
      <c r="O278" s="19"/>
      <c r="P278" s="19"/>
    </row>
    <row r="279" spans="1:16" ht="14.25" customHeight="1" x14ac:dyDescent="0.15">
      <c r="A279" s="19"/>
      <c r="B279" s="19"/>
      <c r="C279" s="19"/>
      <c r="D279" s="26" t="str">
        <f>D237</f>
        <v>9500</v>
      </c>
      <c r="E279" s="19">
        <v>2</v>
      </c>
      <c r="F279" s="19">
        <v>0</v>
      </c>
      <c r="G279" s="19">
        <v>0</v>
      </c>
      <c r="H279" s="19">
        <f>B278*2</f>
        <v>7.2</v>
      </c>
      <c r="I279" s="19"/>
      <c r="J279" s="19"/>
      <c r="K279" s="19"/>
      <c r="L279" s="19"/>
      <c r="M279" s="19"/>
      <c r="N279" s="19"/>
      <c r="O279" s="19"/>
      <c r="P279" s="19"/>
    </row>
    <row r="280" spans="1:16" ht="14.25" customHeight="1" x14ac:dyDescent="0.15">
      <c r="A280" s="19"/>
      <c r="B280" s="19"/>
      <c r="C280" s="19"/>
      <c r="D280" s="19">
        <f>D278*D279</f>
        <v>41040</v>
      </c>
      <c r="E280" s="19">
        <f>E279*E277</f>
        <v>8400</v>
      </c>
      <c r="F280" s="19">
        <f t="shared" ref="F280:H280" si="179">F277*F279</f>
        <v>0</v>
      </c>
      <c r="G280" s="19">
        <f t="shared" si="179"/>
        <v>0</v>
      </c>
      <c r="H280" s="19">
        <f t="shared" si="179"/>
        <v>2736</v>
      </c>
      <c r="I280" s="19">
        <f t="shared" ref="I280:L280" si="180">I277*I278</f>
        <v>8000</v>
      </c>
      <c r="J280" s="19">
        <f t="shared" si="180"/>
        <v>375</v>
      </c>
      <c r="K280" s="19">
        <f t="shared" si="180"/>
        <v>2106</v>
      </c>
      <c r="L280" s="19">
        <f t="shared" si="180"/>
        <v>10500</v>
      </c>
      <c r="M280" s="19">
        <f>SUM(D280:L280)</f>
        <v>73157</v>
      </c>
      <c r="N280" s="19">
        <f>M280/A278</f>
        <v>73157</v>
      </c>
      <c r="O280" s="19">
        <f>N280*O277</f>
        <v>146314</v>
      </c>
      <c r="P280" s="19">
        <f>MROUND(O280,100)</f>
        <v>146300</v>
      </c>
    </row>
    <row r="281" spans="1:16" ht="14.25" customHeight="1" x14ac:dyDescent="0.1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</row>
    <row r="282" spans="1:16" ht="14.25" customHeight="1" x14ac:dyDescent="0.15">
      <c r="A282" s="109" t="str">
        <f>PRICELIST!I462</f>
        <v>MTSTK-LG-LVP-3600-1200</v>
      </c>
      <c r="B282" s="87"/>
      <c r="C282" s="87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</row>
    <row r="283" spans="1:16" ht="14.25" customHeight="1" x14ac:dyDescent="0.15">
      <c r="A283" s="19" t="s">
        <v>57</v>
      </c>
      <c r="B283" s="19" t="s">
        <v>59</v>
      </c>
      <c r="C283" s="19" t="s">
        <v>62</v>
      </c>
      <c r="D283" s="19" t="s">
        <v>64</v>
      </c>
      <c r="E283" s="19">
        <v>1200</v>
      </c>
      <c r="F283" s="19">
        <v>900</v>
      </c>
      <c r="G283" s="19">
        <v>600</v>
      </c>
      <c r="H283" s="19" t="s">
        <v>67</v>
      </c>
      <c r="I283" s="19" t="s">
        <v>69</v>
      </c>
      <c r="J283" s="19" t="s">
        <v>71</v>
      </c>
      <c r="K283" s="19" t="s">
        <v>72</v>
      </c>
      <c r="L283" s="19" t="s">
        <v>73</v>
      </c>
      <c r="M283" s="19" t="s">
        <v>76</v>
      </c>
      <c r="N283" s="19" t="s">
        <v>78</v>
      </c>
      <c r="O283" s="19" t="s">
        <v>79</v>
      </c>
      <c r="P283" s="19" t="s">
        <v>81</v>
      </c>
    </row>
    <row r="284" spans="1:16" ht="14.25" customHeight="1" x14ac:dyDescent="0.15">
      <c r="A284" s="21"/>
      <c r="B284" s="21"/>
      <c r="C284" s="21"/>
      <c r="D284" s="21"/>
      <c r="E284" s="23" t="str">
        <f t="shared" ref="E284:G284" si="181">E277</f>
        <v>4200</v>
      </c>
      <c r="F284" s="23" t="str">
        <f t="shared" si="181"/>
        <v>4000</v>
      </c>
      <c r="G284" s="23" t="str">
        <f t="shared" si="181"/>
        <v>3800</v>
      </c>
      <c r="H284" s="21">
        <v>380</v>
      </c>
      <c r="I284" s="23" t="str">
        <f>I277</f>
        <v>4000</v>
      </c>
      <c r="J284" s="21">
        <v>375</v>
      </c>
      <c r="K284" s="21">
        <v>585</v>
      </c>
      <c r="L284" s="23" t="str">
        <f t="shared" ref="L284:L285" si="182">L277</f>
        <v>3500</v>
      </c>
      <c r="M284" s="21"/>
      <c r="N284" s="21"/>
      <c r="O284" s="21">
        <f>O277</f>
        <v>2</v>
      </c>
      <c r="P284" s="21"/>
    </row>
    <row r="285" spans="1:16" ht="14.25" customHeight="1" x14ac:dyDescent="0.15">
      <c r="A285" s="19">
        <v>1</v>
      </c>
      <c r="B285" s="19">
        <v>3.6</v>
      </c>
      <c r="C285" s="19">
        <v>1.2</v>
      </c>
      <c r="D285" s="19">
        <f>B285*C285</f>
        <v>4.32</v>
      </c>
      <c r="E285" s="19"/>
      <c r="F285" s="19"/>
      <c r="G285" s="19"/>
      <c r="H285" s="19"/>
      <c r="I285" s="19">
        <v>2</v>
      </c>
      <c r="J285" s="19">
        <f t="shared" ref="J285:K285" si="183">A285</f>
        <v>1</v>
      </c>
      <c r="K285" s="19">
        <f t="shared" si="183"/>
        <v>3.6</v>
      </c>
      <c r="L285" s="19">
        <f t="shared" si="182"/>
        <v>3</v>
      </c>
      <c r="M285" s="19"/>
      <c r="N285" s="19"/>
      <c r="O285" s="19"/>
      <c r="P285" s="19"/>
    </row>
    <row r="286" spans="1:16" ht="14.25" customHeight="1" x14ac:dyDescent="0.15">
      <c r="A286" s="19"/>
      <c r="B286" s="19"/>
      <c r="C286" s="19"/>
      <c r="D286" s="26" t="str">
        <f>D244</f>
        <v>10500</v>
      </c>
      <c r="E286" s="19">
        <v>2</v>
      </c>
      <c r="F286" s="19">
        <v>0</v>
      </c>
      <c r="G286" s="19">
        <v>0</v>
      </c>
      <c r="H286" s="19">
        <f>B285*2</f>
        <v>7.2</v>
      </c>
      <c r="I286" s="19"/>
      <c r="J286" s="19"/>
      <c r="K286" s="19"/>
      <c r="L286" s="19"/>
      <c r="M286" s="19"/>
      <c r="N286" s="19"/>
      <c r="O286" s="19"/>
      <c r="P286" s="19"/>
    </row>
    <row r="287" spans="1:16" ht="14.25" customHeight="1" x14ac:dyDescent="0.15">
      <c r="A287" s="19"/>
      <c r="B287" s="19"/>
      <c r="C287" s="19"/>
      <c r="D287" s="19">
        <f>D285*D286</f>
        <v>45360</v>
      </c>
      <c r="E287" s="19">
        <f>E286*E284</f>
        <v>8400</v>
      </c>
      <c r="F287" s="19">
        <f t="shared" ref="F287:H287" si="184">F284*F286</f>
        <v>0</v>
      </c>
      <c r="G287" s="19">
        <f t="shared" si="184"/>
        <v>0</v>
      </c>
      <c r="H287" s="19">
        <f t="shared" si="184"/>
        <v>2736</v>
      </c>
      <c r="I287" s="19">
        <f t="shared" ref="I287:L287" si="185">I284*I285</f>
        <v>8000</v>
      </c>
      <c r="J287" s="19">
        <f t="shared" si="185"/>
        <v>375</v>
      </c>
      <c r="K287" s="19">
        <f t="shared" si="185"/>
        <v>2106</v>
      </c>
      <c r="L287" s="19">
        <f t="shared" si="185"/>
        <v>10500</v>
      </c>
      <c r="M287" s="19">
        <f>SUM(D287:L287)</f>
        <v>77477</v>
      </c>
      <c r="N287" s="19">
        <f>M287/A285</f>
        <v>77477</v>
      </c>
      <c r="O287" s="19">
        <f>N287*O284</f>
        <v>154954</v>
      </c>
      <c r="P287" s="19">
        <f>MROUND(O287,100)</f>
        <v>155000</v>
      </c>
    </row>
    <row r="288" spans="1:16" ht="14.25" customHeight="1" x14ac:dyDescent="0.1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</row>
    <row r="289" spans="1:16" ht="14.25" customHeight="1" x14ac:dyDescent="0.15">
      <c r="A289" s="109" t="str">
        <f>PRICELIST!I463</f>
        <v>MTSTK-LG-GL-3600-1200</v>
      </c>
      <c r="B289" s="87"/>
      <c r="C289" s="87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</row>
    <row r="290" spans="1:16" ht="14.25" customHeight="1" x14ac:dyDescent="0.15">
      <c r="A290" s="19" t="s">
        <v>57</v>
      </c>
      <c r="B290" s="19" t="s">
        <v>59</v>
      </c>
      <c r="C290" s="19" t="s">
        <v>62</v>
      </c>
      <c r="D290" s="19" t="s">
        <v>64</v>
      </c>
      <c r="E290" s="19">
        <v>1200</v>
      </c>
      <c r="F290" s="19">
        <v>900</v>
      </c>
      <c r="G290" s="19">
        <v>600</v>
      </c>
      <c r="H290" s="19" t="s">
        <v>67</v>
      </c>
      <c r="I290" s="19" t="s">
        <v>69</v>
      </c>
      <c r="J290" s="19" t="s">
        <v>71</v>
      </c>
      <c r="K290" s="19" t="s">
        <v>72</v>
      </c>
      <c r="L290" s="19" t="s">
        <v>73</v>
      </c>
      <c r="M290" s="19" t="s">
        <v>76</v>
      </c>
      <c r="N290" s="19" t="s">
        <v>78</v>
      </c>
      <c r="O290" s="19" t="s">
        <v>79</v>
      </c>
      <c r="P290" s="19" t="s">
        <v>81</v>
      </c>
    </row>
    <row r="291" spans="1:16" ht="14.25" customHeight="1" x14ac:dyDescent="0.15">
      <c r="A291" s="21"/>
      <c r="B291" s="21"/>
      <c r="C291" s="21"/>
      <c r="D291" s="21"/>
      <c r="E291" s="23" t="str">
        <f t="shared" ref="E291:G291" si="186">E284</f>
        <v>4200</v>
      </c>
      <c r="F291" s="23" t="str">
        <f t="shared" si="186"/>
        <v>4000</v>
      </c>
      <c r="G291" s="23" t="str">
        <f t="shared" si="186"/>
        <v>3800</v>
      </c>
      <c r="H291" s="21">
        <v>380</v>
      </c>
      <c r="I291" s="23" t="str">
        <f>I284</f>
        <v>4000</v>
      </c>
      <c r="J291" s="21">
        <v>375</v>
      </c>
      <c r="K291" s="21">
        <v>585</v>
      </c>
      <c r="L291" s="23" t="str">
        <f t="shared" ref="L291:L292" si="187">L284</f>
        <v>3500</v>
      </c>
      <c r="M291" s="21"/>
      <c r="N291" s="21"/>
      <c r="O291" s="21">
        <f>O284</f>
        <v>2</v>
      </c>
      <c r="P291" s="21"/>
    </row>
    <row r="292" spans="1:16" ht="14.25" customHeight="1" x14ac:dyDescent="0.15">
      <c r="A292" s="19">
        <v>1</v>
      </c>
      <c r="B292" s="19">
        <v>3.6</v>
      </c>
      <c r="C292" s="19">
        <v>1.2</v>
      </c>
      <c r="D292" s="19">
        <f>B292*C292</f>
        <v>4.32</v>
      </c>
      <c r="E292" s="19"/>
      <c r="F292" s="19"/>
      <c r="G292" s="19"/>
      <c r="H292" s="19"/>
      <c r="I292" s="19">
        <v>2</v>
      </c>
      <c r="J292" s="19">
        <f t="shared" ref="J292:K292" si="188">A292</f>
        <v>1</v>
      </c>
      <c r="K292" s="19">
        <f t="shared" si="188"/>
        <v>3.6</v>
      </c>
      <c r="L292" s="19">
        <f t="shared" si="187"/>
        <v>3</v>
      </c>
      <c r="M292" s="19"/>
      <c r="N292" s="19"/>
      <c r="O292" s="19"/>
      <c r="P292" s="19"/>
    </row>
    <row r="293" spans="1:16" ht="14.25" customHeight="1" x14ac:dyDescent="0.15">
      <c r="A293" s="19"/>
      <c r="B293" s="19"/>
      <c r="C293" s="19"/>
      <c r="D293" s="26" t="str">
        <f>D251</f>
        <v>7500</v>
      </c>
      <c r="E293" s="19">
        <v>2</v>
      </c>
      <c r="F293" s="19">
        <v>0</v>
      </c>
      <c r="G293" s="19">
        <v>0</v>
      </c>
      <c r="H293" s="19">
        <f>B292*2</f>
        <v>7.2</v>
      </c>
      <c r="I293" s="19"/>
      <c r="J293" s="19"/>
      <c r="K293" s="19"/>
      <c r="L293" s="19"/>
      <c r="M293" s="19"/>
      <c r="N293" s="19"/>
      <c r="O293" s="19"/>
      <c r="P293" s="19"/>
    </row>
    <row r="294" spans="1:16" ht="14.25" customHeight="1" x14ac:dyDescent="0.15">
      <c r="A294" s="19"/>
      <c r="B294" s="19"/>
      <c r="C294" s="19"/>
      <c r="D294" s="19">
        <f>D292*D293</f>
        <v>32400.000000000004</v>
      </c>
      <c r="E294" s="19">
        <f>E293*E291</f>
        <v>8400</v>
      </c>
      <c r="F294" s="19">
        <f t="shared" ref="F294:H294" si="189">F291*F293</f>
        <v>0</v>
      </c>
      <c r="G294" s="19">
        <f t="shared" si="189"/>
        <v>0</v>
      </c>
      <c r="H294" s="19">
        <f t="shared" si="189"/>
        <v>2736</v>
      </c>
      <c r="I294" s="19">
        <f t="shared" ref="I294:L294" si="190">I291*I292</f>
        <v>8000</v>
      </c>
      <c r="J294" s="19">
        <f t="shared" si="190"/>
        <v>375</v>
      </c>
      <c r="K294" s="19">
        <f t="shared" si="190"/>
        <v>2106</v>
      </c>
      <c r="L294" s="19">
        <f t="shared" si="190"/>
        <v>10500</v>
      </c>
      <c r="M294" s="19">
        <f>SUM(D294:L294)</f>
        <v>64517</v>
      </c>
      <c r="N294" s="19">
        <f>M294/A292</f>
        <v>64517</v>
      </c>
      <c r="O294" s="19">
        <f>N294*O291</f>
        <v>129034</v>
      </c>
      <c r="P294" s="19">
        <f>MROUND(O294,100)</f>
        <v>129000</v>
      </c>
    </row>
    <row r="295" spans="1:16" ht="14.25" customHeight="1" x14ac:dyDescent="0.1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</row>
    <row r="296" spans="1:16" ht="14.25" customHeight="1" x14ac:dyDescent="0.15">
      <c r="A296" s="109" t="str">
        <f>PRICELIST!I464</f>
        <v>MTSTK-XL-PB-4800-1200</v>
      </c>
      <c r="B296" s="87"/>
      <c r="C296" s="87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</row>
    <row r="297" spans="1:16" ht="14.25" customHeight="1" x14ac:dyDescent="0.15">
      <c r="A297" s="19" t="s">
        <v>57</v>
      </c>
      <c r="B297" s="19" t="s">
        <v>59</v>
      </c>
      <c r="C297" s="19" t="s">
        <v>62</v>
      </c>
      <c r="D297" s="19" t="s">
        <v>64</v>
      </c>
      <c r="E297" s="19">
        <v>1200</v>
      </c>
      <c r="F297" s="19">
        <v>900</v>
      </c>
      <c r="G297" s="19">
        <v>600</v>
      </c>
      <c r="H297" s="19" t="s">
        <v>67</v>
      </c>
      <c r="I297" s="19" t="s">
        <v>69</v>
      </c>
      <c r="J297" s="19" t="s">
        <v>71</v>
      </c>
      <c r="K297" s="19" t="s">
        <v>72</v>
      </c>
      <c r="L297" s="19" t="s">
        <v>73</v>
      </c>
      <c r="M297" s="19" t="s">
        <v>76</v>
      </c>
      <c r="N297" s="19" t="s">
        <v>78</v>
      </c>
      <c r="O297" s="19" t="s">
        <v>79</v>
      </c>
      <c r="P297" s="19" t="s">
        <v>81</v>
      </c>
    </row>
    <row r="298" spans="1:16" ht="14.25" customHeight="1" x14ac:dyDescent="0.15">
      <c r="A298" s="21"/>
      <c r="B298" s="21"/>
      <c r="C298" s="21"/>
      <c r="D298" s="21"/>
      <c r="E298" s="23" t="str">
        <f t="shared" ref="E298:G298" si="191">E291</f>
        <v>4200</v>
      </c>
      <c r="F298" s="23" t="str">
        <f t="shared" si="191"/>
        <v>4000</v>
      </c>
      <c r="G298" s="23" t="str">
        <f t="shared" si="191"/>
        <v>3800</v>
      </c>
      <c r="H298" s="21">
        <v>380</v>
      </c>
      <c r="I298" s="23" t="str">
        <f>I291</f>
        <v>4000</v>
      </c>
      <c r="J298" s="21">
        <v>375</v>
      </c>
      <c r="K298" s="21">
        <v>585</v>
      </c>
      <c r="L298" s="23" t="str">
        <f>L291</f>
        <v>3500</v>
      </c>
      <c r="M298" s="21"/>
      <c r="N298" s="21"/>
      <c r="O298" s="21">
        <f>O291</f>
        <v>2</v>
      </c>
      <c r="P298" s="21"/>
    </row>
    <row r="299" spans="1:16" ht="14.25" customHeight="1" x14ac:dyDescent="0.15">
      <c r="A299" s="19">
        <v>1</v>
      </c>
      <c r="B299" s="19">
        <v>4.8</v>
      </c>
      <c r="C299" s="19">
        <v>1.2</v>
      </c>
      <c r="D299" s="19">
        <f>B299*C299</f>
        <v>5.76</v>
      </c>
      <c r="E299" s="19"/>
      <c r="F299" s="19"/>
      <c r="G299" s="19"/>
      <c r="H299" s="19"/>
      <c r="I299" s="19">
        <v>2</v>
      </c>
      <c r="J299" s="19">
        <f t="shared" ref="J299:K299" si="192">A299</f>
        <v>1</v>
      </c>
      <c r="K299" s="19">
        <f t="shared" si="192"/>
        <v>4.8</v>
      </c>
      <c r="L299" s="19">
        <v>4</v>
      </c>
      <c r="M299" s="19"/>
      <c r="N299" s="19"/>
      <c r="O299" s="19"/>
      <c r="P299" s="19"/>
    </row>
    <row r="300" spans="1:16" ht="14.25" customHeight="1" x14ac:dyDescent="0.15">
      <c r="A300" s="19"/>
      <c r="B300" s="19"/>
      <c r="C300" s="19"/>
      <c r="D300" s="26" t="str">
        <f>D258</f>
        <v>2200</v>
      </c>
      <c r="E300" s="19">
        <v>3</v>
      </c>
      <c r="F300" s="19">
        <v>0</v>
      </c>
      <c r="G300" s="19">
        <v>0</v>
      </c>
      <c r="H300" s="19">
        <f>B299*2</f>
        <v>9.6</v>
      </c>
      <c r="I300" s="19"/>
      <c r="J300" s="19"/>
      <c r="K300" s="19"/>
      <c r="L300" s="19"/>
      <c r="M300" s="19"/>
      <c r="N300" s="19"/>
      <c r="O300" s="19"/>
      <c r="P300" s="19"/>
    </row>
    <row r="301" spans="1:16" ht="14.25" customHeight="1" x14ac:dyDescent="0.15">
      <c r="A301" s="19"/>
      <c r="B301" s="19"/>
      <c r="C301" s="19"/>
      <c r="D301" s="19">
        <f>D299*D300</f>
        <v>12672</v>
      </c>
      <c r="E301" s="19">
        <f>E300*E298</f>
        <v>12600</v>
      </c>
      <c r="F301" s="19">
        <f t="shared" ref="F301:H301" si="193">F298*F300</f>
        <v>0</v>
      </c>
      <c r="G301" s="19">
        <f t="shared" si="193"/>
        <v>0</v>
      </c>
      <c r="H301" s="19">
        <f t="shared" si="193"/>
        <v>3648</v>
      </c>
      <c r="I301" s="19">
        <f t="shared" ref="I301:L301" si="194">I298*I299</f>
        <v>8000</v>
      </c>
      <c r="J301" s="19">
        <f t="shared" si="194"/>
        <v>375</v>
      </c>
      <c r="K301" s="19">
        <f t="shared" si="194"/>
        <v>2808</v>
      </c>
      <c r="L301" s="19">
        <f t="shared" si="194"/>
        <v>14000</v>
      </c>
      <c r="M301" s="19">
        <f>SUM(D301:L301)</f>
        <v>54103</v>
      </c>
      <c r="N301" s="19">
        <f>M301/A299</f>
        <v>54103</v>
      </c>
      <c r="O301" s="19">
        <f>N301*O298</f>
        <v>108206</v>
      </c>
      <c r="P301" s="19">
        <f>MROUND(O301,100)</f>
        <v>108200</v>
      </c>
    </row>
    <row r="302" spans="1:16" ht="14.25" customHeight="1" x14ac:dyDescent="0.15">
      <c r="A302" s="111"/>
      <c r="B302" s="87"/>
      <c r="C302" s="87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</row>
    <row r="303" spans="1:16" ht="14.25" customHeight="1" x14ac:dyDescent="0.15">
      <c r="A303" s="109" t="str">
        <f>PRICELIST!I465</f>
        <v>MTSTK-XL-PLM-4800-1200</v>
      </c>
      <c r="B303" s="87"/>
      <c r="C303" s="87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</row>
    <row r="304" spans="1:16" ht="14.25" customHeight="1" x14ac:dyDescent="0.15">
      <c r="A304" s="19" t="s">
        <v>57</v>
      </c>
      <c r="B304" s="19" t="s">
        <v>59</v>
      </c>
      <c r="C304" s="19" t="s">
        <v>62</v>
      </c>
      <c r="D304" s="19" t="s">
        <v>64</v>
      </c>
      <c r="E304" s="19">
        <v>1200</v>
      </c>
      <c r="F304" s="19">
        <v>900</v>
      </c>
      <c r="G304" s="19">
        <v>600</v>
      </c>
      <c r="H304" s="19" t="s">
        <v>67</v>
      </c>
      <c r="I304" s="19" t="s">
        <v>69</v>
      </c>
      <c r="J304" s="19" t="s">
        <v>71</v>
      </c>
      <c r="K304" s="19" t="s">
        <v>72</v>
      </c>
      <c r="L304" s="19" t="s">
        <v>73</v>
      </c>
      <c r="M304" s="19" t="s">
        <v>76</v>
      </c>
      <c r="N304" s="19" t="s">
        <v>78</v>
      </c>
      <c r="O304" s="19" t="s">
        <v>79</v>
      </c>
      <c r="P304" s="19" t="s">
        <v>81</v>
      </c>
    </row>
    <row r="305" spans="1:16" ht="14.25" customHeight="1" x14ac:dyDescent="0.15">
      <c r="A305" s="21"/>
      <c r="B305" s="21"/>
      <c r="C305" s="21"/>
      <c r="D305" s="21"/>
      <c r="E305" s="23" t="str">
        <f t="shared" ref="E305:G305" si="195">E298</f>
        <v>4200</v>
      </c>
      <c r="F305" s="23" t="str">
        <f t="shared" si="195"/>
        <v>4000</v>
      </c>
      <c r="G305" s="23" t="str">
        <f t="shared" si="195"/>
        <v>3800</v>
      </c>
      <c r="H305" s="21">
        <v>380</v>
      </c>
      <c r="I305" s="23" t="str">
        <f>I298</f>
        <v>4000</v>
      </c>
      <c r="J305" s="21">
        <v>375</v>
      </c>
      <c r="K305" s="21">
        <v>585</v>
      </c>
      <c r="L305" s="23" t="str">
        <f t="shared" ref="L305:L306" si="196">L298</f>
        <v>3500</v>
      </c>
      <c r="M305" s="21"/>
      <c r="N305" s="21"/>
      <c r="O305" s="21">
        <f>O298</f>
        <v>2</v>
      </c>
      <c r="P305" s="21"/>
    </row>
    <row r="306" spans="1:16" ht="14.25" customHeight="1" x14ac:dyDescent="0.15">
      <c r="A306" s="19">
        <v>1</v>
      </c>
      <c r="B306" s="19">
        <v>4.8</v>
      </c>
      <c r="C306" s="19">
        <v>1.2</v>
      </c>
      <c r="D306" s="19">
        <f>B306*C306</f>
        <v>5.76</v>
      </c>
      <c r="E306" s="19"/>
      <c r="F306" s="19"/>
      <c r="G306" s="19"/>
      <c r="H306" s="19"/>
      <c r="I306" s="19">
        <v>2</v>
      </c>
      <c r="J306" s="19">
        <f t="shared" ref="J306:K306" si="197">A306</f>
        <v>1</v>
      </c>
      <c r="K306" s="19">
        <f t="shared" si="197"/>
        <v>4.8</v>
      </c>
      <c r="L306" s="19">
        <f t="shared" si="196"/>
        <v>4</v>
      </c>
      <c r="M306" s="19"/>
      <c r="N306" s="19"/>
      <c r="O306" s="19"/>
      <c r="P306" s="19"/>
    </row>
    <row r="307" spans="1:16" ht="14.25" customHeight="1" x14ac:dyDescent="0.15">
      <c r="A307" s="19"/>
      <c r="B307" s="19"/>
      <c r="C307" s="19"/>
      <c r="D307" s="26" t="str">
        <f>D265</f>
        <v>3000</v>
      </c>
      <c r="E307" s="19">
        <v>3</v>
      </c>
      <c r="F307" s="19">
        <v>0</v>
      </c>
      <c r="G307" s="19">
        <v>0</v>
      </c>
      <c r="H307" s="19">
        <f>B306*2</f>
        <v>9.6</v>
      </c>
      <c r="I307" s="19"/>
      <c r="J307" s="19"/>
      <c r="K307" s="19"/>
      <c r="L307" s="19"/>
      <c r="M307" s="19"/>
      <c r="N307" s="19"/>
      <c r="O307" s="19"/>
      <c r="P307" s="19"/>
    </row>
    <row r="308" spans="1:16" ht="14.25" customHeight="1" x14ac:dyDescent="0.15">
      <c r="A308" s="19"/>
      <c r="B308" s="19"/>
      <c r="C308" s="19"/>
      <c r="D308" s="19">
        <f>D306*D307</f>
        <v>17280</v>
      </c>
      <c r="E308" s="19">
        <f>E307*E305</f>
        <v>12600</v>
      </c>
      <c r="F308" s="19">
        <f t="shared" ref="F308:H308" si="198">F305*F307</f>
        <v>0</v>
      </c>
      <c r="G308" s="19">
        <f t="shared" si="198"/>
        <v>0</v>
      </c>
      <c r="H308" s="19">
        <f t="shared" si="198"/>
        <v>3648</v>
      </c>
      <c r="I308" s="19">
        <f t="shared" ref="I308:L308" si="199">I305*I306</f>
        <v>8000</v>
      </c>
      <c r="J308" s="19">
        <f t="shared" si="199"/>
        <v>375</v>
      </c>
      <c r="K308" s="19">
        <f t="shared" si="199"/>
        <v>2808</v>
      </c>
      <c r="L308" s="19">
        <f t="shared" si="199"/>
        <v>14000</v>
      </c>
      <c r="M308" s="19">
        <f>SUM(D308:L308)</f>
        <v>58711</v>
      </c>
      <c r="N308" s="19">
        <f>M308/A306</f>
        <v>58711</v>
      </c>
      <c r="O308" s="19">
        <f>N308*O305</f>
        <v>117422</v>
      </c>
      <c r="P308" s="19">
        <f>MROUND(O308,100)</f>
        <v>117400</v>
      </c>
    </row>
    <row r="309" spans="1:16" ht="14.25" customHeight="1" x14ac:dyDescent="0.1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</row>
    <row r="310" spans="1:16" ht="14.25" customHeight="1" x14ac:dyDescent="0.15">
      <c r="A310" s="109" t="str">
        <f>PRICELIST!I466</f>
        <v>MTSTK-XL-PoLM-4800-1200</v>
      </c>
      <c r="B310" s="87"/>
      <c r="C310" s="87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</row>
    <row r="311" spans="1:16" ht="14.25" customHeight="1" x14ac:dyDescent="0.15">
      <c r="A311" s="19" t="s">
        <v>57</v>
      </c>
      <c r="B311" s="19" t="s">
        <v>59</v>
      </c>
      <c r="C311" s="19" t="s">
        <v>62</v>
      </c>
      <c r="D311" s="19" t="s">
        <v>64</v>
      </c>
      <c r="E311" s="19">
        <v>1200</v>
      </c>
      <c r="F311" s="19">
        <v>900</v>
      </c>
      <c r="G311" s="19">
        <v>600</v>
      </c>
      <c r="H311" s="19" t="s">
        <v>67</v>
      </c>
      <c r="I311" s="19" t="s">
        <v>69</v>
      </c>
      <c r="J311" s="19" t="s">
        <v>71</v>
      </c>
      <c r="K311" s="19" t="s">
        <v>72</v>
      </c>
      <c r="L311" s="19" t="s">
        <v>73</v>
      </c>
      <c r="M311" s="19" t="s">
        <v>76</v>
      </c>
      <c r="N311" s="19" t="s">
        <v>78</v>
      </c>
      <c r="O311" s="19" t="s">
        <v>79</v>
      </c>
      <c r="P311" s="19" t="s">
        <v>81</v>
      </c>
    </row>
    <row r="312" spans="1:16" ht="14.25" customHeight="1" x14ac:dyDescent="0.15">
      <c r="A312" s="21"/>
      <c r="B312" s="21"/>
      <c r="C312" s="21"/>
      <c r="D312" s="21"/>
      <c r="E312" s="23" t="str">
        <f t="shared" ref="E312:G312" si="200">E305</f>
        <v>4200</v>
      </c>
      <c r="F312" s="23" t="str">
        <f t="shared" si="200"/>
        <v>4000</v>
      </c>
      <c r="G312" s="23" t="str">
        <f t="shared" si="200"/>
        <v>3800</v>
      </c>
      <c r="H312" s="21">
        <v>380</v>
      </c>
      <c r="I312" s="23" t="str">
        <f>I305</f>
        <v>4000</v>
      </c>
      <c r="J312" s="21">
        <v>375</v>
      </c>
      <c r="K312" s="21">
        <v>585</v>
      </c>
      <c r="L312" s="23" t="str">
        <f t="shared" ref="L312:L313" si="201">L305</f>
        <v>3500</v>
      </c>
      <c r="M312" s="21"/>
      <c r="N312" s="21"/>
      <c r="O312" s="21">
        <f>O305</f>
        <v>2</v>
      </c>
      <c r="P312" s="21"/>
    </row>
    <row r="313" spans="1:16" ht="14.25" customHeight="1" x14ac:dyDescent="0.15">
      <c r="A313" s="19">
        <v>1</v>
      </c>
      <c r="B313" s="19">
        <v>4.8</v>
      </c>
      <c r="C313" s="19">
        <v>1.2</v>
      </c>
      <c r="D313" s="19">
        <f>B313*C313</f>
        <v>5.76</v>
      </c>
      <c r="E313" s="19"/>
      <c r="F313" s="19"/>
      <c r="G313" s="19"/>
      <c r="H313" s="19"/>
      <c r="I313" s="19">
        <v>2</v>
      </c>
      <c r="J313" s="19">
        <f t="shared" ref="J313:K313" si="202">A313</f>
        <v>1</v>
      </c>
      <c r="K313" s="19">
        <f t="shared" si="202"/>
        <v>4.8</v>
      </c>
      <c r="L313" s="19">
        <f t="shared" si="201"/>
        <v>4</v>
      </c>
      <c r="M313" s="19"/>
      <c r="N313" s="19"/>
      <c r="O313" s="19"/>
      <c r="P313" s="19"/>
    </row>
    <row r="314" spans="1:16" ht="14.25" customHeight="1" x14ac:dyDescent="0.15">
      <c r="A314" s="19"/>
      <c r="B314" s="19"/>
      <c r="C314" s="19"/>
      <c r="D314" s="26" t="str">
        <f>D272</f>
        <v>7500</v>
      </c>
      <c r="E314" s="19">
        <v>3</v>
      </c>
      <c r="F314" s="19">
        <v>0</v>
      </c>
      <c r="G314" s="19">
        <v>0</v>
      </c>
      <c r="H314" s="19">
        <f>B313*2</f>
        <v>9.6</v>
      </c>
      <c r="I314" s="19"/>
      <c r="J314" s="19"/>
      <c r="K314" s="19"/>
      <c r="L314" s="19"/>
      <c r="M314" s="19"/>
      <c r="N314" s="19"/>
      <c r="O314" s="19"/>
      <c r="P314" s="19"/>
    </row>
    <row r="315" spans="1:16" ht="14.25" customHeight="1" x14ac:dyDescent="0.15">
      <c r="A315" s="19"/>
      <c r="B315" s="19"/>
      <c r="C315" s="19"/>
      <c r="D315" s="19">
        <f>D313*D314</f>
        <v>43200</v>
      </c>
      <c r="E315" s="19">
        <f>E314*E312</f>
        <v>12600</v>
      </c>
      <c r="F315" s="19">
        <f t="shared" ref="F315:H315" si="203">F312*F314</f>
        <v>0</v>
      </c>
      <c r="G315" s="19">
        <f t="shared" si="203"/>
        <v>0</v>
      </c>
      <c r="H315" s="19">
        <f t="shared" si="203"/>
        <v>3648</v>
      </c>
      <c r="I315" s="19">
        <f t="shared" ref="I315:L315" si="204">I312*I313</f>
        <v>8000</v>
      </c>
      <c r="J315" s="19">
        <f t="shared" si="204"/>
        <v>375</v>
      </c>
      <c r="K315" s="19">
        <f t="shared" si="204"/>
        <v>2808</v>
      </c>
      <c r="L315" s="19">
        <f t="shared" si="204"/>
        <v>14000</v>
      </c>
      <c r="M315" s="19">
        <f>SUM(D315:L315)</f>
        <v>84631</v>
      </c>
      <c r="N315" s="19">
        <f>M315/A313</f>
        <v>84631</v>
      </c>
      <c r="O315" s="19">
        <f>N315*O312</f>
        <v>169262</v>
      </c>
      <c r="P315" s="19">
        <f>MROUND(O315,100)</f>
        <v>169300</v>
      </c>
    </row>
    <row r="316" spans="1:16" ht="14.25" customHeight="1" x14ac:dyDescent="0.15">
      <c r="A316" s="111"/>
      <c r="B316" s="87"/>
      <c r="C316" s="87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</row>
    <row r="317" spans="1:16" ht="14.25" customHeight="1" x14ac:dyDescent="0.15">
      <c r="A317" s="109" t="str">
        <f>PRICELIST!I467</f>
        <v>MTSTK-XL-LVM-4800-1200</v>
      </c>
      <c r="B317" s="87"/>
      <c r="C317" s="87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</row>
    <row r="318" spans="1:16" ht="14.25" customHeight="1" x14ac:dyDescent="0.15">
      <c r="A318" s="19" t="s">
        <v>57</v>
      </c>
      <c r="B318" s="19" t="s">
        <v>59</v>
      </c>
      <c r="C318" s="19" t="s">
        <v>62</v>
      </c>
      <c r="D318" s="19" t="s">
        <v>64</v>
      </c>
      <c r="E318" s="19">
        <v>1200</v>
      </c>
      <c r="F318" s="19">
        <v>900</v>
      </c>
      <c r="G318" s="19">
        <v>600</v>
      </c>
      <c r="H318" s="19" t="s">
        <v>67</v>
      </c>
      <c r="I318" s="19" t="s">
        <v>69</v>
      </c>
      <c r="J318" s="19" t="s">
        <v>71</v>
      </c>
      <c r="K318" s="19" t="s">
        <v>72</v>
      </c>
      <c r="L318" s="19" t="s">
        <v>73</v>
      </c>
      <c r="M318" s="19" t="s">
        <v>76</v>
      </c>
      <c r="N318" s="19" t="s">
        <v>78</v>
      </c>
      <c r="O318" s="19" t="s">
        <v>79</v>
      </c>
      <c r="P318" s="19" t="s">
        <v>81</v>
      </c>
    </row>
    <row r="319" spans="1:16" ht="14.25" customHeight="1" x14ac:dyDescent="0.15">
      <c r="A319" s="21"/>
      <c r="B319" s="21"/>
      <c r="C319" s="21"/>
      <c r="D319" s="21"/>
      <c r="E319" s="23" t="str">
        <f t="shared" ref="E319:G319" si="205">E312</f>
        <v>4200</v>
      </c>
      <c r="F319" s="23" t="str">
        <f t="shared" si="205"/>
        <v>4000</v>
      </c>
      <c r="G319" s="23" t="str">
        <f t="shared" si="205"/>
        <v>3800</v>
      </c>
      <c r="H319" s="21">
        <v>380</v>
      </c>
      <c r="I319" s="23" t="str">
        <f>I312</f>
        <v>4000</v>
      </c>
      <c r="J319" s="21">
        <v>375</v>
      </c>
      <c r="K319" s="21">
        <v>585</v>
      </c>
      <c r="L319" s="23" t="str">
        <f t="shared" ref="L319:L320" si="206">L312</f>
        <v>3500</v>
      </c>
      <c r="M319" s="21"/>
      <c r="N319" s="21"/>
      <c r="O319" s="21">
        <f>O312</f>
        <v>2</v>
      </c>
      <c r="P319" s="21"/>
    </row>
    <row r="320" spans="1:16" ht="14.25" customHeight="1" x14ac:dyDescent="0.15">
      <c r="A320" s="19">
        <v>1</v>
      </c>
      <c r="B320" s="19">
        <v>4.8</v>
      </c>
      <c r="C320" s="19">
        <v>1.2</v>
      </c>
      <c r="D320" s="19">
        <f>B320*C320</f>
        <v>5.76</v>
      </c>
      <c r="E320" s="19"/>
      <c r="F320" s="19"/>
      <c r="G320" s="19"/>
      <c r="H320" s="19"/>
      <c r="I320" s="19">
        <v>2</v>
      </c>
      <c r="J320" s="19">
        <f t="shared" ref="J320:K320" si="207">A320</f>
        <v>1</v>
      </c>
      <c r="K320" s="19">
        <f t="shared" si="207"/>
        <v>4.8</v>
      </c>
      <c r="L320" s="19">
        <f t="shared" si="206"/>
        <v>4</v>
      </c>
      <c r="M320" s="19"/>
      <c r="N320" s="19"/>
      <c r="O320" s="19"/>
      <c r="P320" s="19"/>
    </row>
    <row r="321" spans="1:16" ht="14.25" customHeight="1" x14ac:dyDescent="0.15">
      <c r="A321" s="19"/>
      <c r="B321" s="19"/>
      <c r="C321" s="19"/>
      <c r="D321" s="26" t="str">
        <f>D279</f>
        <v>9500</v>
      </c>
      <c r="E321" s="19">
        <v>3</v>
      </c>
      <c r="F321" s="19">
        <v>0</v>
      </c>
      <c r="G321" s="19">
        <v>0</v>
      </c>
      <c r="H321" s="19">
        <f>B320*2</f>
        <v>9.6</v>
      </c>
      <c r="I321" s="19"/>
      <c r="J321" s="19"/>
      <c r="K321" s="19"/>
      <c r="L321" s="19"/>
      <c r="M321" s="19"/>
      <c r="N321" s="19"/>
      <c r="O321" s="19"/>
      <c r="P321" s="19"/>
    </row>
    <row r="322" spans="1:16" ht="14.25" customHeight="1" x14ac:dyDescent="0.15">
      <c r="A322" s="19"/>
      <c r="B322" s="19"/>
      <c r="C322" s="19"/>
      <c r="D322" s="19">
        <f>D320*D321</f>
        <v>54720</v>
      </c>
      <c r="E322" s="19">
        <f>E321*E319</f>
        <v>12600</v>
      </c>
      <c r="F322" s="19">
        <f t="shared" ref="F322:H322" si="208">F319*F321</f>
        <v>0</v>
      </c>
      <c r="G322" s="19">
        <f t="shared" si="208"/>
        <v>0</v>
      </c>
      <c r="H322" s="19">
        <f t="shared" si="208"/>
        <v>3648</v>
      </c>
      <c r="I322" s="19">
        <f t="shared" ref="I322:L322" si="209">I319*I320</f>
        <v>8000</v>
      </c>
      <c r="J322" s="19">
        <f t="shared" si="209"/>
        <v>375</v>
      </c>
      <c r="K322" s="19">
        <f t="shared" si="209"/>
        <v>2808</v>
      </c>
      <c r="L322" s="19">
        <f t="shared" si="209"/>
        <v>14000</v>
      </c>
      <c r="M322" s="19">
        <f>SUM(D322:L322)</f>
        <v>96151</v>
      </c>
      <c r="N322" s="19">
        <f>M322/A320</f>
        <v>96151</v>
      </c>
      <c r="O322" s="19">
        <f>N322*O319</f>
        <v>192302</v>
      </c>
      <c r="P322" s="19">
        <f>MROUND(O322,100)</f>
        <v>192300</v>
      </c>
    </row>
    <row r="323" spans="1:16" ht="14.25" customHeight="1" x14ac:dyDescent="0.1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</row>
    <row r="324" spans="1:16" ht="14.25" customHeight="1" x14ac:dyDescent="0.15">
      <c r="A324" s="109" t="str">
        <f>PRICELIST!I468</f>
        <v>MTSTK-XL-LVP-4800-1200</v>
      </c>
      <c r="B324" s="87"/>
      <c r="C324" s="87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</row>
    <row r="325" spans="1:16" ht="14.25" customHeight="1" x14ac:dyDescent="0.15">
      <c r="A325" s="19" t="s">
        <v>57</v>
      </c>
      <c r="B325" s="19" t="s">
        <v>59</v>
      </c>
      <c r="C325" s="19" t="s">
        <v>62</v>
      </c>
      <c r="D325" s="19" t="s">
        <v>64</v>
      </c>
      <c r="E325" s="19">
        <v>1200</v>
      </c>
      <c r="F325" s="19">
        <v>900</v>
      </c>
      <c r="G325" s="19">
        <v>600</v>
      </c>
      <c r="H325" s="19" t="s">
        <v>67</v>
      </c>
      <c r="I325" s="19" t="s">
        <v>69</v>
      </c>
      <c r="J325" s="19" t="s">
        <v>71</v>
      </c>
      <c r="K325" s="19" t="s">
        <v>72</v>
      </c>
      <c r="L325" s="19" t="s">
        <v>73</v>
      </c>
      <c r="M325" s="19" t="s">
        <v>76</v>
      </c>
      <c r="N325" s="19" t="s">
        <v>78</v>
      </c>
      <c r="O325" s="19" t="s">
        <v>79</v>
      </c>
      <c r="P325" s="19" t="s">
        <v>81</v>
      </c>
    </row>
    <row r="326" spans="1:16" ht="14.25" customHeight="1" x14ac:dyDescent="0.15">
      <c r="A326" s="21"/>
      <c r="B326" s="21"/>
      <c r="C326" s="21"/>
      <c r="D326" s="21"/>
      <c r="E326" s="23" t="str">
        <f t="shared" ref="E326:G326" si="210">E319</f>
        <v>4200</v>
      </c>
      <c r="F326" s="23" t="str">
        <f t="shared" si="210"/>
        <v>4000</v>
      </c>
      <c r="G326" s="23" t="str">
        <f t="shared" si="210"/>
        <v>3800</v>
      </c>
      <c r="H326" s="21">
        <v>380</v>
      </c>
      <c r="I326" s="23" t="str">
        <f>I319</f>
        <v>4000</v>
      </c>
      <c r="J326" s="21">
        <v>375</v>
      </c>
      <c r="K326" s="21">
        <v>585</v>
      </c>
      <c r="L326" s="23" t="str">
        <f t="shared" ref="L326:L327" si="211">L319</f>
        <v>3500</v>
      </c>
      <c r="M326" s="21"/>
      <c r="N326" s="21"/>
      <c r="O326" s="21">
        <f>O319</f>
        <v>2</v>
      </c>
      <c r="P326" s="21"/>
    </row>
    <row r="327" spans="1:16" ht="14.25" customHeight="1" x14ac:dyDescent="0.15">
      <c r="A327" s="19">
        <v>1</v>
      </c>
      <c r="B327" s="19">
        <v>4.8</v>
      </c>
      <c r="C327" s="19">
        <v>1.2</v>
      </c>
      <c r="D327" s="19">
        <f>B327*C327</f>
        <v>5.76</v>
      </c>
      <c r="E327" s="19"/>
      <c r="F327" s="19"/>
      <c r="G327" s="19"/>
      <c r="H327" s="19"/>
      <c r="I327" s="19">
        <v>2</v>
      </c>
      <c r="J327" s="19">
        <f t="shared" ref="J327:K327" si="212">A327</f>
        <v>1</v>
      </c>
      <c r="K327" s="19">
        <f t="shared" si="212"/>
        <v>4.8</v>
      </c>
      <c r="L327" s="19">
        <f t="shared" si="211"/>
        <v>4</v>
      </c>
      <c r="M327" s="19"/>
      <c r="N327" s="19"/>
      <c r="O327" s="19"/>
      <c r="P327" s="19"/>
    </row>
    <row r="328" spans="1:16" ht="14.25" customHeight="1" x14ac:dyDescent="0.15">
      <c r="A328" s="19"/>
      <c r="B328" s="19"/>
      <c r="C328" s="19"/>
      <c r="D328" s="26" t="str">
        <f>D286</f>
        <v>10500</v>
      </c>
      <c r="E328" s="19">
        <v>3</v>
      </c>
      <c r="F328" s="19">
        <v>0</v>
      </c>
      <c r="G328" s="19">
        <v>0</v>
      </c>
      <c r="H328" s="19">
        <f>B327*2</f>
        <v>9.6</v>
      </c>
      <c r="I328" s="19"/>
      <c r="J328" s="19"/>
      <c r="K328" s="19"/>
      <c r="L328" s="19"/>
      <c r="M328" s="19"/>
      <c r="N328" s="19"/>
      <c r="O328" s="19"/>
      <c r="P328" s="19"/>
    </row>
    <row r="329" spans="1:16" ht="14.25" customHeight="1" x14ac:dyDescent="0.15">
      <c r="A329" s="19"/>
      <c r="B329" s="19"/>
      <c r="C329" s="19"/>
      <c r="D329" s="19">
        <f>D327*D328</f>
        <v>60480</v>
      </c>
      <c r="E329" s="19">
        <f>E328*E326</f>
        <v>12600</v>
      </c>
      <c r="F329" s="19">
        <f t="shared" ref="F329:H329" si="213">F326*F328</f>
        <v>0</v>
      </c>
      <c r="G329" s="19">
        <f t="shared" si="213"/>
        <v>0</v>
      </c>
      <c r="H329" s="19">
        <f t="shared" si="213"/>
        <v>3648</v>
      </c>
      <c r="I329" s="19">
        <f t="shared" ref="I329:L329" si="214">I326*I327</f>
        <v>8000</v>
      </c>
      <c r="J329" s="19">
        <f t="shared" si="214"/>
        <v>375</v>
      </c>
      <c r="K329" s="19">
        <f t="shared" si="214"/>
        <v>2808</v>
      </c>
      <c r="L329" s="19">
        <f t="shared" si="214"/>
        <v>14000</v>
      </c>
      <c r="M329" s="19">
        <f>SUM(D329:L329)</f>
        <v>101911</v>
      </c>
      <c r="N329" s="19">
        <f>M329/A327</f>
        <v>101911</v>
      </c>
      <c r="O329" s="19">
        <f>N329*O326</f>
        <v>203822</v>
      </c>
      <c r="P329" s="19">
        <f>MROUND(O329,100)</f>
        <v>203800</v>
      </c>
    </row>
    <row r="330" spans="1:16" ht="14.25" customHeight="1" x14ac:dyDescent="0.1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</row>
    <row r="331" spans="1:16" ht="14.25" customHeight="1" x14ac:dyDescent="0.15">
      <c r="A331" s="109" t="str">
        <f>PRICELIST!I469</f>
        <v>MTSTK-XL-GL-4800-1200</v>
      </c>
      <c r="B331" s="87"/>
      <c r="C331" s="87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</row>
    <row r="332" spans="1:16" ht="14.25" customHeight="1" x14ac:dyDescent="0.15">
      <c r="A332" s="19" t="s">
        <v>57</v>
      </c>
      <c r="B332" s="19" t="s">
        <v>59</v>
      </c>
      <c r="C332" s="19" t="s">
        <v>62</v>
      </c>
      <c r="D332" s="19" t="s">
        <v>64</v>
      </c>
      <c r="E332" s="19">
        <v>1200</v>
      </c>
      <c r="F332" s="19">
        <v>900</v>
      </c>
      <c r="G332" s="19">
        <v>600</v>
      </c>
      <c r="H332" s="19" t="s">
        <v>67</v>
      </c>
      <c r="I332" s="19" t="s">
        <v>69</v>
      </c>
      <c r="J332" s="19" t="s">
        <v>71</v>
      </c>
      <c r="K332" s="19" t="s">
        <v>72</v>
      </c>
      <c r="L332" s="19" t="s">
        <v>73</v>
      </c>
      <c r="M332" s="19" t="s">
        <v>76</v>
      </c>
      <c r="N332" s="19" t="s">
        <v>78</v>
      </c>
      <c r="O332" s="19" t="s">
        <v>79</v>
      </c>
      <c r="P332" s="19" t="s">
        <v>81</v>
      </c>
    </row>
    <row r="333" spans="1:16" ht="14.25" customHeight="1" x14ac:dyDescent="0.15">
      <c r="A333" s="21"/>
      <c r="B333" s="21"/>
      <c r="C333" s="21"/>
      <c r="D333" s="21"/>
      <c r="E333" s="23" t="str">
        <f t="shared" ref="E333:G333" si="215">E326</f>
        <v>4200</v>
      </c>
      <c r="F333" s="23" t="str">
        <f t="shared" si="215"/>
        <v>4000</v>
      </c>
      <c r="G333" s="23" t="str">
        <f t="shared" si="215"/>
        <v>3800</v>
      </c>
      <c r="H333" s="21">
        <v>380</v>
      </c>
      <c r="I333" s="23" t="str">
        <f>I326</f>
        <v>4000</v>
      </c>
      <c r="J333" s="21">
        <v>375</v>
      </c>
      <c r="K333" s="21">
        <v>585</v>
      </c>
      <c r="L333" s="23" t="str">
        <f t="shared" ref="L333:L334" si="216">L326</f>
        <v>3500</v>
      </c>
      <c r="M333" s="21"/>
      <c r="N333" s="21"/>
      <c r="O333" s="21">
        <f>O326</f>
        <v>2</v>
      </c>
      <c r="P333" s="21"/>
    </row>
    <row r="334" spans="1:16" ht="14.25" customHeight="1" x14ac:dyDescent="0.15">
      <c r="A334" s="19">
        <v>1</v>
      </c>
      <c r="B334" s="19">
        <v>4.8</v>
      </c>
      <c r="C334" s="19">
        <v>1.2</v>
      </c>
      <c r="D334" s="19">
        <f>B334*C334</f>
        <v>5.76</v>
      </c>
      <c r="E334" s="19"/>
      <c r="F334" s="19"/>
      <c r="G334" s="19"/>
      <c r="H334" s="19"/>
      <c r="I334" s="19">
        <v>2</v>
      </c>
      <c r="J334" s="19">
        <f t="shared" ref="J334:K334" si="217">A334</f>
        <v>1</v>
      </c>
      <c r="K334" s="19">
        <f t="shared" si="217"/>
        <v>4.8</v>
      </c>
      <c r="L334" s="19">
        <f t="shared" si="216"/>
        <v>4</v>
      </c>
      <c r="M334" s="19"/>
      <c r="N334" s="19"/>
      <c r="O334" s="19"/>
      <c r="P334" s="19"/>
    </row>
    <row r="335" spans="1:16" ht="14.25" customHeight="1" x14ac:dyDescent="0.15">
      <c r="A335" s="19"/>
      <c r="B335" s="19"/>
      <c r="C335" s="19"/>
      <c r="D335" s="26" t="str">
        <f>D293</f>
        <v>7500</v>
      </c>
      <c r="E335" s="19">
        <v>3</v>
      </c>
      <c r="F335" s="19">
        <v>0</v>
      </c>
      <c r="G335" s="19">
        <v>0</v>
      </c>
      <c r="H335" s="19">
        <f>B334*2</f>
        <v>9.6</v>
      </c>
      <c r="I335" s="19"/>
      <c r="J335" s="19"/>
      <c r="K335" s="19"/>
      <c r="L335" s="19"/>
      <c r="M335" s="19"/>
      <c r="N335" s="19"/>
      <c r="O335" s="19"/>
      <c r="P335" s="19"/>
    </row>
    <row r="336" spans="1:16" ht="14.25" customHeight="1" x14ac:dyDescent="0.15">
      <c r="A336" s="19"/>
      <c r="B336" s="19"/>
      <c r="C336" s="19"/>
      <c r="D336" s="19">
        <f>D334*D335</f>
        <v>43200</v>
      </c>
      <c r="E336" s="19">
        <f>E335*E333</f>
        <v>12600</v>
      </c>
      <c r="F336" s="19">
        <f t="shared" ref="F336:H336" si="218">F333*F335</f>
        <v>0</v>
      </c>
      <c r="G336" s="19">
        <f t="shared" si="218"/>
        <v>0</v>
      </c>
      <c r="H336" s="19">
        <f t="shared" si="218"/>
        <v>3648</v>
      </c>
      <c r="I336" s="19">
        <f t="shared" ref="I336:L336" si="219">I333*I334</f>
        <v>8000</v>
      </c>
      <c r="J336" s="19">
        <f t="shared" si="219"/>
        <v>375</v>
      </c>
      <c r="K336" s="19">
        <f t="shared" si="219"/>
        <v>2808</v>
      </c>
      <c r="L336" s="19">
        <f t="shared" si="219"/>
        <v>14000</v>
      </c>
      <c r="M336" s="19">
        <f>SUM(D336:L336)</f>
        <v>84631</v>
      </c>
      <c r="N336" s="19">
        <f>M336/A334</f>
        <v>84631</v>
      </c>
      <c r="O336" s="19">
        <f>N336*O333</f>
        <v>169262</v>
      </c>
      <c r="P336" s="19">
        <f>MROUND(O336,100)</f>
        <v>169300</v>
      </c>
    </row>
    <row r="337" spans="1:16" ht="28.5" customHeight="1" x14ac:dyDescent="0.15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</row>
  </sheetData>
  <mergeCells count="66">
    <mergeCell ref="A205:C205"/>
    <mergeCell ref="A212:C212"/>
    <mergeCell ref="A282:C282"/>
    <mergeCell ref="A289:C289"/>
    <mergeCell ref="A177:C177"/>
    <mergeCell ref="A184:C184"/>
    <mergeCell ref="A190:C190"/>
    <mergeCell ref="A191:C191"/>
    <mergeCell ref="A198:C198"/>
    <mergeCell ref="A149:C149"/>
    <mergeCell ref="A156:C156"/>
    <mergeCell ref="A163:C163"/>
    <mergeCell ref="A169:P169"/>
    <mergeCell ref="A170:C170"/>
    <mergeCell ref="A128:C128"/>
    <mergeCell ref="A134:C134"/>
    <mergeCell ref="A135:C135"/>
    <mergeCell ref="A142:C142"/>
    <mergeCell ref="A148:C148"/>
    <mergeCell ref="A100:C100"/>
    <mergeCell ref="A106:C106"/>
    <mergeCell ref="A107:C107"/>
    <mergeCell ref="A114:C114"/>
    <mergeCell ref="A121:C121"/>
    <mergeCell ref="A79:C79"/>
    <mergeCell ref="A85:C85"/>
    <mergeCell ref="A86:C86"/>
    <mergeCell ref="A92:C92"/>
    <mergeCell ref="A93:C93"/>
    <mergeCell ref="A51:C51"/>
    <mergeCell ref="A58:C58"/>
    <mergeCell ref="A64:C64"/>
    <mergeCell ref="A65:C65"/>
    <mergeCell ref="A72:C72"/>
    <mergeCell ref="A23:C23"/>
    <mergeCell ref="A30:C30"/>
    <mergeCell ref="A37:C37"/>
    <mergeCell ref="A44:C44"/>
    <mergeCell ref="A50:C50"/>
    <mergeCell ref="A1:P1"/>
    <mergeCell ref="A2:C2"/>
    <mergeCell ref="A9:C9"/>
    <mergeCell ref="A16:C16"/>
    <mergeCell ref="A22:C22"/>
    <mergeCell ref="A310:C310"/>
    <mergeCell ref="A316:C316"/>
    <mergeCell ref="A317:C317"/>
    <mergeCell ref="A324:C324"/>
    <mergeCell ref="A331:C331"/>
    <mergeCell ref="A240:C240"/>
    <mergeCell ref="A247:C247"/>
    <mergeCell ref="A296:C296"/>
    <mergeCell ref="A302:C302"/>
    <mergeCell ref="A303:C303"/>
    <mergeCell ref="A253:C253"/>
    <mergeCell ref="A254:C254"/>
    <mergeCell ref="A260:C260"/>
    <mergeCell ref="A261:C261"/>
    <mergeCell ref="A268:C268"/>
    <mergeCell ref="A274:C274"/>
    <mergeCell ref="A275:C275"/>
    <mergeCell ref="A218:C218"/>
    <mergeCell ref="A219:C219"/>
    <mergeCell ref="A226:C226"/>
    <mergeCell ref="A232:C232"/>
    <mergeCell ref="A233:C23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04"/>
  <sheetViews>
    <sheetView workbookViewId="0"/>
  </sheetViews>
  <sheetFormatPr baseColWidth="10" defaultColWidth="12.6640625" defaultRowHeight="15.75" customHeight="1" x14ac:dyDescent="0.15"/>
  <cols>
    <col min="1" max="2" width="17" customWidth="1"/>
    <col min="3" max="3" width="22.83203125" customWidth="1"/>
    <col min="4" max="4" width="17" customWidth="1"/>
    <col min="5" max="5" width="19.6640625" customWidth="1"/>
    <col min="6" max="14" width="17" customWidth="1"/>
  </cols>
  <sheetData>
    <row r="1" spans="1:14" ht="30" customHeight="1" x14ac:dyDescent="0.15">
      <c r="A1" s="112" t="s">
        <v>209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</row>
    <row r="2" spans="1:14" ht="14.25" customHeight="1" x14ac:dyDescent="0.15">
      <c r="A2" s="109" t="str">
        <f>PRICELIST!I470</f>
        <v>MTLP-MD-PB-2400-1200</v>
      </c>
      <c r="B2" s="87"/>
      <c r="C2" s="87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4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 t="s">
        <v>210</v>
      </c>
      <c r="F3" s="19" t="s">
        <v>67</v>
      </c>
      <c r="G3" s="19" t="s">
        <v>69</v>
      </c>
      <c r="H3" s="19" t="s">
        <v>71</v>
      </c>
      <c r="I3" s="19" t="s">
        <v>72</v>
      </c>
      <c r="J3" s="19" t="s">
        <v>73</v>
      </c>
      <c r="K3" s="19" t="s">
        <v>76</v>
      </c>
      <c r="L3" s="19" t="s">
        <v>78</v>
      </c>
      <c r="M3" s="19" t="s">
        <v>79</v>
      </c>
      <c r="N3" s="19" t="s">
        <v>81</v>
      </c>
    </row>
    <row r="4" spans="1:14" ht="14.25" customHeight="1" x14ac:dyDescent="0.15">
      <c r="A4" s="21"/>
      <c r="B4" s="21"/>
      <c r="C4" s="21"/>
      <c r="D4" s="21"/>
      <c r="E4" s="23" t="str">
        <f>'MASTER DATA'!E9</f>
        <v>12500</v>
      </c>
      <c r="F4" s="21">
        <v>380</v>
      </c>
      <c r="G4" s="23" t="str">
        <f>'MASTER DATA'!I4</f>
        <v>4000</v>
      </c>
      <c r="H4" s="21">
        <v>1000</v>
      </c>
      <c r="I4" s="21">
        <v>585</v>
      </c>
      <c r="J4" s="23" t="str">
        <f>'MASTER DATA'!G7</f>
        <v>3500</v>
      </c>
      <c r="K4" s="21"/>
      <c r="L4" s="21"/>
      <c r="M4" s="21">
        <f>'MASTER DATA'!C16</f>
        <v>2</v>
      </c>
      <c r="N4" s="21"/>
    </row>
    <row r="5" spans="1:14" ht="14.25" customHeight="1" x14ac:dyDescent="0.15">
      <c r="A5" s="19">
        <v>1</v>
      </c>
      <c r="B5" s="19">
        <v>2.4</v>
      </c>
      <c r="C5" s="19">
        <v>1.2</v>
      </c>
      <c r="D5" s="19">
        <f>B5*C5</f>
        <v>2.88</v>
      </c>
      <c r="E5" s="19"/>
      <c r="F5" s="19"/>
      <c r="G5" s="19">
        <v>1</v>
      </c>
      <c r="H5" s="19">
        <f t="shared" ref="H5:I5" si="0">A5</f>
        <v>1</v>
      </c>
      <c r="I5" s="19">
        <f t="shared" si="0"/>
        <v>2.4</v>
      </c>
      <c r="J5" s="19">
        <v>2</v>
      </c>
      <c r="K5" s="19"/>
      <c r="L5" s="19"/>
      <c r="M5" s="19"/>
      <c r="N5" s="19"/>
    </row>
    <row r="6" spans="1:14" ht="14.25" customHeight="1" x14ac:dyDescent="0.15">
      <c r="A6" s="19"/>
      <c r="B6" s="19"/>
      <c r="C6" s="19"/>
      <c r="D6" s="26" t="str">
        <f>'MASTER DATA'!C3</f>
        <v>2200</v>
      </c>
      <c r="E6" s="19">
        <v>4</v>
      </c>
      <c r="F6" s="19">
        <f>B5*2</f>
        <v>4.8</v>
      </c>
      <c r="G6" s="19"/>
      <c r="H6" s="19"/>
      <c r="I6" s="19"/>
      <c r="J6" s="19"/>
      <c r="K6" s="19"/>
      <c r="L6" s="19"/>
      <c r="M6" s="19"/>
      <c r="N6" s="19"/>
    </row>
    <row r="7" spans="1:14" ht="14.25" customHeight="1" x14ac:dyDescent="0.15">
      <c r="A7" s="19"/>
      <c r="B7" s="19"/>
      <c r="C7" s="19"/>
      <c r="D7" s="19">
        <f>D5*D6</f>
        <v>6336</v>
      </c>
      <c r="E7" s="19">
        <f>E6*E4</f>
        <v>50000</v>
      </c>
      <c r="F7" s="19">
        <f>F4*F6</f>
        <v>1824</v>
      </c>
      <c r="G7" s="19">
        <f t="shared" ref="G7:J7" si="1">G4*G5</f>
        <v>4000</v>
      </c>
      <c r="H7" s="19">
        <f t="shared" si="1"/>
        <v>1000</v>
      </c>
      <c r="I7" s="19">
        <f t="shared" si="1"/>
        <v>1404</v>
      </c>
      <c r="J7" s="19">
        <f t="shared" si="1"/>
        <v>7000</v>
      </c>
      <c r="K7" s="19">
        <f>SUM(D7:J7)</f>
        <v>71564</v>
      </c>
      <c r="L7" s="19">
        <f>K7/A5</f>
        <v>71564</v>
      </c>
      <c r="M7" s="19">
        <f>L7*M4</f>
        <v>143128</v>
      </c>
      <c r="N7" s="19">
        <f>MROUND(M7,100)</f>
        <v>143100</v>
      </c>
    </row>
    <row r="8" spans="1:14" ht="14.25" customHeight="1" x14ac:dyDescent="0.15">
      <c r="A8" s="111"/>
      <c r="B8" s="87"/>
      <c r="C8" s="87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4" ht="14.25" customHeight="1" x14ac:dyDescent="0.15">
      <c r="A9" s="109" t="str">
        <f>PRICELIST!I471</f>
        <v>MTLP-MD-PLM-2400-1200</v>
      </c>
      <c r="B9" s="87"/>
      <c r="C9" s="87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4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 t="s">
        <v>210</v>
      </c>
      <c r="F10" s="19" t="s">
        <v>67</v>
      </c>
      <c r="G10" s="19" t="s">
        <v>69</v>
      </c>
      <c r="H10" s="19" t="s">
        <v>71</v>
      </c>
      <c r="I10" s="19" t="s">
        <v>72</v>
      </c>
      <c r="J10" s="19" t="s">
        <v>73</v>
      </c>
      <c r="K10" s="19" t="s">
        <v>76</v>
      </c>
      <c r="L10" s="19" t="s">
        <v>78</v>
      </c>
      <c r="M10" s="19" t="s">
        <v>79</v>
      </c>
      <c r="N10" s="19" t="s">
        <v>81</v>
      </c>
    </row>
    <row r="11" spans="1:14" ht="14.25" customHeight="1" x14ac:dyDescent="0.15">
      <c r="A11" s="21"/>
      <c r="B11" s="21"/>
      <c r="C11" s="21"/>
      <c r="D11" s="21"/>
      <c r="E11" s="23" t="str">
        <f>E4</f>
        <v>12500</v>
      </c>
      <c r="F11" s="21">
        <v>380</v>
      </c>
      <c r="G11" s="23" t="str">
        <f t="shared" ref="G11:H11" si="2">G4</f>
        <v>4000</v>
      </c>
      <c r="H11" s="21">
        <f t="shared" si="2"/>
        <v>1000</v>
      </c>
      <c r="I11" s="21">
        <v>585</v>
      </c>
      <c r="J11" s="23" t="str">
        <f t="shared" ref="J11:J12" si="3">J4</f>
        <v>3500</v>
      </c>
      <c r="K11" s="21"/>
      <c r="L11" s="21"/>
      <c r="M11" s="21">
        <f>M4</f>
        <v>2</v>
      </c>
      <c r="N11" s="21"/>
    </row>
    <row r="12" spans="1:14" ht="14.25" customHeight="1" x14ac:dyDescent="0.15">
      <c r="A12" s="19">
        <v>1</v>
      </c>
      <c r="B12" s="19">
        <v>2.4</v>
      </c>
      <c r="C12" s="19">
        <v>1.2</v>
      </c>
      <c r="D12" s="19">
        <f>B12*C12</f>
        <v>2.88</v>
      </c>
      <c r="E12" s="19"/>
      <c r="F12" s="19"/>
      <c r="G12" s="19">
        <v>1</v>
      </c>
      <c r="H12" s="19">
        <f t="shared" ref="H12:I12" si="4">A12</f>
        <v>1</v>
      </c>
      <c r="I12" s="19">
        <f t="shared" si="4"/>
        <v>2.4</v>
      </c>
      <c r="J12" s="19">
        <f t="shared" si="3"/>
        <v>2</v>
      </c>
      <c r="K12" s="19"/>
      <c r="L12" s="19"/>
      <c r="M12" s="19"/>
      <c r="N12" s="19"/>
    </row>
    <row r="13" spans="1:14" ht="14.25" customHeight="1" x14ac:dyDescent="0.15">
      <c r="A13" s="19"/>
      <c r="B13" s="19"/>
      <c r="C13" s="19"/>
      <c r="D13" s="26" t="str">
        <f>'MASTER DATA'!C4</f>
        <v>3000</v>
      </c>
      <c r="E13" s="19">
        <v>4</v>
      </c>
      <c r="F13" s="19">
        <f>B12*2</f>
        <v>4.8</v>
      </c>
      <c r="G13" s="19"/>
      <c r="H13" s="19"/>
      <c r="I13" s="19"/>
      <c r="J13" s="19"/>
      <c r="K13" s="19"/>
      <c r="L13" s="19"/>
      <c r="M13" s="19"/>
      <c r="N13" s="19"/>
    </row>
    <row r="14" spans="1:14" ht="14.25" customHeight="1" x14ac:dyDescent="0.15">
      <c r="A14" s="19"/>
      <c r="B14" s="19"/>
      <c r="C14" s="19"/>
      <c r="D14" s="19">
        <f>D12*D13</f>
        <v>8640</v>
      </c>
      <c r="E14" s="19">
        <f>E13*E11</f>
        <v>50000</v>
      </c>
      <c r="F14" s="19">
        <f>F11*F13</f>
        <v>1824</v>
      </c>
      <c r="G14" s="19">
        <f t="shared" ref="G14:J14" si="5">G11*G12</f>
        <v>4000</v>
      </c>
      <c r="H14" s="19">
        <f t="shared" si="5"/>
        <v>1000</v>
      </c>
      <c r="I14" s="19">
        <f t="shared" si="5"/>
        <v>1404</v>
      </c>
      <c r="J14" s="19">
        <f t="shared" si="5"/>
        <v>7000</v>
      </c>
      <c r="K14" s="19">
        <f>SUM(D14:J14)</f>
        <v>73868</v>
      </c>
      <c r="L14" s="19">
        <f>K14/A12</f>
        <v>73868</v>
      </c>
      <c r="M14" s="19">
        <f>L14*M11</f>
        <v>147736</v>
      </c>
      <c r="N14" s="19">
        <f>MROUND(M14,100)</f>
        <v>147700</v>
      </c>
    </row>
    <row r="15" spans="1:14" ht="14.25" customHeight="1" x14ac:dyDescent="0.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</row>
    <row r="16" spans="1:14" ht="14.25" customHeight="1" x14ac:dyDescent="0.15">
      <c r="A16" s="109" t="str">
        <f>PRICELIST!I472</f>
        <v>MTLP-MD-PoLM-2400-1200</v>
      </c>
      <c r="B16" s="87"/>
      <c r="C16" s="87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4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 t="s">
        <v>210</v>
      </c>
      <c r="F17" s="19" t="s">
        <v>67</v>
      </c>
      <c r="G17" s="19" t="s">
        <v>69</v>
      </c>
      <c r="H17" s="19" t="s">
        <v>71</v>
      </c>
      <c r="I17" s="19" t="s">
        <v>72</v>
      </c>
      <c r="J17" s="19" t="s">
        <v>73</v>
      </c>
      <c r="K17" s="19" t="s">
        <v>76</v>
      </c>
      <c r="L17" s="19" t="s">
        <v>78</v>
      </c>
      <c r="M17" s="19" t="s">
        <v>79</v>
      </c>
      <c r="N17" s="19" t="s">
        <v>81</v>
      </c>
    </row>
    <row r="18" spans="1:14" ht="14.25" customHeight="1" x14ac:dyDescent="0.15">
      <c r="A18" s="21"/>
      <c r="B18" s="21"/>
      <c r="C18" s="21"/>
      <c r="D18" s="21"/>
      <c r="E18" s="23" t="str">
        <f>E11</f>
        <v>12500</v>
      </c>
      <c r="F18" s="21">
        <v>380</v>
      </c>
      <c r="G18" s="23" t="str">
        <f t="shared" ref="G18:H18" si="6">G11</f>
        <v>4000</v>
      </c>
      <c r="H18" s="21">
        <f t="shared" si="6"/>
        <v>1000</v>
      </c>
      <c r="I18" s="21">
        <v>585</v>
      </c>
      <c r="J18" s="23" t="str">
        <f t="shared" ref="J18:J19" si="7">J11</f>
        <v>3500</v>
      </c>
      <c r="K18" s="21"/>
      <c r="L18" s="21"/>
      <c r="M18" s="21">
        <f>M11</f>
        <v>2</v>
      </c>
      <c r="N18" s="21"/>
    </row>
    <row r="19" spans="1:14" ht="14.25" customHeight="1" x14ac:dyDescent="0.15">
      <c r="A19" s="19">
        <v>1</v>
      </c>
      <c r="B19" s="19">
        <v>2.4</v>
      </c>
      <c r="C19" s="19">
        <v>1.2</v>
      </c>
      <c r="D19" s="19">
        <f>B19*C19</f>
        <v>2.88</v>
      </c>
      <c r="E19" s="19"/>
      <c r="F19" s="19"/>
      <c r="G19" s="19">
        <v>1</v>
      </c>
      <c r="H19" s="19">
        <f t="shared" ref="H19:I19" si="8">A19</f>
        <v>1</v>
      </c>
      <c r="I19" s="19">
        <f t="shared" si="8"/>
        <v>2.4</v>
      </c>
      <c r="J19" s="19">
        <f t="shared" si="7"/>
        <v>2</v>
      </c>
      <c r="K19" s="19"/>
      <c r="L19" s="19"/>
      <c r="M19" s="19"/>
      <c r="N19" s="19"/>
    </row>
    <row r="20" spans="1:14" ht="14.25" customHeight="1" x14ac:dyDescent="0.15">
      <c r="A20" s="19"/>
      <c r="B20" s="19"/>
      <c r="C20" s="19"/>
      <c r="D20" s="26" t="str">
        <f>'MASTER DATA'!C5</f>
        <v>7500</v>
      </c>
      <c r="E20" s="19">
        <v>4</v>
      </c>
      <c r="F20" s="19">
        <f>B19*2</f>
        <v>4.8</v>
      </c>
      <c r="G20" s="19"/>
      <c r="H20" s="19"/>
      <c r="I20" s="19"/>
      <c r="J20" s="19"/>
      <c r="K20" s="19"/>
      <c r="L20" s="19"/>
      <c r="M20" s="19"/>
      <c r="N20" s="19"/>
    </row>
    <row r="21" spans="1:14" ht="14.25" customHeight="1" x14ac:dyDescent="0.15">
      <c r="A21" s="19"/>
      <c r="B21" s="19"/>
      <c r="C21" s="19"/>
      <c r="D21" s="19">
        <f>D19*D20</f>
        <v>21600</v>
      </c>
      <c r="E21" s="19">
        <f>E20*E18</f>
        <v>50000</v>
      </c>
      <c r="F21" s="19">
        <f>F18*F20</f>
        <v>1824</v>
      </c>
      <c r="G21" s="19">
        <f t="shared" ref="G21:J21" si="9">G18*G19</f>
        <v>4000</v>
      </c>
      <c r="H21" s="19">
        <f t="shared" si="9"/>
        <v>1000</v>
      </c>
      <c r="I21" s="19">
        <f t="shared" si="9"/>
        <v>1404</v>
      </c>
      <c r="J21" s="19">
        <f t="shared" si="9"/>
        <v>7000</v>
      </c>
      <c r="K21" s="19">
        <f>SUM(D21:J21)</f>
        <v>86828</v>
      </c>
      <c r="L21" s="19">
        <f>K21/A19</f>
        <v>86828</v>
      </c>
      <c r="M21" s="19">
        <f>L21*M18</f>
        <v>173656</v>
      </c>
      <c r="N21" s="19">
        <f>MROUND(M21,100)</f>
        <v>173700</v>
      </c>
    </row>
    <row r="22" spans="1:14" ht="14.25" customHeight="1" x14ac:dyDescent="0.15">
      <c r="A22" s="111"/>
      <c r="B22" s="87"/>
      <c r="C22" s="87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4" ht="14.25" customHeight="1" x14ac:dyDescent="0.15">
      <c r="A23" s="109" t="str">
        <f>PRICELIST!I473</f>
        <v>MTLP-MD-LVM-2400-1200</v>
      </c>
      <c r="B23" s="87"/>
      <c r="C23" s="87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4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 t="s">
        <v>210</v>
      </c>
      <c r="F24" s="19" t="s">
        <v>67</v>
      </c>
      <c r="G24" s="19" t="s">
        <v>69</v>
      </c>
      <c r="H24" s="19" t="s">
        <v>71</v>
      </c>
      <c r="I24" s="19" t="s">
        <v>72</v>
      </c>
      <c r="J24" s="19" t="s">
        <v>73</v>
      </c>
      <c r="K24" s="19" t="s">
        <v>76</v>
      </c>
      <c r="L24" s="19" t="s">
        <v>78</v>
      </c>
      <c r="M24" s="19" t="s">
        <v>79</v>
      </c>
      <c r="N24" s="19" t="s">
        <v>81</v>
      </c>
    </row>
    <row r="25" spans="1:14" ht="14.25" customHeight="1" x14ac:dyDescent="0.15">
      <c r="A25" s="21"/>
      <c r="B25" s="21"/>
      <c r="C25" s="21"/>
      <c r="D25" s="21"/>
      <c r="E25" s="23" t="str">
        <f>E18</f>
        <v>12500</v>
      </c>
      <c r="F25" s="21">
        <v>380</v>
      </c>
      <c r="G25" s="23" t="str">
        <f t="shared" ref="G25:H25" si="10">G18</f>
        <v>4000</v>
      </c>
      <c r="H25" s="21">
        <f t="shared" si="10"/>
        <v>1000</v>
      </c>
      <c r="I25" s="21">
        <v>585</v>
      </c>
      <c r="J25" s="23" t="str">
        <f t="shared" ref="J25:J26" si="11">J18</f>
        <v>3500</v>
      </c>
      <c r="K25" s="21"/>
      <c r="L25" s="21"/>
      <c r="M25" s="21">
        <f>M18</f>
        <v>2</v>
      </c>
      <c r="N25" s="21"/>
    </row>
    <row r="26" spans="1:14" ht="14.25" customHeight="1" x14ac:dyDescent="0.15">
      <c r="A26" s="19">
        <v>1</v>
      </c>
      <c r="B26" s="19">
        <v>2.4</v>
      </c>
      <c r="C26" s="19">
        <v>1.2</v>
      </c>
      <c r="D26" s="19">
        <f>B26*C26</f>
        <v>2.88</v>
      </c>
      <c r="E26" s="19"/>
      <c r="F26" s="19"/>
      <c r="G26" s="19">
        <v>1</v>
      </c>
      <c r="H26" s="19">
        <f t="shared" ref="H26:I26" si="12">A26</f>
        <v>1</v>
      </c>
      <c r="I26" s="19">
        <f t="shared" si="12"/>
        <v>2.4</v>
      </c>
      <c r="J26" s="19">
        <f t="shared" si="11"/>
        <v>2</v>
      </c>
      <c r="K26" s="19"/>
      <c r="L26" s="19"/>
      <c r="M26" s="19"/>
      <c r="N26" s="19"/>
    </row>
    <row r="27" spans="1:14" ht="14.25" customHeight="1" x14ac:dyDescent="0.15">
      <c r="A27" s="19"/>
      <c r="B27" s="19"/>
      <c r="C27" s="19"/>
      <c r="D27" s="26" t="str">
        <f>'MASTER DATA'!C6</f>
        <v>9500</v>
      </c>
      <c r="E27" s="19">
        <v>4</v>
      </c>
      <c r="F27" s="19">
        <f>B26*2</f>
        <v>4.8</v>
      </c>
      <c r="G27" s="19"/>
      <c r="H27" s="19"/>
      <c r="I27" s="19"/>
      <c r="J27" s="19"/>
      <c r="K27" s="19"/>
      <c r="L27" s="19"/>
      <c r="M27" s="19"/>
      <c r="N27" s="19"/>
    </row>
    <row r="28" spans="1:14" ht="14.25" customHeight="1" x14ac:dyDescent="0.15">
      <c r="A28" s="19"/>
      <c r="B28" s="19"/>
      <c r="C28" s="19"/>
      <c r="D28" s="19">
        <f>D26*D27</f>
        <v>27360</v>
      </c>
      <c r="E28" s="19">
        <f>E27*E25</f>
        <v>50000</v>
      </c>
      <c r="F28" s="19">
        <f>F25*F27</f>
        <v>1824</v>
      </c>
      <c r="G28" s="19">
        <f t="shared" ref="G28:J28" si="13">G25*G26</f>
        <v>4000</v>
      </c>
      <c r="H28" s="19">
        <f t="shared" si="13"/>
        <v>1000</v>
      </c>
      <c r="I28" s="19">
        <f t="shared" si="13"/>
        <v>1404</v>
      </c>
      <c r="J28" s="19">
        <f t="shared" si="13"/>
        <v>7000</v>
      </c>
      <c r="K28" s="19">
        <f>SUM(D28:J28)</f>
        <v>92588</v>
      </c>
      <c r="L28" s="19">
        <f>K28/A26</f>
        <v>92588</v>
      </c>
      <c r="M28" s="19">
        <f>L28*M25</f>
        <v>185176</v>
      </c>
      <c r="N28" s="19">
        <f>MROUND(M28,100)</f>
        <v>185200</v>
      </c>
    </row>
    <row r="29" spans="1:14" ht="14.25" customHeight="1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4" ht="14.25" customHeight="1" x14ac:dyDescent="0.15">
      <c r="A30" s="109" t="str">
        <f>PRICELIST!I474</f>
        <v>MTLP-MD-LVP-2400-1200</v>
      </c>
      <c r="B30" s="87"/>
      <c r="C30" s="87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4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 t="s">
        <v>210</v>
      </c>
      <c r="F31" s="19" t="s">
        <v>67</v>
      </c>
      <c r="G31" s="19" t="s">
        <v>69</v>
      </c>
      <c r="H31" s="19" t="s">
        <v>71</v>
      </c>
      <c r="I31" s="19" t="s">
        <v>72</v>
      </c>
      <c r="J31" s="19" t="s">
        <v>73</v>
      </c>
      <c r="K31" s="19" t="s">
        <v>76</v>
      </c>
      <c r="L31" s="19" t="s">
        <v>78</v>
      </c>
      <c r="M31" s="19" t="s">
        <v>79</v>
      </c>
      <c r="N31" s="19" t="s">
        <v>81</v>
      </c>
    </row>
    <row r="32" spans="1:14" ht="14.25" customHeight="1" x14ac:dyDescent="0.15">
      <c r="A32" s="21"/>
      <c r="B32" s="21"/>
      <c r="C32" s="21"/>
      <c r="D32" s="21"/>
      <c r="E32" s="23" t="str">
        <f>E25</f>
        <v>12500</v>
      </c>
      <c r="F32" s="21">
        <v>380</v>
      </c>
      <c r="G32" s="23" t="str">
        <f t="shared" ref="G32:H32" si="14">G25</f>
        <v>4000</v>
      </c>
      <c r="H32" s="21">
        <f t="shared" si="14"/>
        <v>1000</v>
      </c>
      <c r="I32" s="21">
        <v>585</v>
      </c>
      <c r="J32" s="23" t="str">
        <f t="shared" ref="J32:J33" si="15">J25</f>
        <v>3500</v>
      </c>
      <c r="K32" s="21"/>
      <c r="L32" s="21"/>
      <c r="M32" s="21">
        <f>M25</f>
        <v>2</v>
      </c>
      <c r="N32" s="21"/>
    </row>
    <row r="33" spans="1:14" ht="14.25" customHeight="1" x14ac:dyDescent="0.15">
      <c r="A33" s="19">
        <v>1</v>
      </c>
      <c r="B33" s="19">
        <v>2.4</v>
      </c>
      <c r="C33" s="19">
        <v>1.2</v>
      </c>
      <c r="D33" s="19">
        <f>B33*C33</f>
        <v>2.88</v>
      </c>
      <c r="E33" s="19"/>
      <c r="F33" s="19"/>
      <c r="G33" s="19">
        <v>1</v>
      </c>
      <c r="H33" s="19">
        <f t="shared" ref="H33:I33" si="16">A33</f>
        <v>1</v>
      </c>
      <c r="I33" s="19">
        <f t="shared" si="16"/>
        <v>2.4</v>
      </c>
      <c r="J33" s="19">
        <f t="shared" si="15"/>
        <v>2</v>
      </c>
      <c r="K33" s="19"/>
      <c r="L33" s="19"/>
      <c r="M33" s="19"/>
      <c r="N33" s="19"/>
    </row>
    <row r="34" spans="1:14" ht="14.25" customHeight="1" x14ac:dyDescent="0.15">
      <c r="A34" s="19"/>
      <c r="B34" s="19"/>
      <c r="C34" s="19"/>
      <c r="D34" s="26" t="str">
        <f>'MASTER DATA'!C7</f>
        <v>10500</v>
      </c>
      <c r="E34" s="19">
        <v>4</v>
      </c>
      <c r="F34" s="19">
        <f>B33*2</f>
        <v>4.8</v>
      </c>
      <c r="G34" s="19"/>
      <c r="H34" s="19"/>
      <c r="I34" s="19"/>
      <c r="J34" s="19"/>
      <c r="K34" s="19"/>
      <c r="L34" s="19"/>
      <c r="M34" s="19"/>
      <c r="N34" s="19"/>
    </row>
    <row r="35" spans="1:14" ht="14.25" customHeight="1" x14ac:dyDescent="0.15">
      <c r="A35" s="19"/>
      <c r="B35" s="19"/>
      <c r="C35" s="19"/>
      <c r="D35" s="19">
        <f>D33*D34</f>
        <v>30240</v>
      </c>
      <c r="E35" s="19">
        <f>E34*E32</f>
        <v>50000</v>
      </c>
      <c r="F35" s="19">
        <f>F32*F34</f>
        <v>1824</v>
      </c>
      <c r="G35" s="19">
        <f t="shared" ref="G35:J35" si="17">G32*G33</f>
        <v>4000</v>
      </c>
      <c r="H35" s="19">
        <f t="shared" si="17"/>
        <v>1000</v>
      </c>
      <c r="I35" s="19">
        <f t="shared" si="17"/>
        <v>1404</v>
      </c>
      <c r="J35" s="19">
        <f t="shared" si="17"/>
        <v>7000</v>
      </c>
      <c r="K35" s="19">
        <f>SUM(D35:J35)</f>
        <v>95468</v>
      </c>
      <c r="L35" s="19">
        <f>K35/A33</f>
        <v>95468</v>
      </c>
      <c r="M35" s="19">
        <f>L35*M32</f>
        <v>190936</v>
      </c>
      <c r="N35" s="19">
        <f>MROUND(M35,100)</f>
        <v>190900</v>
      </c>
    </row>
    <row r="36" spans="1:14" ht="14.25" customHeight="1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4" ht="14.25" customHeight="1" x14ac:dyDescent="0.15">
      <c r="A37" s="109" t="str">
        <f>PRICELIST!I475</f>
        <v>MTLP-MD-VNR-2400-1200</v>
      </c>
      <c r="B37" s="87"/>
      <c r="C37" s="87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4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 t="s">
        <v>210</v>
      </c>
      <c r="F38" s="19" t="s">
        <v>67</v>
      </c>
      <c r="G38" s="19" t="s">
        <v>69</v>
      </c>
      <c r="H38" s="19" t="s">
        <v>71</v>
      </c>
      <c r="I38" s="19" t="s">
        <v>72</v>
      </c>
      <c r="J38" s="19" t="s">
        <v>73</v>
      </c>
      <c r="K38" s="19" t="s">
        <v>76</v>
      </c>
      <c r="L38" s="19" t="s">
        <v>78</v>
      </c>
      <c r="M38" s="19" t="s">
        <v>79</v>
      </c>
      <c r="N38" s="19" t="s">
        <v>81</v>
      </c>
    </row>
    <row r="39" spans="1:14" ht="14.25" customHeight="1" x14ac:dyDescent="0.15">
      <c r="A39" s="21"/>
      <c r="B39" s="21"/>
      <c r="C39" s="21"/>
      <c r="D39" s="21"/>
      <c r="E39" s="23" t="str">
        <f>E32</f>
        <v>12500</v>
      </c>
      <c r="F39" s="21">
        <v>380</v>
      </c>
      <c r="G39" s="23" t="str">
        <f t="shared" ref="G39:H39" si="18">G32</f>
        <v>4000</v>
      </c>
      <c r="H39" s="21">
        <f t="shared" si="18"/>
        <v>1000</v>
      </c>
      <c r="I39" s="21">
        <v>585</v>
      </c>
      <c r="J39" s="23" t="str">
        <f t="shared" ref="J39:J40" si="19">J32</f>
        <v>3500</v>
      </c>
      <c r="K39" s="21"/>
      <c r="L39" s="21"/>
      <c r="M39" s="21">
        <f>M32</f>
        <v>2</v>
      </c>
      <c r="N39" s="21"/>
    </row>
    <row r="40" spans="1:14" ht="14.25" customHeight="1" x14ac:dyDescent="0.15">
      <c r="A40" s="19">
        <v>1</v>
      </c>
      <c r="B40" s="19">
        <v>2.4</v>
      </c>
      <c r="C40" s="19">
        <v>1.2</v>
      </c>
      <c r="D40" s="19">
        <f>B40*C40</f>
        <v>2.88</v>
      </c>
      <c r="E40" s="19"/>
      <c r="F40" s="19"/>
      <c r="G40" s="19">
        <v>1</v>
      </c>
      <c r="H40" s="19">
        <f t="shared" ref="H40:I40" si="20">A40</f>
        <v>1</v>
      </c>
      <c r="I40" s="19">
        <f t="shared" si="20"/>
        <v>2.4</v>
      </c>
      <c r="J40" s="19">
        <f t="shared" si="19"/>
        <v>2</v>
      </c>
      <c r="K40" s="19"/>
      <c r="L40" s="19"/>
      <c r="M40" s="19"/>
      <c r="N40" s="19"/>
    </row>
    <row r="41" spans="1:14" ht="14.25" customHeight="1" x14ac:dyDescent="0.15">
      <c r="A41" s="19"/>
      <c r="B41" s="19"/>
      <c r="C41" s="19"/>
      <c r="D41" s="26" t="str">
        <f>'MASTER DATA'!C8</f>
        <v>30000</v>
      </c>
      <c r="E41" s="19">
        <v>4</v>
      </c>
      <c r="F41" s="19">
        <f>B40*2</f>
        <v>4.8</v>
      </c>
      <c r="G41" s="19"/>
      <c r="H41" s="19"/>
      <c r="I41" s="19"/>
      <c r="J41" s="19"/>
      <c r="K41" s="19"/>
      <c r="L41" s="19"/>
      <c r="M41" s="19"/>
      <c r="N41" s="19"/>
    </row>
    <row r="42" spans="1:14" ht="14.25" customHeight="1" x14ac:dyDescent="0.15">
      <c r="A42" s="19"/>
      <c r="B42" s="19"/>
      <c r="C42" s="19"/>
      <c r="D42" s="19">
        <f>D40*D41</f>
        <v>86400</v>
      </c>
      <c r="E42" s="19">
        <f>E41*E39</f>
        <v>50000</v>
      </c>
      <c r="F42" s="19">
        <f>F39*F41</f>
        <v>1824</v>
      </c>
      <c r="G42" s="19">
        <f t="shared" ref="G42:J42" si="21">G39*G40</f>
        <v>4000</v>
      </c>
      <c r="H42" s="19">
        <f t="shared" si="21"/>
        <v>1000</v>
      </c>
      <c r="I42" s="19">
        <f t="shared" si="21"/>
        <v>1404</v>
      </c>
      <c r="J42" s="19">
        <f t="shared" si="21"/>
        <v>7000</v>
      </c>
      <c r="K42" s="19">
        <f>SUM(D42:J42)</f>
        <v>151628</v>
      </c>
      <c r="L42" s="19">
        <f>K42/A40</f>
        <v>151628</v>
      </c>
      <c r="M42" s="19">
        <f>L42*M39</f>
        <v>303256</v>
      </c>
      <c r="N42" s="19">
        <f>MROUND(M42,100)</f>
        <v>303300</v>
      </c>
    </row>
    <row r="43" spans="1:14" ht="14.25" customHeight="1" x14ac:dyDescent="0.15">
      <c r="A43" s="111"/>
      <c r="B43" s="87"/>
      <c r="C43" s="87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4" ht="14.25" customHeight="1" x14ac:dyDescent="0.15">
      <c r="A44" s="109" t="str">
        <f>PRICELIST!I476</f>
        <v>MTLP-MD-MBL-2400-1200</v>
      </c>
      <c r="B44" s="87"/>
      <c r="C44" s="87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4" ht="14.25" customHeight="1" x14ac:dyDescent="0.15">
      <c r="A45" s="19" t="s">
        <v>57</v>
      </c>
      <c r="B45" s="19" t="s">
        <v>59</v>
      </c>
      <c r="C45" s="19" t="s">
        <v>62</v>
      </c>
      <c r="D45" s="19" t="s">
        <v>64</v>
      </c>
      <c r="E45" s="19" t="s">
        <v>210</v>
      </c>
      <c r="F45" s="19" t="s">
        <v>67</v>
      </c>
      <c r="G45" s="19" t="s">
        <v>69</v>
      </c>
      <c r="H45" s="19" t="s">
        <v>71</v>
      </c>
      <c r="I45" s="19" t="s">
        <v>72</v>
      </c>
      <c r="J45" s="19" t="s">
        <v>73</v>
      </c>
      <c r="K45" s="19" t="s">
        <v>76</v>
      </c>
      <c r="L45" s="19" t="s">
        <v>78</v>
      </c>
      <c r="M45" s="19" t="s">
        <v>79</v>
      </c>
      <c r="N45" s="19" t="s">
        <v>81</v>
      </c>
    </row>
    <row r="46" spans="1:14" ht="14.25" customHeight="1" x14ac:dyDescent="0.15">
      <c r="A46" s="21"/>
      <c r="B46" s="21"/>
      <c r="C46" s="21"/>
      <c r="D46" s="21"/>
      <c r="E46" s="23" t="str">
        <f>E39</f>
        <v>12500</v>
      </c>
      <c r="F46" s="21">
        <v>380</v>
      </c>
      <c r="G46" s="23" t="str">
        <f t="shared" ref="G46:H46" si="22">G39</f>
        <v>4000</v>
      </c>
      <c r="H46" s="21">
        <f t="shared" si="22"/>
        <v>1000</v>
      </c>
      <c r="I46" s="21">
        <v>585</v>
      </c>
      <c r="J46" s="23" t="str">
        <f>J39</f>
        <v>3500</v>
      </c>
      <c r="K46" s="21"/>
      <c r="L46" s="21"/>
      <c r="M46" s="21">
        <f>M39</f>
        <v>2</v>
      </c>
      <c r="N46" s="21"/>
    </row>
    <row r="47" spans="1:14" ht="14.25" customHeight="1" x14ac:dyDescent="0.15">
      <c r="A47" s="19">
        <v>1</v>
      </c>
      <c r="B47" s="19">
        <v>2.4</v>
      </c>
      <c r="C47" s="19">
        <v>1.2</v>
      </c>
      <c r="D47" s="19">
        <f>B47*C47</f>
        <v>2.88</v>
      </c>
      <c r="E47" s="19"/>
      <c r="F47" s="19"/>
      <c r="G47" s="19">
        <v>1</v>
      </c>
      <c r="H47" s="19">
        <f t="shared" ref="H47:I47" si="23">A47</f>
        <v>1</v>
      </c>
      <c r="I47" s="19">
        <f t="shared" si="23"/>
        <v>2.4</v>
      </c>
      <c r="J47" s="19">
        <v>3</v>
      </c>
      <c r="K47" s="19"/>
      <c r="L47" s="19"/>
      <c r="M47" s="19"/>
      <c r="N47" s="19"/>
    </row>
    <row r="48" spans="1:14" ht="14.25" customHeight="1" x14ac:dyDescent="0.15">
      <c r="A48" s="19"/>
      <c r="B48" s="19"/>
      <c r="C48" s="19"/>
      <c r="D48" s="26">
        <f>'MASTER DATA'!C11</f>
        <v>37500</v>
      </c>
      <c r="E48" s="19">
        <v>4</v>
      </c>
      <c r="F48" s="19">
        <f>B47*2</f>
        <v>4.8</v>
      </c>
      <c r="G48" s="19"/>
      <c r="H48" s="19"/>
      <c r="I48" s="19"/>
      <c r="J48" s="19"/>
      <c r="K48" s="19"/>
      <c r="L48" s="19"/>
      <c r="M48" s="19"/>
      <c r="N48" s="19"/>
    </row>
    <row r="49" spans="1:14" ht="14.25" customHeight="1" x14ac:dyDescent="0.15">
      <c r="A49" s="19"/>
      <c r="B49" s="19"/>
      <c r="C49" s="19"/>
      <c r="D49" s="19">
        <f>D47*D48</f>
        <v>108000</v>
      </c>
      <c r="E49" s="19">
        <f>E48*E46</f>
        <v>50000</v>
      </c>
      <c r="F49" s="19">
        <f>F46*F48</f>
        <v>1824</v>
      </c>
      <c r="G49" s="19">
        <f t="shared" ref="G49:J49" si="24">G46*G47</f>
        <v>4000</v>
      </c>
      <c r="H49" s="19">
        <f t="shared" si="24"/>
        <v>1000</v>
      </c>
      <c r="I49" s="19">
        <f t="shared" si="24"/>
        <v>1404</v>
      </c>
      <c r="J49" s="19">
        <f t="shared" si="24"/>
        <v>10500</v>
      </c>
      <c r="K49" s="19">
        <f>SUM(D49:J49)</f>
        <v>176728</v>
      </c>
      <c r="L49" s="19">
        <f>K49/A47</f>
        <v>176728</v>
      </c>
      <c r="M49" s="19">
        <f>L49*M46</f>
        <v>353456</v>
      </c>
      <c r="N49" s="19">
        <f>MROUND(M49,100)</f>
        <v>353500</v>
      </c>
    </row>
    <row r="50" spans="1:14" ht="14.25" customHeight="1" x14ac:dyDescent="0.15">
      <c r="A50" s="111"/>
      <c r="B50" s="87"/>
      <c r="C50" s="87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4" ht="14.25" customHeight="1" x14ac:dyDescent="0.15">
      <c r="A51" s="109" t="str">
        <f>PRICELIST!I477</f>
        <v>MTLP-MD-GL-2400-1200</v>
      </c>
      <c r="B51" s="87"/>
      <c r="C51" s="87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4" ht="14.25" customHeight="1" x14ac:dyDescent="0.15">
      <c r="A52" s="19" t="s">
        <v>57</v>
      </c>
      <c r="B52" s="19" t="s">
        <v>59</v>
      </c>
      <c r="C52" s="19" t="s">
        <v>62</v>
      </c>
      <c r="D52" s="19" t="s">
        <v>64</v>
      </c>
      <c r="E52" s="19" t="s">
        <v>210</v>
      </c>
      <c r="F52" s="19" t="s">
        <v>67</v>
      </c>
      <c r="G52" s="19" t="s">
        <v>69</v>
      </c>
      <c r="H52" s="19" t="s">
        <v>71</v>
      </c>
      <c r="I52" s="19" t="s">
        <v>72</v>
      </c>
      <c r="J52" s="19" t="s">
        <v>73</v>
      </c>
      <c r="K52" s="19" t="s">
        <v>76</v>
      </c>
      <c r="L52" s="19" t="s">
        <v>78</v>
      </c>
      <c r="M52" s="19" t="s">
        <v>79</v>
      </c>
      <c r="N52" s="19" t="s">
        <v>81</v>
      </c>
    </row>
    <row r="53" spans="1:14" ht="14.25" customHeight="1" x14ac:dyDescent="0.15">
      <c r="A53" s="21"/>
      <c r="B53" s="21"/>
      <c r="C53" s="21"/>
      <c r="D53" s="21"/>
      <c r="E53" s="23" t="str">
        <f>E46</f>
        <v>12500</v>
      </c>
      <c r="F53" s="21">
        <v>380</v>
      </c>
      <c r="G53" s="23" t="str">
        <f t="shared" ref="G53:H53" si="25">G46</f>
        <v>4000</v>
      </c>
      <c r="H53" s="21">
        <f t="shared" si="25"/>
        <v>1000</v>
      </c>
      <c r="I53" s="21">
        <v>585</v>
      </c>
      <c r="J53" s="23" t="str">
        <f t="shared" ref="J53:J54" si="26">J46</f>
        <v>3500</v>
      </c>
      <c r="K53" s="21"/>
      <c r="L53" s="21"/>
      <c r="M53" s="21">
        <f>M46</f>
        <v>2</v>
      </c>
      <c r="N53" s="21"/>
    </row>
    <row r="54" spans="1:14" ht="14.25" customHeight="1" x14ac:dyDescent="0.15">
      <c r="A54" s="19">
        <v>1</v>
      </c>
      <c r="B54" s="19">
        <v>2.4</v>
      </c>
      <c r="C54" s="19">
        <v>1.2</v>
      </c>
      <c r="D54" s="19">
        <f>B54*C54</f>
        <v>2.88</v>
      </c>
      <c r="E54" s="19"/>
      <c r="F54" s="19"/>
      <c r="G54" s="19">
        <v>1</v>
      </c>
      <c r="H54" s="19">
        <f t="shared" ref="H54:I54" si="27">A54</f>
        <v>1</v>
      </c>
      <c r="I54" s="19">
        <f t="shared" si="27"/>
        <v>2.4</v>
      </c>
      <c r="J54" s="19">
        <f t="shared" si="26"/>
        <v>3</v>
      </c>
      <c r="K54" s="19"/>
      <c r="L54" s="19"/>
      <c r="M54" s="19"/>
      <c r="N54" s="19"/>
    </row>
    <row r="55" spans="1:14" ht="14.25" customHeight="1" x14ac:dyDescent="0.15">
      <c r="A55" s="19"/>
      <c r="B55" s="19"/>
      <c r="C55" s="19"/>
      <c r="D55" s="26" t="str">
        <f>'MASTER DATA'!C9</f>
        <v>7500</v>
      </c>
      <c r="E55" s="19">
        <v>4</v>
      </c>
      <c r="F55" s="19">
        <f>B54*2</f>
        <v>4.8</v>
      </c>
      <c r="G55" s="19"/>
      <c r="H55" s="19"/>
      <c r="I55" s="19"/>
      <c r="J55" s="19"/>
      <c r="K55" s="19"/>
      <c r="L55" s="19"/>
      <c r="M55" s="19"/>
      <c r="N55" s="19"/>
    </row>
    <row r="56" spans="1:14" ht="14.25" customHeight="1" x14ac:dyDescent="0.15">
      <c r="A56" s="19"/>
      <c r="B56" s="19"/>
      <c r="C56" s="19"/>
      <c r="D56" s="19">
        <f>D54*D55</f>
        <v>21600</v>
      </c>
      <c r="E56" s="19">
        <f>E55*E53</f>
        <v>50000</v>
      </c>
      <c r="F56" s="19">
        <f>F53*F55</f>
        <v>1824</v>
      </c>
      <c r="G56" s="19">
        <f t="shared" ref="G56:J56" si="28">G53*G54</f>
        <v>4000</v>
      </c>
      <c r="H56" s="19">
        <f t="shared" si="28"/>
        <v>1000</v>
      </c>
      <c r="I56" s="19">
        <f t="shared" si="28"/>
        <v>1404</v>
      </c>
      <c r="J56" s="19">
        <f t="shared" si="28"/>
        <v>10500</v>
      </c>
      <c r="K56" s="19">
        <f>SUM(D56:J56)</f>
        <v>90328</v>
      </c>
      <c r="L56" s="19">
        <f>K56/A54</f>
        <v>90328</v>
      </c>
      <c r="M56" s="19">
        <f>L56*M53</f>
        <v>180656</v>
      </c>
      <c r="N56" s="19">
        <f>MROUND(M56,100)</f>
        <v>180700</v>
      </c>
    </row>
    <row r="57" spans="1:14" ht="14.25" customHeight="1" x14ac:dyDescent="0.1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4" ht="14.25" customHeight="1" x14ac:dyDescent="0.15">
      <c r="A58" s="109" t="str">
        <f>PRICELIST!I478</f>
        <v>MTLP-LG-PB-3600-1200</v>
      </c>
      <c r="B58" s="87"/>
      <c r="C58" s="87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4" ht="14.25" customHeight="1" x14ac:dyDescent="0.15">
      <c r="A59" s="19" t="s">
        <v>57</v>
      </c>
      <c r="B59" s="19" t="s">
        <v>59</v>
      </c>
      <c r="C59" s="19" t="s">
        <v>62</v>
      </c>
      <c r="D59" s="19" t="s">
        <v>64</v>
      </c>
      <c r="E59" s="19" t="s">
        <v>210</v>
      </c>
      <c r="F59" s="19" t="s">
        <v>67</v>
      </c>
      <c r="G59" s="19" t="s">
        <v>69</v>
      </c>
      <c r="H59" s="19" t="s">
        <v>71</v>
      </c>
      <c r="I59" s="19" t="s">
        <v>72</v>
      </c>
      <c r="J59" s="19" t="s">
        <v>73</v>
      </c>
      <c r="K59" s="19" t="s">
        <v>76</v>
      </c>
      <c r="L59" s="19" t="s">
        <v>78</v>
      </c>
      <c r="M59" s="19" t="s">
        <v>79</v>
      </c>
      <c r="N59" s="19" t="s">
        <v>81</v>
      </c>
    </row>
    <row r="60" spans="1:14" ht="14.25" customHeight="1" x14ac:dyDescent="0.15">
      <c r="A60" s="21"/>
      <c r="B60" s="21"/>
      <c r="C60" s="21"/>
      <c r="D60" s="21"/>
      <c r="E60" s="23" t="str">
        <f>E53</f>
        <v>12500</v>
      </c>
      <c r="F60" s="21">
        <v>380</v>
      </c>
      <c r="G60" s="23" t="str">
        <f t="shared" ref="G60:H60" si="29">G53</f>
        <v>4000</v>
      </c>
      <c r="H60" s="21">
        <f t="shared" si="29"/>
        <v>1000</v>
      </c>
      <c r="I60" s="21">
        <v>585</v>
      </c>
      <c r="J60" s="23" t="str">
        <f t="shared" ref="J60:J61" si="30">J53</f>
        <v>3500</v>
      </c>
      <c r="K60" s="21"/>
      <c r="L60" s="21"/>
      <c r="M60" s="21">
        <f>M53</f>
        <v>2</v>
      </c>
      <c r="N60" s="21"/>
    </row>
    <row r="61" spans="1:14" ht="14.25" customHeight="1" x14ac:dyDescent="0.15">
      <c r="A61" s="19">
        <v>1</v>
      </c>
      <c r="B61" s="19">
        <v>3.6</v>
      </c>
      <c r="C61" s="19">
        <v>1.2</v>
      </c>
      <c r="D61" s="19">
        <f>B61*C61</f>
        <v>4.32</v>
      </c>
      <c r="E61" s="19"/>
      <c r="F61" s="19"/>
      <c r="G61" s="19">
        <v>2</v>
      </c>
      <c r="H61" s="19">
        <f t="shared" ref="H61:I61" si="31">A61</f>
        <v>1</v>
      </c>
      <c r="I61" s="19">
        <f t="shared" si="31"/>
        <v>3.6</v>
      </c>
      <c r="J61" s="19">
        <f t="shared" si="30"/>
        <v>3</v>
      </c>
      <c r="K61" s="19"/>
      <c r="L61" s="19"/>
      <c r="M61" s="19"/>
      <c r="N61" s="19"/>
    </row>
    <row r="62" spans="1:14" ht="14.25" customHeight="1" x14ac:dyDescent="0.15">
      <c r="A62" s="19"/>
      <c r="B62" s="19"/>
      <c r="C62" s="19"/>
      <c r="D62" s="26" t="str">
        <f>D6</f>
        <v>2200</v>
      </c>
      <c r="E62" s="19">
        <v>4</v>
      </c>
      <c r="F62" s="19">
        <f>B61*2</f>
        <v>7.2</v>
      </c>
      <c r="G62" s="19"/>
      <c r="H62" s="19"/>
      <c r="I62" s="19"/>
      <c r="J62" s="19"/>
      <c r="K62" s="19"/>
      <c r="L62" s="19"/>
      <c r="M62" s="19"/>
      <c r="N62" s="19"/>
    </row>
    <row r="63" spans="1:14" ht="14.25" customHeight="1" x14ac:dyDescent="0.15">
      <c r="A63" s="19"/>
      <c r="B63" s="19"/>
      <c r="C63" s="19"/>
      <c r="D63" s="19">
        <f>D61*D62</f>
        <v>9504</v>
      </c>
      <c r="E63" s="19">
        <f>E62*E60</f>
        <v>50000</v>
      </c>
      <c r="F63" s="19">
        <f>F60*F62</f>
        <v>2736</v>
      </c>
      <c r="G63" s="19">
        <f t="shared" ref="G63:J63" si="32">G60*G61</f>
        <v>8000</v>
      </c>
      <c r="H63" s="19">
        <f t="shared" si="32"/>
        <v>1000</v>
      </c>
      <c r="I63" s="19">
        <f t="shared" si="32"/>
        <v>2106</v>
      </c>
      <c r="J63" s="19">
        <f t="shared" si="32"/>
        <v>10500</v>
      </c>
      <c r="K63" s="19">
        <f>SUM(D63:J63)</f>
        <v>83846</v>
      </c>
      <c r="L63" s="19">
        <f>K63/A61</f>
        <v>83846</v>
      </c>
      <c r="M63" s="19">
        <f>L63*M60</f>
        <v>167692</v>
      </c>
      <c r="N63" s="19">
        <f>MROUND(M63,100)</f>
        <v>167700</v>
      </c>
    </row>
    <row r="64" spans="1:14" ht="14.25" customHeight="1" x14ac:dyDescent="0.15">
      <c r="A64" s="111"/>
      <c r="B64" s="87"/>
      <c r="C64" s="87"/>
      <c r="D64" s="30"/>
      <c r="E64" s="30"/>
      <c r="F64" s="30"/>
      <c r="G64" s="30"/>
      <c r="H64" s="30"/>
      <c r="I64" s="30"/>
      <c r="J64" s="30"/>
      <c r="K64" s="30"/>
      <c r="L64" s="30"/>
      <c r="M64" s="30"/>
    </row>
    <row r="65" spans="1:14" ht="14.25" customHeight="1" x14ac:dyDescent="0.15">
      <c r="A65" s="109" t="str">
        <f>PRICELIST!I479</f>
        <v>MTLP-LG-PLM-3600-1200</v>
      </c>
      <c r="B65" s="87"/>
      <c r="C65" s="87"/>
      <c r="D65" s="30"/>
      <c r="E65" s="30"/>
      <c r="F65" s="30"/>
      <c r="G65" s="30"/>
      <c r="H65" s="30"/>
      <c r="I65" s="30"/>
      <c r="J65" s="30"/>
      <c r="K65" s="30"/>
      <c r="L65" s="30"/>
      <c r="M65" s="30"/>
    </row>
    <row r="66" spans="1:14" ht="14.25" customHeight="1" x14ac:dyDescent="0.15">
      <c r="A66" s="19" t="s">
        <v>57</v>
      </c>
      <c r="B66" s="19" t="s">
        <v>59</v>
      </c>
      <c r="C66" s="19" t="s">
        <v>62</v>
      </c>
      <c r="D66" s="19" t="s">
        <v>64</v>
      </c>
      <c r="E66" s="19" t="s">
        <v>210</v>
      </c>
      <c r="F66" s="19" t="s">
        <v>67</v>
      </c>
      <c r="G66" s="19" t="s">
        <v>69</v>
      </c>
      <c r="H66" s="19" t="s">
        <v>71</v>
      </c>
      <c r="I66" s="19" t="s">
        <v>72</v>
      </c>
      <c r="J66" s="19" t="s">
        <v>73</v>
      </c>
      <c r="K66" s="19" t="s">
        <v>76</v>
      </c>
      <c r="L66" s="19" t="s">
        <v>78</v>
      </c>
      <c r="M66" s="19" t="s">
        <v>79</v>
      </c>
      <c r="N66" s="19" t="s">
        <v>81</v>
      </c>
    </row>
    <row r="67" spans="1:14" ht="14.25" customHeight="1" x14ac:dyDescent="0.15">
      <c r="A67" s="21"/>
      <c r="B67" s="21"/>
      <c r="C67" s="21"/>
      <c r="D67" s="21"/>
      <c r="E67" s="23" t="str">
        <f>E60</f>
        <v>12500</v>
      </c>
      <c r="F67" s="21">
        <v>380</v>
      </c>
      <c r="G67" s="23" t="str">
        <f t="shared" ref="G67:H67" si="33">G60</f>
        <v>4000</v>
      </c>
      <c r="H67" s="21">
        <f t="shared" si="33"/>
        <v>1000</v>
      </c>
      <c r="I67" s="21">
        <v>585</v>
      </c>
      <c r="J67" s="23" t="str">
        <f t="shared" ref="J67:J68" si="34">J60</f>
        <v>3500</v>
      </c>
      <c r="K67" s="21"/>
      <c r="L67" s="21"/>
      <c r="M67" s="21">
        <f>M60</f>
        <v>2</v>
      </c>
      <c r="N67" s="21"/>
    </row>
    <row r="68" spans="1:14" ht="14.25" customHeight="1" x14ac:dyDescent="0.15">
      <c r="A68" s="19">
        <v>1</v>
      </c>
      <c r="B68" s="19">
        <v>3.6</v>
      </c>
      <c r="C68" s="19">
        <v>1.2</v>
      </c>
      <c r="D68" s="19">
        <f>B68*C68</f>
        <v>4.32</v>
      </c>
      <c r="E68" s="19"/>
      <c r="F68" s="19"/>
      <c r="G68" s="19">
        <v>2</v>
      </c>
      <c r="H68" s="19">
        <f t="shared" ref="H68:I68" si="35">A68</f>
        <v>1</v>
      </c>
      <c r="I68" s="19">
        <f t="shared" si="35"/>
        <v>3.6</v>
      </c>
      <c r="J68" s="19">
        <f t="shared" si="34"/>
        <v>3</v>
      </c>
      <c r="K68" s="19"/>
      <c r="L68" s="19"/>
      <c r="M68" s="19"/>
      <c r="N68" s="19"/>
    </row>
    <row r="69" spans="1:14" ht="14.25" customHeight="1" x14ac:dyDescent="0.15">
      <c r="A69" s="19"/>
      <c r="B69" s="19"/>
      <c r="C69" s="19"/>
      <c r="D69" s="26" t="str">
        <f>D13</f>
        <v>3000</v>
      </c>
      <c r="E69" s="19">
        <v>4</v>
      </c>
      <c r="F69" s="19">
        <f>B68*2</f>
        <v>7.2</v>
      </c>
      <c r="G69" s="19"/>
      <c r="H69" s="19"/>
      <c r="I69" s="19"/>
      <c r="J69" s="19"/>
      <c r="K69" s="19"/>
      <c r="L69" s="19"/>
      <c r="M69" s="19"/>
      <c r="N69" s="19"/>
    </row>
    <row r="70" spans="1:14" ht="14.25" customHeight="1" x14ac:dyDescent="0.15">
      <c r="A70" s="19"/>
      <c r="B70" s="19"/>
      <c r="C70" s="19"/>
      <c r="D70" s="19">
        <f>D68*D69</f>
        <v>12960</v>
      </c>
      <c r="E70" s="19">
        <f>E69*E67</f>
        <v>50000</v>
      </c>
      <c r="F70" s="19">
        <f>F67*F69</f>
        <v>2736</v>
      </c>
      <c r="G70" s="19">
        <f t="shared" ref="G70:J70" si="36">G67*G68</f>
        <v>8000</v>
      </c>
      <c r="H70" s="19">
        <f t="shared" si="36"/>
        <v>1000</v>
      </c>
      <c r="I70" s="19">
        <f t="shared" si="36"/>
        <v>2106</v>
      </c>
      <c r="J70" s="19">
        <f t="shared" si="36"/>
        <v>10500</v>
      </c>
      <c r="K70" s="19">
        <f>SUM(D70:J70)</f>
        <v>87302</v>
      </c>
      <c r="L70" s="19">
        <f>K70/A68</f>
        <v>87302</v>
      </c>
      <c r="M70" s="19">
        <f>L70*M67</f>
        <v>174604</v>
      </c>
      <c r="N70" s="19">
        <f>MROUND(M70,100)</f>
        <v>174600</v>
      </c>
    </row>
    <row r="71" spans="1:14" ht="14.25" customHeight="1" x14ac:dyDescent="0.1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</row>
    <row r="72" spans="1:14" ht="14.25" customHeight="1" x14ac:dyDescent="0.15">
      <c r="A72" s="109" t="str">
        <f>PRICELIST!I480</f>
        <v>MTLP-LG-PoLM-3600-1200</v>
      </c>
      <c r="B72" s="87"/>
      <c r="C72" s="87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spans="1:14" ht="14.25" customHeight="1" x14ac:dyDescent="0.15">
      <c r="A73" s="19" t="s">
        <v>57</v>
      </c>
      <c r="B73" s="19" t="s">
        <v>59</v>
      </c>
      <c r="C73" s="19" t="s">
        <v>62</v>
      </c>
      <c r="D73" s="19" t="s">
        <v>64</v>
      </c>
      <c r="E73" s="19" t="s">
        <v>210</v>
      </c>
      <c r="F73" s="19" t="s">
        <v>67</v>
      </c>
      <c r="G73" s="19" t="s">
        <v>69</v>
      </c>
      <c r="H73" s="19" t="s">
        <v>71</v>
      </c>
      <c r="I73" s="19" t="s">
        <v>72</v>
      </c>
      <c r="J73" s="19" t="s">
        <v>73</v>
      </c>
      <c r="K73" s="19" t="s">
        <v>76</v>
      </c>
      <c r="L73" s="19" t="s">
        <v>78</v>
      </c>
      <c r="M73" s="19" t="s">
        <v>79</v>
      </c>
      <c r="N73" s="19" t="s">
        <v>81</v>
      </c>
    </row>
    <row r="74" spans="1:14" ht="14.25" customHeight="1" x14ac:dyDescent="0.15">
      <c r="A74" s="21"/>
      <c r="B74" s="21"/>
      <c r="C74" s="21"/>
      <c r="D74" s="21"/>
      <c r="E74" s="23" t="str">
        <f>E67</f>
        <v>12500</v>
      </c>
      <c r="F74" s="21">
        <v>380</v>
      </c>
      <c r="G74" s="23" t="str">
        <f t="shared" ref="G74:H74" si="37">G67</f>
        <v>4000</v>
      </c>
      <c r="H74" s="21">
        <f t="shared" si="37"/>
        <v>1000</v>
      </c>
      <c r="I74" s="21">
        <v>585</v>
      </c>
      <c r="J74" s="23" t="str">
        <f t="shared" ref="J74:J75" si="38">J67</f>
        <v>3500</v>
      </c>
      <c r="K74" s="21"/>
      <c r="L74" s="21"/>
      <c r="M74" s="21">
        <f>M67</f>
        <v>2</v>
      </c>
      <c r="N74" s="21"/>
    </row>
    <row r="75" spans="1:14" ht="14.25" customHeight="1" x14ac:dyDescent="0.15">
      <c r="A75" s="19">
        <v>1</v>
      </c>
      <c r="B75" s="19">
        <v>3.6</v>
      </c>
      <c r="C75" s="19">
        <v>1.2</v>
      </c>
      <c r="D75" s="19">
        <f>B75*C75</f>
        <v>4.32</v>
      </c>
      <c r="E75" s="19"/>
      <c r="F75" s="19"/>
      <c r="G75" s="19">
        <v>2</v>
      </c>
      <c r="H75" s="19">
        <f t="shared" ref="H75:I75" si="39">A75</f>
        <v>1</v>
      </c>
      <c r="I75" s="19">
        <f t="shared" si="39"/>
        <v>3.6</v>
      </c>
      <c r="J75" s="19">
        <f t="shared" si="38"/>
        <v>3</v>
      </c>
      <c r="K75" s="19"/>
      <c r="L75" s="19"/>
      <c r="M75" s="19"/>
      <c r="N75" s="19"/>
    </row>
    <row r="76" spans="1:14" ht="14.25" customHeight="1" x14ac:dyDescent="0.15">
      <c r="A76" s="19"/>
      <c r="B76" s="19"/>
      <c r="C76" s="19"/>
      <c r="D76" s="26" t="str">
        <f>D20</f>
        <v>7500</v>
      </c>
      <c r="E76" s="19">
        <v>4</v>
      </c>
      <c r="F76" s="19">
        <f>B75*2</f>
        <v>7.2</v>
      </c>
      <c r="G76" s="19"/>
      <c r="H76" s="19"/>
      <c r="I76" s="19"/>
      <c r="J76" s="19"/>
      <c r="K76" s="19"/>
      <c r="L76" s="19"/>
      <c r="M76" s="19"/>
      <c r="N76" s="19"/>
    </row>
    <row r="77" spans="1:14" ht="14.25" customHeight="1" x14ac:dyDescent="0.15">
      <c r="A77" s="19"/>
      <c r="B77" s="19"/>
      <c r="C77" s="19"/>
      <c r="D77" s="19">
        <f>D75*D76</f>
        <v>32400.000000000004</v>
      </c>
      <c r="E77" s="19">
        <f>E76*E74</f>
        <v>50000</v>
      </c>
      <c r="F77" s="19">
        <f>F74*F76</f>
        <v>2736</v>
      </c>
      <c r="G77" s="19">
        <f t="shared" ref="G77:J77" si="40">G74*G75</f>
        <v>8000</v>
      </c>
      <c r="H77" s="19">
        <f t="shared" si="40"/>
        <v>1000</v>
      </c>
      <c r="I77" s="19">
        <f t="shared" si="40"/>
        <v>2106</v>
      </c>
      <c r="J77" s="19">
        <f t="shared" si="40"/>
        <v>10500</v>
      </c>
      <c r="K77" s="19">
        <f>SUM(D77:J77)</f>
        <v>106742</v>
      </c>
      <c r="L77" s="19">
        <f>K77/A75</f>
        <v>106742</v>
      </c>
      <c r="M77" s="19">
        <f>L77*M74</f>
        <v>213484</v>
      </c>
      <c r="N77" s="19">
        <f>MROUND(M77,100)</f>
        <v>213500</v>
      </c>
    </row>
    <row r="78" spans="1:14" ht="14.25" customHeight="1" x14ac:dyDescent="0.1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</row>
    <row r="79" spans="1:14" ht="14.25" customHeight="1" x14ac:dyDescent="0.15">
      <c r="A79" s="109" t="str">
        <f>PRICELIST!I481</f>
        <v>MTLP-LG-LVM-3600-1200</v>
      </c>
      <c r="B79" s="87"/>
      <c r="C79" s="87"/>
      <c r="D79" s="30"/>
      <c r="E79" s="30"/>
      <c r="F79" s="30"/>
      <c r="G79" s="30"/>
      <c r="H79" s="30"/>
      <c r="I79" s="30"/>
      <c r="J79" s="30"/>
      <c r="K79" s="30"/>
      <c r="L79" s="30"/>
      <c r="M79" s="30"/>
    </row>
    <row r="80" spans="1:14" ht="14.25" customHeight="1" x14ac:dyDescent="0.15">
      <c r="A80" s="19" t="s">
        <v>57</v>
      </c>
      <c r="B80" s="19" t="s">
        <v>59</v>
      </c>
      <c r="C80" s="19" t="s">
        <v>62</v>
      </c>
      <c r="D80" s="19" t="s">
        <v>64</v>
      </c>
      <c r="E80" s="19" t="s">
        <v>210</v>
      </c>
      <c r="F80" s="19" t="s">
        <v>67</v>
      </c>
      <c r="G80" s="19" t="s">
        <v>69</v>
      </c>
      <c r="H80" s="19" t="s">
        <v>71</v>
      </c>
      <c r="I80" s="19" t="s">
        <v>72</v>
      </c>
      <c r="J80" s="19" t="s">
        <v>73</v>
      </c>
      <c r="K80" s="19" t="s">
        <v>76</v>
      </c>
      <c r="L80" s="19" t="s">
        <v>78</v>
      </c>
      <c r="M80" s="19" t="s">
        <v>79</v>
      </c>
      <c r="N80" s="19" t="s">
        <v>81</v>
      </c>
    </row>
    <row r="81" spans="1:14" ht="14.25" customHeight="1" x14ac:dyDescent="0.15">
      <c r="A81" s="21"/>
      <c r="B81" s="21"/>
      <c r="C81" s="21"/>
      <c r="D81" s="21"/>
      <c r="E81" s="23" t="str">
        <f>E74</f>
        <v>12500</v>
      </c>
      <c r="F81" s="21">
        <v>380</v>
      </c>
      <c r="G81" s="23" t="str">
        <f t="shared" ref="G81:H81" si="41">G74</f>
        <v>4000</v>
      </c>
      <c r="H81" s="21">
        <f t="shared" si="41"/>
        <v>1000</v>
      </c>
      <c r="I81" s="21">
        <v>585</v>
      </c>
      <c r="J81" s="23" t="str">
        <f t="shared" ref="J81:J82" si="42">J74</f>
        <v>3500</v>
      </c>
      <c r="K81" s="21"/>
      <c r="L81" s="21"/>
      <c r="M81" s="21">
        <f>M74</f>
        <v>2</v>
      </c>
      <c r="N81" s="21"/>
    </row>
    <row r="82" spans="1:14" ht="14.25" customHeight="1" x14ac:dyDescent="0.15">
      <c r="A82" s="19">
        <v>1</v>
      </c>
      <c r="B82" s="19">
        <v>3.6</v>
      </c>
      <c r="C82" s="19">
        <v>1.2</v>
      </c>
      <c r="D82" s="19">
        <f>B82*C82</f>
        <v>4.32</v>
      </c>
      <c r="E82" s="19"/>
      <c r="F82" s="19"/>
      <c r="G82" s="19">
        <v>2</v>
      </c>
      <c r="H82" s="19">
        <f t="shared" ref="H82:I82" si="43">A82</f>
        <v>1</v>
      </c>
      <c r="I82" s="19">
        <f t="shared" si="43"/>
        <v>3.6</v>
      </c>
      <c r="J82" s="19">
        <f t="shared" si="42"/>
        <v>3</v>
      </c>
      <c r="K82" s="19"/>
      <c r="L82" s="19"/>
      <c r="M82" s="19"/>
      <c r="N82" s="19"/>
    </row>
    <row r="83" spans="1:14" ht="14.25" customHeight="1" x14ac:dyDescent="0.15">
      <c r="A83" s="19"/>
      <c r="B83" s="19"/>
      <c r="C83" s="19"/>
      <c r="D83" s="26" t="str">
        <f>D27</f>
        <v>9500</v>
      </c>
      <c r="E83" s="19">
        <v>4</v>
      </c>
      <c r="F83" s="19">
        <f>B82*2</f>
        <v>7.2</v>
      </c>
      <c r="G83" s="19"/>
      <c r="H83" s="19"/>
      <c r="I83" s="19"/>
      <c r="J83" s="19"/>
      <c r="K83" s="19"/>
      <c r="L83" s="19"/>
      <c r="M83" s="19"/>
      <c r="N83" s="19"/>
    </row>
    <row r="84" spans="1:14" ht="14.25" customHeight="1" x14ac:dyDescent="0.15">
      <c r="A84" s="19"/>
      <c r="B84" s="19"/>
      <c r="C84" s="19"/>
      <c r="D84" s="19">
        <f>D82*D83</f>
        <v>41040</v>
      </c>
      <c r="E84" s="19">
        <f>E83*E81</f>
        <v>50000</v>
      </c>
      <c r="F84" s="19">
        <f>F81*F83</f>
        <v>2736</v>
      </c>
      <c r="G84" s="19">
        <f t="shared" ref="G84:J84" si="44">G81*G82</f>
        <v>8000</v>
      </c>
      <c r="H84" s="19">
        <f t="shared" si="44"/>
        <v>1000</v>
      </c>
      <c r="I84" s="19">
        <f t="shared" si="44"/>
        <v>2106</v>
      </c>
      <c r="J84" s="19">
        <f t="shared" si="44"/>
        <v>10500</v>
      </c>
      <c r="K84" s="19">
        <f>SUM(D84:J84)</f>
        <v>115382</v>
      </c>
      <c r="L84" s="19">
        <f>K84/A82</f>
        <v>115382</v>
      </c>
      <c r="M84" s="19">
        <f>L84*M81</f>
        <v>230764</v>
      </c>
      <c r="N84" s="19">
        <f>MROUND(M84,100)</f>
        <v>230800</v>
      </c>
    </row>
    <row r="85" spans="1:14" ht="14.25" customHeight="1" x14ac:dyDescent="0.1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</row>
    <row r="86" spans="1:14" ht="14.25" customHeight="1" x14ac:dyDescent="0.15">
      <c r="A86" s="109" t="str">
        <f>PRICELIST!I482</f>
        <v>MTLP-LG-LVP-3600-1200</v>
      </c>
      <c r="B86" s="87"/>
      <c r="C86" s="87"/>
      <c r="D86" s="30"/>
      <c r="E86" s="30"/>
      <c r="F86" s="30"/>
      <c r="G86" s="30"/>
      <c r="H86" s="30"/>
      <c r="I86" s="30"/>
      <c r="J86" s="30"/>
      <c r="K86" s="30"/>
      <c r="L86" s="30"/>
      <c r="M86" s="30"/>
    </row>
    <row r="87" spans="1:14" ht="14.25" customHeight="1" x14ac:dyDescent="0.15">
      <c r="A87" s="19" t="s">
        <v>57</v>
      </c>
      <c r="B87" s="19" t="s">
        <v>59</v>
      </c>
      <c r="C87" s="19" t="s">
        <v>62</v>
      </c>
      <c r="D87" s="19" t="s">
        <v>64</v>
      </c>
      <c r="E87" s="19" t="s">
        <v>210</v>
      </c>
      <c r="F87" s="19" t="s">
        <v>67</v>
      </c>
      <c r="G87" s="19" t="s">
        <v>69</v>
      </c>
      <c r="H87" s="19" t="s">
        <v>71</v>
      </c>
      <c r="I87" s="19" t="s">
        <v>72</v>
      </c>
      <c r="J87" s="19" t="s">
        <v>73</v>
      </c>
      <c r="K87" s="19" t="s">
        <v>76</v>
      </c>
      <c r="L87" s="19" t="s">
        <v>78</v>
      </c>
      <c r="M87" s="19" t="s">
        <v>79</v>
      </c>
      <c r="N87" s="19" t="s">
        <v>81</v>
      </c>
    </row>
    <row r="88" spans="1:14" ht="14.25" customHeight="1" x14ac:dyDescent="0.15">
      <c r="A88" s="21"/>
      <c r="B88" s="21"/>
      <c r="C88" s="21"/>
      <c r="D88" s="21"/>
      <c r="E88" s="23" t="str">
        <f>E81</f>
        <v>12500</v>
      </c>
      <c r="F88" s="21">
        <v>380</v>
      </c>
      <c r="G88" s="23" t="str">
        <f t="shared" ref="G88:H88" si="45">G81</f>
        <v>4000</v>
      </c>
      <c r="H88" s="21">
        <f t="shared" si="45"/>
        <v>1000</v>
      </c>
      <c r="I88" s="21">
        <v>585</v>
      </c>
      <c r="J88" s="23" t="str">
        <f t="shared" ref="J88:J89" si="46">J81</f>
        <v>3500</v>
      </c>
      <c r="K88" s="21"/>
      <c r="L88" s="21"/>
      <c r="M88" s="21">
        <f>M81</f>
        <v>2</v>
      </c>
      <c r="N88" s="21"/>
    </row>
    <row r="89" spans="1:14" ht="14.25" customHeight="1" x14ac:dyDescent="0.15">
      <c r="A89" s="19">
        <v>1</v>
      </c>
      <c r="B89" s="19">
        <v>3.6</v>
      </c>
      <c r="C89" s="19">
        <v>1.2</v>
      </c>
      <c r="D89" s="19">
        <f>B89*C89</f>
        <v>4.32</v>
      </c>
      <c r="E89" s="19"/>
      <c r="F89" s="19"/>
      <c r="G89" s="19">
        <v>2</v>
      </c>
      <c r="H89" s="19">
        <f t="shared" ref="H89:I89" si="47">A89</f>
        <v>1</v>
      </c>
      <c r="I89" s="19">
        <f t="shared" si="47"/>
        <v>3.6</v>
      </c>
      <c r="J89" s="19">
        <f t="shared" si="46"/>
        <v>3</v>
      </c>
      <c r="K89" s="19"/>
      <c r="L89" s="19"/>
      <c r="M89" s="19"/>
      <c r="N89" s="19"/>
    </row>
    <row r="90" spans="1:14" ht="14.25" customHeight="1" x14ac:dyDescent="0.15">
      <c r="A90" s="19"/>
      <c r="B90" s="19"/>
      <c r="C90" s="19"/>
      <c r="D90" s="26" t="str">
        <f>D34</f>
        <v>10500</v>
      </c>
      <c r="E90" s="19">
        <v>4</v>
      </c>
      <c r="F90" s="19">
        <f>B89*2</f>
        <v>7.2</v>
      </c>
      <c r="G90" s="19"/>
      <c r="H90" s="19"/>
      <c r="I90" s="19"/>
      <c r="J90" s="19"/>
      <c r="K90" s="19"/>
      <c r="L90" s="19"/>
      <c r="M90" s="19"/>
      <c r="N90" s="19"/>
    </row>
    <row r="91" spans="1:14" ht="14.25" customHeight="1" x14ac:dyDescent="0.15">
      <c r="A91" s="19"/>
      <c r="B91" s="19"/>
      <c r="C91" s="19"/>
      <c r="D91" s="19">
        <f>D89*D90</f>
        <v>45360</v>
      </c>
      <c r="E91" s="19">
        <f>E90*E88</f>
        <v>50000</v>
      </c>
      <c r="F91" s="19">
        <f>F88*F90</f>
        <v>2736</v>
      </c>
      <c r="G91" s="19">
        <f t="shared" ref="G91:J91" si="48">G88*G89</f>
        <v>8000</v>
      </c>
      <c r="H91" s="19">
        <f t="shared" si="48"/>
        <v>1000</v>
      </c>
      <c r="I91" s="19">
        <f t="shared" si="48"/>
        <v>2106</v>
      </c>
      <c r="J91" s="19">
        <f t="shared" si="48"/>
        <v>10500</v>
      </c>
      <c r="K91" s="19">
        <f>SUM(D91:J91)</f>
        <v>119702</v>
      </c>
      <c r="L91" s="19">
        <f>K91/A89</f>
        <v>119702</v>
      </c>
      <c r="M91" s="19">
        <f>L91*M88</f>
        <v>239404</v>
      </c>
      <c r="N91" s="19">
        <f>MROUND(M91,100)</f>
        <v>239400</v>
      </c>
    </row>
    <row r="92" spans="1:14" ht="14.25" customHeight="1" x14ac:dyDescent="0.1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</row>
    <row r="93" spans="1:14" ht="14.25" customHeight="1" x14ac:dyDescent="0.15">
      <c r="A93" s="109" t="str">
        <f>PRICELIST!I483</f>
        <v>MTLP-LG-VNR-3600-1200</v>
      </c>
      <c r="B93" s="87"/>
      <c r="C93" s="87"/>
      <c r="D93" s="30"/>
      <c r="E93" s="30"/>
      <c r="F93" s="30"/>
      <c r="G93" s="30"/>
      <c r="H93" s="30"/>
      <c r="I93" s="30"/>
      <c r="J93" s="30"/>
      <c r="K93" s="30"/>
      <c r="L93" s="30"/>
      <c r="M93" s="30"/>
    </row>
    <row r="94" spans="1:14" ht="14.25" customHeight="1" x14ac:dyDescent="0.15">
      <c r="A94" s="19" t="s">
        <v>57</v>
      </c>
      <c r="B94" s="19" t="s">
        <v>59</v>
      </c>
      <c r="C94" s="19" t="s">
        <v>62</v>
      </c>
      <c r="D94" s="19" t="s">
        <v>64</v>
      </c>
      <c r="E94" s="19" t="s">
        <v>210</v>
      </c>
      <c r="F94" s="19" t="s">
        <v>67</v>
      </c>
      <c r="G94" s="19" t="s">
        <v>69</v>
      </c>
      <c r="H94" s="19" t="s">
        <v>71</v>
      </c>
      <c r="I94" s="19" t="s">
        <v>72</v>
      </c>
      <c r="J94" s="19" t="s">
        <v>73</v>
      </c>
      <c r="K94" s="19" t="s">
        <v>76</v>
      </c>
      <c r="L94" s="19" t="s">
        <v>78</v>
      </c>
      <c r="M94" s="19" t="s">
        <v>79</v>
      </c>
      <c r="N94" s="19" t="s">
        <v>81</v>
      </c>
    </row>
    <row r="95" spans="1:14" ht="14.25" customHeight="1" x14ac:dyDescent="0.15">
      <c r="A95" s="21"/>
      <c r="B95" s="21"/>
      <c r="C95" s="21"/>
      <c r="D95" s="21"/>
      <c r="E95" s="23" t="str">
        <f>E88</f>
        <v>12500</v>
      </c>
      <c r="F95" s="21">
        <v>380</v>
      </c>
      <c r="G95" s="23" t="str">
        <f t="shared" ref="G95:H95" si="49">G88</f>
        <v>4000</v>
      </c>
      <c r="H95" s="21">
        <f t="shared" si="49"/>
        <v>1000</v>
      </c>
      <c r="I95" s="21">
        <v>585</v>
      </c>
      <c r="J95" s="23" t="str">
        <f t="shared" ref="J95:J96" si="50">J88</f>
        <v>3500</v>
      </c>
      <c r="K95" s="21"/>
      <c r="L95" s="21"/>
      <c r="M95" s="21">
        <f>M88</f>
        <v>2</v>
      </c>
      <c r="N95" s="21"/>
    </row>
    <row r="96" spans="1:14" ht="14.25" customHeight="1" x14ac:dyDescent="0.15">
      <c r="A96" s="19">
        <v>1</v>
      </c>
      <c r="B96" s="19">
        <v>3.6</v>
      </c>
      <c r="C96" s="19">
        <v>1.2</v>
      </c>
      <c r="D96" s="19">
        <f>B96*C96</f>
        <v>4.32</v>
      </c>
      <c r="E96" s="19"/>
      <c r="F96" s="19"/>
      <c r="G96" s="19">
        <v>2</v>
      </c>
      <c r="H96" s="19">
        <f t="shared" ref="H96:I96" si="51">A96</f>
        <v>1</v>
      </c>
      <c r="I96" s="19">
        <f t="shared" si="51"/>
        <v>3.6</v>
      </c>
      <c r="J96" s="19">
        <f t="shared" si="50"/>
        <v>3</v>
      </c>
      <c r="K96" s="19"/>
      <c r="L96" s="19"/>
      <c r="M96" s="19"/>
      <c r="N96" s="19"/>
    </row>
    <row r="97" spans="1:14" ht="14.25" customHeight="1" x14ac:dyDescent="0.15">
      <c r="A97" s="19"/>
      <c r="B97" s="19"/>
      <c r="C97" s="19"/>
      <c r="D97" s="26" t="str">
        <f>D41</f>
        <v>30000</v>
      </c>
      <c r="E97" s="19">
        <v>4</v>
      </c>
      <c r="F97" s="19">
        <f>B96*2</f>
        <v>7.2</v>
      </c>
      <c r="G97" s="19"/>
      <c r="H97" s="19"/>
      <c r="I97" s="19"/>
      <c r="J97" s="19"/>
      <c r="K97" s="19"/>
      <c r="L97" s="19"/>
      <c r="M97" s="19"/>
      <c r="N97" s="19"/>
    </row>
    <row r="98" spans="1:14" ht="14.25" customHeight="1" x14ac:dyDescent="0.15">
      <c r="A98" s="19"/>
      <c r="B98" s="19"/>
      <c r="C98" s="19"/>
      <c r="D98" s="19">
        <f>D96*D97</f>
        <v>129600.00000000001</v>
      </c>
      <c r="E98" s="19">
        <f>E97*E95</f>
        <v>50000</v>
      </c>
      <c r="F98" s="19">
        <f>F95*F97</f>
        <v>2736</v>
      </c>
      <c r="G98" s="19">
        <f t="shared" ref="G98:J98" si="52">G95*G96</f>
        <v>8000</v>
      </c>
      <c r="H98" s="19">
        <f t="shared" si="52"/>
        <v>1000</v>
      </c>
      <c r="I98" s="19">
        <f t="shared" si="52"/>
        <v>2106</v>
      </c>
      <c r="J98" s="19">
        <f t="shared" si="52"/>
        <v>10500</v>
      </c>
      <c r="K98" s="19">
        <f>SUM(D98:J98)</f>
        <v>203942</v>
      </c>
      <c r="L98" s="19">
        <f>K98/A96</f>
        <v>203942</v>
      </c>
      <c r="M98" s="19">
        <f>L98*M95</f>
        <v>407884</v>
      </c>
      <c r="N98" s="19">
        <f>MROUND(M98,100)</f>
        <v>407900</v>
      </c>
    </row>
    <row r="99" spans="1:14" ht="14.25" customHeight="1" x14ac:dyDescent="0.1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</row>
    <row r="100" spans="1:14" ht="14.25" customHeight="1" x14ac:dyDescent="0.15">
      <c r="A100" s="109" t="str">
        <f>PRICELIST!I484</f>
        <v>MTLP-LG-MBL-3600-1200</v>
      </c>
      <c r="B100" s="87"/>
      <c r="C100" s="87"/>
      <c r="D100" s="30"/>
      <c r="E100" s="30"/>
      <c r="F100" s="30"/>
      <c r="G100" s="30"/>
      <c r="H100" s="30"/>
      <c r="I100" s="30"/>
      <c r="J100" s="30"/>
      <c r="K100" s="30"/>
      <c r="L100" s="30"/>
      <c r="M100" s="30"/>
    </row>
    <row r="101" spans="1:14" ht="14.25" customHeight="1" x14ac:dyDescent="0.15">
      <c r="A101" s="19" t="s">
        <v>57</v>
      </c>
      <c r="B101" s="19" t="s">
        <v>59</v>
      </c>
      <c r="C101" s="19" t="s">
        <v>62</v>
      </c>
      <c r="D101" s="19" t="s">
        <v>64</v>
      </c>
      <c r="E101" s="19" t="s">
        <v>210</v>
      </c>
      <c r="F101" s="19" t="s">
        <v>67</v>
      </c>
      <c r="G101" s="19" t="s">
        <v>69</v>
      </c>
      <c r="H101" s="19" t="s">
        <v>71</v>
      </c>
      <c r="I101" s="19" t="s">
        <v>72</v>
      </c>
      <c r="J101" s="19" t="s">
        <v>73</v>
      </c>
      <c r="K101" s="19" t="s">
        <v>76</v>
      </c>
      <c r="L101" s="19" t="s">
        <v>78</v>
      </c>
      <c r="M101" s="19" t="s">
        <v>79</v>
      </c>
      <c r="N101" s="19" t="s">
        <v>81</v>
      </c>
    </row>
    <row r="102" spans="1:14" ht="14.25" customHeight="1" x14ac:dyDescent="0.15">
      <c r="A102" s="21"/>
      <c r="B102" s="21"/>
      <c r="C102" s="21"/>
      <c r="D102" s="21"/>
      <c r="E102" s="23" t="str">
        <f>E95</f>
        <v>12500</v>
      </c>
      <c r="F102" s="21">
        <v>380</v>
      </c>
      <c r="G102" s="23" t="str">
        <f t="shared" ref="G102:H102" si="53">G95</f>
        <v>4000</v>
      </c>
      <c r="H102" s="21">
        <f t="shared" si="53"/>
        <v>1000</v>
      </c>
      <c r="I102" s="21">
        <v>585</v>
      </c>
      <c r="J102" s="23" t="str">
        <f t="shared" ref="J102:J103" si="54">J95</f>
        <v>3500</v>
      </c>
      <c r="K102" s="21"/>
      <c r="L102" s="21"/>
      <c r="M102" s="21">
        <f>M95</f>
        <v>2</v>
      </c>
      <c r="N102" s="21"/>
    </row>
    <row r="103" spans="1:14" ht="14.25" customHeight="1" x14ac:dyDescent="0.15">
      <c r="A103" s="19">
        <v>1</v>
      </c>
      <c r="B103" s="19">
        <v>3.6</v>
      </c>
      <c r="C103" s="19">
        <v>1.2</v>
      </c>
      <c r="D103" s="19">
        <f>B103*C103</f>
        <v>4.32</v>
      </c>
      <c r="E103" s="19"/>
      <c r="F103" s="19"/>
      <c r="G103" s="19">
        <v>2</v>
      </c>
      <c r="H103" s="19">
        <f t="shared" ref="H103:I103" si="55">A103</f>
        <v>1</v>
      </c>
      <c r="I103" s="19">
        <f t="shared" si="55"/>
        <v>3.6</v>
      </c>
      <c r="J103" s="19">
        <f t="shared" si="54"/>
        <v>3</v>
      </c>
      <c r="K103" s="19"/>
      <c r="L103" s="19"/>
      <c r="M103" s="19"/>
      <c r="N103" s="19"/>
    </row>
    <row r="104" spans="1:14" ht="14.25" customHeight="1" x14ac:dyDescent="0.15">
      <c r="A104" s="19"/>
      <c r="B104" s="19"/>
      <c r="C104" s="19"/>
      <c r="D104" s="26">
        <f>D48</f>
        <v>37500</v>
      </c>
      <c r="E104" s="19">
        <v>4</v>
      </c>
      <c r="F104" s="19">
        <f>B103*2</f>
        <v>7.2</v>
      </c>
      <c r="G104" s="19"/>
      <c r="H104" s="19"/>
      <c r="I104" s="19"/>
      <c r="J104" s="19"/>
      <c r="K104" s="19"/>
      <c r="L104" s="19"/>
      <c r="M104" s="19"/>
      <c r="N104" s="19"/>
    </row>
    <row r="105" spans="1:14" ht="14.25" customHeight="1" x14ac:dyDescent="0.15">
      <c r="A105" s="19"/>
      <c r="B105" s="19"/>
      <c r="C105" s="19"/>
      <c r="D105" s="19">
        <f>D103*D104</f>
        <v>162000</v>
      </c>
      <c r="E105" s="19">
        <f>E104*E102</f>
        <v>50000</v>
      </c>
      <c r="F105" s="19">
        <f>F102*F104</f>
        <v>2736</v>
      </c>
      <c r="G105" s="19">
        <f t="shared" ref="G105:J105" si="56">G102*G103</f>
        <v>8000</v>
      </c>
      <c r="H105" s="19">
        <f t="shared" si="56"/>
        <v>1000</v>
      </c>
      <c r="I105" s="19">
        <f t="shared" si="56"/>
        <v>2106</v>
      </c>
      <c r="J105" s="19">
        <f t="shared" si="56"/>
        <v>10500</v>
      </c>
      <c r="K105" s="19">
        <f>SUM(D105:J105)</f>
        <v>236342</v>
      </c>
      <c r="L105" s="19">
        <f>K105/A103</f>
        <v>236342</v>
      </c>
      <c r="M105" s="19">
        <f>L105*M102</f>
        <v>472684</v>
      </c>
      <c r="N105" s="19">
        <f>MROUND(M105,100)</f>
        <v>472700</v>
      </c>
    </row>
    <row r="106" spans="1:14" ht="14.25" customHeight="1" x14ac:dyDescent="0.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</row>
    <row r="107" spans="1:14" ht="14.25" customHeight="1" x14ac:dyDescent="0.15">
      <c r="A107" s="109" t="str">
        <f>PRICELIST!I485</f>
        <v>MTLP-LG-GL-3600-1200</v>
      </c>
      <c r="B107" s="87"/>
      <c r="C107" s="87"/>
      <c r="D107" s="30"/>
      <c r="E107" s="30"/>
      <c r="F107" s="30"/>
      <c r="G107" s="30"/>
      <c r="H107" s="30"/>
      <c r="I107" s="30"/>
      <c r="J107" s="30"/>
      <c r="K107" s="30"/>
      <c r="L107" s="30"/>
      <c r="M107" s="30"/>
    </row>
    <row r="108" spans="1:14" ht="14.25" customHeight="1" x14ac:dyDescent="0.15">
      <c r="A108" s="19" t="s">
        <v>57</v>
      </c>
      <c r="B108" s="19" t="s">
        <v>59</v>
      </c>
      <c r="C108" s="19" t="s">
        <v>62</v>
      </c>
      <c r="D108" s="19" t="s">
        <v>64</v>
      </c>
      <c r="E108" s="19" t="s">
        <v>210</v>
      </c>
      <c r="F108" s="19" t="s">
        <v>67</v>
      </c>
      <c r="G108" s="19" t="s">
        <v>69</v>
      </c>
      <c r="H108" s="19" t="s">
        <v>71</v>
      </c>
      <c r="I108" s="19" t="s">
        <v>72</v>
      </c>
      <c r="J108" s="19" t="s">
        <v>73</v>
      </c>
      <c r="K108" s="19" t="s">
        <v>76</v>
      </c>
      <c r="L108" s="19" t="s">
        <v>78</v>
      </c>
      <c r="M108" s="19" t="s">
        <v>79</v>
      </c>
      <c r="N108" s="19" t="s">
        <v>81</v>
      </c>
    </row>
    <row r="109" spans="1:14" ht="14.25" customHeight="1" x14ac:dyDescent="0.15">
      <c r="A109" s="21"/>
      <c r="B109" s="21"/>
      <c r="C109" s="21"/>
      <c r="D109" s="21"/>
      <c r="E109" s="23" t="str">
        <f>E102</f>
        <v>12500</v>
      </c>
      <c r="F109" s="21">
        <v>380</v>
      </c>
      <c r="G109" s="23" t="str">
        <f t="shared" ref="G109:H109" si="57">G102</f>
        <v>4000</v>
      </c>
      <c r="H109" s="21">
        <f t="shared" si="57"/>
        <v>1000</v>
      </c>
      <c r="I109" s="21">
        <v>585</v>
      </c>
      <c r="J109" s="23" t="str">
        <f t="shared" ref="J109:J110" si="58">J102</f>
        <v>3500</v>
      </c>
      <c r="K109" s="21"/>
      <c r="L109" s="21"/>
      <c r="M109" s="21">
        <f>M102</f>
        <v>2</v>
      </c>
      <c r="N109" s="21"/>
    </row>
    <row r="110" spans="1:14" ht="14.25" customHeight="1" x14ac:dyDescent="0.15">
      <c r="A110" s="19">
        <v>1</v>
      </c>
      <c r="B110" s="19">
        <v>3.6</v>
      </c>
      <c r="C110" s="19">
        <v>1.2</v>
      </c>
      <c r="D110" s="19">
        <f>B110*C110</f>
        <v>4.32</v>
      </c>
      <c r="E110" s="19"/>
      <c r="F110" s="19"/>
      <c r="G110" s="19">
        <v>2</v>
      </c>
      <c r="H110" s="19">
        <f t="shared" ref="H110:I110" si="59">A110</f>
        <v>1</v>
      </c>
      <c r="I110" s="19">
        <f t="shared" si="59"/>
        <v>3.6</v>
      </c>
      <c r="J110" s="19">
        <f t="shared" si="58"/>
        <v>3</v>
      </c>
      <c r="K110" s="19"/>
      <c r="L110" s="19"/>
      <c r="M110" s="19"/>
      <c r="N110" s="19"/>
    </row>
    <row r="111" spans="1:14" ht="14.25" customHeight="1" x14ac:dyDescent="0.15">
      <c r="A111" s="19"/>
      <c r="B111" s="19"/>
      <c r="C111" s="19"/>
      <c r="D111" s="26" t="str">
        <f>D55</f>
        <v>7500</v>
      </c>
      <c r="E111" s="19">
        <v>4</v>
      </c>
      <c r="F111" s="19">
        <f>B110*2</f>
        <v>7.2</v>
      </c>
      <c r="G111" s="19"/>
      <c r="H111" s="19"/>
      <c r="I111" s="19"/>
      <c r="J111" s="19"/>
      <c r="K111" s="19"/>
      <c r="L111" s="19"/>
      <c r="M111" s="19"/>
      <c r="N111" s="19"/>
    </row>
    <row r="112" spans="1:14" ht="14.25" customHeight="1" x14ac:dyDescent="0.15">
      <c r="A112" s="19"/>
      <c r="B112" s="19"/>
      <c r="C112" s="19"/>
      <c r="D112" s="19">
        <f>D110*D111</f>
        <v>32400.000000000004</v>
      </c>
      <c r="E112" s="19">
        <f>E111*E109</f>
        <v>50000</v>
      </c>
      <c r="F112" s="19">
        <f>F109*F111</f>
        <v>2736</v>
      </c>
      <c r="G112" s="19">
        <f t="shared" ref="G112:J112" si="60">G109*G110</f>
        <v>8000</v>
      </c>
      <c r="H112" s="19">
        <f t="shared" si="60"/>
        <v>1000</v>
      </c>
      <c r="I112" s="19">
        <f t="shared" si="60"/>
        <v>2106</v>
      </c>
      <c r="J112" s="19">
        <f t="shared" si="60"/>
        <v>10500</v>
      </c>
      <c r="K112" s="19">
        <f>SUM(D112:J112)</f>
        <v>106742</v>
      </c>
      <c r="L112" s="19">
        <f>K112/A110</f>
        <v>106742</v>
      </c>
      <c r="M112" s="19">
        <f>L112*M109</f>
        <v>213484</v>
      </c>
      <c r="N112" s="19">
        <f>MROUND(M112,100)</f>
        <v>213500</v>
      </c>
    </row>
    <row r="113" spans="1:14" ht="14.25" customHeight="1" x14ac:dyDescent="0.15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 ht="14.25" customHeight="1" x14ac:dyDescent="0.15">
      <c r="A114" s="109" t="str">
        <f>PRICELIST!I486</f>
        <v>MTLP-XL-PB-4800-1200</v>
      </c>
      <c r="B114" s="87"/>
      <c r="C114" s="87"/>
      <c r="D114" s="30"/>
      <c r="E114" s="30"/>
      <c r="F114" s="30"/>
      <c r="G114" s="30"/>
      <c r="H114" s="30"/>
      <c r="I114" s="30"/>
      <c r="J114" s="30"/>
      <c r="K114" s="30"/>
      <c r="L114" s="30"/>
      <c r="M114" s="30"/>
    </row>
    <row r="115" spans="1:14" ht="14.25" customHeight="1" x14ac:dyDescent="0.15">
      <c r="A115" s="19" t="s">
        <v>57</v>
      </c>
      <c r="B115" s="19" t="s">
        <v>59</v>
      </c>
      <c r="C115" s="19" t="s">
        <v>62</v>
      </c>
      <c r="D115" s="19" t="s">
        <v>64</v>
      </c>
      <c r="E115" s="19" t="s">
        <v>210</v>
      </c>
      <c r="F115" s="19" t="s">
        <v>67</v>
      </c>
      <c r="G115" s="19" t="s">
        <v>69</v>
      </c>
      <c r="H115" s="19" t="s">
        <v>71</v>
      </c>
      <c r="I115" s="19" t="s">
        <v>72</v>
      </c>
      <c r="J115" s="19" t="s">
        <v>73</v>
      </c>
      <c r="K115" s="19" t="s">
        <v>76</v>
      </c>
      <c r="L115" s="19" t="s">
        <v>78</v>
      </c>
      <c r="M115" s="19" t="s">
        <v>79</v>
      </c>
      <c r="N115" s="19" t="s">
        <v>81</v>
      </c>
    </row>
    <row r="116" spans="1:14" ht="14.25" customHeight="1" x14ac:dyDescent="0.15">
      <c r="A116" s="21"/>
      <c r="B116" s="21"/>
      <c r="C116" s="21"/>
      <c r="D116" s="21"/>
      <c r="E116" s="23" t="str">
        <f>E109</f>
        <v>12500</v>
      </c>
      <c r="F116" s="21">
        <v>380</v>
      </c>
      <c r="G116" s="23" t="str">
        <f t="shared" ref="G116:H116" si="61">G109</f>
        <v>4000</v>
      </c>
      <c r="H116" s="21">
        <f t="shared" si="61"/>
        <v>1000</v>
      </c>
      <c r="I116" s="21">
        <v>585</v>
      </c>
      <c r="J116" s="23" t="str">
        <f>J109</f>
        <v>3500</v>
      </c>
      <c r="K116" s="21"/>
      <c r="L116" s="21"/>
      <c r="M116" s="21">
        <f>M109</f>
        <v>2</v>
      </c>
      <c r="N116" s="21"/>
    </row>
    <row r="117" spans="1:14" ht="14.25" customHeight="1" x14ac:dyDescent="0.15">
      <c r="A117" s="19">
        <v>1</v>
      </c>
      <c r="B117" s="19">
        <v>4.8</v>
      </c>
      <c r="C117" s="19">
        <v>1.2</v>
      </c>
      <c r="D117" s="19">
        <f>B117*C117</f>
        <v>5.76</v>
      </c>
      <c r="E117" s="19"/>
      <c r="F117" s="19"/>
      <c r="G117" s="19">
        <v>2</v>
      </c>
      <c r="H117" s="19">
        <f t="shared" ref="H117:I117" si="62">A117</f>
        <v>1</v>
      </c>
      <c r="I117" s="19">
        <f t="shared" si="62"/>
        <v>4.8</v>
      </c>
      <c r="J117" s="19">
        <v>4</v>
      </c>
      <c r="K117" s="19"/>
      <c r="L117" s="19"/>
      <c r="M117" s="19"/>
      <c r="N117" s="19"/>
    </row>
    <row r="118" spans="1:14" ht="14.25" customHeight="1" x14ac:dyDescent="0.15">
      <c r="A118" s="19"/>
      <c r="B118" s="19"/>
      <c r="C118" s="19"/>
      <c r="D118" s="26" t="str">
        <f>D62</f>
        <v>2200</v>
      </c>
      <c r="E118" s="19">
        <v>6</v>
      </c>
      <c r="F118" s="19">
        <f>B117*2</f>
        <v>9.6</v>
      </c>
      <c r="G118" s="19"/>
      <c r="H118" s="19"/>
      <c r="I118" s="19"/>
      <c r="J118" s="19"/>
      <c r="K118" s="19"/>
      <c r="L118" s="19"/>
      <c r="M118" s="19"/>
      <c r="N118" s="19"/>
    </row>
    <row r="119" spans="1:14" ht="14.25" customHeight="1" x14ac:dyDescent="0.15">
      <c r="A119" s="19"/>
      <c r="B119" s="19"/>
      <c r="C119" s="19"/>
      <c r="D119" s="19">
        <f>D117*D118</f>
        <v>12672</v>
      </c>
      <c r="E119" s="19">
        <f>E118*E116</f>
        <v>75000</v>
      </c>
      <c r="F119" s="19">
        <f>F116*F118</f>
        <v>3648</v>
      </c>
      <c r="G119" s="19">
        <f t="shared" ref="G119:J119" si="63">G116*G117</f>
        <v>8000</v>
      </c>
      <c r="H119" s="19">
        <f t="shared" si="63"/>
        <v>1000</v>
      </c>
      <c r="I119" s="19">
        <f t="shared" si="63"/>
        <v>2808</v>
      </c>
      <c r="J119" s="19">
        <f t="shared" si="63"/>
        <v>14000</v>
      </c>
      <c r="K119" s="19">
        <f>SUM(D119:J119)</f>
        <v>117128</v>
      </c>
      <c r="L119" s="19">
        <f>K119/A117</f>
        <v>117128</v>
      </c>
      <c r="M119" s="19">
        <f>L119*M116</f>
        <v>234256</v>
      </c>
      <c r="N119" s="19">
        <f>MROUND(M119,100)</f>
        <v>234300</v>
      </c>
    </row>
    <row r="120" spans="1:14" ht="14.25" customHeight="1" x14ac:dyDescent="0.15">
      <c r="A120" s="111"/>
      <c r="B120" s="87"/>
      <c r="C120" s="87"/>
      <c r="D120" s="30"/>
      <c r="E120" s="30"/>
      <c r="F120" s="30"/>
      <c r="G120" s="30"/>
      <c r="H120" s="30"/>
      <c r="I120" s="30"/>
      <c r="J120" s="30"/>
      <c r="K120" s="30"/>
      <c r="L120" s="30"/>
      <c r="M120" s="30"/>
    </row>
    <row r="121" spans="1:14" ht="14.25" customHeight="1" x14ac:dyDescent="0.15">
      <c r="A121" s="109" t="str">
        <f>PRICELIST!I487</f>
        <v>MTLP-XL-PLM-4800-1200</v>
      </c>
      <c r="B121" s="87"/>
      <c r="C121" s="87"/>
      <c r="D121" s="30"/>
      <c r="E121" s="30"/>
      <c r="F121" s="30"/>
      <c r="G121" s="30"/>
      <c r="H121" s="30"/>
      <c r="I121" s="30"/>
      <c r="J121" s="30"/>
      <c r="K121" s="30"/>
      <c r="L121" s="30"/>
      <c r="M121" s="30"/>
    </row>
    <row r="122" spans="1:14" ht="14.25" customHeight="1" x14ac:dyDescent="0.15">
      <c r="A122" s="19" t="s">
        <v>57</v>
      </c>
      <c r="B122" s="19" t="s">
        <v>59</v>
      </c>
      <c r="C122" s="19" t="s">
        <v>62</v>
      </c>
      <c r="D122" s="19" t="s">
        <v>64</v>
      </c>
      <c r="E122" s="19" t="s">
        <v>210</v>
      </c>
      <c r="F122" s="19" t="s">
        <v>67</v>
      </c>
      <c r="G122" s="19" t="s">
        <v>69</v>
      </c>
      <c r="H122" s="19" t="s">
        <v>71</v>
      </c>
      <c r="I122" s="19" t="s">
        <v>72</v>
      </c>
      <c r="J122" s="19" t="s">
        <v>73</v>
      </c>
      <c r="K122" s="19" t="s">
        <v>76</v>
      </c>
      <c r="L122" s="19" t="s">
        <v>78</v>
      </c>
      <c r="M122" s="19" t="s">
        <v>79</v>
      </c>
      <c r="N122" s="19" t="s">
        <v>81</v>
      </c>
    </row>
    <row r="123" spans="1:14" ht="14.25" customHeight="1" x14ac:dyDescent="0.15">
      <c r="A123" s="21"/>
      <c r="B123" s="21"/>
      <c r="C123" s="21"/>
      <c r="D123" s="21"/>
      <c r="E123" s="23" t="str">
        <f>E116</f>
        <v>12500</v>
      </c>
      <c r="F123" s="21">
        <v>380</v>
      </c>
      <c r="G123" s="23" t="str">
        <f t="shared" ref="G123:H123" si="64">G116</f>
        <v>4000</v>
      </c>
      <c r="H123" s="21">
        <f t="shared" si="64"/>
        <v>1000</v>
      </c>
      <c r="I123" s="21">
        <v>585</v>
      </c>
      <c r="J123" s="23" t="str">
        <f t="shared" ref="J123:J124" si="65">J116</f>
        <v>3500</v>
      </c>
      <c r="K123" s="21"/>
      <c r="L123" s="21"/>
      <c r="M123" s="21">
        <f>M116</f>
        <v>2</v>
      </c>
      <c r="N123" s="21"/>
    </row>
    <row r="124" spans="1:14" ht="14.25" customHeight="1" x14ac:dyDescent="0.15">
      <c r="A124" s="19">
        <v>1</v>
      </c>
      <c r="B124" s="19">
        <v>4.8</v>
      </c>
      <c r="C124" s="19">
        <v>1.2</v>
      </c>
      <c r="D124" s="19">
        <f>B124*C124</f>
        <v>5.76</v>
      </c>
      <c r="E124" s="19"/>
      <c r="F124" s="19"/>
      <c r="G124" s="19">
        <v>2</v>
      </c>
      <c r="H124" s="19">
        <f t="shared" ref="H124:I124" si="66">A124</f>
        <v>1</v>
      </c>
      <c r="I124" s="19">
        <f t="shared" si="66"/>
        <v>4.8</v>
      </c>
      <c r="J124" s="19">
        <f t="shared" si="65"/>
        <v>4</v>
      </c>
      <c r="K124" s="19"/>
      <c r="L124" s="19"/>
      <c r="M124" s="19"/>
      <c r="N124" s="19"/>
    </row>
    <row r="125" spans="1:14" ht="14.25" customHeight="1" x14ac:dyDescent="0.15">
      <c r="A125" s="19"/>
      <c r="B125" s="19"/>
      <c r="C125" s="19"/>
      <c r="D125" s="26" t="str">
        <f>D69</f>
        <v>3000</v>
      </c>
      <c r="E125" s="19">
        <v>6</v>
      </c>
      <c r="F125" s="19">
        <f>B124*2</f>
        <v>9.6</v>
      </c>
      <c r="G125" s="19"/>
      <c r="H125" s="19"/>
      <c r="I125" s="19"/>
      <c r="J125" s="19"/>
      <c r="K125" s="19"/>
      <c r="L125" s="19"/>
      <c r="M125" s="19"/>
      <c r="N125" s="19"/>
    </row>
    <row r="126" spans="1:14" ht="14.25" customHeight="1" x14ac:dyDescent="0.15">
      <c r="A126" s="19"/>
      <c r="B126" s="19"/>
      <c r="C126" s="19"/>
      <c r="D126" s="19">
        <f>D124*D125</f>
        <v>17280</v>
      </c>
      <c r="E126" s="19">
        <f>E125*E123</f>
        <v>75000</v>
      </c>
      <c r="F126" s="19">
        <f>F123*F125</f>
        <v>3648</v>
      </c>
      <c r="G126" s="19">
        <f t="shared" ref="G126:J126" si="67">G123*G124</f>
        <v>8000</v>
      </c>
      <c r="H126" s="19">
        <f t="shared" si="67"/>
        <v>1000</v>
      </c>
      <c r="I126" s="19">
        <f t="shared" si="67"/>
        <v>2808</v>
      </c>
      <c r="J126" s="19">
        <f t="shared" si="67"/>
        <v>14000</v>
      </c>
      <c r="K126" s="19">
        <f>SUM(D126:J126)</f>
        <v>121736</v>
      </c>
      <c r="L126" s="19">
        <f>K126/A124</f>
        <v>121736</v>
      </c>
      <c r="M126" s="19">
        <f>L126*M123</f>
        <v>243472</v>
      </c>
      <c r="N126" s="19">
        <f>MROUND(M126,100)</f>
        <v>243500</v>
      </c>
    </row>
    <row r="127" spans="1:14" ht="14.25" customHeight="1" x14ac:dyDescent="0.1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</row>
    <row r="128" spans="1:14" ht="14.25" customHeight="1" x14ac:dyDescent="0.15">
      <c r="A128" s="109" t="str">
        <f>PRICELIST!I488</f>
        <v>MTLP-XL-PoLM-4800-1200</v>
      </c>
      <c r="B128" s="87"/>
      <c r="C128" s="87"/>
      <c r="D128" s="30"/>
      <c r="E128" s="30"/>
      <c r="F128" s="30"/>
      <c r="G128" s="30"/>
      <c r="H128" s="30"/>
      <c r="I128" s="30"/>
      <c r="J128" s="30"/>
      <c r="K128" s="30"/>
      <c r="L128" s="30"/>
      <c r="M128" s="30"/>
    </row>
    <row r="129" spans="1:14" ht="14.25" customHeight="1" x14ac:dyDescent="0.15">
      <c r="A129" s="19" t="s">
        <v>57</v>
      </c>
      <c r="B129" s="19" t="s">
        <v>59</v>
      </c>
      <c r="C129" s="19" t="s">
        <v>62</v>
      </c>
      <c r="D129" s="19" t="s">
        <v>64</v>
      </c>
      <c r="E129" s="19" t="s">
        <v>210</v>
      </c>
      <c r="F129" s="19" t="s">
        <v>67</v>
      </c>
      <c r="G129" s="19" t="s">
        <v>69</v>
      </c>
      <c r="H129" s="19" t="s">
        <v>71</v>
      </c>
      <c r="I129" s="19" t="s">
        <v>72</v>
      </c>
      <c r="J129" s="19" t="s">
        <v>73</v>
      </c>
      <c r="K129" s="19" t="s">
        <v>76</v>
      </c>
      <c r="L129" s="19" t="s">
        <v>78</v>
      </c>
      <c r="M129" s="19" t="s">
        <v>79</v>
      </c>
      <c r="N129" s="19" t="s">
        <v>81</v>
      </c>
    </row>
    <row r="130" spans="1:14" ht="14.25" customHeight="1" x14ac:dyDescent="0.15">
      <c r="A130" s="21"/>
      <c r="B130" s="21"/>
      <c r="C130" s="21"/>
      <c r="D130" s="21"/>
      <c r="E130" s="23" t="str">
        <f>E123</f>
        <v>12500</v>
      </c>
      <c r="F130" s="21">
        <v>380</v>
      </c>
      <c r="G130" s="23" t="str">
        <f t="shared" ref="G130:H130" si="68">G123</f>
        <v>4000</v>
      </c>
      <c r="H130" s="21">
        <f t="shared" si="68"/>
        <v>1000</v>
      </c>
      <c r="I130" s="21">
        <v>585</v>
      </c>
      <c r="J130" s="23" t="str">
        <f t="shared" ref="J130:J131" si="69">J123</f>
        <v>3500</v>
      </c>
      <c r="K130" s="21"/>
      <c r="L130" s="21"/>
      <c r="M130" s="21">
        <f>M123</f>
        <v>2</v>
      </c>
      <c r="N130" s="21"/>
    </row>
    <row r="131" spans="1:14" ht="14.25" customHeight="1" x14ac:dyDescent="0.15">
      <c r="A131" s="19">
        <v>1</v>
      </c>
      <c r="B131" s="19">
        <v>4.8</v>
      </c>
      <c r="C131" s="19">
        <v>1.2</v>
      </c>
      <c r="D131" s="19">
        <f>B131*C131</f>
        <v>5.76</v>
      </c>
      <c r="E131" s="19"/>
      <c r="F131" s="19"/>
      <c r="G131" s="19">
        <v>2</v>
      </c>
      <c r="H131" s="19">
        <f t="shared" ref="H131:I131" si="70">A131</f>
        <v>1</v>
      </c>
      <c r="I131" s="19">
        <f t="shared" si="70"/>
        <v>4.8</v>
      </c>
      <c r="J131" s="19">
        <f t="shared" si="69"/>
        <v>4</v>
      </c>
      <c r="K131" s="19"/>
      <c r="L131" s="19"/>
      <c r="M131" s="19"/>
      <c r="N131" s="19"/>
    </row>
    <row r="132" spans="1:14" ht="14.25" customHeight="1" x14ac:dyDescent="0.15">
      <c r="A132" s="19"/>
      <c r="B132" s="19"/>
      <c r="C132" s="19"/>
      <c r="D132" s="26" t="str">
        <f>D76</f>
        <v>7500</v>
      </c>
      <c r="E132" s="19">
        <v>6</v>
      </c>
      <c r="F132" s="19">
        <f>B131*2</f>
        <v>9.6</v>
      </c>
      <c r="G132" s="19"/>
      <c r="H132" s="19"/>
      <c r="I132" s="19"/>
      <c r="J132" s="19"/>
      <c r="K132" s="19"/>
      <c r="L132" s="19"/>
      <c r="M132" s="19"/>
      <c r="N132" s="19"/>
    </row>
    <row r="133" spans="1:14" ht="14.25" customHeight="1" x14ac:dyDescent="0.15">
      <c r="A133" s="19"/>
      <c r="B133" s="19"/>
      <c r="C133" s="19"/>
      <c r="D133" s="19">
        <f>D131*D132</f>
        <v>43200</v>
      </c>
      <c r="E133" s="19">
        <f>E132*E130</f>
        <v>75000</v>
      </c>
      <c r="F133" s="19">
        <f>F130*F132</f>
        <v>3648</v>
      </c>
      <c r="G133" s="19">
        <f t="shared" ref="G133:J133" si="71">G130*G131</f>
        <v>8000</v>
      </c>
      <c r="H133" s="19">
        <f t="shared" si="71"/>
        <v>1000</v>
      </c>
      <c r="I133" s="19">
        <f t="shared" si="71"/>
        <v>2808</v>
      </c>
      <c r="J133" s="19">
        <f t="shared" si="71"/>
        <v>14000</v>
      </c>
      <c r="K133" s="19">
        <f>SUM(D133:J133)</f>
        <v>147656</v>
      </c>
      <c r="L133" s="19">
        <f>K133/A131</f>
        <v>147656</v>
      </c>
      <c r="M133" s="19">
        <f>L133*M130</f>
        <v>295312</v>
      </c>
      <c r="N133" s="19">
        <f>MROUND(M133,100)</f>
        <v>295300</v>
      </c>
    </row>
    <row r="134" spans="1:14" ht="14.25" customHeight="1" x14ac:dyDescent="0.1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</row>
    <row r="135" spans="1:14" ht="14.25" customHeight="1" x14ac:dyDescent="0.15">
      <c r="A135" s="109" t="str">
        <f>PRICELIST!I489</f>
        <v>MTLP-XL-LVM-4800-1200</v>
      </c>
      <c r="B135" s="87"/>
      <c r="C135" s="87"/>
      <c r="D135" s="30"/>
      <c r="E135" s="30"/>
      <c r="F135" s="30"/>
      <c r="G135" s="30"/>
      <c r="H135" s="30"/>
      <c r="I135" s="30"/>
      <c r="J135" s="30"/>
      <c r="K135" s="30"/>
      <c r="L135" s="30"/>
      <c r="M135" s="30"/>
    </row>
    <row r="136" spans="1:14" ht="14.25" customHeight="1" x14ac:dyDescent="0.15">
      <c r="A136" s="19" t="s">
        <v>57</v>
      </c>
      <c r="B136" s="19" t="s">
        <v>59</v>
      </c>
      <c r="C136" s="19" t="s">
        <v>62</v>
      </c>
      <c r="D136" s="19" t="s">
        <v>64</v>
      </c>
      <c r="E136" s="19" t="s">
        <v>210</v>
      </c>
      <c r="F136" s="19" t="s">
        <v>67</v>
      </c>
      <c r="G136" s="19" t="s">
        <v>69</v>
      </c>
      <c r="H136" s="19" t="s">
        <v>71</v>
      </c>
      <c r="I136" s="19" t="s">
        <v>72</v>
      </c>
      <c r="J136" s="19" t="s">
        <v>73</v>
      </c>
      <c r="K136" s="19" t="s">
        <v>76</v>
      </c>
      <c r="L136" s="19" t="s">
        <v>78</v>
      </c>
      <c r="M136" s="19" t="s">
        <v>79</v>
      </c>
      <c r="N136" s="19" t="s">
        <v>81</v>
      </c>
    </row>
    <row r="137" spans="1:14" ht="14.25" customHeight="1" x14ac:dyDescent="0.15">
      <c r="A137" s="21"/>
      <c r="B137" s="21"/>
      <c r="C137" s="21"/>
      <c r="D137" s="21"/>
      <c r="E137" s="23" t="str">
        <f>E130</f>
        <v>12500</v>
      </c>
      <c r="F137" s="21">
        <v>380</v>
      </c>
      <c r="G137" s="23" t="str">
        <f t="shared" ref="G137:H137" si="72">G130</f>
        <v>4000</v>
      </c>
      <c r="H137" s="21">
        <f t="shared" si="72"/>
        <v>1000</v>
      </c>
      <c r="I137" s="21">
        <v>585</v>
      </c>
      <c r="J137" s="23" t="str">
        <f t="shared" ref="J137:J138" si="73">J130</f>
        <v>3500</v>
      </c>
      <c r="K137" s="21"/>
      <c r="L137" s="21"/>
      <c r="M137" s="21">
        <f>M130</f>
        <v>2</v>
      </c>
      <c r="N137" s="21"/>
    </row>
    <row r="138" spans="1:14" ht="14.25" customHeight="1" x14ac:dyDescent="0.15">
      <c r="A138" s="19">
        <v>1</v>
      </c>
      <c r="B138" s="19">
        <v>4.8</v>
      </c>
      <c r="C138" s="19">
        <v>1.2</v>
      </c>
      <c r="D138" s="19">
        <f>B138*C138</f>
        <v>5.76</v>
      </c>
      <c r="E138" s="19"/>
      <c r="F138" s="19"/>
      <c r="G138" s="19">
        <v>2</v>
      </c>
      <c r="H138" s="19">
        <f t="shared" ref="H138:I138" si="74">A138</f>
        <v>1</v>
      </c>
      <c r="I138" s="19">
        <f t="shared" si="74"/>
        <v>4.8</v>
      </c>
      <c r="J138" s="19">
        <f t="shared" si="73"/>
        <v>4</v>
      </c>
      <c r="K138" s="19"/>
      <c r="L138" s="19"/>
      <c r="M138" s="19"/>
      <c r="N138" s="19"/>
    </row>
    <row r="139" spans="1:14" ht="14.25" customHeight="1" x14ac:dyDescent="0.15">
      <c r="A139" s="19"/>
      <c r="B139" s="19"/>
      <c r="C139" s="19"/>
      <c r="D139" s="26" t="str">
        <f>D83</f>
        <v>9500</v>
      </c>
      <c r="E139" s="19">
        <v>6</v>
      </c>
      <c r="F139" s="19">
        <f>B138*2</f>
        <v>9.6</v>
      </c>
      <c r="G139" s="19"/>
      <c r="H139" s="19"/>
      <c r="I139" s="19"/>
      <c r="J139" s="19"/>
      <c r="K139" s="19"/>
      <c r="L139" s="19"/>
      <c r="M139" s="19"/>
      <c r="N139" s="19"/>
    </row>
    <row r="140" spans="1:14" ht="14.25" customHeight="1" x14ac:dyDescent="0.15">
      <c r="A140" s="19"/>
      <c r="B140" s="19"/>
      <c r="C140" s="19"/>
      <c r="D140" s="19">
        <f>D138*D139</f>
        <v>54720</v>
      </c>
      <c r="E140" s="19">
        <f>E139*E137</f>
        <v>75000</v>
      </c>
      <c r="F140" s="19">
        <f>F137*F139</f>
        <v>3648</v>
      </c>
      <c r="G140" s="19">
        <f t="shared" ref="G140:J140" si="75">G137*G138</f>
        <v>8000</v>
      </c>
      <c r="H140" s="19">
        <f t="shared" si="75"/>
        <v>1000</v>
      </c>
      <c r="I140" s="19">
        <f t="shared" si="75"/>
        <v>2808</v>
      </c>
      <c r="J140" s="19">
        <f t="shared" si="75"/>
        <v>14000</v>
      </c>
      <c r="K140" s="19">
        <f>SUM(D140:J140)</f>
        <v>159176</v>
      </c>
      <c r="L140" s="19">
        <f>K140/A138</f>
        <v>159176</v>
      </c>
      <c r="M140" s="19">
        <f>L140*M137</f>
        <v>318352</v>
      </c>
      <c r="N140" s="19">
        <f>MROUND(M140,100)</f>
        <v>318400</v>
      </c>
    </row>
    <row r="141" spans="1:14" ht="14.25" customHeight="1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</row>
    <row r="142" spans="1:14" ht="14.25" customHeight="1" x14ac:dyDescent="0.15">
      <c r="A142" s="109" t="str">
        <f>PRICELIST!I490</f>
        <v>MTLP-XL-LVP-4800-1200</v>
      </c>
      <c r="B142" s="87"/>
      <c r="C142" s="87"/>
      <c r="D142" s="30"/>
      <c r="E142" s="30"/>
      <c r="F142" s="30"/>
      <c r="G142" s="30"/>
      <c r="H142" s="30"/>
      <c r="I142" s="30"/>
      <c r="J142" s="30"/>
      <c r="K142" s="30"/>
      <c r="L142" s="30"/>
      <c r="M142" s="30"/>
    </row>
    <row r="143" spans="1:14" ht="14.25" customHeight="1" x14ac:dyDescent="0.15">
      <c r="A143" s="19" t="s">
        <v>57</v>
      </c>
      <c r="B143" s="19" t="s">
        <v>59</v>
      </c>
      <c r="C143" s="19" t="s">
        <v>62</v>
      </c>
      <c r="D143" s="19" t="s">
        <v>64</v>
      </c>
      <c r="E143" s="19" t="s">
        <v>210</v>
      </c>
      <c r="F143" s="19" t="s">
        <v>67</v>
      </c>
      <c r="G143" s="19" t="s">
        <v>69</v>
      </c>
      <c r="H143" s="19" t="s">
        <v>71</v>
      </c>
      <c r="I143" s="19" t="s">
        <v>72</v>
      </c>
      <c r="J143" s="19" t="s">
        <v>73</v>
      </c>
      <c r="K143" s="19" t="s">
        <v>76</v>
      </c>
      <c r="L143" s="19" t="s">
        <v>78</v>
      </c>
      <c r="M143" s="19" t="s">
        <v>79</v>
      </c>
      <c r="N143" s="19" t="s">
        <v>81</v>
      </c>
    </row>
    <row r="144" spans="1:14" ht="14.25" customHeight="1" x14ac:dyDescent="0.15">
      <c r="A144" s="21"/>
      <c r="B144" s="21"/>
      <c r="C144" s="21"/>
      <c r="D144" s="21"/>
      <c r="E144" s="23" t="str">
        <f>E137</f>
        <v>12500</v>
      </c>
      <c r="F144" s="21">
        <v>380</v>
      </c>
      <c r="G144" s="23" t="str">
        <f t="shared" ref="G144:H144" si="76">G137</f>
        <v>4000</v>
      </c>
      <c r="H144" s="21">
        <f t="shared" si="76"/>
        <v>1000</v>
      </c>
      <c r="I144" s="21">
        <v>585</v>
      </c>
      <c r="J144" s="23" t="str">
        <f t="shared" ref="J144:J145" si="77">J137</f>
        <v>3500</v>
      </c>
      <c r="K144" s="21"/>
      <c r="L144" s="21"/>
      <c r="M144" s="21">
        <f>M137</f>
        <v>2</v>
      </c>
      <c r="N144" s="21"/>
    </row>
    <row r="145" spans="1:14" ht="14.25" customHeight="1" x14ac:dyDescent="0.15">
      <c r="A145" s="19">
        <v>1</v>
      </c>
      <c r="B145" s="19">
        <v>4.8</v>
      </c>
      <c r="C145" s="19">
        <v>1.2</v>
      </c>
      <c r="D145" s="19">
        <f>B145*C145</f>
        <v>5.76</v>
      </c>
      <c r="E145" s="19"/>
      <c r="F145" s="19"/>
      <c r="G145" s="19">
        <v>2</v>
      </c>
      <c r="H145" s="19">
        <f t="shared" ref="H145:I145" si="78">A145</f>
        <v>1</v>
      </c>
      <c r="I145" s="19">
        <f t="shared" si="78"/>
        <v>4.8</v>
      </c>
      <c r="J145" s="19">
        <f t="shared" si="77"/>
        <v>4</v>
      </c>
      <c r="K145" s="19"/>
      <c r="L145" s="19"/>
      <c r="M145" s="19"/>
      <c r="N145" s="19"/>
    </row>
    <row r="146" spans="1:14" ht="14.25" customHeight="1" x14ac:dyDescent="0.15">
      <c r="A146" s="19"/>
      <c r="B146" s="19"/>
      <c r="C146" s="19"/>
      <c r="D146" s="26" t="str">
        <f>D90</f>
        <v>10500</v>
      </c>
      <c r="E146" s="19">
        <v>6</v>
      </c>
      <c r="F146" s="19">
        <f>B145*2</f>
        <v>9.6</v>
      </c>
      <c r="G146" s="19"/>
      <c r="H146" s="19"/>
      <c r="I146" s="19"/>
      <c r="J146" s="19"/>
      <c r="K146" s="19"/>
      <c r="L146" s="19"/>
      <c r="M146" s="19"/>
      <c r="N146" s="19"/>
    </row>
    <row r="147" spans="1:14" ht="14.25" customHeight="1" x14ac:dyDescent="0.15">
      <c r="A147" s="19"/>
      <c r="B147" s="19"/>
      <c r="C147" s="19"/>
      <c r="D147" s="19">
        <f>D145*D146</f>
        <v>60480</v>
      </c>
      <c r="E147" s="19">
        <f>E146*E144</f>
        <v>75000</v>
      </c>
      <c r="F147" s="19">
        <f>F144*F146</f>
        <v>3648</v>
      </c>
      <c r="G147" s="19">
        <f t="shared" ref="G147:J147" si="79">G144*G145</f>
        <v>8000</v>
      </c>
      <c r="H147" s="19">
        <f t="shared" si="79"/>
        <v>1000</v>
      </c>
      <c r="I147" s="19">
        <f t="shared" si="79"/>
        <v>2808</v>
      </c>
      <c r="J147" s="19">
        <f t="shared" si="79"/>
        <v>14000</v>
      </c>
      <c r="K147" s="19">
        <f>SUM(D147:J147)</f>
        <v>164936</v>
      </c>
      <c r="L147" s="19">
        <f>K147/A145</f>
        <v>164936</v>
      </c>
      <c r="M147" s="19">
        <f>L147*M144</f>
        <v>329872</v>
      </c>
      <c r="N147" s="19">
        <f>MROUND(M147,100)</f>
        <v>329900</v>
      </c>
    </row>
    <row r="148" spans="1:14" ht="14.25" customHeight="1" x14ac:dyDescent="0.1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  <row r="149" spans="1:14" ht="14.25" customHeight="1" x14ac:dyDescent="0.15">
      <c r="A149" s="109" t="str">
        <f>PRICELIST!I491</f>
        <v>MTLP-XL-VNR-4800-1200</v>
      </c>
      <c r="B149" s="87"/>
      <c r="C149" s="87"/>
      <c r="D149" s="30"/>
      <c r="E149" s="30"/>
      <c r="F149" s="30"/>
      <c r="G149" s="30"/>
      <c r="H149" s="30"/>
      <c r="I149" s="30"/>
      <c r="J149" s="30"/>
      <c r="K149" s="30"/>
      <c r="L149" s="30"/>
      <c r="M149" s="30"/>
    </row>
    <row r="150" spans="1:14" ht="14.25" customHeight="1" x14ac:dyDescent="0.15">
      <c r="A150" s="19" t="s">
        <v>57</v>
      </c>
      <c r="B150" s="19" t="s">
        <v>59</v>
      </c>
      <c r="C150" s="19" t="s">
        <v>62</v>
      </c>
      <c r="D150" s="19" t="s">
        <v>64</v>
      </c>
      <c r="E150" s="19" t="s">
        <v>210</v>
      </c>
      <c r="F150" s="19" t="s">
        <v>67</v>
      </c>
      <c r="G150" s="19" t="s">
        <v>69</v>
      </c>
      <c r="H150" s="19" t="s">
        <v>71</v>
      </c>
      <c r="I150" s="19" t="s">
        <v>72</v>
      </c>
      <c r="J150" s="19" t="s">
        <v>73</v>
      </c>
      <c r="K150" s="19" t="s">
        <v>76</v>
      </c>
      <c r="L150" s="19" t="s">
        <v>78</v>
      </c>
      <c r="M150" s="19" t="s">
        <v>79</v>
      </c>
      <c r="N150" s="19" t="s">
        <v>81</v>
      </c>
    </row>
    <row r="151" spans="1:14" ht="14.25" customHeight="1" x14ac:dyDescent="0.15">
      <c r="A151" s="21"/>
      <c r="B151" s="21"/>
      <c r="C151" s="21"/>
      <c r="D151" s="21"/>
      <c r="E151" s="23" t="str">
        <f>E144</f>
        <v>12500</v>
      </c>
      <c r="F151" s="21">
        <v>380</v>
      </c>
      <c r="G151" s="23" t="str">
        <f t="shared" ref="G151:H151" si="80">G144</f>
        <v>4000</v>
      </c>
      <c r="H151" s="21">
        <f t="shared" si="80"/>
        <v>1000</v>
      </c>
      <c r="I151" s="21">
        <v>585</v>
      </c>
      <c r="J151" s="23" t="str">
        <f t="shared" ref="J151:J152" si="81">J144</f>
        <v>3500</v>
      </c>
      <c r="K151" s="21"/>
      <c r="L151" s="21"/>
      <c r="M151" s="21">
        <f>M144</f>
        <v>2</v>
      </c>
      <c r="N151" s="21"/>
    </row>
    <row r="152" spans="1:14" ht="14.25" customHeight="1" x14ac:dyDescent="0.15">
      <c r="A152" s="19">
        <v>1</v>
      </c>
      <c r="B152" s="19">
        <v>4.8</v>
      </c>
      <c r="C152" s="19">
        <v>1.2</v>
      </c>
      <c r="D152" s="19">
        <f>B152*C152</f>
        <v>5.76</v>
      </c>
      <c r="E152" s="19"/>
      <c r="F152" s="19"/>
      <c r="G152" s="19">
        <v>2</v>
      </c>
      <c r="H152" s="19">
        <f t="shared" ref="H152:I152" si="82">A152</f>
        <v>1</v>
      </c>
      <c r="I152" s="19">
        <f t="shared" si="82"/>
        <v>4.8</v>
      </c>
      <c r="J152" s="19">
        <f t="shared" si="81"/>
        <v>4</v>
      </c>
      <c r="K152" s="19"/>
      <c r="L152" s="19"/>
      <c r="M152" s="19"/>
      <c r="N152" s="19"/>
    </row>
    <row r="153" spans="1:14" ht="14.25" customHeight="1" x14ac:dyDescent="0.15">
      <c r="A153" s="19"/>
      <c r="B153" s="19"/>
      <c r="C153" s="19"/>
      <c r="D153" s="26" t="str">
        <f>D97</f>
        <v>30000</v>
      </c>
      <c r="E153" s="19">
        <v>6</v>
      </c>
      <c r="F153" s="19">
        <f>B152*2</f>
        <v>9.6</v>
      </c>
      <c r="G153" s="19"/>
      <c r="H153" s="19"/>
      <c r="I153" s="19"/>
      <c r="J153" s="19"/>
      <c r="K153" s="19"/>
      <c r="L153" s="19"/>
      <c r="M153" s="19"/>
      <c r="N153" s="19"/>
    </row>
    <row r="154" spans="1:14" ht="14.25" customHeight="1" x14ac:dyDescent="0.15">
      <c r="A154" s="19"/>
      <c r="B154" s="19"/>
      <c r="C154" s="19"/>
      <c r="D154" s="19">
        <f>D152*D153</f>
        <v>172800</v>
      </c>
      <c r="E154" s="19">
        <f>E153*E151</f>
        <v>75000</v>
      </c>
      <c r="F154" s="19">
        <f>F151*F153</f>
        <v>3648</v>
      </c>
      <c r="G154" s="19">
        <f t="shared" ref="G154:J154" si="83">G151*G152</f>
        <v>8000</v>
      </c>
      <c r="H154" s="19">
        <f t="shared" si="83"/>
        <v>1000</v>
      </c>
      <c r="I154" s="19">
        <f t="shared" si="83"/>
        <v>2808</v>
      </c>
      <c r="J154" s="19">
        <f t="shared" si="83"/>
        <v>14000</v>
      </c>
      <c r="K154" s="19">
        <f>SUM(D154:J154)</f>
        <v>277256</v>
      </c>
      <c r="L154" s="19">
        <f>K154/A152</f>
        <v>277256</v>
      </c>
      <c r="M154" s="19">
        <f>L154*M151</f>
        <v>554512</v>
      </c>
      <c r="N154" s="19">
        <f>MROUND(M154,100)</f>
        <v>554500</v>
      </c>
    </row>
    <row r="155" spans="1:14" ht="14.25" customHeight="1" x14ac:dyDescent="0.1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</row>
    <row r="156" spans="1:14" ht="14.25" customHeight="1" x14ac:dyDescent="0.15">
      <c r="A156" s="109" t="str">
        <f>PRICELIST!I492</f>
        <v>MTLP-XL-MBL-4800-1200</v>
      </c>
      <c r="B156" s="87"/>
      <c r="C156" s="87"/>
      <c r="D156" s="30"/>
      <c r="E156" s="30"/>
      <c r="F156" s="30"/>
      <c r="G156" s="30"/>
      <c r="H156" s="30"/>
      <c r="I156" s="30"/>
      <c r="J156" s="30"/>
      <c r="K156" s="30"/>
      <c r="L156" s="30"/>
      <c r="M156" s="30"/>
    </row>
    <row r="157" spans="1:14" ht="14.25" customHeight="1" x14ac:dyDescent="0.15">
      <c r="A157" s="19" t="s">
        <v>57</v>
      </c>
      <c r="B157" s="19" t="s">
        <v>59</v>
      </c>
      <c r="C157" s="19" t="s">
        <v>62</v>
      </c>
      <c r="D157" s="19" t="s">
        <v>64</v>
      </c>
      <c r="E157" s="19" t="s">
        <v>210</v>
      </c>
      <c r="F157" s="19" t="s">
        <v>67</v>
      </c>
      <c r="G157" s="19" t="s">
        <v>69</v>
      </c>
      <c r="H157" s="19" t="s">
        <v>71</v>
      </c>
      <c r="I157" s="19" t="s">
        <v>72</v>
      </c>
      <c r="J157" s="19" t="s">
        <v>73</v>
      </c>
      <c r="K157" s="19" t="s">
        <v>76</v>
      </c>
      <c r="L157" s="19" t="s">
        <v>78</v>
      </c>
      <c r="M157" s="19" t="s">
        <v>79</v>
      </c>
      <c r="N157" s="19" t="s">
        <v>81</v>
      </c>
    </row>
    <row r="158" spans="1:14" ht="14.25" customHeight="1" x14ac:dyDescent="0.15">
      <c r="A158" s="21"/>
      <c r="B158" s="21"/>
      <c r="C158" s="21"/>
      <c r="D158" s="21"/>
      <c r="E158" s="23" t="str">
        <f>E151</f>
        <v>12500</v>
      </c>
      <c r="F158" s="21">
        <v>380</v>
      </c>
      <c r="G158" s="23" t="str">
        <f t="shared" ref="G158:H158" si="84">G151</f>
        <v>4000</v>
      </c>
      <c r="H158" s="21">
        <f t="shared" si="84"/>
        <v>1000</v>
      </c>
      <c r="I158" s="21">
        <v>585</v>
      </c>
      <c r="J158" s="23" t="str">
        <f t="shared" ref="J158:J159" si="85">J151</f>
        <v>3500</v>
      </c>
      <c r="K158" s="21"/>
      <c r="L158" s="21"/>
      <c r="M158" s="21">
        <f>M151</f>
        <v>2</v>
      </c>
      <c r="N158" s="21"/>
    </row>
    <row r="159" spans="1:14" ht="14.25" customHeight="1" x14ac:dyDescent="0.15">
      <c r="A159" s="19">
        <v>1</v>
      </c>
      <c r="B159" s="19">
        <v>4.8</v>
      </c>
      <c r="C159" s="19">
        <v>1.2</v>
      </c>
      <c r="D159" s="19">
        <f>B159*C159</f>
        <v>5.76</v>
      </c>
      <c r="E159" s="19"/>
      <c r="F159" s="19"/>
      <c r="G159" s="19">
        <v>2</v>
      </c>
      <c r="H159" s="19">
        <f t="shared" ref="H159:I159" si="86">A159</f>
        <v>1</v>
      </c>
      <c r="I159" s="19">
        <f t="shared" si="86"/>
        <v>4.8</v>
      </c>
      <c r="J159" s="19">
        <f t="shared" si="85"/>
        <v>4</v>
      </c>
      <c r="K159" s="19"/>
      <c r="L159" s="19"/>
      <c r="M159" s="19"/>
      <c r="N159" s="19"/>
    </row>
    <row r="160" spans="1:14" ht="14.25" customHeight="1" x14ac:dyDescent="0.15">
      <c r="A160" s="19"/>
      <c r="B160" s="19"/>
      <c r="C160" s="19"/>
      <c r="D160" s="26">
        <f>D104</f>
        <v>37500</v>
      </c>
      <c r="E160" s="19">
        <v>6</v>
      </c>
      <c r="F160" s="19">
        <f>B159*2</f>
        <v>9.6</v>
      </c>
      <c r="G160" s="19"/>
      <c r="H160" s="19"/>
      <c r="I160" s="19"/>
      <c r="J160" s="19"/>
      <c r="K160" s="19"/>
      <c r="L160" s="19"/>
      <c r="M160" s="19"/>
      <c r="N160" s="19"/>
    </row>
    <row r="161" spans="1:14" ht="14.25" customHeight="1" x14ac:dyDescent="0.15">
      <c r="A161" s="19"/>
      <c r="B161" s="19"/>
      <c r="C161" s="19"/>
      <c r="D161" s="19">
        <f>D159*D160</f>
        <v>216000</v>
      </c>
      <c r="E161" s="19">
        <f>E160*E158</f>
        <v>75000</v>
      </c>
      <c r="F161" s="19">
        <f>F158*F160</f>
        <v>3648</v>
      </c>
      <c r="G161" s="19">
        <f t="shared" ref="G161:J161" si="87">G158*G159</f>
        <v>8000</v>
      </c>
      <c r="H161" s="19">
        <f t="shared" si="87"/>
        <v>1000</v>
      </c>
      <c r="I161" s="19">
        <f t="shared" si="87"/>
        <v>2808</v>
      </c>
      <c r="J161" s="19">
        <f t="shared" si="87"/>
        <v>14000</v>
      </c>
      <c r="K161" s="19">
        <f>SUM(D161:J161)</f>
        <v>320456</v>
      </c>
      <c r="L161" s="19">
        <f>K161/A159</f>
        <v>320456</v>
      </c>
      <c r="M161" s="19">
        <f>L161*M158</f>
        <v>640912</v>
      </c>
      <c r="N161" s="19">
        <f>MROUND(M161,100)</f>
        <v>640900</v>
      </c>
    </row>
    <row r="162" spans="1:14" ht="14.25" customHeight="1" x14ac:dyDescent="0.1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</row>
    <row r="163" spans="1:14" ht="14.25" customHeight="1" x14ac:dyDescent="0.15">
      <c r="A163" s="109" t="str">
        <f>PRICELIST!I493</f>
        <v>MTLP-XL-GL-4800-1200</v>
      </c>
      <c r="B163" s="87"/>
      <c r="C163" s="87"/>
      <c r="D163" s="30"/>
      <c r="E163" s="30"/>
      <c r="F163" s="30"/>
      <c r="G163" s="30"/>
      <c r="H163" s="30"/>
      <c r="I163" s="30"/>
      <c r="J163" s="30"/>
      <c r="K163" s="30"/>
      <c r="L163" s="30"/>
      <c r="M163" s="30"/>
    </row>
    <row r="164" spans="1:14" ht="14.25" customHeight="1" x14ac:dyDescent="0.15">
      <c r="A164" s="19" t="s">
        <v>57</v>
      </c>
      <c r="B164" s="19" t="s">
        <v>59</v>
      </c>
      <c r="C164" s="19" t="s">
        <v>62</v>
      </c>
      <c r="D164" s="19" t="s">
        <v>64</v>
      </c>
      <c r="E164" s="19" t="s">
        <v>210</v>
      </c>
      <c r="F164" s="19" t="s">
        <v>67</v>
      </c>
      <c r="G164" s="19" t="s">
        <v>69</v>
      </c>
      <c r="H164" s="19" t="s">
        <v>71</v>
      </c>
      <c r="I164" s="19" t="s">
        <v>72</v>
      </c>
      <c r="J164" s="19" t="s">
        <v>73</v>
      </c>
      <c r="K164" s="19" t="s">
        <v>76</v>
      </c>
      <c r="L164" s="19" t="s">
        <v>78</v>
      </c>
      <c r="M164" s="19" t="s">
        <v>79</v>
      </c>
      <c r="N164" s="19" t="s">
        <v>81</v>
      </c>
    </row>
    <row r="165" spans="1:14" ht="14.25" customHeight="1" x14ac:dyDescent="0.15">
      <c r="A165" s="21"/>
      <c r="B165" s="21"/>
      <c r="C165" s="21"/>
      <c r="D165" s="21"/>
      <c r="E165" s="23" t="str">
        <f>E158</f>
        <v>12500</v>
      </c>
      <c r="F165" s="21">
        <v>380</v>
      </c>
      <c r="G165" s="23" t="str">
        <f t="shared" ref="G165:H165" si="88">G158</f>
        <v>4000</v>
      </c>
      <c r="H165" s="21">
        <f t="shared" si="88"/>
        <v>1000</v>
      </c>
      <c r="I165" s="21">
        <v>585</v>
      </c>
      <c r="J165" s="23" t="str">
        <f t="shared" ref="J165:J166" si="89">J158</f>
        <v>3500</v>
      </c>
      <c r="K165" s="21"/>
      <c r="L165" s="21"/>
      <c r="M165" s="21">
        <f>M158</f>
        <v>2</v>
      </c>
      <c r="N165" s="21"/>
    </row>
    <row r="166" spans="1:14" ht="14.25" customHeight="1" x14ac:dyDescent="0.15">
      <c r="A166" s="19">
        <v>1</v>
      </c>
      <c r="B166" s="19">
        <v>4.8</v>
      </c>
      <c r="C166" s="19">
        <v>1.2</v>
      </c>
      <c r="D166" s="19">
        <f>B166*C166</f>
        <v>5.76</v>
      </c>
      <c r="E166" s="19"/>
      <c r="F166" s="19"/>
      <c r="G166" s="19">
        <v>2</v>
      </c>
      <c r="H166" s="19">
        <f t="shared" ref="H166:I166" si="90">A166</f>
        <v>1</v>
      </c>
      <c r="I166" s="19">
        <f t="shared" si="90"/>
        <v>4.8</v>
      </c>
      <c r="J166" s="19">
        <f t="shared" si="89"/>
        <v>4</v>
      </c>
      <c r="K166" s="19"/>
      <c r="L166" s="19"/>
      <c r="M166" s="19"/>
      <c r="N166" s="19"/>
    </row>
    <row r="167" spans="1:14" ht="14.25" customHeight="1" x14ac:dyDescent="0.15">
      <c r="A167" s="19"/>
      <c r="B167" s="19"/>
      <c r="C167" s="19"/>
      <c r="D167" s="26" t="str">
        <f>D111</f>
        <v>7500</v>
      </c>
      <c r="E167" s="19">
        <v>6</v>
      </c>
      <c r="F167" s="19">
        <f>B166*2</f>
        <v>9.6</v>
      </c>
      <c r="G167" s="19"/>
      <c r="H167" s="19"/>
      <c r="I167" s="19"/>
      <c r="J167" s="19"/>
      <c r="K167" s="19"/>
      <c r="L167" s="19"/>
      <c r="M167" s="19"/>
      <c r="N167" s="19"/>
    </row>
    <row r="168" spans="1:14" ht="14.25" customHeight="1" x14ac:dyDescent="0.15">
      <c r="A168" s="19"/>
      <c r="B168" s="19"/>
      <c r="C168" s="19"/>
      <c r="D168" s="19">
        <f>D166*D167</f>
        <v>43200</v>
      </c>
      <c r="E168" s="19">
        <f>E167*E165</f>
        <v>75000</v>
      </c>
      <c r="F168" s="19">
        <f>F165*F167</f>
        <v>3648</v>
      </c>
      <c r="G168" s="19">
        <f t="shared" ref="G168:J168" si="91">G165*G166</f>
        <v>8000</v>
      </c>
      <c r="H168" s="19">
        <f t="shared" si="91"/>
        <v>1000</v>
      </c>
      <c r="I168" s="19">
        <f t="shared" si="91"/>
        <v>2808</v>
      </c>
      <c r="J168" s="19">
        <f t="shared" si="91"/>
        <v>14000</v>
      </c>
      <c r="K168" s="19">
        <f>SUM(D168:J168)</f>
        <v>147656</v>
      </c>
      <c r="L168" s="19">
        <f>K168/A166</f>
        <v>147656</v>
      </c>
      <c r="M168" s="19">
        <f>L168*M165</f>
        <v>295312</v>
      </c>
      <c r="N168" s="19">
        <f>MROUND(M168,100)</f>
        <v>295300</v>
      </c>
    </row>
    <row r="169" spans="1:14" ht="30" customHeight="1" x14ac:dyDescent="0.15">
      <c r="A169" s="112" t="s">
        <v>227</v>
      </c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</row>
    <row r="170" spans="1:14" ht="14.25" customHeight="1" x14ac:dyDescent="0.15">
      <c r="A170" s="109" t="str">
        <f>PRICELIST!I494</f>
        <v>MTATH-MD-PB-2400-1200</v>
      </c>
      <c r="B170" s="87"/>
      <c r="C170" s="87"/>
      <c r="D170" s="30"/>
      <c r="E170" s="30"/>
      <c r="F170" s="30"/>
      <c r="G170" s="30"/>
      <c r="H170" s="30"/>
      <c r="I170" s="30"/>
      <c r="J170" s="30"/>
      <c r="K170" s="30"/>
      <c r="L170" s="30"/>
      <c r="M170" s="30"/>
    </row>
    <row r="171" spans="1:14" ht="14.25" customHeight="1" x14ac:dyDescent="0.15">
      <c r="A171" s="19" t="s">
        <v>57</v>
      </c>
      <c r="B171" s="19" t="s">
        <v>59</v>
      </c>
      <c r="C171" s="19" t="s">
        <v>62</v>
      </c>
      <c r="D171" s="19" t="s">
        <v>64</v>
      </c>
      <c r="E171" s="19" t="s">
        <v>228</v>
      </c>
      <c r="F171" s="19" t="s">
        <v>67</v>
      </c>
      <c r="G171" s="19"/>
      <c r="H171" s="19" t="s">
        <v>71</v>
      </c>
      <c r="I171" s="19" t="s">
        <v>72</v>
      </c>
      <c r="J171" s="19" t="s">
        <v>73</v>
      </c>
      <c r="K171" s="19" t="s">
        <v>76</v>
      </c>
      <c r="L171" s="19" t="s">
        <v>78</v>
      </c>
      <c r="M171" s="19" t="s">
        <v>79</v>
      </c>
      <c r="N171" s="19" t="s">
        <v>81</v>
      </c>
    </row>
    <row r="172" spans="1:14" ht="14.25" customHeight="1" x14ac:dyDescent="0.15">
      <c r="A172" s="21"/>
      <c r="B172" s="21"/>
      <c r="C172" s="21"/>
      <c r="D172" s="21"/>
      <c r="E172" s="23" t="str">
        <f>'MASTER DATA'!E10</f>
        <v>15000</v>
      </c>
      <c r="F172" s="21">
        <v>380</v>
      </c>
      <c r="G172" s="21"/>
      <c r="H172" s="21">
        <v>1000</v>
      </c>
      <c r="I172" s="21">
        <v>585</v>
      </c>
      <c r="J172" s="23" t="str">
        <f>J109</f>
        <v>3500</v>
      </c>
      <c r="K172" s="21"/>
      <c r="L172" s="21"/>
      <c r="M172" s="21">
        <f>M109</f>
        <v>2</v>
      </c>
      <c r="N172" s="21"/>
    </row>
    <row r="173" spans="1:14" ht="14.25" customHeight="1" x14ac:dyDescent="0.15">
      <c r="A173" s="19">
        <v>1</v>
      </c>
      <c r="B173" s="19">
        <v>2.4</v>
      </c>
      <c r="C173" s="19">
        <v>1.2</v>
      </c>
      <c r="D173" s="19">
        <f>B173*C173</f>
        <v>2.88</v>
      </c>
      <c r="E173" s="19"/>
      <c r="F173" s="19"/>
      <c r="G173" s="19"/>
      <c r="H173" s="19">
        <f t="shared" ref="H173:I173" si="92">A173</f>
        <v>1</v>
      </c>
      <c r="I173" s="19">
        <f t="shared" si="92"/>
        <v>2.4</v>
      </c>
      <c r="J173" s="19">
        <v>2</v>
      </c>
      <c r="K173" s="19"/>
      <c r="L173" s="19"/>
      <c r="M173" s="19"/>
      <c r="N173" s="19"/>
    </row>
    <row r="174" spans="1:14" ht="14.25" customHeight="1" x14ac:dyDescent="0.15">
      <c r="A174" s="19"/>
      <c r="B174" s="19"/>
      <c r="C174" s="19"/>
      <c r="D174" s="26" t="str">
        <f>D6</f>
        <v>2200</v>
      </c>
      <c r="E174" s="19">
        <v>2</v>
      </c>
      <c r="F174" s="19">
        <f>B173*2</f>
        <v>4.8</v>
      </c>
      <c r="G174" s="19"/>
      <c r="H174" s="19"/>
      <c r="I174" s="19"/>
      <c r="J174" s="19"/>
      <c r="K174" s="19"/>
      <c r="L174" s="19"/>
      <c r="M174" s="19"/>
      <c r="N174" s="19"/>
    </row>
    <row r="175" spans="1:14" ht="14.25" customHeight="1" x14ac:dyDescent="0.15">
      <c r="A175" s="19"/>
      <c r="B175" s="19"/>
      <c r="C175" s="19"/>
      <c r="D175" s="19">
        <f>D173*D174</f>
        <v>6336</v>
      </c>
      <c r="E175" s="19">
        <f>E174*E172</f>
        <v>30000</v>
      </c>
      <c r="F175" s="19">
        <f>F172*F174</f>
        <v>1824</v>
      </c>
      <c r="G175" s="19"/>
      <c r="H175" s="19">
        <f t="shared" ref="H175:J175" si="93">H172*H173</f>
        <v>1000</v>
      </c>
      <c r="I175" s="19">
        <f t="shared" si="93"/>
        <v>1404</v>
      </c>
      <c r="J175" s="19">
        <f t="shared" si="93"/>
        <v>7000</v>
      </c>
      <c r="K175" s="19">
        <f>SUM(D175:J175)</f>
        <v>47564</v>
      </c>
      <c r="L175" s="19">
        <f>K175/A173</f>
        <v>47564</v>
      </c>
      <c r="M175" s="19">
        <f>L175*M172</f>
        <v>95128</v>
      </c>
      <c r="N175" s="19">
        <f>MROUND(M175,100)</f>
        <v>95100</v>
      </c>
    </row>
    <row r="176" spans="1:14" ht="14.25" customHeight="1" x14ac:dyDescent="0.15">
      <c r="A176" s="111"/>
      <c r="B176" s="87"/>
      <c r="C176" s="87"/>
      <c r="D176" s="30"/>
      <c r="E176" s="30"/>
      <c r="F176" s="30"/>
      <c r="G176" s="30"/>
      <c r="H176" s="30"/>
      <c r="I176" s="30"/>
      <c r="J176" s="30"/>
      <c r="K176" s="30"/>
      <c r="L176" s="30"/>
      <c r="M176" s="30"/>
    </row>
    <row r="177" spans="1:14" ht="14.25" customHeight="1" x14ac:dyDescent="0.15">
      <c r="A177" s="109" t="str">
        <f>PRICELIST!I495</f>
        <v>MTATH-MD-PLM-2400-1200</v>
      </c>
      <c r="B177" s="87"/>
      <c r="C177" s="87"/>
      <c r="D177" s="30"/>
      <c r="E177" s="30"/>
      <c r="F177" s="30"/>
      <c r="G177" s="30"/>
      <c r="H177" s="30"/>
      <c r="I177" s="30"/>
      <c r="J177" s="30"/>
      <c r="K177" s="30"/>
      <c r="L177" s="30"/>
      <c r="M177" s="30"/>
    </row>
    <row r="178" spans="1:14" ht="14.25" customHeight="1" x14ac:dyDescent="0.15">
      <c r="A178" s="19" t="s">
        <v>57</v>
      </c>
      <c r="B178" s="19" t="s">
        <v>59</v>
      </c>
      <c r="C178" s="19" t="s">
        <v>62</v>
      </c>
      <c r="D178" s="19" t="s">
        <v>64</v>
      </c>
      <c r="E178" s="19" t="s">
        <v>228</v>
      </c>
      <c r="F178" s="19" t="s">
        <v>67</v>
      </c>
      <c r="G178" s="19"/>
      <c r="H178" s="19" t="s">
        <v>71</v>
      </c>
      <c r="I178" s="19" t="s">
        <v>72</v>
      </c>
      <c r="J178" s="19" t="s">
        <v>73</v>
      </c>
      <c r="K178" s="19" t="s">
        <v>76</v>
      </c>
      <c r="L178" s="19" t="s">
        <v>78</v>
      </c>
      <c r="M178" s="19" t="s">
        <v>79</v>
      </c>
      <c r="N178" s="19" t="s">
        <v>81</v>
      </c>
    </row>
    <row r="179" spans="1:14" ht="14.25" customHeight="1" x14ac:dyDescent="0.15">
      <c r="A179" s="21"/>
      <c r="B179" s="21"/>
      <c r="C179" s="21"/>
      <c r="D179" s="21"/>
      <c r="E179" s="23" t="str">
        <f>E172</f>
        <v>15000</v>
      </c>
      <c r="F179" s="21">
        <v>380</v>
      </c>
      <c r="G179" s="21"/>
      <c r="H179" s="21">
        <f>H172</f>
        <v>1000</v>
      </c>
      <c r="I179" s="21">
        <v>585</v>
      </c>
      <c r="J179" s="23" t="str">
        <f t="shared" ref="J179:J180" si="94">J172</f>
        <v>3500</v>
      </c>
      <c r="K179" s="21"/>
      <c r="L179" s="21"/>
      <c r="M179" s="21">
        <f>M172</f>
        <v>2</v>
      </c>
      <c r="N179" s="21"/>
    </row>
    <row r="180" spans="1:14" ht="14.25" customHeight="1" x14ac:dyDescent="0.15">
      <c r="A180" s="19">
        <v>1</v>
      </c>
      <c r="B180" s="19">
        <v>2.4</v>
      </c>
      <c r="C180" s="19">
        <v>1.2</v>
      </c>
      <c r="D180" s="19">
        <f>B180*C180</f>
        <v>2.88</v>
      </c>
      <c r="E180" s="19"/>
      <c r="F180" s="19"/>
      <c r="G180" s="19"/>
      <c r="H180" s="19">
        <f t="shared" ref="H180:I180" si="95">A180</f>
        <v>1</v>
      </c>
      <c r="I180" s="19">
        <f t="shared" si="95"/>
        <v>2.4</v>
      </c>
      <c r="J180" s="19">
        <f t="shared" si="94"/>
        <v>2</v>
      </c>
      <c r="K180" s="19"/>
      <c r="L180" s="19"/>
      <c r="M180" s="19"/>
      <c r="N180" s="19"/>
    </row>
    <row r="181" spans="1:14" ht="14.25" customHeight="1" x14ac:dyDescent="0.15">
      <c r="A181" s="19"/>
      <c r="B181" s="19"/>
      <c r="C181" s="19"/>
      <c r="D181" s="26" t="str">
        <f>D13</f>
        <v>3000</v>
      </c>
      <c r="E181" s="19">
        <f>E174</f>
        <v>2</v>
      </c>
      <c r="F181" s="19">
        <f>B180*2</f>
        <v>4.8</v>
      </c>
      <c r="G181" s="19"/>
      <c r="H181" s="19"/>
      <c r="I181" s="19"/>
      <c r="J181" s="19"/>
      <c r="K181" s="19"/>
      <c r="L181" s="19"/>
      <c r="M181" s="19"/>
      <c r="N181" s="19"/>
    </row>
    <row r="182" spans="1:14" ht="14.25" customHeight="1" x14ac:dyDescent="0.15">
      <c r="A182" s="19"/>
      <c r="B182" s="19"/>
      <c r="C182" s="19"/>
      <c r="D182" s="19">
        <f>D180*D181</f>
        <v>8640</v>
      </c>
      <c r="E182" s="19">
        <f>E181*E179</f>
        <v>30000</v>
      </c>
      <c r="F182" s="19">
        <f>F179*F181</f>
        <v>1824</v>
      </c>
      <c r="G182" s="19"/>
      <c r="H182" s="19">
        <f t="shared" ref="H182:J182" si="96">H179*H180</f>
        <v>1000</v>
      </c>
      <c r="I182" s="19">
        <f t="shared" si="96"/>
        <v>1404</v>
      </c>
      <c r="J182" s="19">
        <f t="shared" si="96"/>
        <v>7000</v>
      </c>
      <c r="K182" s="19">
        <f>SUM(D182:J182)</f>
        <v>49868</v>
      </c>
      <c r="L182" s="19">
        <f>K182/A180</f>
        <v>49868</v>
      </c>
      <c r="M182" s="19">
        <f>L182*M179</f>
        <v>99736</v>
      </c>
      <c r="N182" s="19">
        <f>MROUND(M182,100)</f>
        <v>99700</v>
      </c>
    </row>
    <row r="183" spans="1:14" ht="14.25" customHeight="1" x14ac:dyDescent="0.1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</row>
    <row r="184" spans="1:14" ht="14.25" customHeight="1" x14ac:dyDescent="0.15">
      <c r="A184" s="109" t="str">
        <f>PRICELIST!I496</f>
        <v>MTATH-MD-PoLM-2400-1200</v>
      </c>
      <c r="B184" s="87"/>
      <c r="C184" s="87"/>
      <c r="D184" s="30"/>
      <c r="E184" s="30"/>
      <c r="F184" s="30"/>
      <c r="G184" s="30"/>
      <c r="H184" s="30"/>
      <c r="I184" s="30"/>
      <c r="J184" s="30"/>
      <c r="K184" s="30"/>
      <c r="L184" s="30"/>
      <c r="M184" s="30"/>
    </row>
    <row r="185" spans="1:14" ht="14.25" customHeight="1" x14ac:dyDescent="0.15">
      <c r="A185" s="19" t="s">
        <v>57</v>
      </c>
      <c r="B185" s="19" t="s">
        <v>59</v>
      </c>
      <c r="C185" s="19" t="s">
        <v>62</v>
      </c>
      <c r="D185" s="19" t="s">
        <v>64</v>
      </c>
      <c r="E185" s="19" t="str">
        <f t="shared" ref="E185:E186" si="97">E178</f>
        <v>ATHENA LEG</v>
      </c>
      <c r="F185" s="19" t="s">
        <v>67</v>
      </c>
      <c r="G185" s="19"/>
      <c r="H185" s="19" t="s">
        <v>71</v>
      </c>
      <c r="I185" s="19" t="s">
        <v>72</v>
      </c>
      <c r="J185" s="19" t="s">
        <v>73</v>
      </c>
      <c r="K185" s="19" t="s">
        <v>76</v>
      </c>
      <c r="L185" s="19" t="s">
        <v>78</v>
      </c>
      <c r="M185" s="19" t="s">
        <v>79</v>
      </c>
      <c r="N185" s="19" t="s">
        <v>81</v>
      </c>
    </row>
    <row r="186" spans="1:14" ht="14.25" customHeight="1" x14ac:dyDescent="0.15">
      <c r="A186" s="21"/>
      <c r="B186" s="21"/>
      <c r="C186" s="21"/>
      <c r="D186" s="21"/>
      <c r="E186" s="23" t="str">
        <f t="shared" si="97"/>
        <v>15000</v>
      </c>
      <c r="F186" s="21">
        <v>380</v>
      </c>
      <c r="G186" s="21"/>
      <c r="H186" s="21">
        <f>H179</f>
        <v>1000</v>
      </c>
      <c r="I186" s="21">
        <v>585</v>
      </c>
      <c r="J186" s="23" t="str">
        <f t="shared" ref="J186:J187" si="98">J179</f>
        <v>3500</v>
      </c>
      <c r="K186" s="21"/>
      <c r="L186" s="21"/>
      <c r="M186" s="21">
        <f>M179</f>
        <v>2</v>
      </c>
      <c r="N186" s="21"/>
    </row>
    <row r="187" spans="1:14" ht="14.25" customHeight="1" x14ac:dyDescent="0.15">
      <c r="A187" s="19">
        <v>1</v>
      </c>
      <c r="B187" s="19">
        <v>2.4</v>
      </c>
      <c r="C187" s="19">
        <v>1.2</v>
      </c>
      <c r="D187" s="19">
        <f>B187*C187</f>
        <v>2.88</v>
      </c>
      <c r="E187" s="19"/>
      <c r="F187" s="19"/>
      <c r="G187" s="19"/>
      <c r="H187" s="19">
        <f t="shared" ref="H187:I187" si="99">A187</f>
        <v>1</v>
      </c>
      <c r="I187" s="19">
        <f t="shared" si="99"/>
        <v>2.4</v>
      </c>
      <c r="J187" s="19">
        <f t="shared" si="98"/>
        <v>2</v>
      </c>
      <c r="K187" s="19"/>
      <c r="L187" s="19"/>
      <c r="M187" s="19"/>
      <c r="N187" s="19"/>
    </row>
    <row r="188" spans="1:14" ht="14.25" customHeight="1" x14ac:dyDescent="0.15">
      <c r="A188" s="19"/>
      <c r="B188" s="19"/>
      <c r="C188" s="19"/>
      <c r="D188" s="26" t="str">
        <f>D20</f>
        <v>7500</v>
      </c>
      <c r="E188" s="19">
        <f>E181</f>
        <v>2</v>
      </c>
      <c r="F188" s="19">
        <f>B187*2</f>
        <v>4.8</v>
      </c>
      <c r="G188" s="19"/>
      <c r="H188" s="19"/>
      <c r="I188" s="19"/>
      <c r="J188" s="19"/>
      <c r="K188" s="19"/>
      <c r="L188" s="19"/>
      <c r="M188" s="19"/>
      <c r="N188" s="19"/>
    </row>
    <row r="189" spans="1:14" ht="14.25" customHeight="1" x14ac:dyDescent="0.15">
      <c r="A189" s="19"/>
      <c r="B189" s="19"/>
      <c r="C189" s="19"/>
      <c r="D189" s="19">
        <f>D187*D188</f>
        <v>21600</v>
      </c>
      <c r="E189" s="19">
        <f>E188*E186</f>
        <v>30000</v>
      </c>
      <c r="F189" s="19">
        <f>F186*F188</f>
        <v>1824</v>
      </c>
      <c r="G189" s="19"/>
      <c r="H189" s="19">
        <f t="shared" ref="H189:J189" si="100">H186*H187</f>
        <v>1000</v>
      </c>
      <c r="I189" s="19">
        <f t="shared" si="100"/>
        <v>1404</v>
      </c>
      <c r="J189" s="19">
        <f t="shared" si="100"/>
        <v>7000</v>
      </c>
      <c r="K189" s="19">
        <f>SUM(D189:J189)</f>
        <v>62828</v>
      </c>
      <c r="L189" s="19">
        <f>K189/A187</f>
        <v>62828</v>
      </c>
      <c r="M189" s="19">
        <f>L189*M186</f>
        <v>125656</v>
      </c>
      <c r="N189" s="19">
        <f>MROUND(M189,100)</f>
        <v>125700</v>
      </c>
    </row>
    <row r="190" spans="1:14" ht="14.25" customHeight="1" x14ac:dyDescent="0.15">
      <c r="A190" s="111"/>
      <c r="B190" s="87"/>
      <c r="C190" s="87"/>
      <c r="D190" s="30"/>
      <c r="E190" s="30"/>
      <c r="F190" s="30"/>
      <c r="G190" s="30"/>
      <c r="H190" s="30"/>
      <c r="I190" s="30"/>
      <c r="J190" s="30"/>
      <c r="K190" s="30"/>
      <c r="L190" s="30"/>
      <c r="M190" s="30"/>
    </row>
    <row r="191" spans="1:14" ht="14.25" customHeight="1" x14ac:dyDescent="0.15">
      <c r="A191" s="109" t="str">
        <f>PRICELIST!I497</f>
        <v>MTATH-MD-LVM-2400-1200</v>
      </c>
      <c r="B191" s="87"/>
      <c r="C191" s="87"/>
      <c r="D191" s="30"/>
      <c r="E191" s="30"/>
      <c r="F191" s="30"/>
      <c r="G191" s="30"/>
      <c r="H191" s="30"/>
      <c r="I191" s="30"/>
      <c r="J191" s="30"/>
      <c r="K191" s="30"/>
      <c r="L191" s="30"/>
      <c r="M191" s="30"/>
    </row>
    <row r="192" spans="1:14" ht="14.25" customHeight="1" x14ac:dyDescent="0.15">
      <c r="A192" s="19" t="s">
        <v>57</v>
      </c>
      <c r="B192" s="19" t="s">
        <v>59</v>
      </c>
      <c r="C192" s="19" t="s">
        <v>62</v>
      </c>
      <c r="D192" s="19" t="s">
        <v>64</v>
      </c>
      <c r="E192" s="19" t="str">
        <f t="shared" ref="E192:E193" si="101">E185</f>
        <v>ATHENA LEG</v>
      </c>
      <c r="F192" s="19" t="s">
        <v>67</v>
      </c>
      <c r="G192" s="19"/>
      <c r="H192" s="19" t="s">
        <v>71</v>
      </c>
      <c r="I192" s="19" t="s">
        <v>72</v>
      </c>
      <c r="J192" s="19" t="s">
        <v>73</v>
      </c>
      <c r="K192" s="19" t="s">
        <v>76</v>
      </c>
      <c r="L192" s="19" t="s">
        <v>78</v>
      </c>
      <c r="M192" s="19" t="s">
        <v>79</v>
      </c>
      <c r="N192" s="19" t="s">
        <v>81</v>
      </c>
    </row>
    <row r="193" spans="1:14" ht="14.25" customHeight="1" x14ac:dyDescent="0.15">
      <c r="A193" s="21"/>
      <c r="B193" s="21"/>
      <c r="C193" s="21"/>
      <c r="D193" s="21"/>
      <c r="E193" s="23" t="str">
        <f t="shared" si="101"/>
        <v>15000</v>
      </c>
      <c r="F193" s="21">
        <v>380</v>
      </c>
      <c r="G193" s="21"/>
      <c r="H193" s="21">
        <f>H186</f>
        <v>1000</v>
      </c>
      <c r="I193" s="21">
        <v>585</v>
      </c>
      <c r="J193" s="23" t="str">
        <f t="shared" ref="J193:J194" si="102">J186</f>
        <v>3500</v>
      </c>
      <c r="K193" s="21"/>
      <c r="L193" s="21"/>
      <c r="M193" s="21">
        <f>M186</f>
        <v>2</v>
      </c>
      <c r="N193" s="21"/>
    </row>
    <row r="194" spans="1:14" ht="14.25" customHeight="1" x14ac:dyDescent="0.15">
      <c r="A194" s="19">
        <v>1</v>
      </c>
      <c r="B194" s="19">
        <v>2.4</v>
      </c>
      <c r="C194" s="19">
        <v>1.2</v>
      </c>
      <c r="D194" s="19">
        <f>B194*C194</f>
        <v>2.88</v>
      </c>
      <c r="E194" s="19"/>
      <c r="F194" s="19"/>
      <c r="G194" s="19"/>
      <c r="H194" s="19">
        <f t="shared" ref="H194:I194" si="103">A194</f>
        <v>1</v>
      </c>
      <c r="I194" s="19">
        <f t="shared" si="103"/>
        <v>2.4</v>
      </c>
      <c r="J194" s="19">
        <f t="shared" si="102"/>
        <v>2</v>
      </c>
      <c r="K194" s="19"/>
      <c r="L194" s="19"/>
      <c r="M194" s="19"/>
      <c r="N194" s="19"/>
    </row>
    <row r="195" spans="1:14" ht="14.25" customHeight="1" x14ac:dyDescent="0.15">
      <c r="A195" s="19"/>
      <c r="B195" s="19"/>
      <c r="C195" s="19"/>
      <c r="D195" s="26" t="str">
        <f>D27</f>
        <v>9500</v>
      </c>
      <c r="E195" s="19">
        <f>E188</f>
        <v>2</v>
      </c>
      <c r="F195" s="19">
        <f>B194*2</f>
        <v>4.8</v>
      </c>
      <c r="G195" s="19"/>
      <c r="H195" s="19"/>
      <c r="I195" s="19"/>
      <c r="J195" s="19"/>
      <c r="K195" s="19"/>
      <c r="L195" s="19"/>
      <c r="M195" s="19"/>
      <c r="N195" s="19"/>
    </row>
    <row r="196" spans="1:14" ht="14.25" customHeight="1" x14ac:dyDescent="0.15">
      <c r="A196" s="19"/>
      <c r="B196" s="19"/>
      <c r="C196" s="19"/>
      <c r="D196" s="19">
        <f>D194*D195</f>
        <v>27360</v>
      </c>
      <c r="E196" s="19">
        <f>E195*E193</f>
        <v>30000</v>
      </c>
      <c r="F196" s="19">
        <f>F193*F195</f>
        <v>1824</v>
      </c>
      <c r="G196" s="19"/>
      <c r="H196" s="19">
        <f t="shared" ref="H196:J196" si="104">H193*H194</f>
        <v>1000</v>
      </c>
      <c r="I196" s="19">
        <f t="shared" si="104"/>
        <v>1404</v>
      </c>
      <c r="J196" s="19">
        <f t="shared" si="104"/>
        <v>7000</v>
      </c>
      <c r="K196" s="19">
        <f>SUM(D196:J196)</f>
        <v>68588</v>
      </c>
      <c r="L196" s="19">
        <f>K196/A194</f>
        <v>68588</v>
      </c>
      <c r="M196" s="19">
        <f>L196*M193</f>
        <v>137176</v>
      </c>
      <c r="N196" s="19">
        <f>MROUND(M196,100)</f>
        <v>137200</v>
      </c>
    </row>
    <row r="197" spans="1:14" ht="14.25" customHeight="1" x14ac:dyDescent="0.1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</row>
    <row r="198" spans="1:14" ht="14.25" customHeight="1" x14ac:dyDescent="0.15">
      <c r="A198" s="109" t="str">
        <f>PRICELIST!I498</f>
        <v>MTATH-MD-LVP-2400-1200</v>
      </c>
      <c r="B198" s="87"/>
      <c r="C198" s="87"/>
      <c r="D198" s="30"/>
      <c r="E198" s="30"/>
      <c r="F198" s="30"/>
      <c r="G198" s="30"/>
      <c r="H198" s="30"/>
      <c r="I198" s="30"/>
      <c r="J198" s="30"/>
      <c r="K198" s="30"/>
      <c r="L198" s="30"/>
      <c r="M198" s="30"/>
    </row>
    <row r="199" spans="1:14" ht="14.25" customHeight="1" x14ac:dyDescent="0.15">
      <c r="A199" s="19" t="s">
        <v>57</v>
      </c>
      <c r="B199" s="19" t="s">
        <v>59</v>
      </c>
      <c r="C199" s="19" t="s">
        <v>62</v>
      </c>
      <c r="D199" s="19" t="s">
        <v>64</v>
      </c>
      <c r="E199" s="19" t="str">
        <f t="shared" ref="E199:E200" si="105">E192</f>
        <v>ATHENA LEG</v>
      </c>
      <c r="F199" s="19" t="s">
        <v>67</v>
      </c>
      <c r="G199" s="19"/>
      <c r="H199" s="19" t="s">
        <v>71</v>
      </c>
      <c r="I199" s="19" t="s">
        <v>72</v>
      </c>
      <c r="J199" s="19" t="s">
        <v>73</v>
      </c>
      <c r="K199" s="19" t="s">
        <v>76</v>
      </c>
      <c r="L199" s="19" t="s">
        <v>78</v>
      </c>
      <c r="M199" s="19" t="s">
        <v>79</v>
      </c>
      <c r="N199" s="19" t="s">
        <v>81</v>
      </c>
    </row>
    <row r="200" spans="1:14" ht="14.25" customHeight="1" x14ac:dyDescent="0.15">
      <c r="A200" s="21"/>
      <c r="B200" s="21"/>
      <c r="C200" s="21"/>
      <c r="D200" s="21"/>
      <c r="E200" s="23" t="str">
        <f t="shared" si="105"/>
        <v>15000</v>
      </c>
      <c r="F200" s="21">
        <v>380</v>
      </c>
      <c r="G200" s="21"/>
      <c r="H200" s="21">
        <f>H193</f>
        <v>1000</v>
      </c>
      <c r="I200" s="21">
        <v>585</v>
      </c>
      <c r="J200" s="23" t="str">
        <f t="shared" ref="J200:J201" si="106">J193</f>
        <v>3500</v>
      </c>
      <c r="K200" s="21"/>
      <c r="L200" s="21"/>
      <c r="M200" s="21">
        <f>M193</f>
        <v>2</v>
      </c>
      <c r="N200" s="21"/>
    </row>
    <row r="201" spans="1:14" ht="14.25" customHeight="1" x14ac:dyDescent="0.15">
      <c r="A201" s="19">
        <v>1</v>
      </c>
      <c r="B201" s="19">
        <v>2.4</v>
      </c>
      <c r="C201" s="19">
        <v>1.2</v>
      </c>
      <c r="D201" s="19">
        <f>B201*C201</f>
        <v>2.88</v>
      </c>
      <c r="E201" s="19"/>
      <c r="F201" s="19"/>
      <c r="G201" s="19"/>
      <c r="H201" s="19">
        <f t="shared" ref="H201:I201" si="107">A201</f>
        <v>1</v>
      </c>
      <c r="I201" s="19">
        <f t="shared" si="107"/>
        <v>2.4</v>
      </c>
      <c r="J201" s="19">
        <f t="shared" si="106"/>
        <v>2</v>
      </c>
      <c r="K201" s="19"/>
      <c r="L201" s="19"/>
      <c r="M201" s="19"/>
      <c r="N201" s="19"/>
    </row>
    <row r="202" spans="1:14" ht="14.25" customHeight="1" x14ac:dyDescent="0.15">
      <c r="A202" s="19"/>
      <c r="B202" s="19"/>
      <c r="C202" s="19"/>
      <c r="D202" s="26" t="str">
        <f>D90</f>
        <v>10500</v>
      </c>
      <c r="E202" s="19">
        <f>E195</f>
        <v>2</v>
      </c>
      <c r="F202" s="19">
        <f>B201*2</f>
        <v>4.8</v>
      </c>
      <c r="G202" s="19"/>
      <c r="H202" s="19"/>
      <c r="I202" s="19"/>
      <c r="J202" s="19"/>
      <c r="K202" s="19"/>
      <c r="L202" s="19"/>
      <c r="M202" s="19"/>
      <c r="N202" s="19"/>
    </row>
    <row r="203" spans="1:14" ht="14.25" customHeight="1" x14ac:dyDescent="0.15">
      <c r="A203" s="19"/>
      <c r="B203" s="19"/>
      <c r="C203" s="19"/>
      <c r="D203" s="19">
        <f>D201*D202</f>
        <v>30240</v>
      </c>
      <c r="E203" s="19">
        <f>E202*E200</f>
        <v>30000</v>
      </c>
      <c r="F203" s="19">
        <f>F200*F202</f>
        <v>1824</v>
      </c>
      <c r="G203" s="19"/>
      <c r="H203" s="19">
        <f t="shared" ref="H203:J203" si="108">H200*H201</f>
        <v>1000</v>
      </c>
      <c r="I203" s="19">
        <f t="shared" si="108"/>
        <v>1404</v>
      </c>
      <c r="J203" s="19">
        <f t="shared" si="108"/>
        <v>7000</v>
      </c>
      <c r="K203" s="19">
        <f>SUM(D203:J203)</f>
        <v>71468</v>
      </c>
      <c r="L203" s="19">
        <f>K203/A201</f>
        <v>71468</v>
      </c>
      <c r="M203" s="19">
        <f>L203*M200</f>
        <v>142936</v>
      </c>
      <c r="N203" s="19">
        <f>MROUND(M203,100)</f>
        <v>142900</v>
      </c>
    </row>
    <row r="204" spans="1:14" ht="14.25" customHeight="1" x14ac:dyDescent="0.1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</row>
    <row r="205" spans="1:14" ht="14.25" customHeight="1" x14ac:dyDescent="0.15">
      <c r="A205" s="109" t="str">
        <f>PRICELIST!I499</f>
        <v>MTATH-MD-VNR-2400-1200</v>
      </c>
      <c r="B205" s="87"/>
      <c r="C205" s="87"/>
      <c r="D205" s="30"/>
      <c r="E205" s="30"/>
      <c r="F205" s="30"/>
      <c r="G205" s="30"/>
      <c r="H205" s="30"/>
      <c r="I205" s="30"/>
      <c r="J205" s="30"/>
      <c r="K205" s="30"/>
      <c r="L205" s="30"/>
      <c r="M205" s="30"/>
    </row>
    <row r="206" spans="1:14" ht="14.25" customHeight="1" x14ac:dyDescent="0.15">
      <c r="A206" s="19" t="s">
        <v>57</v>
      </c>
      <c r="B206" s="19" t="s">
        <v>59</v>
      </c>
      <c r="C206" s="19" t="s">
        <v>62</v>
      </c>
      <c r="D206" s="19" t="s">
        <v>64</v>
      </c>
      <c r="E206" s="19" t="str">
        <f t="shared" ref="E206:E207" si="109">E199</f>
        <v>ATHENA LEG</v>
      </c>
      <c r="F206" s="19" t="s">
        <v>67</v>
      </c>
      <c r="G206" s="19"/>
      <c r="H206" s="19" t="s">
        <v>71</v>
      </c>
      <c r="I206" s="19" t="s">
        <v>72</v>
      </c>
      <c r="J206" s="19" t="s">
        <v>73</v>
      </c>
      <c r="K206" s="19" t="s">
        <v>76</v>
      </c>
      <c r="L206" s="19" t="s">
        <v>78</v>
      </c>
      <c r="M206" s="19" t="s">
        <v>79</v>
      </c>
      <c r="N206" s="19" t="s">
        <v>81</v>
      </c>
    </row>
    <row r="207" spans="1:14" ht="14.25" customHeight="1" x14ac:dyDescent="0.15">
      <c r="A207" s="21"/>
      <c r="B207" s="21"/>
      <c r="C207" s="21"/>
      <c r="D207" s="21"/>
      <c r="E207" s="23" t="str">
        <f t="shared" si="109"/>
        <v>15000</v>
      </c>
      <c r="F207" s="21">
        <v>380</v>
      </c>
      <c r="G207" s="21"/>
      <c r="H207" s="21">
        <f>H200</f>
        <v>1000</v>
      </c>
      <c r="I207" s="21">
        <v>585</v>
      </c>
      <c r="J207" s="23" t="str">
        <f t="shared" ref="J207:J208" si="110">J200</f>
        <v>3500</v>
      </c>
      <c r="K207" s="21"/>
      <c r="L207" s="21"/>
      <c r="M207" s="21">
        <f>M200</f>
        <v>2</v>
      </c>
      <c r="N207" s="21"/>
    </row>
    <row r="208" spans="1:14" ht="14.25" customHeight="1" x14ac:dyDescent="0.15">
      <c r="A208" s="19">
        <v>1</v>
      </c>
      <c r="B208" s="19">
        <v>2.4</v>
      </c>
      <c r="C208" s="19">
        <v>1.2</v>
      </c>
      <c r="D208" s="19">
        <f>B208*C208</f>
        <v>2.88</v>
      </c>
      <c r="E208" s="19"/>
      <c r="F208" s="19"/>
      <c r="G208" s="19"/>
      <c r="H208" s="19">
        <f t="shared" ref="H208:I208" si="111">A208</f>
        <v>1</v>
      </c>
      <c r="I208" s="19">
        <f t="shared" si="111"/>
        <v>2.4</v>
      </c>
      <c r="J208" s="19">
        <f t="shared" si="110"/>
        <v>2</v>
      </c>
      <c r="K208" s="19"/>
      <c r="L208" s="19"/>
      <c r="M208" s="19"/>
      <c r="N208" s="19"/>
    </row>
    <row r="209" spans="1:14" ht="14.25" customHeight="1" x14ac:dyDescent="0.15">
      <c r="A209" s="19"/>
      <c r="B209" s="19"/>
      <c r="C209" s="19"/>
      <c r="D209" s="26" t="str">
        <f>D97</f>
        <v>30000</v>
      </c>
      <c r="E209" s="19">
        <f>E202</f>
        <v>2</v>
      </c>
      <c r="F209" s="19">
        <f>B208*2</f>
        <v>4.8</v>
      </c>
      <c r="G209" s="19"/>
      <c r="H209" s="19"/>
      <c r="I209" s="19"/>
      <c r="J209" s="19"/>
      <c r="K209" s="19"/>
      <c r="L209" s="19"/>
      <c r="M209" s="19"/>
      <c r="N209" s="19"/>
    </row>
    <row r="210" spans="1:14" ht="14.25" customHeight="1" x14ac:dyDescent="0.15">
      <c r="A210" s="19"/>
      <c r="B210" s="19"/>
      <c r="C210" s="19"/>
      <c r="D210" s="19">
        <f>D208*D209</f>
        <v>86400</v>
      </c>
      <c r="E210" s="19">
        <f>E209*E207</f>
        <v>30000</v>
      </c>
      <c r="F210" s="19">
        <f>F207*F209</f>
        <v>1824</v>
      </c>
      <c r="G210" s="19"/>
      <c r="H210" s="19">
        <f t="shared" ref="H210:J210" si="112">H207*H208</f>
        <v>1000</v>
      </c>
      <c r="I210" s="19">
        <f t="shared" si="112"/>
        <v>1404</v>
      </c>
      <c r="J210" s="19">
        <f t="shared" si="112"/>
        <v>7000</v>
      </c>
      <c r="K210" s="19">
        <f>SUM(D210:J210)</f>
        <v>127628</v>
      </c>
      <c r="L210" s="19">
        <f>K210/A208</f>
        <v>127628</v>
      </c>
      <c r="M210" s="19">
        <f>L210*M207</f>
        <v>255256</v>
      </c>
      <c r="N210" s="19">
        <f>MROUND(M210,100)</f>
        <v>255300</v>
      </c>
    </row>
    <row r="211" spans="1:14" ht="14.25" customHeight="1" x14ac:dyDescent="0.15">
      <c r="A211" s="111"/>
      <c r="B211" s="87"/>
      <c r="C211" s="87"/>
      <c r="D211" s="30"/>
      <c r="E211" s="30"/>
      <c r="F211" s="30"/>
      <c r="G211" s="30"/>
      <c r="H211" s="30"/>
      <c r="I211" s="30"/>
      <c r="J211" s="30"/>
      <c r="K211" s="30"/>
      <c r="L211" s="30"/>
      <c r="M211" s="30"/>
    </row>
    <row r="212" spans="1:14" ht="14.25" customHeight="1" x14ac:dyDescent="0.15">
      <c r="A212" s="109" t="str">
        <f>PRICELIST!I500</f>
        <v>MTATH-MD-MBL-2400-1200</v>
      </c>
      <c r="B212" s="87"/>
      <c r="C212" s="87"/>
      <c r="D212" s="30"/>
      <c r="E212" s="30"/>
      <c r="F212" s="30"/>
      <c r="G212" s="30"/>
      <c r="H212" s="30"/>
      <c r="I212" s="30"/>
      <c r="J212" s="30"/>
      <c r="K212" s="30"/>
      <c r="L212" s="30"/>
      <c r="M212" s="30"/>
    </row>
    <row r="213" spans="1:14" ht="14.25" customHeight="1" x14ac:dyDescent="0.15">
      <c r="A213" s="19" t="s">
        <v>57</v>
      </c>
      <c r="B213" s="19" t="s">
        <v>59</v>
      </c>
      <c r="C213" s="19" t="s">
        <v>62</v>
      </c>
      <c r="D213" s="19" t="s">
        <v>64</v>
      </c>
      <c r="E213" s="19" t="str">
        <f t="shared" ref="E213:E214" si="113">E206</f>
        <v>ATHENA LEG</v>
      </c>
      <c r="F213" s="19" t="s">
        <v>67</v>
      </c>
      <c r="G213" s="19"/>
      <c r="H213" s="19" t="s">
        <v>71</v>
      </c>
      <c r="I213" s="19" t="s">
        <v>72</v>
      </c>
      <c r="J213" s="19" t="s">
        <v>73</v>
      </c>
      <c r="K213" s="19" t="s">
        <v>76</v>
      </c>
      <c r="L213" s="19" t="s">
        <v>78</v>
      </c>
      <c r="M213" s="19" t="s">
        <v>79</v>
      </c>
      <c r="N213" s="19" t="s">
        <v>81</v>
      </c>
    </row>
    <row r="214" spans="1:14" ht="14.25" customHeight="1" x14ac:dyDescent="0.15">
      <c r="A214" s="21"/>
      <c r="B214" s="21"/>
      <c r="C214" s="21"/>
      <c r="D214" s="21"/>
      <c r="E214" s="23" t="str">
        <f t="shared" si="113"/>
        <v>15000</v>
      </c>
      <c r="F214" s="21">
        <v>380</v>
      </c>
      <c r="G214" s="21"/>
      <c r="H214" s="21">
        <f>H207</f>
        <v>1000</v>
      </c>
      <c r="I214" s="21">
        <v>585</v>
      </c>
      <c r="J214" s="23" t="str">
        <f>J207</f>
        <v>3500</v>
      </c>
      <c r="K214" s="21"/>
      <c r="L214" s="21"/>
      <c r="M214" s="21">
        <f>M207</f>
        <v>2</v>
      </c>
      <c r="N214" s="21"/>
    </row>
    <row r="215" spans="1:14" ht="14.25" customHeight="1" x14ac:dyDescent="0.15">
      <c r="A215" s="19">
        <v>1</v>
      </c>
      <c r="B215" s="19">
        <v>2.4</v>
      </c>
      <c r="C215" s="19">
        <v>1.2</v>
      </c>
      <c r="D215" s="19">
        <f>B215*C215</f>
        <v>2.88</v>
      </c>
      <c r="E215" s="19"/>
      <c r="F215" s="19"/>
      <c r="G215" s="19"/>
      <c r="H215" s="19">
        <f t="shared" ref="H215:I215" si="114">A215</f>
        <v>1</v>
      </c>
      <c r="I215" s="19">
        <f t="shared" si="114"/>
        <v>2.4</v>
      </c>
      <c r="J215" s="19">
        <v>3</v>
      </c>
      <c r="K215" s="19"/>
      <c r="L215" s="19"/>
      <c r="M215" s="19"/>
      <c r="N215" s="19"/>
    </row>
    <row r="216" spans="1:14" ht="14.25" customHeight="1" x14ac:dyDescent="0.15">
      <c r="A216" s="19"/>
      <c r="B216" s="19"/>
      <c r="C216" s="19"/>
      <c r="D216" s="26">
        <f>D104</f>
        <v>37500</v>
      </c>
      <c r="E216" s="19">
        <f>E209</f>
        <v>2</v>
      </c>
      <c r="F216" s="19">
        <f>B215*2</f>
        <v>4.8</v>
      </c>
      <c r="G216" s="19"/>
      <c r="H216" s="19"/>
      <c r="I216" s="19"/>
      <c r="J216" s="19"/>
      <c r="K216" s="19"/>
      <c r="L216" s="19"/>
      <c r="M216" s="19"/>
      <c r="N216" s="19"/>
    </row>
    <row r="217" spans="1:14" ht="14.25" customHeight="1" x14ac:dyDescent="0.15">
      <c r="A217" s="19"/>
      <c r="B217" s="19"/>
      <c r="C217" s="19"/>
      <c r="D217" s="19">
        <f>D215*D216</f>
        <v>108000</v>
      </c>
      <c r="E217" s="19">
        <f>E216*E214</f>
        <v>30000</v>
      </c>
      <c r="F217" s="19">
        <f>F214*F216</f>
        <v>1824</v>
      </c>
      <c r="G217" s="19"/>
      <c r="H217" s="19">
        <f t="shared" ref="H217:J217" si="115">H214*H215</f>
        <v>1000</v>
      </c>
      <c r="I217" s="19">
        <f t="shared" si="115"/>
        <v>1404</v>
      </c>
      <c r="J217" s="19">
        <f t="shared" si="115"/>
        <v>10500</v>
      </c>
      <c r="K217" s="19">
        <f>SUM(D217:J217)</f>
        <v>152728</v>
      </c>
      <c r="L217" s="19">
        <f>K217/A215</f>
        <v>152728</v>
      </c>
      <c r="M217" s="19">
        <f>L217*M214</f>
        <v>305456</v>
      </c>
      <c r="N217" s="19">
        <f>MROUND(M217,100)</f>
        <v>305500</v>
      </c>
    </row>
    <row r="218" spans="1:14" ht="14.25" customHeight="1" x14ac:dyDescent="0.15">
      <c r="A218" s="111"/>
      <c r="B218" s="87"/>
      <c r="C218" s="87"/>
      <c r="D218" s="30"/>
      <c r="E218" s="30"/>
      <c r="F218" s="30"/>
      <c r="G218" s="30"/>
      <c r="H218" s="30"/>
      <c r="I218" s="30"/>
      <c r="J218" s="30"/>
      <c r="K218" s="30"/>
      <c r="L218" s="30"/>
      <c r="M218" s="30"/>
    </row>
    <row r="219" spans="1:14" ht="14.25" customHeight="1" x14ac:dyDescent="0.15">
      <c r="A219" s="109" t="str">
        <f>PRICELIST!I501</f>
        <v>MTATH-MD-GL-2400-1200</v>
      </c>
      <c r="B219" s="87"/>
      <c r="C219" s="87"/>
      <c r="D219" s="30"/>
      <c r="E219" s="30"/>
      <c r="F219" s="30"/>
      <c r="G219" s="30"/>
      <c r="H219" s="30"/>
      <c r="I219" s="30"/>
      <c r="J219" s="30"/>
      <c r="K219" s="30"/>
      <c r="L219" s="30"/>
      <c r="M219" s="30"/>
    </row>
    <row r="220" spans="1:14" ht="14.25" customHeight="1" x14ac:dyDescent="0.15">
      <c r="A220" s="19" t="s">
        <v>57</v>
      </c>
      <c r="B220" s="19" t="s">
        <v>59</v>
      </c>
      <c r="C220" s="19" t="s">
        <v>62</v>
      </c>
      <c r="D220" s="19" t="s">
        <v>64</v>
      </c>
      <c r="E220" s="19" t="str">
        <f t="shared" ref="E220:E221" si="116">E213</f>
        <v>ATHENA LEG</v>
      </c>
      <c r="F220" s="19" t="s">
        <v>67</v>
      </c>
      <c r="G220" s="19"/>
      <c r="H220" s="19" t="s">
        <v>71</v>
      </c>
      <c r="I220" s="19" t="s">
        <v>72</v>
      </c>
      <c r="J220" s="19" t="s">
        <v>73</v>
      </c>
      <c r="K220" s="19" t="s">
        <v>76</v>
      </c>
      <c r="L220" s="19" t="s">
        <v>78</v>
      </c>
      <c r="M220" s="19" t="s">
        <v>79</v>
      </c>
      <c r="N220" s="19" t="s">
        <v>81</v>
      </c>
    </row>
    <row r="221" spans="1:14" ht="14.25" customHeight="1" x14ac:dyDescent="0.15">
      <c r="A221" s="21"/>
      <c r="B221" s="21"/>
      <c r="C221" s="21"/>
      <c r="D221" s="21"/>
      <c r="E221" s="23" t="str">
        <f t="shared" si="116"/>
        <v>15000</v>
      </c>
      <c r="F221" s="21">
        <v>380</v>
      </c>
      <c r="G221" s="21"/>
      <c r="H221" s="21">
        <f>H214</f>
        <v>1000</v>
      </c>
      <c r="I221" s="21">
        <v>585</v>
      </c>
      <c r="J221" s="23" t="str">
        <f t="shared" ref="J221:J222" si="117">J214</f>
        <v>3500</v>
      </c>
      <c r="K221" s="21"/>
      <c r="L221" s="21"/>
      <c r="M221" s="21">
        <f>M214</f>
        <v>2</v>
      </c>
      <c r="N221" s="21"/>
    </row>
    <row r="222" spans="1:14" ht="14.25" customHeight="1" x14ac:dyDescent="0.15">
      <c r="A222" s="19">
        <v>1</v>
      </c>
      <c r="B222" s="19">
        <v>2.4</v>
      </c>
      <c r="C222" s="19">
        <v>1.2</v>
      </c>
      <c r="D222" s="19">
        <f>B222*C222</f>
        <v>2.88</v>
      </c>
      <c r="E222" s="19"/>
      <c r="F222" s="19"/>
      <c r="G222" s="19"/>
      <c r="H222" s="19">
        <f t="shared" ref="H222:I222" si="118">A222</f>
        <v>1</v>
      </c>
      <c r="I222" s="19">
        <f t="shared" si="118"/>
        <v>2.4</v>
      </c>
      <c r="J222" s="19">
        <f t="shared" si="117"/>
        <v>3</v>
      </c>
      <c r="K222" s="19"/>
      <c r="L222" s="19"/>
      <c r="M222" s="19"/>
      <c r="N222" s="19"/>
    </row>
    <row r="223" spans="1:14" ht="14.25" customHeight="1" x14ac:dyDescent="0.15">
      <c r="A223" s="19"/>
      <c r="B223" s="19"/>
      <c r="C223" s="19"/>
      <c r="D223" s="26" t="str">
        <f>D111</f>
        <v>7500</v>
      </c>
      <c r="E223" s="19">
        <f>E216</f>
        <v>2</v>
      </c>
      <c r="F223" s="19">
        <f>B222*2</f>
        <v>4.8</v>
      </c>
      <c r="G223" s="19"/>
      <c r="H223" s="19"/>
      <c r="I223" s="19"/>
      <c r="J223" s="19"/>
      <c r="K223" s="19"/>
      <c r="L223" s="19"/>
      <c r="M223" s="19"/>
      <c r="N223" s="19"/>
    </row>
    <row r="224" spans="1:14" ht="14.25" customHeight="1" x14ac:dyDescent="0.15">
      <c r="A224" s="19"/>
      <c r="B224" s="19"/>
      <c r="C224" s="19"/>
      <c r="D224" s="19">
        <f>D222*D223</f>
        <v>21600</v>
      </c>
      <c r="E224" s="19">
        <f>E223*E221</f>
        <v>30000</v>
      </c>
      <c r="F224" s="19">
        <f>F221*F223</f>
        <v>1824</v>
      </c>
      <c r="G224" s="19"/>
      <c r="H224" s="19">
        <f t="shared" ref="H224:J224" si="119">H221*H222</f>
        <v>1000</v>
      </c>
      <c r="I224" s="19">
        <f t="shared" si="119"/>
        <v>1404</v>
      </c>
      <c r="J224" s="19">
        <f t="shared" si="119"/>
        <v>10500</v>
      </c>
      <c r="K224" s="19">
        <f>SUM(D224:J224)</f>
        <v>66328</v>
      </c>
      <c r="L224" s="19">
        <f>K224/A222</f>
        <v>66328</v>
      </c>
      <c r="M224" s="19">
        <f>L224*M221</f>
        <v>132656</v>
      </c>
      <c r="N224" s="19">
        <f>MROUND(M224,100)</f>
        <v>132700</v>
      </c>
    </row>
    <row r="225" spans="1:14" ht="14.25" customHeight="1" x14ac:dyDescent="0.1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</row>
    <row r="226" spans="1:14" ht="14.25" customHeight="1" x14ac:dyDescent="0.15">
      <c r="A226" s="109" t="str">
        <f>PRICELIST!I502</f>
        <v>MTATH-LG-PB-3600-1200</v>
      </c>
      <c r="B226" s="87"/>
      <c r="C226" s="87"/>
      <c r="D226" s="30"/>
      <c r="E226" s="30"/>
      <c r="F226" s="30"/>
      <c r="G226" s="30"/>
      <c r="H226" s="30"/>
      <c r="I226" s="30"/>
      <c r="J226" s="30"/>
      <c r="K226" s="30"/>
      <c r="L226" s="30"/>
      <c r="M226" s="30"/>
    </row>
    <row r="227" spans="1:14" ht="14.25" customHeight="1" x14ac:dyDescent="0.15">
      <c r="A227" s="19" t="s">
        <v>57</v>
      </c>
      <c r="B227" s="19" t="s">
        <v>59</v>
      </c>
      <c r="C227" s="19" t="s">
        <v>62</v>
      </c>
      <c r="D227" s="19" t="s">
        <v>64</v>
      </c>
      <c r="E227" s="19" t="str">
        <f t="shared" ref="E227:E228" si="120">E220</f>
        <v>ATHENA LEG</v>
      </c>
      <c r="F227" s="19" t="s">
        <v>67</v>
      </c>
      <c r="G227" s="19"/>
      <c r="H227" s="19" t="s">
        <v>71</v>
      </c>
      <c r="I227" s="19" t="s">
        <v>72</v>
      </c>
      <c r="J227" s="19" t="s">
        <v>73</v>
      </c>
      <c r="K227" s="19" t="s">
        <v>76</v>
      </c>
      <c r="L227" s="19" t="s">
        <v>78</v>
      </c>
      <c r="M227" s="19" t="s">
        <v>79</v>
      </c>
      <c r="N227" s="19" t="s">
        <v>81</v>
      </c>
    </row>
    <row r="228" spans="1:14" ht="14.25" customHeight="1" x14ac:dyDescent="0.15">
      <c r="A228" s="21"/>
      <c r="B228" s="21"/>
      <c r="C228" s="21"/>
      <c r="D228" s="21"/>
      <c r="E228" s="23" t="str">
        <f t="shared" si="120"/>
        <v>15000</v>
      </c>
      <c r="F228" s="21">
        <v>380</v>
      </c>
      <c r="G228" s="21"/>
      <c r="H228" s="21">
        <f>H221</f>
        <v>1000</v>
      </c>
      <c r="I228" s="21">
        <v>585</v>
      </c>
      <c r="J228" s="23" t="str">
        <f t="shared" ref="J228:J229" si="121">J221</f>
        <v>3500</v>
      </c>
      <c r="K228" s="21"/>
      <c r="L228" s="21"/>
      <c r="M228" s="21">
        <f>M221</f>
        <v>2</v>
      </c>
      <c r="N228" s="21"/>
    </row>
    <row r="229" spans="1:14" ht="14.25" customHeight="1" x14ac:dyDescent="0.15">
      <c r="A229" s="19">
        <v>1</v>
      </c>
      <c r="B229" s="19">
        <v>3.6</v>
      </c>
      <c r="C229" s="19">
        <v>1.2</v>
      </c>
      <c r="D229" s="19">
        <f>B229*C229</f>
        <v>4.32</v>
      </c>
      <c r="E229" s="19"/>
      <c r="F229" s="19"/>
      <c r="G229" s="19"/>
      <c r="H229" s="19">
        <f t="shared" ref="H229:I229" si="122">A229</f>
        <v>1</v>
      </c>
      <c r="I229" s="19">
        <f t="shared" si="122"/>
        <v>3.6</v>
      </c>
      <c r="J229" s="19">
        <f t="shared" si="121"/>
        <v>3</v>
      </c>
      <c r="K229" s="19"/>
      <c r="L229" s="19"/>
      <c r="M229" s="19"/>
      <c r="N229" s="19"/>
    </row>
    <row r="230" spans="1:14" ht="14.25" customHeight="1" x14ac:dyDescent="0.15">
      <c r="A230" s="19"/>
      <c r="B230" s="19"/>
      <c r="C230" s="19"/>
      <c r="D230" s="26" t="str">
        <f>D174</f>
        <v>2200</v>
      </c>
      <c r="E230" s="19">
        <v>3</v>
      </c>
      <c r="F230" s="19">
        <f>B229*2</f>
        <v>7.2</v>
      </c>
      <c r="G230" s="19"/>
      <c r="H230" s="19"/>
      <c r="I230" s="19"/>
      <c r="J230" s="19"/>
      <c r="K230" s="19"/>
      <c r="L230" s="19"/>
      <c r="M230" s="19"/>
      <c r="N230" s="19"/>
    </row>
    <row r="231" spans="1:14" ht="14.25" customHeight="1" x14ac:dyDescent="0.15">
      <c r="A231" s="19"/>
      <c r="B231" s="19"/>
      <c r="C231" s="19"/>
      <c r="D231" s="19">
        <f>D229*D230</f>
        <v>9504</v>
      </c>
      <c r="E231" s="19">
        <f>E230*E228</f>
        <v>45000</v>
      </c>
      <c r="F231" s="19">
        <f>F228*F230</f>
        <v>2736</v>
      </c>
      <c r="G231" s="19"/>
      <c r="H231" s="19">
        <f t="shared" ref="H231:J231" si="123">H228*H229</f>
        <v>1000</v>
      </c>
      <c r="I231" s="19">
        <f t="shared" si="123"/>
        <v>2106</v>
      </c>
      <c r="J231" s="19">
        <f t="shared" si="123"/>
        <v>10500</v>
      </c>
      <c r="K231" s="19">
        <f>SUM(D231:J231)</f>
        <v>70846</v>
      </c>
      <c r="L231" s="19">
        <f>K231/A229</f>
        <v>70846</v>
      </c>
      <c r="M231" s="19">
        <f>L231*M228</f>
        <v>141692</v>
      </c>
      <c r="N231" s="19">
        <f>MROUND(M231,100)</f>
        <v>141700</v>
      </c>
    </row>
    <row r="232" spans="1:14" ht="14.25" customHeight="1" x14ac:dyDescent="0.15">
      <c r="A232" s="111"/>
      <c r="B232" s="87"/>
      <c r="C232" s="87"/>
      <c r="D232" s="30"/>
      <c r="E232" s="30"/>
      <c r="F232" s="30"/>
      <c r="G232" s="30"/>
      <c r="H232" s="30"/>
      <c r="I232" s="30"/>
      <c r="J232" s="30"/>
      <c r="K232" s="30"/>
      <c r="L232" s="30"/>
      <c r="M232" s="30"/>
    </row>
    <row r="233" spans="1:14" ht="14.25" customHeight="1" x14ac:dyDescent="0.15">
      <c r="A233" s="109" t="str">
        <f>PRICELIST!I503</f>
        <v>MTATH-LG-PLM-3600-1200</v>
      </c>
      <c r="B233" s="87"/>
      <c r="C233" s="87"/>
      <c r="D233" s="30"/>
      <c r="E233" s="30"/>
      <c r="F233" s="30"/>
      <c r="G233" s="30"/>
      <c r="H233" s="30"/>
      <c r="I233" s="30"/>
      <c r="J233" s="30"/>
      <c r="K233" s="30"/>
      <c r="L233" s="30"/>
      <c r="M233" s="30"/>
    </row>
    <row r="234" spans="1:14" ht="14.25" customHeight="1" x14ac:dyDescent="0.15">
      <c r="A234" s="19" t="s">
        <v>57</v>
      </c>
      <c r="B234" s="19" t="s">
        <v>59</v>
      </c>
      <c r="C234" s="19" t="s">
        <v>62</v>
      </c>
      <c r="D234" s="19" t="s">
        <v>64</v>
      </c>
      <c r="E234" s="19" t="str">
        <f t="shared" ref="E234:E235" si="124">E227</f>
        <v>ATHENA LEG</v>
      </c>
      <c r="F234" s="19" t="s">
        <v>67</v>
      </c>
      <c r="G234" s="19"/>
      <c r="H234" s="19" t="s">
        <v>71</v>
      </c>
      <c r="I234" s="19" t="s">
        <v>72</v>
      </c>
      <c r="J234" s="19" t="s">
        <v>73</v>
      </c>
      <c r="K234" s="19" t="s">
        <v>76</v>
      </c>
      <c r="L234" s="19" t="s">
        <v>78</v>
      </c>
      <c r="M234" s="19" t="s">
        <v>79</v>
      </c>
      <c r="N234" s="19" t="s">
        <v>81</v>
      </c>
    </row>
    <row r="235" spans="1:14" ht="14.25" customHeight="1" x14ac:dyDescent="0.15">
      <c r="A235" s="21"/>
      <c r="B235" s="21"/>
      <c r="C235" s="21"/>
      <c r="D235" s="21"/>
      <c r="E235" s="23" t="str">
        <f t="shared" si="124"/>
        <v>15000</v>
      </c>
      <c r="F235" s="21">
        <v>380</v>
      </c>
      <c r="G235" s="21"/>
      <c r="H235" s="21">
        <f>H228</f>
        <v>1000</v>
      </c>
      <c r="I235" s="21">
        <v>585</v>
      </c>
      <c r="J235" s="23" t="str">
        <f t="shared" ref="J235:J236" si="125">J228</f>
        <v>3500</v>
      </c>
      <c r="K235" s="21"/>
      <c r="L235" s="21"/>
      <c r="M235" s="21">
        <f>M228</f>
        <v>2</v>
      </c>
      <c r="N235" s="21"/>
    </row>
    <row r="236" spans="1:14" ht="14.25" customHeight="1" x14ac:dyDescent="0.15">
      <c r="A236" s="19">
        <v>1</v>
      </c>
      <c r="B236" s="19">
        <v>3.6</v>
      </c>
      <c r="C236" s="19">
        <v>1.2</v>
      </c>
      <c r="D236" s="19">
        <f>B236*C236</f>
        <v>4.32</v>
      </c>
      <c r="E236" s="19"/>
      <c r="F236" s="19"/>
      <c r="G236" s="19"/>
      <c r="H236" s="19">
        <f t="shared" ref="H236:I236" si="126">A236</f>
        <v>1</v>
      </c>
      <c r="I236" s="19">
        <f t="shared" si="126"/>
        <v>3.6</v>
      </c>
      <c r="J236" s="19">
        <f t="shared" si="125"/>
        <v>3</v>
      </c>
      <c r="K236" s="19"/>
      <c r="L236" s="19"/>
      <c r="M236" s="19"/>
      <c r="N236" s="19"/>
    </row>
    <row r="237" spans="1:14" ht="14.25" customHeight="1" x14ac:dyDescent="0.15">
      <c r="A237" s="19"/>
      <c r="B237" s="19"/>
      <c r="C237" s="19"/>
      <c r="D237" s="26" t="str">
        <f>D181</f>
        <v>3000</v>
      </c>
      <c r="E237" s="19">
        <f>E230</f>
        <v>3</v>
      </c>
      <c r="F237" s="19">
        <f>B236*2</f>
        <v>7.2</v>
      </c>
      <c r="G237" s="19"/>
      <c r="H237" s="19"/>
      <c r="I237" s="19"/>
      <c r="J237" s="19"/>
      <c r="K237" s="19"/>
      <c r="L237" s="19"/>
      <c r="M237" s="19"/>
      <c r="N237" s="19"/>
    </row>
    <row r="238" spans="1:14" ht="14.25" customHeight="1" x14ac:dyDescent="0.15">
      <c r="A238" s="19"/>
      <c r="B238" s="19"/>
      <c r="C238" s="19"/>
      <c r="D238" s="19">
        <f>D236*D237</f>
        <v>12960</v>
      </c>
      <c r="E238" s="19">
        <f>E237*E235</f>
        <v>45000</v>
      </c>
      <c r="F238" s="19">
        <f>F235*F237</f>
        <v>2736</v>
      </c>
      <c r="G238" s="19"/>
      <c r="H238" s="19">
        <f t="shared" ref="H238:J238" si="127">H235*H236</f>
        <v>1000</v>
      </c>
      <c r="I238" s="19">
        <f t="shared" si="127"/>
        <v>2106</v>
      </c>
      <c r="J238" s="19">
        <f t="shared" si="127"/>
        <v>10500</v>
      </c>
      <c r="K238" s="19">
        <f>SUM(D238:J238)</f>
        <v>74302</v>
      </c>
      <c r="L238" s="19">
        <f>K238/A236</f>
        <v>74302</v>
      </c>
      <c r="M238" s="19">
        <f>L238*M235</f>
        <v>148604</v>
      </c>
      <c r="N238" s="19">
        <f>MROUND(M238,100)</f>
        <v>148600</v>
      </c>
    </row>
    <row r="239" spans="1:14" ht="14.25" customHeight="1" x14ac:dyDescent="0.1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</row>
    <row r="240" spans="1:14" ht="14.25" customHeight="1" x14ac:dyDescent="0.15">
      <c r="A240" s="109" t="str">
        <f>PRICELIST!I504</f>
        <v>MTATH-LG-PoLM-3600-1200</v>
      </c>
      <c r="B240" s="87"/>
      <c r="C240" s="87"/>
      <c r="D240" s="30"/>
      <c r="E240" s="30"/>
      <c r="F240" s="30"/>
      <c r="G240" s="30"/>
      <c r="H240" s="30"/>
      <c r="I240" s="30"/>
      <c r="J240" s="30"/>
      <c r="K240" s="30"/>
      <c r="L240" s="30"/>
      <c r="M240" s="30"/>
    </row>
    <row r="241" spans="1:14" ht="14.25" customHeight="1" x14ac:dyDescent="0.15">
      <c r="A241" s="19" t="s">
        <v>57</v>
      </c>
      <c r="B241" s="19" t="s">
        <v>59</v>
      </c>
      <c r="C241" s="19" t="s">
        <v>62</v>
      </c>
      <c r="D241" s="19" t="s">
        <v>64</v>
      </c>
      <c r="E241" s="19" t="str">
        <f t="shared" ref="E241:E242" si="128">E234</f>
        <v>ATHENA LEG</v>
      </c>
      <c r="F241" s="19" t="s">
        <v>67</v>
      </c>
      <c r="G241" s="19"/>
      <c r="H241" s="19" t="s">
        <v>71</v>
      </c>
      <c r="I241" s="19" t="s">
        <v>72</v>
      </c>
      <c r="J241" s="19" t="s">
        <v>73</v>
      </c>
      <c r="K241" s="19" t="s">
        <v>76</v>
      </c>
      <c r="L241" s="19" t="s">
        <v>78</v>
      </c>
      <c r="M241" s="19" t="s">
        <v>79</v>
      </c>
      <c r="N241" s="19" t="s">
        <v>81</v>
      </c>
    </row>
    <row r="242" spans="1:14" ht="14.25" customHeight="1" x14ac:dyDescent="0.15">
      <c r="A242" s="21"/>
      <c r="B242" s="21"/>
      <c r="C242" s="21"/>
      <c r="D242" s="21"/>
      <c r="E242" s="23" t="str">
        <f t="shared" si="128"/>
        <v>15000</v>
      </c>
      <c r="F242" s="21">
        <v>380</v>
      </c>
      <c r="G242" s="21"/>
      <c r="H242" s="21">
        <f>H235</f>
        <v>1000</v>
      </c>
      <c r="I242" s="21">
        <v>585</v>
      </c>
      <c r="J242" s="23" t="str">
        <f t="shared" ref="J242:J243" si="129">J235</f>
        <v>3500</v>
      </c>
      <c r="K242" s="21"/>
      <c r="L242" s="21"/>
      <c r="M242" s="21">
        <f>M235</f>
        <v>2</v>
      </c>
      <c r="N242" s="21"/>
    </row>
    <row r="243" spans="1:14" ht="14.25" customHeight="1" x14ac:dyDescent="0.15">
      <c r="A243" s="19">
        <v>1</v>
      </c>
      <c r="B243" s="19">
        <v>3.6</v>
      </c>
      <c r="C243" s="19">
        <v>1.2</v>
      </c>
      <c r="D243" s="19">
        <f>B243*C243</f>
        <v>4.32</v>
      </c>
      <c r="E243" s="19"/>
      <c r="F243" s="19"/>
      <c r="G243" s="19"/>
      <c r="H243" s="19">
        <f t="shared" ref="H243:I243" si="130">A243</f>
        <v>1</v>
      </c>
      <c r="I243" s="19">
        <f t="shared" si="130"/>
        <v>3.6</v>
      </c>
      <c r="J243" s="19">
        <f t="shared" si="129"/>
        <v>3</v>
      </c>
      <c r="K243" s="19"/>
      <c r="L243" s="19"/>
      <c r="M243" s="19"/>
      <c r="N243" s="19"/>
    </row>
    <row r="244" spans="1:14" ht="14.25" customHeight="1" x14ac:dyDescent="0.15">
      <c r="A244" s="19"/>
      <c r="B244" s="19"/>
      <c r="C244" s="19"/>
      <c r="D244" s="26" t="str">
        <f>D188</f>
        <v>7500</v>
      </c>
      <c r="E244" s="19">
        <f>E237</f>
        <v>3</v>
      </c>
      <c r="F244" s="19">
        <f>B243*2</f>
        <v>7.2</v>
      </c>
      <c r="G244" s="19"/>
      <c r="H244" s="19"/>
      <c r="I244" s="19"/>
      <c r="J244" s="19"/>
      <c r="K244" s="19"/>
      <c r="L244" s="19"/>
      <c r="M244" s="19"/>
      <c r="N244" s="19"/>
    </row>
    <row r="245" spans="1:14" ht="14.25" customHeight="1" x14ac:dyDescent="0.15">
      <c r="A245" s="19"/>
      <c r="B245" s="19"/>
      <c r="C245" s="19"/>
      <c r="D245" s="19">
        <f>D243*D244</f>
        <v>32400.000000000004</v>
      </c>
      <c r="E245" s="19">
        <f>E244*E242</f>
        <v>45000</v>
      </c>
      <c r="F245" s="19">
        <f>F242*F244</f>
        <v>2736</v>
      </c>
      <c r="G245" s="19"/>
      <c r="H245" s="19">
        <f t="shared" ref="H245:J245" si="131">H242*H243</f>
        <v>1000</v>
      </c>
      <c r="I245" s="19">
        <f t="shared" si="131"/>
        <v>2106</v>
      </c>
      <c r="J245" s="19">
        <f t="shared" si="131"/>
        <v>10500</v>
      </c>
      <c r="K245" s="19">
        <f>SUM(D245:J245)</f>
        <v>93742</v>
      </c>
      <c r="L245" s="19">
        <f>K245/A243</f>
        <v>93742</v>
      </c>
      <c r="M245" s="19">
        <f>L245*M242</f>
        <v>187484</v>
      </c>
      <c r="N245" s="19">
        <f>MROUND(M245,100)</f>
        <v>187500</v>
      </c>
    </row>
    <row r="246" spans="1:14" ht="14.25" customHeight="1" x14ac:dyDescent="0.1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</row>
    <row r="247" spans="1:14" ht="14.25" customHeight="1" x14ac:dyDescent="0.15">
      <c r="A247" s="109" t="str">
        <f>PRICELIST!I505</f>
        <v>MTATH-LG-LVM-3600-1200</v>
      </c>
      <c r="B247" s="87"/>
      <c r="C247" s="87"/>
      <c r="D247" s="30"/>
      <c r="E247" s="30"/>
      <c r="F247" s="30"/>
      <c r="G247" s="30"/>
      <c r="H247" s="30"/>
      <c r="I247" s="30"/>
      <c r="J247" s="30"/>
      <c r="K247" s="30"/>
      <c r="L247" s="30"/>
      <c r="M247" s="30"/>
    </row>
    <row r="248" spans="1:14" ht="14.25" customHeight="1" x14ac:dyDescent="0.15">
      <c r="A248" s="19" t="s">
        <v>57</v>
      </c>
      <c r="B248" s="19" t="s">
        <v>59</v>
      </c>
      <c r="C248" s="19" t="s">
        <v>62</v>
      </c>
      <c r="D248" s="19" t="s">
        <v>64</v>
      </c>
      <c r="E248" s="19" t="str">
        <f t="shared" ref="E248:E249" si="132">E241</f>
        <v>ATHENA LEG</v>
      </c>
      <c r="F248" s="19" t="s">
        <v>67</v>
      </c>
      <c r="G248" s="19"/>
      <c r="H248" s="19" t="s">
        <v>71</v>
      </c>
      <c r="I248" s="19" t="s">
        <v>72</v>
      </c>
      <c r="J248" s="19" t="s">
        <v>73</v>
      </c>
      <c r="K248" s="19" t="s">
        <v>76</v>
      </c>
      <c r="L248" s="19" t="s">
        <v>78</v>
      </c>
      <c r="M248" s="19" t="s">
        <v>79</v>
      </c>
      <c r="N248" s="19" t="s">
        <v>81</v>
      </c>
    </row>
    <row r="249" spans="1:14" ht="14.25" customHeight="1" x14ac:dyDescent="0.15">
      <c r="A249" s="21"/>
      <c r="B249" s="21"/>
      <c r="C249" s="21"/>
      <c r="D249" s="21"/>
      <c r="E249" s="23" t="str">
        <f t="shared" si="132"/>
        <v>15000</v>
      </c>
      <c r="F249" s="21">
        <v>380</v>
      </c>
      <c r="G249" s="21"/>
      <c r="H249" s="21">
        <f>H242</f>
        <v>1000</v>
      </c>
      <c r="I249" s="21">
        <v>585</v>
      </c>
      <c r="J249" s="23" t="str">
        <f t="shared" ref="J249:J250" si="133">J242</f>
        <v>3500</v>
      </c>
      <c r="K249" s="21"/>
      <c r="L249" s="21"/>
      <c r="M249" s="21">
        <f>M242</f>
        <v>2</v>
      </c>
      <c r="N249" s="21"/>
    </row>
    <row r="250" spans="1:14" ht="14.25" customHeight="1" x14ac:dyDescent="0.15">
      <c r="A250" s="19">
        <v>1</v>
      </c>
      <c r="B250" s="19">
        <v>3.6</v>
      </c>
      <c r="C250" s="19">
        <v>1.2</v>
      </c>
      <c r="D250" s="19">
        <f>B250*C250</f>
        <v>4.32</v>
      </c>
      <c r="E250" s="19"/>
      <c r="F250" s="19"/>
      <c r="G250" s="19"/>
      <c r="H250" s="19">
        <f t="shared" ref="H250:I250" si="134">A250</f>
        <v>1</v>
      </c>
      <c r="I250" s="19">
        <f t="shared" si="134"/>
        <v>3.6</v>
      </c>
      <c r="J250" s="19">
        <f t="shared" si="133"/>
        <v>3</v>
      </c>
      <c r="K250" s="19"/>
      <c r="L250" s="19"/>
      <c r="M250" s="19"/>
      <c r="N250" s="19"/>
    </row>
    <row r="251" spans="1:14" ht="14.25" customHeight="1" x14ac:dyDescent="0.15">
      <c r="A251" s="19"/>
      <c r="B251" s="19"/>
      <c r="C251" s="19"/>
      <c r="D251" s="26" t="str">
        <f>D195</f>
        <v>9500</v>
      </c>
      <c r="E251" s="19">
        <f>E244</f>
        <v>3</v>
      </c>
      <c r="F251" s="19">
        <f>B250*2</f>
        <v>7.2</v>
      </c>
      <c r="G251" s="19"/>
      <c r="H251" s="19"/>
      <c r="I251" s="19"/>
      <c r="J251" s="19"/>
      <c r="K251" s="19"/>
      <c r="L251" s="19"/>
      <c r="M251" s="19"/>
      <c r="N251" s="19"/>
    </row>
    <row r="252" spans="1:14" ht="14.25" customHeight="1" x14ac:dyDescent="0.15">
      <c r="A252" s="19"/>
      <c r="B252" s="19"/>
      <c r="C252" s="19"/>
      <c r="D252" s="19">
        <f>D250*D251</f>
        <v>41040</v>
      </c>
      <c r="E252" s="19">
        <f>E251*E249</f>
        <v>45000</v>
      </c>
      <c r="F252" s="19">
        <f>F249*F251</f>
        <v>2736</v>
      </c>
      <c r="G252" s="19"/>
      <c r="H252" s="19">
        <f t="shared" ref="H252:J252" si="135">H249*H250</f>
        <v>1000</v>
      </c>
      <c r="I252" s="19">
        <f t="shared" si="135"/>
        <v>2106</v>
      </c>
      <c r="J252" s="19">
        <f t="shared" si="135"/>
        <v>10500</v>
      </c>
      <c r="K252" s="19">
        <f>SUM(D252:J252)</f>
        <v>102382</v>
      </c>
      <c r="L252" s="19">
        <f>K252/A250</f>
        <v>102382</v>
      </c>
      <c r="M252" s="19">
        <f>L252*M249</f>
        <v>204764</v>
      </c>
      <c r="N252" s="19">
        <f>MROUND(M252,100)</f>
        <v>204800</v>
      </c>
    </row>
    <row r="253" spans="1:14" ht="14.25" customHeight="1" x14ac:dyDescent="0.1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</row>
    <row r="254" spans="1:14" ht="14.25" customHeight="1" x14ac:dyDescent="0.15">
      <c r="A254" s="109" t="str">
        <f>PRICELIST!I506</f>
        <v>MTATH-LG-LVP-3600-1200</v>
      </c>
      <c r="B254" s="87"/>
      <c r="C254" s="87"/>
      <c r="D254" s="30"/>
      <c r="E254" s="30"/>
      <c r="F254" s="30"/>
      <c r="G254" s="30"/>
      <c r="H254" s="30"/>
      <c r="I254" s="30"/>
      <c r="J254" s="30"/>
      <c r="K254" s="30"/>
      <c r="L254" s="30"/>
      <c r="M254" s="30"/>
    </row>
    <row r="255" spans="1:14" ht="14.25" customHeight="1" x14ac:dyDescent="0.15">
      <c r="A255" s="19" t="s">
        <v>57</v>
      </c>
      <c r="B255" s="19" t="s">
        <v>59</v>
      </c>
      <c r="C255" s="19" t="s">
        <v>62</v>
      </c>
      <c r="D255" s="19" t="s">
        <v>64</v>
      </c>
      <c r="E255" s="19" t="str">
        <f t="shared" ref="E255:E256" si="136">E248</f>
        <v>ATHENA LEG</v>
      </c>
      <c r="F255" s="19" t="s">
        <v>67</v>
      </c>
      <c r="G255" s="19"/>
      <c r="H255" s="19" t="s">
        <v>71</v>
      </c>
      <c r="I255" s="19" t="s">
        <v>72</v>
      </c>
      <c r="J255" s="19" t="s">
        <v>73</v>
      </c>
      <c r="K255" s="19" t="s">
        <v>76</v>
      </c>
      <c r="L255" s="19" t="s">
        <v>78</v>
      </c>
      <c r="M255" s="19" t="s">
        <v>79</v>
      </c>
      <c r="N255" s="19" t="s">
        <v>81</v>
      </c>
    </row>
    <row r="256" spans="1:14" ht="14.25" customHeight="1" x14ac:dyDescent="0.15">
      <c r="A256" s="21"/>
      <c r="B256" s="21"/>
      <c r="C256" s="21"/>
      <c r="D256" s="21"/>
      <c r="E256" s="23" t="str">
        <f t="shared" si="136"/>
        <v>15000</v>
      </c>
      <c r="F256" s="21">
        <v>380</v>
      </c>
      <c r="G256" s="21"/>
      <c r="H256" s="21">
        <f>H249</f>
        <v>1000</v>
      </c>
      <c r="I256" s="21">
        <v>585</v>
      </c>
      <c r="J256" s="23" t="str">
        <f t="shared" ref="J256:J257" si="137">J249</f>
        <v>3500</v>
      </c>
      <c r="K256" s="21"/>
      <c r="L256" s="21"/>
      <c r="M256" s="21">
        <f>M249</f>
        <v>2</v>
      </c>
      <c r="N256" s="21"/>
    </row>
    <row r="257" spans="1:14" ht="14.25" customHeight="1" x14ac:dyDescent="0.15">
      <c r="A257" s="19">
        <v>1</v>
      </c>
      <c r="B257" s="19">
        <v>3.6</v>
      </c>
      <c r="C257" s="19">
        <v>1.2</v>
      </c>
      <c r="D257" s="19">
        <f>B257*C257</f>
        <v>4.32</v>
      </c>
      <c r="E257" s="19"/>
      <c r="F257" s="19"/>
      <c r="G257" s="19"/>
      <c r="H257" s="19">
        <f t="shared" ref="H257:I257" si="138">A257</f>
        <v>1</v>
      </c>
      <c r="I257" s="19">
        <f t="shared" si="138"/>
        <v>3.6</v>
      </c>
      <c r="J257" s="19">
        <f t="shared" si="137"/>
        <v>3</v>
      </c>
      <c r="K257" s="19"/>
      <c r="L257" s="19"/>
      <c r="M257" s="19"/>
      <c r="N257" s="19"/>
    </row>
    <row r="258" spans="1:14" ht="14.25" customHeight="1" x14ac:dyDescent="0.15">
      <c r="A258" s="19"/>
      <c r="B258" s="19"/>
      <c r="C258" s="19"/>
      <c r="D258" s="26" t="str">
        <f>D202</f>
        <v>10500</v>
      </c>
      <c r="E258" s="19">
        <f>E251</f>
        <v>3</v>
      </c>
      <c r="F258" s="19">
        <f>B257*2</f>
        <v>7.2</v>
      </c>
      <c r="G258" s="19"/>
      <c r="H258" s="19"/>
      <c r="I258" s="19"/>
      <c r="J258" s="19"/>
      <c r="K258" s="19"/>
      <c r="L258" s="19"/>
      <c r="M258" s="19"/>
      <c r="N258" s="19"/>
    </row>
    <row r="259" spans="1:14" ht="14.25" customHeight="1" x14ac:dyDescent="0.15">
      <c r="A259" s="19"/>
      <c r="B259" s="19"/>
      <c r="C259" s="19"/>
      <c r="D259" s="19">
        <f>D257*D258</f>
        <v>45360</v>
      </c>
      <c r="E259" s="19">
        <f>E258*E256</f>
        <v>45000</v>
      </c>
      <c r="F259" s="19">
        <f>F256*F258</f>
        <v>2736</v>
      </c>
      <c r="G259" s="19"/>
      <c r="H259" s="19">
        <f t="shared" ref="H259:J259" si="139">H256*H257</f>
        <v>1000</v>
      </c>
      <c r="I259" s="19">
        <f t="shared" si="139"/>
        <v>2106</v>
      </c>
      <c r="J259" s="19">
        <f t="shared" si="139"/>
        <v>10500</v>
      </c>
      <c r="K259" s="19">
        <f>SUM(D259:J259)</f>
        <v>106702</v>
      </c>
      <c r="L259" s="19">
        <f>K259/A257</f>
        <v>106702</v>
      </c>
      <c r="M259" s="19">
        <f>L259*M256</f>
        <v>213404</v>
      </c>
      <c r="N259" s="19">
        <f>MROUND(M259,100)</f>
        <v>213400</v>
      </c>
    </row>
    <row r="260" spans="1:14" ht="14.25" customHeight="1" x14ac:dyDescent="0.1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</row>
    <row r="261" spans="1:14" ht="14.25" customHeight="1" x14ac:dyDescent="0.15">
      <c r="A261" s="109" t="str">
        <f>PRICELIST!I507</f>
        <v>MTATH-LG-VNR-3600-1200</v>
      </c>
      <c r="B261" s="87"/>
      <c r="C261" s="87"/>
      <c r="D261" s="30"/>
      <c r="E261" s="30"/>
      <c r="F261" s="30"/>
      <c r="G261" s="30"/>
      <c r="H261" s="30"/>
      <c r="I261" s="30"/>
      <c r="J261" s="30"/>
      <c r="K261" s="30"/>
      <c r="L261" s="30"/>
      <c r="M261" s="30"/>
    </row>
    <row r="262" spans="1:14" ht="14.25" customHeight="1" x14ac:dyDescent="0.15">
      <c r="A262" s="19" t="s">
        <v>57</v>
      </c>
      <c r="B262" s="19" t="s">
        <v>59</v>
      </c>
      <c r="C262" s="19" t="s">
        <v>62</v>
      </c>
      <c r="D262" s="19" t="s">
        <v>64</v>
      </c>
      <c r="E262" s="19" t="str">
        <f t="shared" ref="E262:E263" si="140">E255</f>
        <v>ATHENA LEG</v>
      </c>
      <c r="F262" s="19" t="s">
        <v>67</v>
      </c>
      <c r="G262" s="19"/>
      <c r="H262" s="19" t="s">
        <v>71</v>
      </c>
      <c r="I262" s="19" t="s">
        <v>72</v>
      </c>
      <c r="J262" s="19" t="s">
        <v>73</v>
      </c>
      <c r="K262" s="19" t="s">
        <v>76</v>
      </c>
      <c r="L262" s="19" t="s">
        <v>78</v>
      </c>
      <c r="M262" s="19" t="s">
        <v>79</v>
      </c>
      <c r="N262" s="19" t="s">
        <v>81</v>
      </c>
    </row>
    <row r="263" spans="1:14" ht="14.25" customHeight="1" x14ac:dyDescent="0.15">
      <c r="A263" s="21"/>
      <c r="B263" s="21"/>
      <c r="C263" s="21"/>
      <c r="D263" s="21"/>
      <c r="E263" s="23" t="str">
        <f t="shared" si="140"/>
        <v>15000</v>
      </c>
      <c r="F263" s="21">
        <v>380</v>
      </c>
      <c r="G263" s="21"/>
      <c r="H263" s="21">
        <f>H256</f>
        <v>1000</v>
      </c>
      <c r="I263" s="21">
        <v>585</v>
      </c>
      <c r="J263" s="23" t="str">
        <f t="shared" ref="J263:J264" si="141">J256</f>
        <v>3500</v>
      </c>
      <c r="K263" s="21"/>
      <c r="L263" s="21"/>
      <c r="M263" s="21">
        <f>M256</f>
        <v>2</v>
      </c>
      <c r="N263" s="21"/>
    </row>
    <row r="264" spans="1:14" ht="14.25" customHeight="1" x14ac:dyDescent="0.15">
      <c r="A264" s="19">
        <v>1</v>
      </c>
      <c r="B264" s="19">
        <v>3.6</v>
      </c>
      <c r="C264" s="19">
        <v>1.2</v>
      </c>
      <c r="D264" s="19">
        <f>B264*C264</f>
        <v>4.32</v>
      </c>
      <c r="E264" s="19"/>
      <c r="F264" s="19"/>
      <c r="G264" s="19"/>
      <c r="H264" s="19">
        <f t="shared" ref="H264:I264" si="142">A264</f>
        <v>1</v>
      </c>
      <c r="I264" s="19">
        <f t="shared" si="142"/>
        <v>3.6</v>
      </c>
      <c r="J264" s="19">
        <f t="shared" si="141"/>
        <v>3</v>
      </c>
      <c r="K264" s="19"/>
      <c r="L264" s="19"/>
      <c r="M264" s="19"/>
      <c r="N264" s="19"/>
    </row>
    <row r="265" spans="1:14" ht="14.25" customHeight="1" x14ac:dyDescent="0.15">
      <c r="A265" s="19"/>
      <c r="B265" s="19"/>
      <c r="C265" s="19"/>
      <c r="D265" s="26" t="str">
        <f>D209</f>
        <v>30000</v>
      </c>
      <c r="E265" s="19">
        <f>E258</f>
        <v>3</v>
      </c>
      <c r="F265" s="19">
        <f>B264*2</f>
        <v>7.2</v>
      </c>
      <c r="G265" s="19"/>
      <c r="H265" s="19"/>
      <c r="I265" s="19"/>
      <c r="J265" s="19"/>
      <c r="K265" s="19"/>
      <c r="L265" s="19"/>
      <c r="M265" s="19"/>
      <c r="N265" s="19"/>
    </row>
    <row r="266" spans="1:14" ht="14.25" customHeight="1" x14ac:dyDescent="0.15">
      <c r="A266" s="19"/>
      <c r="B266" s="19"/>
      <c r="C266" s="19"/>
      <c r="D266" s="19">
        <f>D264*D265</f>
        <v>129600.00000000001</v>
      </c>
      <c r="E266" s="19">
        <f>E265*E263</f>
        <v>45000</v>
      </c>
      <c r="F266" s="19">
        <f>F263*F265</f>
        <v>2736</v>
      </c>
      <c r="G266" s="19"/>
      <c r="H266" s="19">
        <f t="shared" ref="H266:J266" si="143">H263*H264</f>
        <v>1000</v>
      </c>
      <c r="I266" s="19">
        <f t="shared" si="143"/>
        <v>2106</v>
      </c>
      <c r="J266" s="19">
        <f t="shared" si="143"/>
        <v>10500</v>
      </c>
      <c r="K266" s="19">
        <f>SUM(D266:J266)</f>
        <v>190942</v>
      </c>
      <c r="L266" s="19">
        <f>K266/A264</f>
        <v>190942</v>
      </c>
      <c r="M266" s="19">
        <f>L266*M263</f>
        <v>381884</v>
      </c>
      <c r="N266" s="19">
        <f>MROUND(M266,100)</f>
        <v>381900</v>
      </c>
    </row>
    <row r="267" spans="1:14" ht="14.25" customHeight="1" x14ac:dyDescent="0.1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</row>
    <row r="268" spans="1:14" ht="14.25" customHeight="1" x14ac:dyDescent="0.15">
      <c r="A268" s="109" t="str">
        <f>PRICELIST!I508</f>
        <v>MTATH-LG-MBL-3600-1200</v>
      </c>
      <c r="B268" s="87"/>
      <c r="C268" s="87"/>
      <c r="D268" s="30"/>
      <c r="E268" s="30"/>
      <c r="F268" s="30"/>
      <c r="G268" s="30"/>
      <c r="H268" s="30"/>
      <c r="I268" s="30"/>
      <c r="J268" s="30"/>
      <c r="K268" s="30"/>
      <c r="L268" s="30"/>
      <c r="M268" s="30"/>
    </row>
    <row r="269" spans="1:14" ht="14.25" customHeight="1" x14ac:dyDescent="0.15">
      <c r="A269" s="19" t="s">
        <v>57</v>
      </c>
      <c r="B269" s="19" t="s">
        <v>59</v>
      </c>
      <c r="C269" s="19" t="s">
        <v>62</v>
      </c>
      <c r="D269" s="19" t="s">
        <v>64</v>
      </c>
      <c r="E269" s="19" t="str">
        <f t="shared" ref="E269:E270" si="144">E262</f>
        <v>ATHENA LEG</v>
      </c>
      <c r="F269" s="19" t="s">
        <v>67</v>
      </c>
      <c r="G269" s="19"/>
      <c r="H269" s="19" t="s">
        <v>71</v>
      </c>
      <c r="I269" s="19" t="s">
        <v>72</v>
      </c>
      <c r="J269" s="19" t="s">
        <v>73</v>
      </c>
      <c r="K269" s="19" t="s">
        <v>76</v>
      </c>
      <c r="L269" s="19" t="s">
        <v>78</v>
      </c>
      <c r="M269" s="19" t="s">
        <v>79</v>
      </c>
      <c r="N269" s="19" t="s">
        <v>81</v>
      </c>
    </row>
    <row r="270" spans="1:14" ht="14.25" customHeight="1" x14ac:dyDescent="0.15">
      <c r="A270" s="21"/>
      <c r="B270" s="21"/>
      <c r="C270" s="21"/>
      <c r="D270" s="21"/>
      <c r="E270" s="23" t="str">
        <f t="shared" si="144"/>
        <v>15000</v>
      </c>
      <c r="F270" s="21">
        <v>380</v>
      </c>
      <c r="G270" s="21"/>
      <c r="H270" s="21">
        <f>H263</f>
        <v>1000</v>
      </c>
      <c r="I270" s="21">
        <v>585</v>
      </c>
      <c r="J270" s="23" t="str">
        <f t="shared" ref="J270:J271" si="145">J263</f>
        <v>3500</v>
      </c>
      <c r="K270" s="21"/>
      <c r="L270" s="21"/>
      <c r="M270" s="21">
        <f>M263</f>
        <v>2</v>
      </c>
      <c r="N270" s="21"/>
    </row>
    <row r="271" spans="1:14" ht="14.25" customHeight="1" x14ac:dyDescent="0.15">
      <c r="A271" s="19">
        <v>1</v>
      </c>
      <c r="B271" s="19">
        <v>3.6</v>
      </c>
      <c r="C271" s="19">
        <v>1.2</v>
      </c>
      <c r="D271" s="19">
        <f>B271*C271</f>
        <v>4.32</v>
      </c>
      <c r="E271" s="19"/>
      <c r="F271" s="19"/>
      <c r="G271" s="19"/>
      <c r="H271" s="19">
        <f t="shared" ref="H271:I271" si="146">A271</f>
        <v>1</v>
      </c>
      <c r="I271" s="19">
        <f t="shared" si="146"/>
        <v>3.6</v>
      </c>
      <c r="J271" s="19">
        <f t="shared" si="145"/>
        <v>3</v>
      </c>
      <c r="K271" s="19"/>
      <c r="L271" s="19"/>
      <c r="M271" s="19"/>
      <c r="N271" s="19"/>
    </row>
    <row r="272" spans="1:14" ht="14.25" customHeight="1" x14ac:dyDescent="0.15">
      <c r="A272" s="19"/>
      <c r="B272" s="19"/>
      <c r="C272" s="19"/>
      <c r="D272" s="26">
        <f>D216</f>
        <v>37500</v>
      </c>
      <c r="E272" s="19">
        <f>E265</f>
        <v>3</v>
      </c>
      <c r="F272" s="19">
        <f>B271*2</f>
        <v>7.2</v>
      </c>
      <c r="G272" s="19"/>
      <c r="H272" s="19"/>
      <c r="I272" s="19"/>
      <c r="J272" s="19"/>
      <c r="K272" s="19"/>
      <c r="L272" s="19"/>
      <c r="M272" s="19"/>
      <c r="N272" s="19"/>
    </row>
    <row r="273" spans="1:14" ht="14.25" customHeight="1" x14ac:dyDescent="0.15">
      <c r="A273" s="19"/>
      <c r="B273" s="19"/>
      <c r="C273" s="19"/>
      <c r="D273" s="19">
        <f>D271*D272</f>
        <v>162000</v>
      </c>
      <c r="E273" s="19">
        <f>E272*E270</f>
        <v>45000</v>
      </c>
      <c r="F273" s="19">
        <f>F270*F272</f>
        <v>2736</v>
      </c>
      <c r="G273" s="19"/>
      <c r="H273" s="19">
        <f t="shared" ref="H273:J273" si="147">H270*H271</f>
        <v>1000</v>
      </c>
      <c r="I273" s="19">
        <f t="shared" si="147"/>
        <v>2106</v>
      </c>
      <c r="J273" s="19">
        <f t="shared" si="147"/>
        <v>10500</v>
      </c>
      <c r="K273" s="19">
        <f>SUM(D273:J273)</f>
        <v>223342</v>
      </c>
      <c r="L273" s="19">
        <f>K273/A271</f>
        <v>223342</v>
      </c>
      <c r="M273" s="19">
        <f>L273*M270</f>
        <v>446684</v>
      </c>
      <c r="N273" s="19">
        <f>MROUND(M273,100)</f>
        <v>446700</v>
      </c>
    </row>
    <row r="274" spans="1:14" ht="14.25" customHeight="1" x14ac:dyDescent="0.1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</row>
    <row r="275" spans="1:14" ht="14.25" customHeight="1" x14ac:dyDescent="0.15">
      <c r="A275" s="109" t="str">
        <f>PRICELIST!I509</f>
        <v>MTATH-LG-GL-3600-1200</v>
      </c>
      <c r="B275" s="87"/>
      <c r="C275" s="87"/>
      <c r="D275" s="30"/>
      <c r="E275" s="30"/>
      <c r="F275" s="30"/>
      <c r="G275" s="30"/>
      <c r="H275" s="30"/>
      <c r="I275" s="30"/>
      <c r="J275" s="30"/>
      <c r="K275" s="30"/>
      <c r="L275" s="30"/>
      <c r="M275" s="30"/>
    </row>
    <row r="276" spans="1:14" ht="14.25" customHeight="1" x14ac:dyDescent="0.15">
      <c r="A276" s="19" t="s">
        <v>57</v>
      </c>
      <c r="B276" s="19" t="s">
        <v>59</v>
      </c>
      <c r="C276" s="19" t="s">
        <v>62</v>
      </c>
      <c r="D276" s="19" t="s">
        <v>64</v>
      </c>
      <c r="E276" s="19" t="str">
        <f t="shared" ref="E276:E277" si="148">E269</f>
        <v>ATHENA LEG</v>
      </c>
      <c r="F276" s="19" t="s">
        <v>67</v>
      </c>
      <c r="G276" s="19"/>
      <c r="H276" s="19" t="s">
        <v>71</v>
      </c>
      <c r="I276" s="19" t="s">
        <v>72</v>
      </c>
      <c r="J276" s="19" t="s">
        <v>73</v>
      </c>
      <c r="K276" s="19" t="s">
        <v>76</v>
      </c>
      <c r="L276" s="19" t="s">
        <v>78</v>
      </c>
      <c r="M276" s="19" t="s">
        <v>79</v>
      </c>
      <c r="N276" s="19" t="s">
        <v>81</v>
      </c>
    </row>
    <row r="277" spans="1:14" ht="14.25" customHeight="1" x14ac:dyDescent="0.15">
      <c r="A277" s="21"/>
      <c r="B277" s="21"/>
      <c r="C277" s="21"/>
      <c r="D277" s="21"/>
      <c r="E277" s="23" t="str">
        <f t="shared" si="148"/>
        <v>15000</v>
      </c>
      <c r="F277" s="21">
        <v>380</v>
      </c>
      <c r="G277" s="21"/>
      <c r="H277" s="21">
        <f>H270</f>
        <v>1000</v>
      </c>
      <c r="I277" s="21">
        <v>585</v>
      </c>
      <c r="J277" s="23" t="str">
        <f t="shared" ref="J277:J278" si="149">J270</f>
        <v>3500</v>
      </c>
      <c r="K277" s="21"/>
      <c r="L277" s="21"/>
      <c r="M277" s="21">
        <f>M270</f>
        <v>2</v>
      </c>
      <c r="N277" s="21"/>
    </row>
    <row r="278" spans="1:14" ht="14.25" customHeight="1" x14ac:dyDescent="0.15">
      <c r="A278" s="19">
        <v>1</v>
      </c>
      <c r="B278" s="19">
        <v>3.6</v>
      </c>
      <c r="C278" s="19">
        <v>1.2</v>
      </c>
      <c r="D278" s="19">
        <f>B278*C278</f>
        <v>4.32</v>
      </c>
      <c r="E278" s="19"/>
      <c r="F278" s="19"/>
      <c r="G278" s="19"/>
      <c r="H278" s="19">
        <f t="shared" ref="H278:I278" si="150">A278</f>
        <v>1</v>
      </c>
      <c r="I278" s="19">
        <f t="shared" si="150"/>
        <v>3.6</v>
      </c>
      <c r="J278" s="19">
        <f t="shared" si="149"/>
        <v>3</v>
      </c>
      <c r="K278" s="19"/>
      <c r="L278" s="19"/>
      <c r="M278" s="19"/>
      <c r="N278" s="19"/>
    </row>
    <row r="279" spans="1:14" ht="14.25" customHeight="1" x14ac:dyDescent="0.15">
      <c r="A279" s="19"/>
      <c r="B279" s="19"/>
      <c r="C279" s="19"/>
      <c r="D279" s="26" t="str">
        <f>D223</f>
        <v>7500</v>
      </c>
      <c r="E279" s="19">
        <f>E272</f>
        <v>3</v>
      </c>
      <c r="F279" s="19">
        <f>B278*2</f>
        <v>7.2</v>
      </c>
      <c r="G279" s="19"/>
      <c r="H279" s="19"/>
      <c r="I279" s="19"/>
      <c r="J279" s="19"/>
      <c r="K279" s="19"/>
      <c r="L279" s="19"/>
      <c r="M279" s="19"/>
      <c r="N279" s="19"/>
    </row>
    <row r="280" spans="1:14" ht="14.25" customHeight="1" x14ac:dyDescent="0.15">
      <c r="A280" s="19"/>
      <c r="B280" s="19"/>
      <c r="C280" s="19"/>
      <c r="D280" s="19">
        <f>D278*D279</f>
        <v>32400.000000000004</v>
      </c>
      <c r="E280" s="19">
        <f>E279*E277</f>
        <v>45000</v>
      </c>
      <c r="F280" s="19">
        <f>F277*F279</f>
        <v>2736</v>
      </c>
      <c r="G280" s="19"/>
      <c r="H280" s="19">
        <f t="shared" ref="H280:J280" si="151">H277*H278</f>
        <v>1000</v>
      </c>
      <c r="I280" s="19">
        <f t="shared" si="151"/>
        <v>2106</v>
      </c>
      <c r="J280" s="19">
        <f t="shared" si="151"/>
        <v>10500</v>
      </c>
      <c r="K280" s="19">
        <f>SUM(D280:J280)</f>
        <v>93742</v>
      </c>
      <c r="L280" s="19">
        <f>K280/A278</f>
        <v>93742</v>
      </c>
      <c r="M280" s="19">
        <f>L280*M277</f>
        <v>187484</v>
      </c>
      <c r="N280" s="19">
        <f>MROUND(M280,100)</f>
        <v>187500</v>
      </c>
    </row>
    <row r="281" spans="1:14" ht="14.25" customHeight="1" x14ac:dyDescent="0.1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</row>
    <row r="282" spans="1:14" ht="14.25" customHeight="1" x14ac:dyDescent="0.15">
      <c r="A282" s="109" t="str">
        <f>PRICELIST!I510</f>
        <v>MTATH-XL-PB-4800-1200</v>
      </c>
      <c r="B282" s="87"/>
      <c r="C282" s="87"/>
      <c r="D282" s="30"/>
      <c r="E282" s="30"/>
      <c r="F282" s="30"/>
      <c r="G282" s="30"/>
      <c r="H282" s="30"/>
      <c r="I282" s="30"/>
      <c r="J282" s="30"/>
      <c r="K282" s="30"/>
      <c r="L282" s="30"/>
      <c r="M282" s="30"/>
    </row>
    <row r="283" spans="1:14" ht="14.25" customHeight="1" x14ac:dyDescent="0.15">
      <c r="A283" s="19" t="s">
        <v>57</v>
      </c>
      <c r="B283" s="19" t="s">
        <v>59</v>
      </c>
      <c r="C283" s="19" t="s">
        <v>62</v>
      </c>
      <c r="D283" s="19" t="s">
        <v>64</v>
      </c>
      <c r="E283" s="19" t="str">
        <f t="shared" ref="E283:E284" si="152">E276</f>
        <v>ATHENA LEG</v>
      </c>
      <c r="F283" s="19" t="s">
        <v>67</v>
      </c>
      <c r="G283" s="19"/>
      <c r="H283" s="19" t="s">
        <v>71</v>
      </c>
      <c r="I283" s="19" t="s">
        <v>72</v>
      </c>
      <c r="J283" s="19" t="s">
        <v>73</v>
      </c>
      <c r="K283" s="19" t="s">
        <v>76</v>
      </c>
      <c r="L283" s="19" t="s">
        <v>78</v>
      </c>
      <c r="M283" s="19" t="s">
        <v>79</v>
      </c>
      <c r="N283" s="19" t="s">
        <v>81</v>
      </c>
    </row>
    <row r="284" spans="1:14" ht="14.25" customHeight="1" x14ac:dyDescent="0.15">
      <c r="A284" s="21"/>
      <c r="B284" s="21"/>
      <c r="C284" s="21"/>
      <c r="D284" s="21"/>
      <c r="E284" s="23" t="str">
        <f t="shared" si="152"/>
        <v>15000</v>
      </c>
      <c r="F284" s="21">
        <v>380</v>
      </c>
      <c r="G284" s="21"/>
      <c r="H284" s="21">
        <f>H277</f>
        <v>1000</v>
      </c>
      <c r="I284" s="21">
        <v>585</v>
      </c>
      <c r="J284" s="23" t="str">
        <f>J277</f>
        <v>3500</v>
      </c>
      <c r="K284" s="21"/>
      <c r="L284" s="21"/>
      <c r="M284" s="21">
        <f>M277</f>
        <v>2</v>
      </c>
      <c r="N284" s="21"/>
    </row>
    <row r="285" spans="1:14" ht="14.25" customHeight="1" x14ac:dyDescent="0.15">
      <c r="A285" s="19">
        <v>1</v>
      </c>
      <c r="B285" s="19">
        <v>4.8</v>
      </c>
      <c r="C285" s="19">
        <v>1.2</v>
      </c>
      <c r="D285" s="19">
        <f>B285*C285</f>
        <v>5.76</v>
      </c>
      <c r="E285" s="19"/>
      <c r="F285" s="19"/>
      <c r="G285" s="19"/>
      <c r="H285" s="19">
        <f t="shared" ref="H285:I285" si="153">A285</f>
        <v>1</v>
      </c>
      <c r="I285" s="19">
        <f t="shared" si="153"/>
        <v>4.8</v>
      </c>
      <c r="J285" s="19">
        <v>4</v>
      </c>
      <c r="K285" s="19"/>
      <c r="L285" s="19"/>
      <c r="M285" s="19"/>
      <c r="N285" s="19"/>
    </row>
    <row r="286" spans="1:14" ht="14.25" customHeight="1" x14ac:dyDescent="0.15">
      <c r="A286" s="19"/>
      <c r="B286" s="19"/>
      <c r="C286" s="19"/>
      <c r="D286" s="26" t="str">
        <f>D230</f>
        <v>2200</v>
      </c>
      <c r="E286" s="19">
        <v>3</v>
      </c>
      <c r="F286" s="19">
        <f>B285*2</f>
        <v>9.6</v>
      </c>
      <c r="G286" s="19"/>
      <c r="H286" s="19"/>
      <c r="I286" s="19"/>
      <c r="J286" s="19"/>
      <c r="K286" s="19"/>
      <c r="L286" s="19"/>
      <c r="M286" s="19"/>
      <c r="N286" s="19"/>
    </row>
    <row r="287" spans="1:14" ht="14.25" customHeight="1" x14ac:dyDescent="0.15">
      <c r="A287" s="19"/>
      <c r="B287" s="19"/>
      <c r="C287" s="19"/>
      <c r="D287" s="19">
        <f>D285*D286</f>
        <v>12672</v>
      </c>
      <c r="E287" s="19">
        <f>E286*E284</f>
        <v>45000</v>
      </c>
      <c r="F287" s="19">
        <f>F284*F286</f>
        <v>3648</v>
      </c>
      <c r="G287" s="19"/>
      <c r="H287" s="19">
        <f t="shared" ref="H287:J287" si="154">H284*H285</f>
        <v>1000</v>
      </c>
      <c r="I287" s="19">
        <f t="shared" si="154"/>
        <v>2808</v>
      </c>
      <c r="J287" s="19">
        <f t="shared" si="154"/>
        <v>14000</v>
      </c>
      <c r="K287" s="19">
        <f>SUM(D287:J287)</f>
        <v>79128</v>
      </c>
      <c r="L287" s="19">
        <f>K287/A285</f>
        <v>79128</v>
      </c>
      <c r="M287" s="19">
        <f>L287*M284</f>
        <v>158256</v>
      </c>
      <c r="N287" s="19">
        <f>MROUND(M287,100)</f>
        <v>158300</v>
      </c>
    </row>
    <row r="288" spans="1:14" ht="14.25" customHeight="1" x14ac:dyDescent="0.15">
      <c r="A288" s="111"/>
      <c r="B288" s="87"/>
      <c r="C288" s="87"/>
      <c r="D288" s="30"/>
      <c r="E288" s="30"/>
      <c r="F288" s="30"/>
      <c r="G288" s="30"/>
      <c r="H288" s="30"/>
      <c r="I288" s="30"/>
      <c r="J288" s="30"/>
      <c r="K288" s="30"/>
      <c r="L288" s="30"/>
      <c r="M288" s="30"/>
    </row>
    <row r="289" spans="1:14" ht="14.25" customHeight="1" x14ac:dyDescent="0.15">
      <c r="A289" s="109" t="str">
        <f>PRICELIST!I511</f>
        <v>MTATH-XL-PLM-4800-1200</v>
      </c>
      <c r="B289" s="87"/>
      <c r="C289" s="87"/>
      <c r="D289" s="30"/>
      <c r="E289" s="30"/>
      <c r="F289" s="30"/>
      <c r="G289" s="30"/>
      <c r="H289" s="30"/>
      <c r="I289" s="30"/>
      <c r="J289" s="30"/>
      <c r="K289" s="30"/>
      <c r="L289" s="30"/>
      <c r="M289" s="30"/>
    </row>
    <row r="290" spans="1:14" ht="14.25" customHeight="1" x14ac:dyDescent="0.15">
      <c r="A290" s="19" t="s">
        <v>57</v>
      </c>
      <c r="B290" s="19" t="s">
        <v>59</v>
      </c>
      <c r="C290" s="19" t="s">
        <v>62</v>
      </c>
      <c r="D290" s="19" t="s">
        <v>64</v>
      </c>
      <c r="E290" s="19" t="str">
        <f t="shared" ref="E290:E291" si="155">E283</f>
        <v>ATHENA LEG</v>
      </c>
      <c r="F290" s="19" t="s">
        <v>67</v>
      </c>
      <c r="G290" s="19"/>
      <c r="H290" s="19" t="s">
        <v>71</v>
      </c>
      <c r="I290" s="19" t="s">
        <v>72</v>
      </c>
      <c r="J290" s="19" t="s">
        <v>73</v>
      </c>
      <c r="K290" s="19" t="s">
        <v>76</v>
      </c>
      <c r="L290" s="19" t="s">
        <v>78</v>
      </c>
      <c r="M290" s="19" t="s">
        <v>79</v>
      </c>
      <c r="N290" s="19" t="s">
        <v>81</v>
      </c>
    </row>
    <row r="291" spans="1:14" ht="14.25" customHeight="1" x14ac:dyDescent="0.15">
      <c r="A291" s="21"/>
      <c r="B291" s="21"/>
      <c r="C291" s="21"/>
      <c r="D291" s="21"/>
      <c r="E291" s="23" t="str">
        <f t="shared" si="155"/>
        <v>15000</v>
      </c>
      <c r="F291" s="21">
        <v>380</v>
      </c>
      <c r="G291" s="21"/>
      <c r="H291" s="21">
        <f>H284</f>
        <v>1000</v>
      </c>
      <c r="I291" s="21">
        <v>585</v>
      </c>
      <c r="J291" s="23" t="str">
        <f t="shared" ref="J291:J292" si="156">J284</f>
        <v>3500</v>
      </c>
      <c r="K291" s="21"/>
      <c r="L291" s="21"/>
      <c r="M291" s="21">
        <f>M284</f>
        <v>2</v>
      </c>
      <c r="N291" s="21"/>
    </row>
    <row r="292" spans="1:14" ht="14.25" customHeight="1" x14ac:dyDescent="0.15">
      <c r="A292" s="19">
        <v>1</v>
      </c>
      <c r="B292" s="19">
        <v>4.8</v>
      </c>
      <c r="C292" s="19">
        <v>1.2</v>
      </c>
      <c r="D292" s="19">
        <f>B292*C292</f>
        <v>5.76</v>
      </c>
      <c r="E292" s="19"/>
      <c r="F292" s="19"/>
      <c r="G292" s="19"/>
      <c r="H292" s="19">
        <f t="shared" ref="H292:I292" si="157">A292</f>
        <v>1</v>
      </c>
      <c r="I292" s="19">
        <f t="shared" si="157"/>
        <v>4.8</v>
      </c>
      <c r="J292" s="19">
        <f t="shared" si="156"/>
        <v>4</v>
      </c>
      <c r="K292" s="19"/>
      <c r="L292" s="19"/>
      <c r="M292" s="19"/>
      <c r="N292" s="19"/>
    </row>
    <row r="293" spans="1:14" ht="14.25" customHeight="1" x14ac:dyDescent="0.15">
      <c r="A293" s="19"/>
      <c r="B293" s="19"/>
      <c r="C293" s="19"/>
      <c r="D293" s="26" t="str">
        <f>D237</f>
        <v>3000</v>
      </c>
      <c r="E293" s="19">
        <f>E286</f>
        <v>3</v>
      </c>
      <c r="F293" s="19">
        <f>B292*2</f>
        <v>9.6</v>
      </c>
      <c r="G293" s="19"/>
      <c r="H293" s="19"/>
      <c r="I293" s="19"/>
      <c r="J293" s="19"/>
      <c r="K293" s="19"/>
      <c r="L293" s="19"/>
      <c r="M293" s="19"/>
      <c r="N293" s="19"/>
    </row>
    <row r="294" spans="1:14" ht="14.25" customHeight="1" x14ac:dyDescent="0.15">
      <c r="A294" s="19"/>
      <c r="B294" s="19"/>
      <c r="C294" s="19"/>
      <c r="D294" s="19">
        <f>D292*D293</f>
        <v>17280</v>
      </c>
      <c r="E294" s="19">
        <f>E293*E291</f>
        <v>45000</v>
      </c>
      <c r="F294" s="19">
        <f>F291*F293</f>
        <v>3648</v>
      </c>
      <c r="G294" s="19"/>
      <c r="H294" s="19">
        <f t="shared" ref="H294:J294" si="158">H291*H292</f>
        <v>1000</v>
      </c>
      <c r="I294" s="19">
        <f t="shared" si="158"/>
        <v>2808</v>
      </c>
      <c r="J294" s="19">
        <f t="shared" si="158"/>
        <v>14000</v>
      </c>
      <c r="K294" s="19">
        <f>SUM(D294:J294)</f>
        <v>83736</v>
      </c>
      <c r="L294" s="19">
        <f>K294/A292</f>
        <v>83736</v>
      </c>
      <c r="M294" s="19">
        <f>L294*M291</f>
        <v>167472</v>
      </c>
      <c r="N294" s="19">
        <f>MROUND(M294,100)</f>
        <v>167500</v>
      </c>
    </row>
    <row r="295" spans="1:14" ht="14.25" customHeight="1" x14ac:dyDescent="0.1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</row>
    <row r="296" spans="1:14" ht="14.25" customHeight="1" x14ac:dyDescent="0.15">
      <c r="A296" s="109" t="str">
        <f>PRICELIST!I512</f>
        <v>MTATH-XL-PoLM-4800-1200</v>
      </c>
      <c r="B296" s="87"/>
      <c r="C296" s="87"/>
      <c r="D296" s="30"/>
      <c r="E296" s="30"/>
      <c r="F296" s="30"/>
      <c r="G296" s="30"/>
      <c r="H296" s="30"/>
      <c r="I296" s="30"/>
      <c r="J296" s="30"/>
      <c r="K296" s="30"/>
      <c r="L296" s="30"/>
      <c r="M296" s="30"/>
    </row>
    <row r="297" spans="1:14" ht="14.25" customHeight="1" x14ac:dyDescent="0.15">
      <c r="A297" s="19" t="s">
        <v>57</v>
      </c>
      <c r="B297" s="19" t="s">
        <v>59</v>
      </c>
      <c r="C297" s="19" t="s">
        <v>62</v>
      </c>
      <c r="D297" s="19" t="s">
        <v>64</v>
      </c>
      <c r="E297" s="19" t="str">
        <f t="shared" ref="E297:E298" si="159">E290</f>
        <v>ATHENA LEG</v>
      </c>
      <c r="F297" s="19" t="s">
        <v>67</v>
      </c>
      <c r="G297" s="19"/>
      <c r="H297" s="19" t="s">
        <v>71</v>
      </c>
      <c r="I297" s="19" t="s">
        <v>72</v>
      </c>
      <c r="J297" s="19" t="s">
        <v>73</v>
      </c>
      <c r="K297" s="19" t="s">
        <v>76</v>
      </c>
      <c r="L297" s="19" t="s">
        <v>78</v>
      </c>
      <c r="M297" s="19" t="s">
        <v>79</v>
      </c>
      <c r="N297" s="19" t="s">
        <v>81</v>
      </c>
    </row>
    <row r="298" spans="1:14" ht="14.25" customHeight="1" x14ac:dyDescent="0.15">
      <c r="A298" s="21"/>
      <c r="B298" s="21"/>
      <c r="C298" s="21"/>
      <c r="D298" s="21"/>
      <c r="E298" s="23" t="str">
        <f t="shared" si="159"/>
        <v>15000</v>
      </c>
      <c r="F298" s="21">
        <v>380</v>
      </c>
      <c r="G298" s="21"/>
      <c r="H298" s="21">
        <f>H291</f>
        <v>1000</v>
      </c>
      <c r="I298" s="21">
        <v>585</v>
      </c>
      <c r="J298" s="23" t="str">
        <f t="shared" ref="J298:J299" si="160">J291</f>
        <v>3500</v>
      </c>
      <c r="K298" s="21"/>
      <c r="L298" s="21"/>
      <c r="M298" s="21">
        <f>M291</f>
        <v>2</v>
      </c>
      <c r="N298" s="21"/>
    </row>
    <row r="299" spans="1:14" ht="14.25" customHeight="1" x14ac:dyDescent="0.15">
      <c r="A299" s="19">
        <v>1</v>
      </c>
      <c r="B299" s="19">
        <v>4.8</v>
      </c>
      <c r="C299" s="19">
        <v>1.2</v>
      </c>
      <c r="D299" s="19">
        <f>B299*C299</f>
        <v>5.76</v>
      </c>
      <c r="E299" s="19"/>
      <c r="F299" s="19"/>
      <c r="G299" s="19"/>
      <c r="H299" s="19">
        <f t="shared" ref="H299:I299" si="161">A299</f>
        <v>1</v>
      </c>
      <c r="I299" s="19">
        <f t="shared" si="161"/>
        <v>4.8</v>
      </c>
      <c r="J299" s="19">
        <f t="shared" si="160"/>
        <v>4</v>
      </c>
      <c r="K299" s="19"/>
      <c r="L299" s="19"/>
      <c r="M299" s="19"/>
      <c r="N299" s="19"/>
    </row>
    <row r="300" spans="1:14" ht="14.25" customHeight="1" x14ac:dyDescent="0.15">
      <c r="A300" s="19"/>
      <c r="B300" s="19"/>
      <c r="C300" s="19"/>
      <c r="D300" s="26" t="str">
        <f>D244</f>
        <v>7500</v>
      </c>
      <c r="E300" s="19">
        <f>E293</f>
        <v>3</v>
      </c>
      <c r="F300" s="19">
        <f>B299*2</f>
        <v>9.6</v>
      </c>
      <c r="G300" s="19"/>
      <c r="H300" s="19"/>
      <c r="I300" s="19"/>
      <c r="J300" s="19"/>
      <c r="K300" s="19"/>
      <c r="L300" s="19"/>
      <c r="M300" s="19"/>
      <c r="N300" s="19"/>
    </row>
    <row r="301" spans="1:14" ht="14.25" customHeight="1" x14ac:dyDescent="0.15">
      <c r="A301" s="19"/>
      <c r="B301" s="19"/>
      <c r="C301" s="19"/>
      <c r="D301" s="19">
        <f>D299*D300</f>
        <v>43200</v>
      </c>
      <c r="E301" s="19">
        <f>E300*E298</f>
        <v>45000</v>
      </c>
      <c r="F301" s="19">
        <f>F298*F300</f>
        <v>3648</v>
      </c>
      <c r="G301" s="19"/>
      <c r="H301" s="19">
        <f t="shared" ref="H301:J301" si="162">H298*H299</f>
        <v>1000</v>
      </c>
      <c r="I301" s="19">
        <f t="shared" si="162"/>
        <v>2808</v>
      </c>
      <c r="J301" s="19">
        <f t="shared" si="162"/>
        <v>14000</v>
      </c>
      <c r="K301" s="19">
        <f>SUM(D301:J301)</f>
        <v>109656</v>
      </c>
      <c r="L301" s="19">
        <f>K301/A299</f>
        <v>109656</v>
      </c>
      <c r="M301" s="19">
        <f>L301*M298</f>
        <v>219312</v>
      </c>
      <c r="N301" s="19">
        <f>MROUND(M301,100)</f>
        <v>219300</v>
      </c>
    </row>
    <row r="302" spans="1:14" ht="14.25" customHeight="1" x14ac:dyDescent="0.1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</row>
    <row r="303" spans="1:14" ht="14.25" customHeight="1" x14ac:dyDescent="0.15">
      <c r="A303" s="109" t="str">
        <f>PRICELIST!I513</f>
        <v>MTATH-XL-LVM-4800-1200</v>
      </c>
      <c r="B303" s="87"/>
      <c r="C303" s="87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 spans="1:14" ht="14.25" customHeight="1" x14ac:dyDescent="0.15">
      <c r="A304" s="19" t="s">
        <v>57</v>
      </c>
      <c r="B304" s="19" t="s">
        <v>59</v>
      </c>
      <c r="C304" s="19" t="s">
        <v>62</v>
      </c>
      <c r="D304" s="19" t="s">
        <v>64</v>
      </c>
      <c r="E304" s="19" t="str">
        <f t="shared" ref="E304:E305" si="163">E297</f>
        <v>ATHENA LEG</v>
      </c>
      <c r="F304" s="19" t="s">
        <v>67</v>
      </c>
      <c r="G304" s="19"/>
      <c r="H304" s="19" t="s">
        <v>71</v>
      </c>
      <c r="I304" s="19" t="s">
        <v>72</v>
      </c>
      <c r="J304" s="19" t="s">
        <v>73</v>
      </c>
      <c r="K304" s="19" t="s">
        <v>76</v>
      </c>
      <c r="L304" s="19" t="s">
        <v>78</v>
      </c>
      <c r="M304" s="19" t="s">
        <v>79</v>
      </c>
      <c r="N304" s="19" t="s">
        <v>81</v>
      </c>
    </row>
    <row r="305" spans="1:14" ht="14.25" customHeight="1" x14ac:dyDescent="0.15">
      <c r="A305" s="21"/>
      <c r="B305" s="21"/>
      <c r="C305" s="21"/>
      <c r="D305" s="21"/>
      <c r="E305" s="23" t="str">
        <f t="shared" si="163"/>
        <v>15000</v>
      </c>
      <c r="F305" s="21">
        <v>380</v>
      </c>
      <c r="G305" s="21"/>
      <c r="H305" s="21">
        <f>H298</f>
        <v>1000</v>
      </c>
      <c r="I305" s="21">
        <v>585</v>
      </c>
      <c r="J305" s="23" t="str">
        <f t="shared" ref="J305:J306" si="164">J298</f>
        <v>3500</v>
      </c>
      <c r="K305" s="21"/>
      <c r="L305" s="21"/>
      <c r="M305" s="21">
        <f>M298</f>
        <v>2</v>
      </c>
      <c r="N305" s="21"/>
    </row>
    <row r="306" spans="1:14" ht="14.25" customHeight="1" x14ac:dyDescent="0.15">
      <c r="A306" s="19">
        <v>1</v>
      </c>
      <c r="B306" s="19">
        <v>4.8</v>
      </c>
      <c r="C306" s="19">
        <v>1.2</v>
      </c>
      <c r="D306" s="19">
        <f>B306*C306</f>
        <v>5.76</v>
      </c>
      <c r="E306" s="19"/>
      <c r="F306" s="19"/>
      <c r="G306" s="19"/>
      <c r="H306" s="19">
        <f t="shared" ref="H306:I306" si="165">A306</f>
        <v>1</v>
      </c>
      <c r="I306" s="19">
        <f t="shared" si="165"/>
        <v>4.8</v>
      </c>
      <c r="J306" s="19">
        <f t="shared" si="164"/>
        <v>4</v>
      </c>
      <c r="K306" s="19"/>
      <c r="L306" s="19"/>
      <c r="M306" s="19"/>
      <c r="N306" s="19"/>
    </row>
    <row r="307" spans="1:14" ht="14.25" customHeight="1" x14ac:dyDescent="0.15">
      <c r="A307" s="19"/>
      <c r="B307" s="19"/>
      <c r="C307" s="19"/>
      <c r="D307" s="26" t="str">
        <f>D251</f>
        <v>9500</v>
      </c>
      <c r="E307" s="19">
        <f>E300</f>
        <v>3</v>
      </c>
      <c r="F307" s="19">
        <f>B306*2</f>
        <v>9.6</v>
      </c>
      <c r="G307" s="19"/>
      <c r="H307" s="19"/>
      <c r="I307" s="19"/>
      <c r="J307" s="19"/>
      <c r="K307" s="19"/>
      <c r="L307" s="19"/>
      <c r="M307" s="19"/>
      <c r="N307" s="19"/>
    </row>
    <row r="308" spans="1:14" ht="14.25" customHeight="1" x14ac:dyDescent="0.15">
      <c r="A308" s="19"/>
      <c r="B308" s="19"/>
      <c r="C308" s="19"/>
      <c r="D308" s="19">
        <f>D306*D307</f>
        <v>54720</v>
      </c>
      <c r="E308" s="19">
        <f>E307*E305</f>
        <v>45000</v>
      </c>
      <c r="F308" s="19">
        <f>F305*F307</f>
        <v>3648</v>
      </c>
      <c r="G308" s="19"/>
      <c r="H308" s="19">
        <f t="shared" ref="H308:J308" si="166">H305*H306</f>
        <v>1000</v>
      </c>
      <c r="I308" s="19">
        <f t="shared" si="166"/>
        <v>2808</v>
      </c>
      <c r="J308" s="19">
        <f t="shared" si="166"/>
        <v>14000</v>
      </c>
      <c r="K308" s="19">
        <f>SUM(D308:J308)</f>
        <v>121176</v>
      </c>
      <c r="L308" s="19">
        <f>K308/A306</f>
        <v>121176</v>
      </c>
      <c r="M308" s="19">
        <f>L308*M305</f>
        <v>242352</v>
      </c>
      <c r="N308" s="19">
        <f>MROUND(M308,100)</f>
        <v>242400</v>
      </c>
    </row>
    <row r="309" spans="1:14" ht="14.25" customHeight="1" x14ac:dyDescent="0.1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</row>
    <row r="310" spans="1:14" ht="14.25" customHeight="1" x14ac:dyDescent="0.15">
      <c r="A310" s="109" t="str">
        <f>PRICELIST!I514</f>
        <v>MTATH-XL-LVP-4800-1200</v>
      </c>
      <c r="B310" s="87"/>
      <c r="C310" s="87"/>
      <c r="D310" s="30"/>
      <c r="E310" s="30"/>
      <c r="F310" s="30"/>
      <c r="G310" s="30"/>
      <c r="H310" s="30"/>
      <c r="I310" s="30"/>
      <c r="J310" s="30"/>
      <c r="K310" s="30"/>
      <c r="L310" s="30"/>
      <c r="M310" s="30"/>
    </row>
    <row r="311" spans="1:14" ht="14.25" customHeight="1" x14ac:dyDescent="0.15">
      <c r="A311" s="19" t="s">
        <v>57</v>
      </c>
      <c r="B311" s="19" t="s">
        <v>59</v>
      </c>
      <c r="C311" s="19" t="s">
        <v>62</v>
      </c>
      <c r="D311" s="19" t="s">
        <v>64</v>
      </c>
      <c r="E311" s="19" t="str">
        <f t="shared" ref="E311:E312" si="167">E304</f>
        <v>ATHENA LEG</v>
      </c>
      <c r="F311" s="19" t="s">
        <v>67</v>
      </c>
      <c r="G311" s="19"/>
      <c r="H311" s="19" t="s">
        <v>71</v>
      </c>
      <c r="I311" s="19" t="s">
        <v>72</v>
      </c>
      <c r="J311" s="19" t="s">
        <v>73</v>
      </c>
      <c r="K311" s="19" t="s">
        <v>76</v>
      </c>
      <c r="L311" s="19" t="s">
        <v>78</v>
      </c>
      <c r="M311" s="19" t="s">
        <v>79</v>
      </c>
      <c r="N311" s="19" t="s">
        <v>81</v>
      </c>
    </row>
    <row r="312" spans="1:14" ht="14.25" customHeight="1" x14ac:dyDescent="0.15">
      <c r="A312" s="21"/>
      <c r="B312" s="21"/>
      <c r="C312" s="21"/>
      <c r="D312" s="21"/>
      <c r="E312" s="23" t="str">
        <f t="shared" si="167"/>
        <v>15000</v>
      </c>
      <c r="F312" s="21">
        <v>380</v>
      </c>
      <c r="G312" s="21"/>
      <c r="H312" s="21">
        <f>H305</f>
        <v>1000</v>
      </c>
      <c r="I312" s="21">
        <v>585</v>
      </c>
      <c r="J312" s="23" t="str">
        <f t="shared" ref="J312:J313" si="168">J305</f>
        <v>3500</v>
      </c>
      <c r="K312" s="21"/>
      <c r="L312" s="21"/>
      <c r="M312" s="21">
        <f>M305</f>
        <v>2</v>
      </c>
      <c r="N312" s="21"/>
    </row>
    <row r="313" spans="1:14" ht="14.25" customHeight="1" x14ac:dyDescent="0.15">
      <c r="A313" s="19">
        <v>1</v>
      </c>
      <c r="B313" s="19">
        <v>4.8</v>
      </c>
      <c r="C313" s="19">
        <v>1.2</v>
      </c>
      <c r="D313" s="19">
        <f>B313*C313</f>
        <v>5.76</v>
      </c>
      <c r="E313" s="19"/>
      <c r="F313" s="19"/>
      <c r="G313" s="19"/>
      <c r="H313" s="19">
        <f t="shared" ref="H313:I313" si="169">A313</f>
        <v>1</v>
      </c>
      <c r="I313" s="19">
        <f t="shared" si="169"/>
        <v>4.8</v>
      </c>
      <c r="J313" s="19">
        <f t="shared" si="168"/>
        <v>4</v>
      </c>
      <c r="K313" s="19"/>
      <c r="L313" s="19"/>
      <c r="M313" s="19"/>
      <c r="N313" s="19"/>
    </row>
    <row r="314" spans="1:14" ht="14.25" customHeight="1" x14ac:dyDescent="0.15">
      <c r="A314" s="19"/>
      <c r="B314" s="19"/>
      <c r="C314" s="19"/>
      <c r="D314" s="26" t="str">
        <f>D258</f>
        <v>10500</v>
      </c>
      <c r="E314" s="19">
        <f>E307</f>
        <v>3</v>
      </c>
      <c r="F314" s="19">
        <f>B313*2</f>
        <v>9.6</v>
      </c>
      <c r="G314" s="19"/>
      <c r="H314" s="19"/>
      <c r="I314" s="19"/>
      <c r="J314" s="19"/>
      <c r="K314" s="19"/>
      <c r="L314" s="19"/>
      <c r="M314" s="19"/>
      <c r="N314" s="19"/>
    </row>
    <row r="315" spans="1:14" ht="14.25" customHeight="1" x14ac:dyDescent="0.15">
      <c r="A315" s="19"/>
      <c r="B315" s="19"/>
      <c r="C315" s="19"/>
      <c r="D315" s="19">
        <f>D313*D314</f>
        <v>60480</v>
      </c>
      <c r="E315" s="19">
        <f>E314*E312</f>
        <v>45000</v>
      </c>
      <c r="F315" s="19">
        <f>F312*F314</f>
        <v>3648</v>
      </c>
      <c r="G315" s="19"/>
      <c r="H315" s="19">
        <f t="shared" ref="H315:J315" si="170">H312*H313</f>
        <v>1000</v>
      </c>
      <c r="I315" s="19">
        <f t="shared" si="170"/>
        <v>2808</v>
      </c>
      <c r="J315" s="19">
        <f t="shared" si="170"/>
        <v>14000</v>
      </c>
      <c r="K315" s="19">
        <f>SUM(D315:J315)</f>
        <v>126936</v>
      </c>
      <c r="L315" s="19">
        <f>K315/A313</f>
        <v>126936</v>
      </c>
      <c r="M315" s="19">
        <f>L315*M312</f>
        <v>253872</v>
      </c>
      <c r="N315" s="19">
        <f>MROUND(M315,100)</f>
        <v>253900</v>
      </c>
    </row>
    <row r="316" spans="1:14" ht="14.25" customHeight="1" x14ac:dyDescent="0.1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</row>
    <row r="317" spans="1:14" ht="14.25" customHeight="1" x14ac:dyDescent="0.15">
      <c r="A317" s="109" t="str">
        <f>PRICELIST!I515</f>
        <v>MTATH-XL-VNR-4800-1200</v>
      </c>
      <c r="B317" s="87"/>
      <c r="C317" s="87"/>
      <c r="D317" s="30"/>
      <c r="E317" s="30"/>
      <c r="F317" s="30"/>
      <c r="G317" s="30"/>
      <c r="H317" s="30"/>
      <c r="I317" s="30"/>
      <c r="J317" s="30"/>
      <c r="K317" s="30"/>
      <c r="L317" s="30"/>
      <c r="M317" s="30"/>
    </row>
    <row r="318" spans="1:14" ht="14.25" customHeight="1" x14ac:dyDescent="0.15">
      <c r="A318" s="19" t="s">
        <v>57</v>
      </c>
      <c r="B318" s="19" t="s">
        <v>59</v>
      </c>
      <c r="C318" s="19" t="s">
        <v>62</v>
      </c>
      <c r="D318" s="19" t="s">
        <v>64</v>
      </c>
      <c r="E318" s="19" t="str">
        <f t="shared" ref="E318:E319" si="171">E311</f>
        <v>ATHENA LEG</v>
      </c>
      <c r="F318" s="19" t="s">
        <v>67</v>
      </c>
      <c r="G318" s="19"/>
      <c r="H318" s="19" t="s">
        <v>71</v>
      </c>
      <c r="I318" s="19" t="s">
        <v>72</v>
      </c>
      <c r="J318" s="19" t="s">
        <v>73</v>
      </c>
      <c r="K318" s="19" t="s">
        <v>76</v>
      </c>
      <c r="L318" s="19" t="s">
        <v>78</v>
      </c>
      <c r="M318" s="19" t="s">
        <v>79</v>
      </c>
      <c r="N318" s="19" t="s">
        <v>81</v>
      </c>
    </row>
    <row r="319" spans="1:14" ht="14.25" customHeight="1" x14ac:dyDescent="0.15">
      <c r="A319" s="21"/>
      <c r="B319" s="21"/>
      <c r="C319" s="21"/>
      <c r="D319" s="21"/>
      <c r="E319" s="23" t="str">
        <f t="shared" si="171"/>
        <v>15000</v>
      </c>
      <c r="F319" s="21">
        <v>380</v>
      </c>
      <c r="G319" s="21"/>
      <c r="H319" s="21">
        <f>H312</f>
        <v>1000</v>
      </c>
      <c r="I319" s="21">
        <v>585</v>
      </c>
      <c r="J319" s="23" t="str">
        <f t="shared" ref="J319:J320" si="172">J312</f>
        <v>3500</v>
      </c>
      <c r="K319" s="21"/>
      <c r="L319" s="21"/>
      <c r="M319" s="21">
        <f>M312</f>
        <v>2</v>
      </c>
      <c r="N319" s="21"/>
    </row>
    <row r="320" spans="1:14" ht="14.25" customHeight="1" x14ac:dyDescent="0.15">
      <c r="A320" s="19">
        <v>1</v>
      </c>
      <c r="B320" s="19">
        <v>4.8</v>
      </c>
      <c r="C320" s="19">
        <v>1.2</v>
      </c>
      <c r="D320" s="19">
        <f>B320*C320</f>
        <v>5.76</v>
      </c>
      <c r="E320" s="19"/>
      <c r="F320" s="19"/>
      <c r="G320" s="19"/>
      <c r="H320" s="19">
        <f t="shared" ref="H320:I320" si="173">A320</f>
        <v>1</v>
      </c>
      <c r="I320" s="19">
        <f t="shared" si="173"/>
        <v>4.8</v>
      </c>
      <c r="J320" s="19">
        <f t="shared" si="172"/>
        <v>4</v>
      </c>
      <c r="K320" s="19"/>
      <c r="L320" s="19"/>
      <c r="M320" s="19"/>
      <c r="N320" s="19"/>
    </row>
    <row r="321" spans="1:14" ht="14.25" customHeight="1" x14ac:dyDescent="0.15">
      <c r="A321" s="19"/>
      <c r="B321" s="19"/>
      <c r="C321" s="19"/>
      <c r="D321" s="26" t="str">
        <f>D265</f>
        <v>30000</v>
      </c>
      <c r="E321" s="19">
        <f>E314</f>
        <v>3</v>
      </c>
      <c r="F321" s="19">
        <f>B320*2</f>
        <v>9.6</v>
      </c>
      <c r="G321" s="19"/>
      <c r="H321" s="19"/>
      <c r="I321" s="19"/>
      <c r="J321" s="19"/>
      <c r="K321" s="19"/>
      <c r="L321" s="19"/>
      <c r="M321" s="19"/>
      <c r="N321" s="19"/>
    </row>
    <row r="322" spans="1:14" ht="14.25" customHeight="1" x14ac:dyDescent="0.15">
      <c r="A322" s="19"/>
      <c r="B322" s="19"/>
      <c r="C322" s="19"/>
      <c r="D322" s="19">
        <f>D320*D321</f>
        <v>172800</v>
      </c>
      <c r="E322" s="19">
        <f>E321*E319</f>
        <v>45000</v>
      </c>
      <c r="F322" s="19">
        <f>F319*F321</f>
        <v>3648</v>
      </c>
      <c r="G322" s="19"/>
      <c r="H322" s="19">
        <f t="shared" ref="H322:J322" si="174">H319*H320</f>
        <v>1000</v>
      </c>
      <c r="I322" s="19">
        <f t="shared" si="174"/>
        <v>2808</v>
      </c>
      <c r="J322" s="19">
        <f t="shared" si="174"/>
        <v>14000</v>
      </c>
      <c r="K322" s="19">
        <f>SUM(D322:J322)</f>
        <v>239256</v>
      </c>
      <c r="L322" s="19">
        <f>K322/A320</f>
        <v>239256</v>
      </c>
      <c r="M322" s="19">
        <f>L322*M319</f>
        <v>478512</v>
      </c>
      <c r="N322" s="19">
        <f>MROUND(M322,100)</f>
        <v>478500</v>
      </c>
    </row>
    <row r="323" spans="1:14" ht="14.25" customHeight="1" x14ac:dyDescent="0.1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 spans="1:14" ht="14.25" customHeight="1" x14ac:dyDescent="0.15">
      <c r="A324" s="109" t="str">
        <f>PRICELIST!I516</f>
        <v>MTATH-XL-MBL-4800-1200</v>
      </c>
      <c r="B324" s="87"/>
      <c r="C324" s="87"/>
      <c r="D324" s="30"/>
      <c r="E324" s="30"/>
      <c r="F324" s="30"/>
      <c r="G324" s="30"/>
      <c r="H324" s="30"/>
      <c r="I324" s="30"/>
      <c r="J324" s="30"/>
      <c r="K324" s="30"/>
      <c r="L324" s="30"/>
      <c r="M324" s="30"/>
    </row>
    <row r="325" spans="1:14" ht="14.25" customHeight="1" x14ac:dyDescent="0.15">
      <c r="A325" s="19" t="s">
        <v>57</v>
      </c>
      <c r="B325" s="19" t="s">
        <v>59</v>
      </c>
      <c r="C325" s="19" t="s">
        <v>62</v>
      </c>
      <c r="D325" s="19" t="s">
        <v>64</v>
      </c>
      <c r="E325" s="19" t="str">
        <f t="shared" ref="E325:E326" si="175">E318</f>
        <v>ATHENA LEG</v>
      </c>
      <c r="F325" s="19" t="s">
        <v>67</v>
      </c>
      <c r="G325" s="19"/>
      <c r="H325" s="19" t="s">
        <v>71</v>
      </c>
      <c r="I325" s="19" t="s">
        <v>72</v>
      </c>
      <c r="J325" s="19" t="s">
        <v>73</v>
      </c>
      <c r="K325" s="19" t="s">
        <v>76</v>
      </c>
      <c r="L325" s="19" t="s">
        <v>78</v>
      </c>
      <c r="M325" s="19" t="s">
        <v>79</v>
      </c>
      <c r="N325" s="19" t="s">
        <v>81</v>
      </c>
    </row>
    <row r="326" spans="1:14" ht="14.25" customHeight="1" x14ac:dyDescent="0.15">
      <c r="A326" s="21"/>
      <c r="B326" s="21"/>
      <c r="C326" s="21"/>
      <c r="D326" s="21"/>
      <c r="E326" s="23" t="str">
        <f t="shared" si="175"/>
        <v>15000</v>
      </c>
      <c r="F326" s="21">
        <v>380</v>
      </c>
      <c r="G326" s="21"/>
      <c r="H326" s="21">
        <f>H319</f>
        <v>1000</v>
      </c>
      <c r="I326" s="21">
        <v>585</v>
      </c>
      <c r="J326" s="23" t="str">
        <f t="shared" ref="J326:J327" si="176">J319</f>
        <v>3500</v>
      </c>
      <c r="K326" s="21"/>
      <c r="L326" s="21"/>
      <c r="M326" s="21">
        <f>M319</f>
        <v>2</v>
      </c>
      <c r="N326" s="21"/>
    </row>
    <row r="327" spans="1:14" ht="14.25" customHeight="1" x14ac:dyDescent="0.15">
      <c r="A327" s="19">
        <v>1</v>
      </c>
      <c r="B327" s="19">
        <v>4.8</v>
      </c>
      <c r="C327" s="19">
        <v>1.2</v>
      </c>
      <c r="D327" s="19">
        <f>B327*C327</f>
        <v>5.76</v>
      </c>
      <c r="E327" s="19"/>
      <c r="F327" s="19"/>
      <c r="G327" s="19"/>
      <c r="H327" s="19">
        <f t="shared" ref="H327:I327" si="177">A327</f>
        <v>1</v>
      </c>
      <c r="I327" s="19">
        <f t="shared" si="177"/>
        <v>4.8</v>
      </c>
      <c r="J327" s="19">
        <f t="shared" si="176"/>
        <v>4</v>
      </c>
      <c r="K327" s="19"/>
      <c r="L327" s="19"/>
      <c r="M327" s="19"/>
      <c r="N327" s="19"/>
    </row>
    <row r="328" spans="1:14" ht="14.25" customHeight="1" x14ac:dyDescent="0.15">
      <c r="A328" s="19"/>
      <c r="B328" s="19"/>
      <c r="C328" s="19"/>
      <c r="D328" s="26">
        <f>D272</f>
        <v>37500</v>
      </c>
      <c r="E328" s="19">
        <f>E321</f>
        <v>3</v>
      </c>
      <c r="F328" s="19">
        <f>B327*2</f>
        <v>9.6</v>
      </c>
      <c r="G328" s="19"/>
      <c r="H328" s="19"/>
      <c r="I328" s="19"/>
      <c r="J328" s="19"/>
      <c r="K328" s="19"/>
      <c r="L328" s="19"/>
      <c r="M328" s="19"/>
      <c r="N328" s="19"/>
    </row>
    <row r="329" spans="1:14" ht="14.25" customHeight="1" x14ac:dyDescent="0.15">
      <c r="A329" s="19"/>
      <c r="B329" s="19"/>
      <c r="C329" s="19"/>
      <c r="D329" s="19">
        <f>D327*D328</f>
        <v>216000</v>
      </c>
      <c r="E329" s="19">
        <f>E328*E326</f>
        <v>45000</v>
      </c>
      <c r="F329" s="19">
        <f>F326*F328</f>
        <v>3648</v>
      </c>
      <c r="G329" s="19"/>
      <c r="H329" s="19">
        <f t="shared" ref="H329:J329" si="178">H326*H327</f>
        <v>1000</v>
      </c>
      <c r="I329" s="19">
        <f t="shared" si="178"/>
        <v>2808</v>
      </c>
      <c r="J329" s="19">
        <f t="shared" si="178"/>
        <v>14000</v>
      </c>
      <c r="K329" s="19">
        <f>SUM(D329:J329)</f>
        <v>282456</v>
      </c>
      <c r="L329" s="19">
        <f>K329/A327</f>
        <v>282456</v>
      </c>
      <c r="M329" s="19">
        <f>L329*M326</f>
        <v>564912</v>
      </c>
      <c r="N329" s="19">
        <f>MROUND(M329,100)</f>
        <v>564900</v>
      </c>
    </row>
    <row r="330" spans="1:14" ht="14.25" customHeight="1" x14ac:dyDescent="0.1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</row>
    <row r="331" spans="1:14" ht="14.25" customHeight="1" x14ac:dyDescent="0.15">
      <c r="A331" s="109" t="str">
        <f>PRICELIST!I517</f>
        <v>MTATH-XL-GL-4800-1200</v>
      </c>
      <c r="B331" s="87"/>
      <c r="C331" s="87"/>
      <c r="D331" s="30"/>
      <c r="E331" s="30"/>
      <c r="F331" s="30"/>
      <c r="G331" s="30"/>
      <c r="H331" s="30"/>
      <c r="I331" s="30"/>
      <c r="J331" s="30"/>
      <c r="K331" s="30"/>
      <c r="L331" s="30"/>
      <c r="M331" s="30"/>
    </row>
    <row r="332" spans="1:14" ht="14.25" customHeight="1" x14ac:dyDescent="0.15">
      <c r="A332" s="19" t="s">
        <v>57</v>
      </c>
      <c r="B332" s="19" t="s">
        <v>59</v>
      </c>
      <c r="C332" s="19" t="s">
        <v>62</v>
      </c>
      <c r="D332" s="19" t="s">
        <v>64</v>
      </c>
      <c r="E332" s="19" t="str">
        <f t="shared" ref="E332:E333" si="179">E325</f>
        <v>ATHENA LEG</v>
      </c>
      <c r="F332" s="19" t="s">
        <v>67</v>
      </c>
      <c r="G332" s="19"/>
      <c r="H332" s="19" t="s">
        <v>71</v>
      </c>
      <c r="I332" s="19" t="s">
        <v>72</v>
      </c>
      <c r="J332" s="19" t="s">
        <v>73</v>
      </c>
      <c r="K332" s="19" t="s">
        <v>76</v>
      </c>
      <c r="L332" s="19" t="s">
        <v>78</v>
      </c>
      <c r="M332" s="19" t="s">
        <v>79</v>
      </c>
      <c r="N332" s="19" t="s">
        <v>81</v>
      </c>
    </row>
    <row r="333" spans="1:14" ht="14.25" customHeight="1" x14ac:dyDescent="0.15">
      <c r="A333" s="21"/>
      <c r="B333" s="21"/>
      <c r="C333" s="21"/>
      <c r="D333" s="21"/>
      <c r="E333" s="23" t="str">
        <f t="shared" si="179"/>
        <v>15000</v>
      </c>
      <c r="F333" s="21">
        <v>380</v>
      </c>
      <c r="G333" s="21"/>
      <c r="H333" s="21">
        <f>H326</f>
        <v>1000</v>
      </c>
      <c r="I333" s="21">
        <v>585</v>
      </c>
      <c r="J333" s="23" t="str">
        <f t="shared" ref="J333:J334" si="180">J326</f>
        <v>3500</v>
      </c>
      <c r="K333" s="21"/>
      <c r="L333" s="21"/>
      <c r="M333" s="21">
        <f>M326</f>
        <v>2</v>
      </c>
      <c r="N333" s="21"/>
    </row>
    <row r="334" spans="1:14" ht="14.25" customHeight="1" x14ac:dyDescent="0.15">
      <c r="A334" s="19">
        <v>1</v>
      </c>
      <c r="B334" s="19">
        <v>4.8</v>
      </c>
      <c r="C334" s="19">
        <v>1.2</v>
      </c>
      <c r="D334" s="19">
        <f>B334*C334</f>
        <v>5.76</v>
      </c>
      <c r="E334" s="19"/>
      <c r="F334" s="19"/>
      <c r="G334" s="19"/>
      <c r="H334" s="19">
        <f t="shared" ref="H334:I334" si="181">A334</f>
        <v>1</v>
      </c>
      <c r="I334" s="19">
        <f t="shared" si="181"/>
        <v>4.8</v>
      </c>
      <c r="J334" s="19">
        <f t="shared" si="180"/>
        <v>4</v>
      </c>
      <c r="K334" s="19"/>
      <c r="L334" s="19"/>
      <c r="M334" s="19"/>
      <c r="N334" s="19"/>
    </row>
    <row r="335" spans="1:14" ht="14.25" customHeight="1" x14ac:dyDescent="0.15">
      <c r="A335" s="19"/>
      <c r="B335" s="19"/>
      <c r="C335" s="19"/>
      <c r="D335" s="26" t="str">
        <f>D279</f>
        <v>7500</v>
      </c>
      <c r="E335" s="19">
        <f>E328</f>
        <v>3</v>
      </c>
      <c r="F335" s="19">
        <f>B334*2</f>
        <v>9.6</v>
      </c>
      <c r="G335" s="19"/>
      <c r="H335" s="19"/>
      <c r="I335" s="19"/>
      <c r="J335" s="19"/>
      <c r="K335" s="19"/>
      <c r="L335" s="19"/>
      <c r="M335" s="19"/>
      <c r="N335" s="19"/>
    </row>
    <row r="336" spans="1:14" ht="14.25" customHeight="1" x14ac:dyDescent="0.15">
      <c r="A336" s="19"/>
      <c r="B336" s="19"/>
      <c r="C336" s="19"/>
      <c r="D336" s="19">
        <f>D334*D335</f>
        <v>43200</v>
      </c>
      <c r="E336" s="19">
        <f>E335*E333</f>
        <v>45000</v>
      </c>
      <c r="F336" s="19">
        <f>F333*F335</f>
        <v>3648</v>
      </c>
      <c r="G336" s="19"/>
      <c r="H336" s="19">
        <f t="shared" ref="H336:J336" si="182">H333*H334</f>
        <v>1000</v>
      </c>
      <c r="I336" s="19">
        <f t="shared" si="182"/>
        <v>2808</v>
      </c>
      <c r="J336" s="19">
        <f t="shared" si="182"/>
        <v>14000</v>
      </c>
      <c r="K336" s="19">
        <f>SUM(D336:J336)</f>
        <v>109656</v>
      </c>
      <c r="L336" s="19">
        <f>K336/A334</f>
        <v>109656</v>
      </c>
      <c r="M336" s="19">
        <f>L336*M333</f>
        <v>219312</v>
      </c>
      <c r="N336" s="19">
        <f>MROUND(M336,100)</f>
        <v>219300</v>
      </c>
    </row>
    <row r="337" spans="1:14" ht="30" customHeight="1" x14ac:dyDescent="0.15">
      <c r="A337" s="112" t="s">
        <v>246</v>
      </c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</row>
    <row r="338" spans="1:14" ht="14.25" customHeight="1" x14ac:dyDescent="0.15">
      <c r="A338" s="109" t="str">
        <f>PRICELIST!I518</f>
        <v>MTFLW-MD-PB-2400-1200</v>
      </c>
      <c r="B338" s="87"/>
      <c r="C338" s="87"/>
      <c r="D338" s="30"/>
      <c r="E338" s="30"/>
      <c r="F338" s="30"/>
      <c r="G338" s="30"/>
      <c r="H338" s="30"/>
      <c r="I338" s="30"/>
      <c r="J338" s="30"/>
      <c r="K338" s="30"/>
      <c r="L338" s="30"/>
      <c r="M338" s="30"/>
    </row>
    <row r="339" spans="1:14" ht="14.25" customHeight="1" x14ac:dyDescent="0.15">
      <c r="A339" s="19" t="s">
        <v>57</v>
      </c>
      <c r="B339" s="19" t="s">
        <v>59</v>
      </c>
      <c r="C339" s="19" t="s">
        <v>62</v>
      </c>
      <c r="D339" s="19" t="s">
        <v>64</v>
      </c>
      <c r="E339" s="19" t="s">
        <v>247</v>
      </c>
      <c r="F339" s="19" t="s">
        <v>67</v>
      </c>
      <c r="G339" s="19"/>
      <c r="H339" s="19" t="s">
        <v>71</v>
      </c>
      <c r="I339" s="19" t="s">
        <v>72</v>
      </c>
      <c r="J339" s="19" t="s">
        <v>73</v>
      </c>
      <c r="K339" s="19" t="s">
        <v>76</v>
      </c>
      <c r="L339" s="19" t="s">
        <v>78</v>
      </c>
      <c r="M339" s="19" t="s">
        <v>79</v>
      </c>
      <c r="N339" s="19" t="s">
        <v>81</v>
      </c>
    </row>
    <row r="340" spans="1:14" ht="14.25" customHeight="1" x14ac:dyDescent="0.15">
      <c r="A340" s="21"/>
      <c r="B340" s="21"/>
      <c r="C340" s="21"/>
      <c r="D340" s="21"/>
      <c r="E340" s="23" t="str">
        <f>'MASTER DATA'!E11</f>
        <v>20000</v>
      </c>
      <c r="F340" s="21">
        <v>380</v>
      </c>
      <c r="G340" s="21"/>
      <c r="H340" s="21">
        <v>1000</v>
      </c>
      <c r="I340" s="21">
        <v>585</v>
      </c>
      <c r="J340" s="23" t="str">
        <f>J277</f>
        <v>3500</v>
      </c>
      <c r="K340" s="21"/>
      <c r="L340" s="21"/>
      <c r="M340" s="21">
        <f>M277</f>
        <v>2</v>
      </c>
      <c r="N340" s="21"/>
    </row>
    <row r="341" spans="1:14" ht="14.25" customHeight="1" x14ac:dyDescent="0.15">
      <c r="A341" s="19">
        <v>1</v>
      </c>
      <c r="B341" s="19">
        <v>2.4</v>
      </c>
      <c r="C341" s="19">
        <v>1.2</v>
      </c>
      <c r="D341" s="19">
        <f>B341*C341</f>
        <v>2.88</v>
      </c>
      <c r="E341" s="19"/>
      <c r="F341" s="19"/>
      <c r="G341" s="19"/>
      <c r="H341" s="19">
        <f t="shared" ref="H341:I341" si="183">A341</f>
        <v>1</v>
      </c>
      <c r="I341" s="19">
        <f t="shared" si="183"/>
        <v>2.4</v>
      </c>
      <c r="J341" s="19">
        <v>2</v>
      </c>
      <c r="K341" s="19"/>
      <c r="L341" s="19"/>
      <c r="M341" s="19"/>
      <c r="N341" s="19"/>
    </row>
    <row r="342" spans="1:14" ht="14.25" customHeight="1" x14ac:dyDescent="0.15">
      <c r="A342" s="19"/>
      <c r="B342" s="19"/>
      <c r="C342" s="19"/>
      <c r="D342" s="26" t="str">
        <f>D174</f>
        <v>2200</v>
      </c>
      <c r="E342" s="19">
        <v>2</v>
      </c>
      <c r="F342" s="19">
        <f>B341*2</f>
        <v>4.8</v>
      </c>
      <c r="G342" s="19"/>
      <c r="H342" s="19"/>
      <c r="I342" s="19"/>
      <c r="J342" s="19"/>
      <c r="K342" s="19"/>
      <c r="L342" s="19"/>
      <c r="M342" s="19"/>
      <c r="N342" s="19"/>
    </row>
    <row r="343" spans="1:14" ht="14.25" customHeight="1" x14ac:dyDescent="0.15">
      <c r="A343" s="19"/>
      <c r="B343" s="19"/>
      <c r="C343" s="19"/>
      <c r="D343" s="19">
        <f>D341*D342</f>
        <v>6336</v>
      </c>
      <c r="E343" s="19">
        <f>E342*E340</f>
        <v>40000</v>
      </c>
      <c r="F343" s="19">
        <f>F340*F342</f>
        <v>1824</v>
      </c>
      <c r="G343" s="19"/>
      <c r="H343" s="19">
        <f t="shared" ref="H343:J343" si="184">H340*H341</f>
        <v>1000</v>
      </c>
      <c r="I343" s="19">
        <f t="shared" si="184"/>
        <v>1404</v>
      </c>
      <c r="J343" s="19">
        <f t="shared" si="184"/>
        <v>7000</v>
      </c>
      <c r="K343" s="19">
        <f>SUM(D343:J343)</f>
        <v>57564</v>
      </c>
      <c r="L343" s="19">
        <f>K343/A341</f>
        <v>57564</v>
      </c>
      <c r="M343" s="19">
        <f>L343*M340</f>
        <v>115128</v>
      </c>
      <c r="N343" s="19">
        <f>MROUND(M343,100)</f>
        <v>115100</v>
      </c>
    </row>
    <row r="344" spans="1:14" ht="14.25" customHeight="1" x14ac:dyDescent="0.15">
      <c r="A344" s="111"/>
      <c r="B344" s="87"/>
      <c r="C344" s="87"/>
      <c r="D344" s="30"/>
      <c r="E344" s="30"/>
      <c r="F344" s="30"/>
      <c r="G344" s="30"/>
      <c r="H344" s="30"/>
      <c r="I344" s="30"/>
      <c r="J344" s="30"/>
      <c r="K344" s="30"/>
      <c r="L344" s="30"/>
      <c r="M344" s="30"/>
    </row>
    <row r="345" spans="1:14" ht="14.25" customHeight="1" x14ac:dyDescent="0.15">
      <c r="A345" s="109" t="str">
        <f>PRICELIST!I519</f>
        <v>MTFLW-MD-PLM-2400-1200</v>
      </c>
      <c r="B345" s="87"/>
      <c r="C345" s="87"/>
      <c r="D345" s="30"/>
      <c r="E345" s="30"/>
      <c r="F345" s="30"/>
      <c r="G345" s="30"/>
      <c r="H345" s="30"/>
      <c r="I345" s="30"/>
      <c r="J345" s="30"/>
      <c r="K345" s="30"/>
      <c r="L345" s="30"/>
      <c r="M345" s="30"/>
    </row>
    <row r="346" spans="1:14" ht="14.25" customHeight="1" x14ac:dyDescent="0.15">
      <c r="A346" s="19" t="s">
        <v>57</v>
      </c>
      <c r="B346" s="19" t="s">
        <v>59</v>
      </c>
      <c r="C346" s="19" t="s">
        <v>62</v>
      </c>
      <c r="D346" s="19" t="s">
        <v>64</v>
      </c>
      <c r="E346" s="19" t="s">
        <v>228</v>
      </c>
      <c r="F346" s="19" t="s">
        <v>67</v>
      </c>
      <c r="G346" s="19"/>
      <c r="H346" s="19" t="s">
        <v>71</v>
      </c>
      <c r="I346" s="19" t="s">
        <v>72</v>
      </c>
      <c r="J346" s="19" t="s">
        <v>73</v>
      </c>
      <c r="K346" s="19" t="s">
        <v>76</v>
      </c>
      <c r="L346" s="19" t="s">
        <v>78</v>
      </c>
      <c r="M346" s="19" t="s">
        <v>79</v>
      </c>
      <c r="N346" s="19" t="s">
        <v>81</v>
      </c>
    </row>
    <row r="347" spans="1:14" ht="14.25" customHeight="1" x14ac:dyDescent="0.15">
      <c r="A347" s="21"/>
      <c r="B347" s="21"/>
      <c r="C347" s="21"/>
      <c r="D347" s="21"/>
      <c r="E347" s="23" t="str">
        <f>E340</f>
        <v>20000</v>
      </c>
      <c r="F347" s="21">
        <v>380</v>
      </c>
      <c r="G347" s="21"/>
      <c r="H347" s="21">
        <f>H340</f>
        <v>1000</v>
      </c>
      <c r="I347" s="21">
        <v>585</v>
      </c>
      <c r="J347" s="23" t="str">
        <f t="shared" ref="J347:J348" si="185">J340</f>
        <v>3500</v>
      </c>
      <c r="K347" s="21"/>
      <c r="L347" s="21"/>
      <c r="M347" s="21">
        <f>M340</f>
        <v>2</v>
      </c>
      <c r="N347" s="21"/>
    </row>
    <row r="348" spans="1:14" ht="14.25" customHeight="1" x14ac:dyDescent="0.15">
      <c r="A348" s="19">
        <v>1</v>
      </c>
      <c r="B348" s="19">
        <v>2.4</v>
      </c>
      <c r="C348" s="19">
        <v>1.2</v>
      </c>
      <c r="D348" s="19">
        <f>B348*C348</f>
        <v>2.88</v>
      </c>
      <c r="E348" s="19"/>
      <c r="F348" s="19"/>
      <c r="G348" s="19"/>
      <c r="H348" s="19">
        <f t="shared" ref="H348:I348" si="186">A348</f>
        <v>1</v>
      </c>
      <c r="I348" s="19">
        <f t="shared" si="186"/>
        <v>2.4</v>
      </c>
      <c r="J348" s="19">
        <f t="shared" si="185"/>
        <v>2</v>
      </c>
      <c r="K348" s="19"/>
      <c r="L348" s="19"/>
      <c r="M348" s="19"/>
      <c r="N348" s="19"/>
    </row>
    <row r="349" spans="1:14" ht="14.25" customHeight="1" x14ac:dyDescent="0.15">
      <c r="A349" s="19"/>
      <c r="B349" s="19"/>
      <c r="C349" s="19"/>
      <c r="D349" s="26" t="str">
        <f>D181</f>
        <v>3000</v>
      </c>
      <c r="E349" s="19">
        <f>E342</f>
        <v>2</v>
      </c>
      <c r="F349" s="19">
        <f>B348*2</f>
        <v>4.8</v>
      </c>
      <c r="G349" s="19"/>
      <c r="H349" s="19"/>
      <c r="I349" s="19"/>
      <c r="J349" s="19"/>
      <c r="K349" s="19"/>
      <c r="L349" s="19"/>
      <c r="M349" s="19"/>
      <c r="N349" s="19"/>
    </row>
    <row r="350" spans="1:14" ht="14.25" customHeight="1" x14ac:dyDescent="0.15">
      <c r="A350" s="19"/>
      <c r="B350" s="19"/>
      <c r="C350" s="19"/>
      <c r="D350" s="19">
        <f>D348*D349</f>
        <v>8640</v>
      </c>
      <c r="E350" s="19">
        <f>E349*E347</f>
        <v>40000</v>
      </c>
      <c r="F350" s="19">
        <f>F347*F349</f>
        <v>1824</v>
      </c>
      <c r="G350" s="19"/>
      <c r="H350" s="19">
        <f t="shared" ref="H350:J350" si="187">H347*H348</f>
        <v>1000</v>
      </c>
      <c r="I350" s="19">
        <f t="shared" si="187"/>
        <v>1404</v>
      </c>
      <c r="J350" s="19">
        <f t="shared" si="187"/>
        <v>7000</v>
      </c>
      <c r="K350" s="19">
        <f>SUM(D350:J350)</f>
        <v>59868</v>
      </c>
      <c r="L350" s="19">
        <f>K350/A348</f>
        <v>59868</v>
      </c>
      <c r="M350" s="19">
        <f>L350*M347</f>
        <v>119736</v>
      </c>
      <c r="N350" s="19">
        <f>MROUND(M350,100)</f>
        <v>119700</v>
      </c>
    </row>
    <row r="351" spans="1:14" ht="14.25" customHeight="1" x14ac:dyDescent="0.1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 spans="1:14" ht="14.25" customHeight="1" x14ac:dyDescent="0.15">
      <c r="A352" s="109" t="str">
        <f>PRICELIST!I520</f>
        <v>MTFLW-MD-PoLM-2400-1200</v>
      </c>
      <c r="B352" s="87"/>
      <c r="C352" s="87"/>
      <c r="D352" s="30"/>
      <c r="E352" s="30"/>
      <c r="F352" s="30"/>
      <c r="G352" s="30"/>
      <c r="H352" s="30"/>
      <c r="I352" s="30"/>
      <c r="J352" s="30"/>
      <c r="K352" s="30"/>
      <c r="L352" s="30"/>
      <c r="M352" s="30"/>
    </row>
    <row r="353" spans="1:14" ht="14.25" customHeight="1" x14ac:dyDescent="0.15">
      <c r="A353" s="19" t="s">
        <v>57</v>
      </c>
      <c r="B353" s="19" t="s">
        <v>59</v>
      </c>
      <c r="C353" s="19" t="s">
        <v>62</v>
      </c>
      <c r="D353" s="19" t="s">
        <v>64</v>
      </c>
      <c r="E353" s="19" t="str">
        <f t="shared" ref="E353:E354" si="188">E346</f>
        <v>ATHENA LEG</v>
      </c>
      <c r="F353" s="19" t="s">
        <v>67</v>
      </c>
      <c r="G353" s="19"/>
      <c r="H353" s="19" t="s">
        <v>71</v>
      </c>
      <c r="I353" s="19" t="s">
        <v>72</v>
      </c>
      <c r="J353" s="19" t="s">
        <v>73</v>
      </c>
      <c r="K353" s="19" t="s">
        <v>76</v>
      </c>
      <c r="L353" s="19" t="s">
        <v>78</v>
      </c>
      <c r="M353" s="19" t="s">
        <v>79</v>
      </c>
      <c r="N353" s="19" t="s">
        <v>81</v>
      </c>
    </row>
    <row r="354" spans="1:14" ht="14.25" customHeight="1" x14ac:dyDescent="0.15">
      <c r="A354" s="21"/>
      <c r="B354" s="21"/>
      <c r="C354" s="21"/>
      <c r="D354" s="21"/>
      <c r="E354" s="23" t="str">
        <f t="shared" si="188"/>
        <v>20000</v>
      </c>
      <c r="F354" s="21">
        <v>380</v>
      </c>
      <c r="G354" s="21"/>
      <c r="H354" s="21">
        <f>H347</f>
        <v>1000</v>
      </c>
      <c r="I354" s="21">
        <v>585</v>
      </c>
      <c r="J354" s="23" t="str">
        <f t="shared" ref="J354:J355" si="189">J347</f>
        <v>3500</v>
      </c>
      <c r="K354" s="21"/>
      <c r="L354" s="21"/>
      <c r="M354" s="21">
        <f>M347</f>
        <v>2</v>
      </c>
      <c r="N354" s="21"/>
    </row>
    <row r="355" spans="1:14" ht="14.25" customHeight="1" x14ac:dyDescent="0.15">
      <c r="A355" s="19">
        <v>1</v>
      </c>
      <c r="B355" s="19">
        <v>2.4</v>
      </c>
      <c r="C355" s="19">
        <v>1.2</v>
      </c>
      <c r="D355" s="19">
        <f>B355*C355</f>
        <v>2.88</v>
      </c>
      <c r="E355" s="19"/>
      <c r="F355" s="19"/>
      <c r="G355" s="19"/>
      <c r="H355" s="19">
        <f t="shared" ref="H355:I355" si="190">A355</f>
        <v>1</v>
      </c>
      <c r="I355" s="19">
        <f t="shared" si="190"/>
        <v>2.4</v>
      </c>
      <c r="J355" s="19">
        <f t="shared" si="189"/>
        <v>2</v>
      </c>
      <c r="K355" s="19"/>
      <c r="L355" s="19"/>
      <c r="M355" s="19"/>
      <c r="N355" s="19"/>
    </row>
    <row r="356" spans="1:14" ht="14.25" customHeight="1" x14ac:dyDescent="0.15">
      <c r="A356" s="19"/>
      <c r="B356" s="19"/>
      <c r="C356" s="19"/>
      <c r="D356" s="26" t="str">
        <f>D188</f>
        <v>7500</v>
      </c>
      <c r="E356" s="19">
        <f>E349</f>
        <v>2</v>
      </c>
      <c r="F356" s="19">
        <f>B355*2</f>
        <v>4.8</v>
      </c>
      <c r="G356" s="19"/>
      <c r="H356" s="19"/>
      <c r="I356" s="19"/>
      <c r="J356" s="19"/>
      <c r="K356" s="19"/>
      <c r="L356" s="19"/>
      <c r="M356" s="19"/>
      <c r="N356" s="19"/>
    </row>
    <row r="357" spans="1:14" ht="14.25" customHeight="1" x14ac:dyDescent="0.15">
      <c r="A357" s="19"/>
      <c r="B357" s="19"/>
      <c r="C357" s="19"/>
      <c r="D357" s="19">
        <f>D355*D356</f>
        <v>21600</v>
      </c>
      <c r="E357" s="19">
        <f>E356*E354</f>
        <v>40000</v>
      </c>
      <c r="F357" s="19">
        <f>F354*F356</f>
        <v>1824</v>
      </c>
      <c r="G357" s="19"/>
      <c r="H357" s="19">
        <f t="shared" ref="H357:J357" si="191">H354*H355</f>
        <v>1000</v>
      </c>
      <c r="I357" s="19">
        <f t="shared" si="191"/>
        <v>1404</v>
      </c>
      <c r="J357" s="19">
        <f t="shared" si="191"/>
        <v>7000</v>
      </c>
      <c r="K357" s="19">
        <f>SUM(D357:J357)</f>
        <v>72828</v>
      </c>
      <c r="L357" s="19">
        <f>K357/A355</f>
        <v>72828</v>
      </c>
      <c r="M357" s="19">
        <f>L357*M354</f>
        <v>145656</v>
      </c>
      <c r="N357" s="19">
        <f>MROUND(M357,100)</f>
        <v>145700</v>
      </c>
    </row>
    <row r="358" spans="1:14" ht="14.25" customHeight="1" x14ac:dyDescent="0.15">
      <c r="A358" s="111"/>
      <c r="B358" s="87"/>
      <c r="C358" s="87"/>
      <c r="D358" s="30"/>
      <c r="E358" s="30"/>
      <c r="F358" s="30"/>
      <c r="G358" s="30"/>
      <c r="H358" s="30"/>
      <c r="I358" s="30"/>
      <c r="J358" s="30"/>
      <c r="K358" s="30"/>
      <c r="L358" s="30"/>
      <c r="M358" s="30"/>
    </row>
    <row r="359" spans="1:14" ht="14.25" customHeight="1" x14ac:dyDescent="0.15">
      <c r="A359" s="109" t="str">
        <f>PRICELIST!I521</f>
        <v>MTFLW-MD-LVM-2400-1200</v>
      </c>
      <c r="B359" s="87"/>
      <c r="C359" s="87"/>
      <c r="D359" s="30"/>
      <c r="E359" s="30"/>
      <c r="F359" s="30"/>
      <c r="G359" s="30"/>
      <c r="H359" s="30"/>
      <c r="I359" s="30"/>
      <c r="J359" s="30"/>
      <c r="K359" s="30"/>
      <c r="L359" s="30"/>
      <c r="M359" s="30"/>
    </row>
    <row r="360" spans="1:14" ht="14.25" customHeight="1" x14ac:dyDescent="0.15">
      <c r="A360" s="19" t="s">
        <v>57</v>
      </c>
      <c r="B360" s="19" t="s">
        <v>59</v>
      </c>
      <c r="C360" s="19" t="s">
        <v>62</v>
      </c>
      <c r="D360" s="19" t="s">
        <v>64</v>
      </c>
      <c r="E360" s="19" t="str">
        <f t="shared" ref="E360:E361" si="192">E353</f>
        <v>ATHENA LEG</v>
      </c>
      <c r="F360" s="19" t="s">
        <v>67</v>
      </c>
      <c r="G360" s="19"/>
      <c r="H360" s="19" t="s">
        <v>71</v>
      </c>
      <c r="I360" s="19" t="s">
        <v>72</v>
      </c>
      <c r="J360" s="19" t="s">
        <v>73</v>
      </c>
      <c r="K360" s="19" t="s">
        <v>76</v>
      </c>
      <c r="L360" s="19" t="s">
        <v>78</v>
      </c>
      <c r="M360" s="19" t="s">
        <v>79</v>
      </c>
      <c r="N360" s="19" t="s">
        <v>81</v>
      </c>
    </row>
    <row r="361" spans="1:14" ht="14.25" customHeight="1" x14ac:dyDescent="0.15">
      <c r="A361" s="21"/>
      <c r="B361" s="21"/>
      <c r="C361" s="21"/>
      <c r="D361" s="21"/>
      <c r="E361" s="23" t="str">
        <f t="shared" si="192"/>
        <v>20000</v>
      </c>
      <c r="F361" s="21">
        <v>380</v>
      </c>
      <c r="G361" s="21"/>
      <c r="H361" s="21">
        <f>H354</f>
        <v>1000</v>
      </c>
      <c r="I361" s="21">
        <v>585</v>
      </c>
      <c r="J361" s="23" t="str">
        <f t="shared" ref="J361:J362" si="193">J354</f>
        <v>3500</v>
      </c>
      <c r="K361" s="21"/>
      <c r="L361" s="21"/>
      <c r="M361" s="21">
        <f>M354</f>
        <v>2</v>
      </c>
      <c r="N361" s="21"/>
    </row>
    <row r="362" spans="1:14" ht="14.25" customHeight="1" x14ac:dyDescent="0.15">
      <c r="A362" s="19">
        <v>1</v>
      </c>
      <c r="B362" s="19">
        <v>2.4</v>
      </c>
      <c r="C362" s="19">
        <v>1.2</v>
      </c>
      <c r="D362" s="19">
        <f>B362*C362</f>
        <v>2.88</v>
      </c>
      <c r="E362" s="19"/>
      <c r="F362" s="19"/>
      <c r="G362" s="19"/>
      <c r="H362" s="19">
        <f t="shared" ref="H362:I362" si="194">A362</f>
        <v>1</v>
      </c>
      <c r="I362" s="19">
        <f t="shared" si="194"/>
        <v>2.4</v>
      </c>
      <c r="J362" s="19">
        <f t="shared" si="193"/>
        <v>2</v>
      </c>
      <c r="K362" s="19"/>
      <c r="L362" s="19"/>
      <c r="M362" s="19"/>
      <c r="N362" s="19"/>
    </row>
    <row r="363" spans="1:14" ht="14.25" customHeight="1" x14ac:dyDescent="0.15">
      <c r="A363" s="19"/>
      <c r="B363" s="19"/>
      <c r="C363" s="19"/>
      <c r="D363" s="26" t="str">
        <f>D195</f>
        <v>9500</v>
      </c>
      <c r="E363" s="19">
        <f>E356</f>
        <v>2</v>
      </c>
      <c r="F363" s="19">
        <f>B362*2</f>
        <v>4.8</v>
      </c>
      <c r="G363" s="19"/>
      <c r="H363" s="19"/>
      <c r="I363" s="19"/>
      <c r="J363" s="19"/>
      <c r="K363" s="19"/>
      <c r="L363" s="19"/>
      <c r="M363" s="19"/>
      <c r="N363" s="19"/>
    </row>
    <row r="364" spans="1:14" ht="14.25" customHeight="1" x14ac:dyDescent="0.15">
      <c r="A364" s="19"/>
      <c r="B364" s="19"/>
      <c r="C364" s="19"/>
      <c r="D364" s="19">
        <f>D362*D363</f>
        <v>27360</v>
      </c>
      <c r="E364" s="19">
        <f>E363*E361</f>
        <v>40000</v>
      </c>
      <c r="F364" s="19">
        <f>F361*F363</f>
        <v>1824</v>
      </c>
      <c r="G364" s="19"/>
      <c r="H364" s="19">
        <f t="shared" ref="H364:J364" si="195">H361*H362</f>
        <v>1000</v>
      </c>
      <c r="I364" s="19">
        <f t="shared" si="195"/>
        <v>1404</v>
      </c>
      <c r="J364" s="19">
        <f t="shared" si="195"/>
        <v>7000</v>
      </c>
      <c r="K364" s="19">
        <f>SUM(D364:J364)</f>
        <v>78588</v>
      </c>
      <c r="L364" s="19">
        <f>K364/A362</f>
        <v>78588</v>
      </c>
      <c r="M364" s="19">
        <f>L364*M361</f>
        <v>157176</v>
      </c>
      <c r="N364" s="19">
        <f>MROUND(M364,100)</f>
        <v>157200</v>
      </c>
    </row>
    <row r="365" spans="1:14" ht="14.25" customHeight="1" x14ac:dyDescent="0.1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 spans="1:14" ht="14.25" customHeight="1" x14ac:dyDescent="0.15">
      <c r="A366" s="109" t="str">
        <f>PRICELIST!I522</f>
        <v>MTFLW-MD-LVP-2400-1200</v>
      </c>
      <c r="B366" s="87"/>
      <c r="C366" s="87"/>
      <c r="D366" s="30"/>
      <c r="E366" s="30"/>
      <c r="F366" s="30"/>
      <c r="G366" s="30"/>
      <c r="H366" s="30"/>
      <c r="I366" s="30"/>
      <c r="J366" s="30"/>
      <c r="K366" s="30"/>
      <c r="L366" s="30"/>
      <c r="M366" s="30"/>
    </row>
    <row r="367" spans="1:14" ht="14.25" customHeight="1" x14ac:dyDescent="0.15">
      <c r="A367" s="19" t="s">
        <v>57</v>
      </c>
      <c r="B367" s="19" t="s">
        <v>59</v>
      </c>
      <c r="C367" s="19" t="s">
        <v>62</v>
      </c>
      <c r="D367" s="19" t="s">
        <v>64</v>
      </c>
      <c r="E367" s="19" t="str">
        <f t="shared" ref="E367:E368" si="196">E360</f>
        <v>ATHENA LEG</v>
      </c>
      <c r="F367" s="19" t="s">
        <v>67</v>
      </c>
      <c r="G367" s="19"/>
      <c r="H367" s="19" t="s">
        <v>71</v>
      </c>
      <c r="I367" s="19" t="s">
        <v>72</v>
      </c>
      <c r="J367" s="19" t="s">
        <v>73</v>
      </c>
      <c r="K367" s="19" t="s">
        <v>76</v>
      </c>
      <c r="L367" s="19" t="s">
        <v>78</v>
      </c>
      <c r="M367" s="19" t="s">
        <v>79</v>
      </c>
      <c r="N367" s="19" t="s">
        <v>81</v>
      </c>
    </row>
    <row r="368" spans="1:14" ht="14.25" customHeight="1" x14ac:dyDescent="0.15">
      <c r="A368" s="21"/>
      <c r="B368" s="21"/>
      <c r="C368" s="21"/>
      <c r="D368" s="21"/>
      <c r="E368" s="23" t="str">
        <f t="shared" si="196"/>
        <v>20000</v>
      </c>
      <c r="F368" s="21">
        <v>380</v>
      </c>
      <c r="G368" s="21"/>
      <c r="H368" s="21">
        <f>H361</f>
        <v>1000</v>
      </c>
      <c r="I368" s="21">
        <v>585</v>
      </c>
      <c r="J368" s="23" t="str">
        <f t="shared" ref="J368:J369" si="197">J361</f>
        <v>3500</v>
      </c>
      <c r="K368" s="21"/>
      <c r="L368" s="21"/>
      <c r="M368" s="21">
        <f>M361</f>
        <v>2</v>
      </c>
      <c r="N368" s="21"/>
    </row>
    <row r="369" spans="1:14" ht="14.25" customHeight="1" x14ac:dyDescent="0.15">
      <c r="A369" s="19">
        <v>1</v>
      </c>
      <c r="B369" s="19">
        <v>2.4</v>
      </c>
      <c r="C369" s="19">
        <v>1.2</v>
      </c>
      <c r="D369" s="19">
        <f>B369*C369</f>
        <v>2.88</v>
      </c>
      <c r="E369" s="19"/>
      <c r="F369" s="19"/>
      <c r="G369" s="19"/>
      <c r="H369" s="19">
        <f t="shared" ref="H369:I369" si="198">A369</f>
        <v>1</v>
      </c>
      <c r="I369" s="19">
        <f t="shared" si="198"/>
        <v>2.4</v>
      </c>
      <c r="J369" s="19">
        <f t="shared" si="197"/>
        <v>2</v>
      </c>
      <c r="K369" s="19"/>
      <c r="L369" s="19"/>
      <c r="M369" s="19"/>
      <c r="N369" s="19"/>
    </row>
    <row r="370" spans="1:14" ht="14.25" customHeight="1" x14ac:dyDescent="0.15">
      <c r="A370" s="19"/>
      <c r="B370" s="19"/>
      <c r="C370" s="19"/>
      <c r="D370" s="26" t="str">
        <f>D258</f>
        <v>10500</v>
      </c>
      <c r="E370" s="19">
        <f>E363</f>
        <v>2</v>
      </c>
      <c r="F370" s="19">
        <f>B369*2</f>
        <v>4.8</v>
      </c>
      <c r="G370" s="19"/>
      <c r="H370" s="19"/>
      <c r="I370" s="19"/>
      <c r="J370" s="19"/>
      <c r="K370" s="19"/>
      <c r="L370" s="19"/>
      <c r="M370" s="19"/>
      <c r="N370" s="19"/>
    </row>
    <row r="371" spans="1:14" ht="14.25" customHeight="1" x14ac:dyDescent="0.15">
      <c r="A371" s="19"/>
      <c r="B371" s="19"/>
      <c r="C371" s="19"/>
      <c r="D371" s="19">
        <f>D369*D370</f>
        <v>30240</v>
      </c>
      <c r="E371" s="19">
        <f>E370*E368</f>
        <v>40000</v>
      </c>
      <c r="F371" s="19">
        <f>F368*F370</f>
        <v>1824</v>
      </c>
      <c r="G371" s="19"/>
      <c r="H371" s="19">
        <f t="shared" ref="H371:J371" si="199">H368*H369</f>
        <v>1000</v>
      </c>
      <c r="I371" s="19">
        <f t="shared" si="199"/>
        <v>1404</v>
      </c>
      <c r="J371" s="19">
        <f t="shared" si="199"/>
        <v>7000</v>
      </c>
      <c r="K371" s="19">
        <f>SUM(D371:J371)</f>
        <v>81468</v>
      </c>
      <c r="L371" s="19">
        <f>K371/A369</f>
        <v>81468</v>
      </c>
      <c r="M371" s="19">
        <f>L371*M368</f>
        <v>162936</v>
      </c>
      <c r="N371" s="19">
        <f>MROUND(M371,100)</f>
        <v>162900</v>
      </c>
    </row>
    <row r="372" spans="1:14" ht="14.25" customHeight="1" x14ac:dyDescent="0.1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</row>
    <row r="373" spans="1:14" ht="14.25" customHeight="1" x14ac:dyDescent="0.15">
      <c r="A373" s="109" t="str">
        <f>PRICELIST!I523</f>
        <v>MTFLW-MD-VNR-2400-1200</v>
      </c>
      <c r="B373" s="87"/>
      <c r="C373" s="87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 spans="1:14" ht="14.25" customHeight="1" x14ac:dyDescent="0.15">
      <c r="A374" s="19" t="s">
        <v>57</v>
      </c>
      <c r="B374" s="19" t="s">
        <v>59</v>
      </c>
      <c r="C374" s="19" t="s">
        <v>62</v>
      </c>
      <c r="D374" s="19" t="s">
        <v>64</v>
      </c>
      <c r="E374" s="19" t="str">
        <f t="shared" ref="E374:E375" si="200">E367</f>
        <v>ATHENA LEG</v>
      </c>
      <c r="F374" s="19" t="s">
        <v>67</v>
      </c>
      <c r="G374" s="19"/>
      <c r="H374" s="19" t="s">
        <v>71</v>
      </c>
      <c r="I374" s="19" t="s">
        <v>72</v>
      </c>
      <c r="J374" s="19" t="s">
        <v>73</v>
      </c>
      <c r="K374" s="19" t="s">
        <v>76</v>
      </c>
      <c r="L374" s="19" t="s">
        <v>78</v>
      </c>
      <c r="M374" s="19" t="s">
        <v>79</v>
      </c>
      <c r="N374" s="19" t="s">
        <v>81</v>
      </c>
    </row>
    <row r="375" spans="1:14" ht="14.25" customHeight="1" x14ac:dyDescent="0.15">
      <c r="A375" s="21"/>
      <c r="B375" s="21"/>
      <c r="C375" s="21"/>
      <c r="D375" s="21"/>
      <c r="E375" s="23" t="str">
        <f t="shared" si="200"/>
        <v>20000</v>
      </c>
      <c r="F375" s="21">
        <v>380</v>
      </c>
      <c r="G375" s="21"/>
      <c r="H375" s="21">
        <f>H368</f>
        <v>1000</v>
      </c>
      <c r="I375" s="21">
        <v>585</v>
      </c>
      <c r="J375" s="23" t="str">
        <f t="shared" ref="J375:J376" si="201">J368</f>
        <v>3500</v>
      </c>
      <c r="K375" s="21"/>
      <c r="L375" s="21"/>
      <c r="M375" s="21">
        <f>M368</f>
        <v>2</v>
      </c>
      <c r="N375" s="21"/>
    </row>
    <row r="376" spans="1:14" ht="14.25" customHeight="1" x14ac:dyDescent="0.15">
      <c r="A376" s="19">
        <v>1</v>
      </c>
      <c r="B376" s="19">
        <v>2.4</v>
      </c>
      <c r="C376" s="19">
        <v>1.2</v>
      </c>
      <c r="D376" s="19">
        <f>B376*C376</f>
        <v>2.88</v>
      </c>
      <c r="E376" s="19"/>
      <c r="F376" s="19"/>
      <c r="G376" s="19"/>
      <c r="H376" s="19">
        <f t="shared" ref="H376:I376" si="202">A376</f>
        <v>1</v>
      </c>
      <c r="I376" s="19">
        <f t="shared" si="202"/>
        <v>2.4</v>
      </c>
      <c r="J376" s="19">
        <f t="shared" si="201"/>
        <v>2</v>
      </c>
      <c r="K376" s="19"/>
      <c r="L376" s="19"/>
      <c r="M376" s="19"/>
      <c r="N376" s="19"/>
    </row>
    <row r="377" spans="1:14" ht="14.25" customHeight="1" x14ac:dyDescent="0.15">
      <c r="A377" s="19"/>
      <c r="B377" s="19"/>
      <c r="C377" s="19"/>
      <c r="D377" s="26" t="str">
        <f>D265</f>
        <v>30000</v>
      </c>
      <c r="E377" s="19">
        <f>E370</f>
        <v>2</v>
      </c>
      <c r="F377" s="19">
        <f>B376*2</f>
        <v>4.8</v>
      </c>
      <c r="G377" s="19"/>
      <c r="H377" s="19"/>
      <c r="I377" s="19"/>
      <c r="J377" s="19"/>
      <c r="K377" s="19"/>
      <c r="L377" s="19"/>
      <c r="M377" s="19"/>
      <c r="N377" s="19"/>
    </row>
    <row r="378" spans="1:14" ht="14.25" customHeight="1" x14ac:dyDescent="0.15">
      <c r="A378" s="19"/>
      <c r="B378" s="19"/>
      <c r="C378" s="19"/>
      <c r="D378" s="19">
        <f>D376*D377</f>
        <v>86400</v>
      </c>
      <c r="E378" s="19">
        <f>E377*E375</f>
        <v>40000</v>
      </c>
      <c r="F378" s="19">
        <f>F375*F377</f>
        <v>1824</v>
      </c>
      <c r="G378" s="19"/>
      <c r="H378" s="19">
        <f t="shared" ref="H378:J378" si="203">H375*H376</f>
        <v>1000</v>
      </c>
      <c r="I378" s="19">
        <f t="shared" si="203"/>
        <v>1404</v>
      </c>
      <c r="J378" s="19">
        <f t="shared" si="203"/>
        <v>7000</v>
      </c>
      <c r="K378" s="19">
        <f>SUM(D378:J378)</f>
        <v>137628</v>
      </c>
      <c r="L378" s="19">
        <f>K378/A376</f>
        <v>137628</v>
      </c>
      <c r="M378" s="19">
        <f>L378*M375</f>
        <v>275256</v>
      </c>
      <c r="N378" s="19">
        <f>MROUND(M378,100)</f>
        <v>275300</v>
      </c>
    </row>
    <row r="379" spans="1:14" ht="14.25" customHeight="1" x14ac:dyDescent="0.15">
      <c r="A379" s="111"/>
      <c r="B379" s="87"/>
      <c r="C379" s="87"/>
      <c r="D379" s="30"/>
      <c r="E379" s="30"/>
      <c r="F379" s="30"/>
      <c r="G379" s="30"/>
      <c r="H379" s="30"/>
      <c r="I379" s="30"/>
      <c r="J379" s="30"/>
      <c r="K379" s="30"/>
      <c r="L379" s="30"/>
      <c r="M379" s="30"/>
    </row>
    <row r="380" spans="1:14" ht="14.25" customHeight="1" x14ac:dyDescent="0.15">
      <c r="A380" s="109" t="str">
        <f>PRICELIST!I524</f>
        <v>MTFLW-MD-MBL-2400-1200</v>
      </c>
      <c r="B380" s="87"/>
      <c r="C380" s="87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spans="1:14" ht="14.25" customHeight="1" x14ac:dyDescent="0.15">
      <c r="A381" s="19" t="s">
        <v>57</v>
      </c>
      <c r="B381" s="19" t="s">
        <v>59</v>
      </c>
      <c r="C381" s="19" t="s">
        <v>62</v>
      </c>
      <c r="D381" s="19" t="s">
        <v>64</v>
      </c>
      <c r="E381" s="19" t="str">
        <f t="shared" ref="E381:E382" si="204">E374</f>
        <v>ATHENA LEG</v>
      </c>
      <c r="F381" s="19" t="s">
        <v>67</v>
      </c>
      <c r="G381" s="19"/>
      <c r="H381" s="19" t="s">
        <v>71</v>
      </c>
      <c r="I381" s="19" t="s">
        <v>72</v>
      </c>
      <c r="J381" s="19" t="s">
        <v>73</v>
      </c>
      <c r="K381" s="19" t="s">
        <v>76</v>
      </c>
      <c r="L381" s="19" t="s">
        <v>78</v>
      </c>
      <c r="M381" s="19" t="s">
        <v>79</v>
      </c>
      <c r="N381" s="19" t="s">
        <v>81</v>
      </c>
    </row>
    <row r="382" spans="1:14" ht="14.25" customHeight="1" x14ac:dyDescent="0.15">
      <c r="A382" s="21"/>
      <c r="B382" s="21"/>
      <c r="C382" s="21"/>
      <c r="D382" s="21"/>
      <c r="E382" s="23" t="str">
        <f t="shared" si="204"/>
        <v>20000</v>
      </c>
      <c r="F382" s="21">
        <v>380</v>
      </c>
      <c r="G382" s="21"/>
      <c r="H382" s="21">
        <f>H375</f>
        <v>1000</v>
      </c>
      <c r="I382" s="21">
        <v>585</v>
      </c>
      <c r="J382" s="23" t="str">
        <f>J375</f>
        <v>3500</v>
      </c>
      <c r="K382" s="21"/>
      <c r="L382" s="21"/>
      <c r="M382" s="21">
        <f>M375</f>
        <v>2</v>
      </c>
      <c r="N382" s="21"/>
    </row>
    <row r="383" spans="1:14" ht="14.25" customHeight="1" x14ac:dyDescent="0.15">
      <c r="A383" s="19">
        <v>1</v>
      </c>
      <c r="B383" s="19">
        <v>2.4</v>
      </c>
      <c r="C383" s="19">
        <v>1.2</v>
      </c>
      <c r="D383" s="19">
        <f>B383*C383</f>
        <v>2.88</v>
      </c>
      <c r="E383" s="19"/>
      <c r="F383" s="19"/>
      <c r="G383" s="19"/>
      <c r="H383" s="19">
        <f t="shared" ref="H383:I383" si="205">A383</f>
        <v>1</v>
      </c>
      <c r="I383" s="19">
        <f t="shared" si="205"/>
        <v>2.4</v>
      </c>
      <c r="J383" s="19">
        <v>3</v>
      </c>
      <c r="K383" s="19"/>
      <c r="L383" s="19"/>
      <c r="M383" s="19"/>
      <c r="N383" s="19"/>
    </row>
    <row r="384" spans="1:14" ht="14.25" customHeight="1" x14ac:dyDescent="0.15">
      <c r="A384" s="19"/>
      <c r="B384" s="19"/>
      <c r="C384" s="19"/>
      <c r="D384" s="26">
        <f>D272</f>
        <v>37500</v>
      </c>
      <c r="E384" s="19">
        <f>E377</f>
        <v>2</v>
      </c>
      <c r="F384" s="19">
        <f>B383*2</f>
        <v>4.8</v>
      </c>
      <c r="G384" s="19"/>
      <c r="H384" s="19"/>
      <c r="I384" s="19"/>
      <c r="J384" s="19"/>
      <c r="K384" s="19"/>
      <c r="L384" s="19"/>
      <c r="M384" s="19"/>
      <c r="N384" s="19"/>
    </row>
    <row r="385" spans="1:14" ht="14.25" customHeight="1" x14ac:dyDescent="0.15">
      <c r="A385" s="19"/>
      <c r="B385" s="19"/>
      <c r="C385" s="19"/>
      <c r="D385" s="19">
        <f>D383*D384</f>
        <v>108000</v>
      </c>
      <c r="E385" s="19">
        <f>E384*E382</f>
        <v>40000</v>
      </c>
      <c r="F385" s="19">
        <f>F382*F384</f>
        <v>1824</v>
      </c>
      <c r="G385" s="19"/>
      <c r="H385" s="19">
        <f t="shared" ref="H385:J385" si="206">H382*H383</f>
        <v>1000</v>
      </c>
      <c r="I385" s="19">
        <f t="shared" si="206"/>
        <v>1404</v>
      </c>
      <c r="J385" s="19">
        <f t="shared" si="206"/>
        <v>10500</v>
      </c>
      <c r="K385" s="19">
        <f>SUM(D385:J385)</f>
        <v>162728</v>
      </c>
      <c r="L385" s="19">
        <f>K385/A383</f>
        <v>162728</v>
      </c>
      <c r="M385" s="19">
        <f>L385*M382</f>
        <v>325456</v>
      </c>
      <c r="N385" s="19">
        <f>MROUND(M385,100)</f>
        <v>325500</v>
      </c>
    </row>
    <row r="386" spans="1:14" ht="14.25" customHeight="1" x14ac:dyDescent="0.15">
      <c r="A386" s="111"/>
      <c r="B386" s="87"/>
      <c r="C386" s="87"/>
      <c r="D386" s="30"/>
      <c r="E386" s="30"/>
      <c r="F386" s="30"/>
      <c r="G386" s="30"/>
      <c r="H386" s="30"/>
      <c r="I386" s="30"/>
      <c r="J386" s="30"/>
      <c r="K386" s="30"/>
      <c r="L386" s="30"/>
      <c r="M386" s="30"/>
    </row>
    <row r="387" spans="1:14" ht="14.25" customHeight="1" x14ac:dyDescent="0.15">
      <c r="A387" s="109" t="str">
        <f>PRICELIST!I525</f>
        <v>MTFLW-MD-GL-2400-1200</v>
      </c>
      <c r="B387" s="87"/>
      <c r="C387" s="87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spans="1:14" ht="14.25" customHeight="1" x14ac:dyDescent="0.15">
      <c r="A388" s="19" t="s">
        <v>57</v>
      </c>
      <c r="B388" s="19" t="s">
        <v>59</v>
      </c>
      <c r="C388" s="19" t="s">
        <v>62</v>
      </c>
      <c r="D388" s="19" t="s">
        <v>64</v>
      </c>
      <c r="E388" s="19" t="str">
        <f t="shared" ref="E388:E389" si="207">E381</f>
        <v>ATHENA LEG</v>
      </c>
      <c r="F388" s="19" t="s">
        <v>67</v>
      </c>
      <c r="G388" s="19"/>
      <c r="H388" s="19" t="s">
        <v>71</v>
      </c>
      <c r="I388" s="19" t="s">
        <v>72</v>
      </c>
      <c r="J388" s="19" t="s">
        <v>73</v>
      </c>
      <c r="K388" s="19" t="s">
        <v>76</v>
      </c>
      <c r="L388" s="19" t="s">
        <v>78</v>
      </c>
      <c r="M388" s="19" t="s">
        <v>79</v>
      </c>
      <c r="N388" s="19" t="s">
        <v>81</v>
      </c>
    </row>
    <row r="389" spans="1:14" ht="14.25" customHeight="1" x14ac:dyDescent="0.15">
      <c r="A389" s="21"/>
      <c r="B389" s="21"/>
      <c r="C389" s="21"/>
      <c r="D389" s="21"/>
      <c r="E389" s="23" t="str">
        <f t="shared" si="207"/>
        <v>20000</v>
      </c>
      <c r="F389" s="21">
        <v>380</v>
      </c>
      <c r="G389" s="21"/>
      <c r="H389" s="21">
        <f>H382</f>
        <v>1000</v>
      </c>
      <c r="I389" s="21">
        <v>585</v>
      </c>
      <c r="J389" s="23" t="str">
        <f t="shared" ref="J389:J390" si="208">J382</f>
        <v>3500</v>
      </c>
      <c r="K389" s="21"/>
      <c r="L389" s="21"/>
      <c r="M389" s="21">
        <f>M382</f>
        <v>2</v>
      </c>
      <c r="N389" s="21"/>
    </row>
    <row r="390" spans="1:14" ht="14.25" customHeight="1" x14ac:dyDescent="0.15">
      <c r="A390" s="19">
        <v>1</v>
      </c>
      <c r="B390" s="19">
        <v>2.4</v>
      </c>
      <c r="C390" s="19">
        <v>1.2</v>
      </c>
      <c r="D390" s="19">
        <f>B390*C390</f>
        <v>2.88</v>
      </c>
      <c r="E390" s="19"/>
      <c r="F390" s="19"/>
      <c r="G390" s="19"/>
      <c r="H390" s="19">
        <f t="shared" ref="H390:I390" si="209">A390</f>
        <v>1</v>
      </c>
      <c r="I390" s="19">
        <f t="shared" si="209"/>
        <v>2.4</v>
      </c>
      <c r="J390" s="19">
        <f t="shared" si="208"/>
        <v>3</v>
      </c>
      <c r="K390" s="19"/>
      <c r="L390" s="19"/>
      <c r="M390" s="19"/>
      <c r="N390" s="19"/>
    </row>
    <row r="391" spans="1:14" ht="14.25" customHeight="1" x14ac:dyDescent="0.15">
      <c r="A391" s="19"/>
      <c r="B391" s="19"/>
      <c r="C391" s="19"/>
      <c r="D391" s="26" t="str">
        <f>D279</f>
        <v>7500</v>
      </c>
      <c r="E391" s="19">
        <f>E384</f>
        <v>2</v>
      </c>
      <c r="F391" s="19">
        <f>B390*2</f>
        <v>4.8</v>
      </c>
      <c r="G391" s="19"/>
      <c r="H391" s="19"/>
      <c r="I391" s="19"/>
      <c r="J391" s="19"/>
      <c r="K391" s="19"/>
      <c r="L391" s="19"/>
      <c r="M391" s="19"/>
      <c r="N391" s="19"/>
    </row>
    <row r="392" spans="1:14" ht="14.25" customHeight="1" x14ac:dyDescent="0.15">
      <c r="A392" s="19"/>
      <c r="B392" s="19"/>
      <c r="C392" s="19"/>
      <c r="D392" s="19">
        <f>D390*D391</f>
        <v>21600</v>
      </c>
      <c r="E392" s="19">
        <f>E391*E389</f>
        <v>40000</v>
      </c>
      <c r="F392" s="19">
        <f>F389*F391</f>
        <v>1824</v>
      </c>
      <c r="G392" s="19"/>
      <c r="H392" s="19">
        <f t="shared" ref="H392:J392" si="210">H389*H390</f>
        <v>1000</v>
      </c>
      <c r="I392" s="19">
        <f t="shared" si="210"/>
        <v>1404</v>
      </c>
      <c r="J392" s="19">
        <f t="shared" si="210"/>
        <v>10500</v>
      </c>
      <c r="K392" s="19">
        <f>SUM(D392:J392)</f>
        <v>76328</v>
      </c>
      <c r="L392" s="19">
        <f>K392/A390</f>
        <v>76328</v>
      </c>
      <c r="M392" s="19">
        <f>L392*M389</f>
        <v>152656</v>
      </c>
      <c r="N392" s="19">
        <f>MROUND(M392,100)</f>
        <v>152700</v>
      </c>
    </row>
    <row r="393" spans="1:14" ht="14.25" customHeight="1" x14ac:dyDescent="0.1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</row>
    <row r="394" spans="1:14" ht="14.25" customHeight="1" x14ac:dyDescent="0.15">
      <c r="A394" s="109" t="str">
        <f>PRICELIST!I526</f>
        <v>MTFLW-LG-PB-3600-1200</v>
      </c>
      <c r="B394" s="87"/>
      <c r="C394" s="87"/>
      <c r="D394" s="30"/>
      <c r="E394" s="30"/>
      <c r="F394" s="30"/>
      <c r="G394" s="30"/>
      <c r="H394" s="30"/>
      <c r="I394" s="30"/>
      <c r="J394" s="30"/>
      <c r="K394" s="30"/>
      <c r="L394" s="30"/>
      <c r="M394" s="30"/>
    </row>
    <row r="395" spans="1:14" ht="14.25" customHeight="1" x14ac:dyDescent="0.15">
      <c r="A395" s="19" t="s">
        <v>57</v>
      </c>
      <c r="B395" s="19" t="s">
        <v>59</v>
      </c>
      <c r="C395" s="19" t="s">
        <v>62</v>
      </c>
      <c r="D395" s="19" t="s">
        <v>64</v>
      </c>
      <c r="E395" s="19" t="str">
        <f t="shared" ref="E395:E396" si="211">E388</f>
        <v>ATHENA LEG</v>
      </c>
      <c r="F395" s="19" t="s">
        <v>67</v>
      </c>
      <c r="G395" s="19"/>
      <c r="H395" s="19" t="s">
        <v>71</v>
      </c>
      <c r="I395" s="19" t="s">
        <v>72</v>
      </c>
      <c r="J395" s="19" t="s">
        <v>73</v>
      </c>
      <c r="K395" s="19" t="s">
        <v>76</v>
      </c>
      <c r="L395" s="19" t="s">
        <v>78</v>
      </c>
      <c r="M395" s="19" t="s">
        <v>79</v>
      </c>
      <c r="N395" s="19" t="s">
        <v>81</v>
      </c>
    </row>
    <row r="396" spans="1:14" ht="14.25" customHeight="1" x14ac:dyDescent="0.15">
      <c r="A396" s="21"/>
      <c r="B396" s="21"/>
      <c r="C396" s="21"/>
      <c r="D396" s="21"/>
      <c r="E396" s="23" t="str">
        <f t="shared" si="211"/>
        <v>20000</v>
      </c>
      <c r="F396" s="21">
        <v>380</v>
      </c>
      <c r="G396" s="21"/>
      <c r="H396" s="21">
        <f>H389</f>
        <v>1000</v>
      </c>
      <c r="I396" s="21">
        <v>585</v>
      </c>
      <c r="J396" s="23" t="str">
        <f t="shared" ref="J396:J397" si="212">J389</f>
        <v>3500</v>
      </c>
      <c r="K396" s="21"/>
      <c r="L396" s="21"/>
      <c r="M396" s="21">
        <f>M389</f>
        <v>2</v>
      </c>
      <c r="N396" s="21"/>
    </row>
    <row r="397" spans="1:14" ht="14.25" customHeight="1" x14ac:dyDescent="0.15">
      <c r="A397" s="19">
        <v>1</v>
      </c>
      <c r="B397" s="19">
        <v>3.6</v>
      </c>
      <c r="C397" s="19">
        <v>1.2</v>
      </c>
      <c r="D397" s="19">
        <f>B397*C397</f>
        <v>4.32</v>
      </c>
      <c r="E397" s="19"/>
      <c r="F397" s="19"/>
      <c r="G397" s="19"/>
      <c r="H397" s="19">
        <f t="shared" ref="H397:I397" si="213">A397</f>
        <v>1</v>
      </c>
      <c r="I397" s="19">
        <f t="shared" si="213"/>
        <v>3.6</v>
      </c>
      <c r="J397" s="19">
        <f t="shared" si="212"/>
        <v>3</v>
      </c>
      <c r="K397" s="19"/>
      <c r="L397" s="19"/>
      <c r="M397" s="19"/>
      <c r="N397" s="19"/>
    </row>
    <row r="398" spans="1:14" ht="14.25" customHeight="1" x14ac:dyDescent="0.15">
      <c r="A398" s="19"/>
      <c r="B398" s="19"/>
      <c r="C398" s="19"/>
      <c r="D398" s="26" t="str">
        <f>D342</f>
        <v>2200</v>
      </c>
      <c r="E398" s="19">
        <v>3</v>
      </c>
      <c r="F398" s="19">
        <f>B397*2</f>
        <v>7.2</v>
      </c>
      <c r="G398" s="19"/>
      <c r="H398" s="19"/>
      <c r="I398" s="19"/>
      <c r="J398" s="19"/>
      <c r="K398" s="19"/>
      <c r="L398" s="19"/>
      <c r="M398" s="19"/>
      <c r="N398" s="19"/>
    </row>
    <row r="399" spans="1:14" ht="14.25" customHeight="1" x14ac:dyDescent="0.15">
      <c r="A399" s="19"/>
      <c r="B399" s="19"/>
      <c r="C399" s="19"/>
      <c r="D399" s="19">
        <f>D397*D398</f>
        <v>9504</v>
      </c>
      <c r="E399" s="19">
        <f>E398*E396</f>
        <v>60000</v>
      </c>
      <c r="F399" s="19">
        <f>F396*F398</f>
        <v>2736</v>
      </c>
      <c r="G399" s="19"/>
      <c r="H399" s="19">
        <f t="shared" ref="H399:J399" si="214">H396*H397</f>
        <v>1000</v>
      </c>
      <c r="I399" s="19">
        <f t="shared" si="214"/>
        <v>2106</v>
      </c>
      <c r="J399" s="19">
        <f t="shared" si="214"/>
        <v>10500</v>
      </c>
      <c r="K399" s="19">
        <f>SUM(D399:J399)</f>
        <v>85846</v>
      </c>
      <c r="L399" s="19">
        <f>K399/A397</f>
        <v>85846</v>
      </c>
      <c r="M399" s="19">
        <f>L399*M396</f>
        <v>171692</v>
      </c>
      <c r="N399" s="19">
        <f>MROUND(M399,100)</f>
        <v>171700</v>
      </c>
    </row>
    <row r="400" spans="1:14" ht="14.25" customHeight="1" x14ac:dyDescent="0.15">
      <c r="A400" s="111"/>
      <c r="B400" s="87"/>
      <c r="C400" s="87"/>
      <c r="D400" s="30"/>
      <c r="E400" s="30"/>
      <c r="F400" s="30"/>
      <c r="G400" s="30"/>
      <c r="H400" s="30"/>
      <c r="I400" s="30"/>
      <c r="J400" s="30"/>
      <c r="K400" s="30"/>
      <c r="L400" s="30"/>
      <c r="M400" s="30"/>
    </row>
    <row r="401" spans="1:14" ht="14.25" customHeight="1" x14ac:dyDescent="0.15">
      <c r="A401" s="109" t="str">
        <f>PRICELIST!I527</f>
        <v>MTFLW-LG-PLM-3600-1200</v>
      </c>
      <c r="B401" s="87"/>
      <c r="C401" s="87"/>
      <c r="D401" s="30"/>
      <c r="E401" s="30"/>
      <c r="F401" s="30"/>
      <c r="G401" s="30"/>
      <c r="H401" s="30"/>
      <c r="I401" s="30"/>
      <c r="J401" s="30"/>
      <c r="K401" s="30"/>
      <c r="L401" s="30"/>
      <c r="M401" s="30"/>
    </row>
    <row r="402" spans="1:14" ht="14.25" customHeight="1" x14ac:dyDescent="0.15">
      <c r="A402" s="19" t="s">
        <v>57</v>
      </c>
      <c r="B402" s="19" t="s">
        <v>59</v>
      </c>
      <c r="C402" s="19" t="s">
        <v>62</v>
      </c>
      <c r="D402" s="19" t="s">
        <v>64</v>
      </c>
      <c r="E402" s="19" t="str">
        <f t="shared" ref="E402:E403" si="215">E395</f>
        <v>ATHENA LEG</v>
      </c>
      <c r="F402" s="19" t="s">
        <v>67</v>
      </c>
      <c r="G402" s="19"/>
      <c r="H402" s="19" t="s">
        <v>71</v>
      </c>
      <c r="I402" s="19" t="s">
        <v>72</v>
      </c>
      <c r="J402" s="19" t="s">
        <v>73</v>
      </c>
      <c r="K402" s="19" t="s">
        <v>76</v>
      </c>
      <c r="L402" s="19" t="s">
        <v>78</v>
      </c>
      <c r="M402" s="19" t="s">
        <v>79</v>
      </c>
      <c r="N402" s="19" t="s">
        <v>81</v>
      </c>
    </row>
    <row r="403" spans="1:14" ht="14.25" customHeight="1" x14ac:dyDescent="0.15">
      <c r="A403" s="21"/>
      <c r="B403" s="21"/>
      <c r="C403" s="21"/>
      <c r="D403" s="21"/>
      <c r="E403" s="23" t="str">
        <f t="shared" si="215"/>
        <v>20000</v>
      </c>
      <c r="F403" s="21">
        <v>380</v>
      </c>
      <c r="G403" s="21"/>
      <c r="H403" s="21">
        <f>H396</f>
        <v>1000</v>
      </c>
      <c r="I403" s="21">
        <v>585</v>
      </c>
      <c r="J403" s="23" t="str">
        <f t="shared" ref="J403:J404" si="216">J396</f>
        <v>3500</v>
      </c>
      <c r="K403" s="21"/>
      <c r="L403" s="21"/>
      <c r="M403" s="21">
        <f>M396</f>
        <v>2</v>
      </c>
      <c r="N403" s="21"/>
    </row>
    <row r="404" spans="1:14" ht="14.25" customHeight="1" x14ac:dyDescent="0.15">
      <c r="A404" s="19">
        <v>1</v>
      </c>
      <c r="B404" s="19">
        <v>3.6</v>
      </c>
      <c r="C404" s="19">
        <v>1.2</v>
      </c>
      <c r="D404" s="19">
        <f>B404*C404</f>
        <v>4.32</v>
      </c>
      <c r="E404" s="19"/>
      <c r="F404" s="19"/>
      <c r="G404" s="19"/>
      <c r="H404" s="19">
        <f t="shared" ref="H404:I404" si="217">A404</f>
        <v>1</v>
      </c>
      <c r="I404" s="19">
        <f t="shared" si="217"/>
        <v>3.6</v>
      </c>
      <c r="J404" s="19">
        <f t="shared" si="216"/>
        <v>3</v>
      </c>
      <c r="K404" s="19"/>
      <c r="L404" s="19"/>
      <c r="M404" s="19"/>
      <c r="N404" s="19"/>
    </row>
    <row r="405" spans="1:14" ht="14.25" customHeight="1" x14ac:dyDescent="0.15">
      <c r="A405" s="19"/>
      <c r="B405" s="19"/>
      <c r="C405" s="19"/>
      <c r="D405" s="26" t="str">
        <f>D349</f>
        <v>3000</v>
      </c>
      <c r="E405" s="19">
        <f>E398</f>
        <v>3</v>
      </c>
      <c r="F405" s="19">
        <f>B404*2</f>
        <v>7.2</v>
      </c>
      <c r="G405" s="19"/>
      <c r="H405" s="19"/>
      <c r="I405" s="19"/>
      <c r="J405" s="19"/>
      <c r="K405" s="19"/>
      <c r="L405" s="19"/>
      <c r="M405" s="19"/>
      <c r="N405" s="19"/>
    </row>
    <row r="406" spans="1:14" ht="14.25" customHeight="1" x14ac:dyDescent="0.15">
      <c r="A406" s="19"/>
      <c r="B406" s="19"/>
      <c r="C406" s="19"/>
      <c r="D406" s="19">
        <f>D404*D405</f>
        <v>12960</v>
      </c>
      <c r="E406" s="19">
        <f>E405*E403</f>
        <v>60000</v>
      </c>
      <c r="F406" s="19">
        <f>F403*F405</f>
        <v>2736</v>
      </c>
      <c r="G406" s="19"/>
      <c r="H406" s="19">
        <f t="shared" ref="H406:J406" si="218">H403*H404</f>
        <v>1000</v>
      </c>
      <c r="I406" s="19">
        <f t="shared" si="218"/>
        <v>2106</v>
      </c>
      <c r="J406" s="19">
        <f t="shared" si="218"/>
        <v>10500</v>
      </c>
      <c r="K406" s="19">
        <f>SUM(D406:J406)</f>
        <v>89302</v>
      </c>
      <c r="L406" s="19">
        <f>K406/A404</f>
        <v>89302</v>
      </c>
      <c r="M406" s="19">
        <f>L406*M403</f>
        <v>178604</v>
      </c>
      <c r="N406" s="19">
        <f>MROUND(M406,100)</f>
        <v>178600</v>
      </c>
    </row>
    <row r="407" spans="1:14" ht="14.25" customHeight="1" x14ac:dyDescent="0.1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</row>
    <row r="408" spans="1:14" ht="14.25" customHeight="1" x14ac:dyDescent="0.15">
      <c r="A408" s="109" t="str">
        <f>PRICELIST!I528</f>
        <v>MTFLW-LG-PoLM-3600-1200</v>
      </c>
      <c r="B408" s="87"/>
      <c r="C408" s="87"/>
      <c r="D408" s="30"/>
      <c r="E408" s="30"/>
      <c r="F408" s="30"/>
      <c r="G408" s="30"/>
      <c r="H408" s="30"/>
      <c r="I408" s="30"/>
      <c r="J408" s="30"/>
      <c r="K408" s="30"/>
      <c r="L408" s="30"/>
      <c r="M408" s="30"/>
    </row>
    <row r="409" spans="1:14" ht="14.25" customHeight="1" x14ac:dyDescent="0.15">
      <c r="A409" s="19" t="s">
        <v>57</v>
      </c>
      <c r="B409" s="19" t="s">
        <v>59</v>
      </c>
      <c r="C409" s="19" t="s">
        <v>62</v>
      </c>
      <c r="D409" s="19" t="s">
        <v>64</v>
      </c>
      <c r="E409" s="19" t="str">
        <f t="shared" ref="E409:E410" si="219">E402</f>
        <v>ATHENA LEG</v>
      </c>
      <c r="F409" s="19" t="s">
        <v>67</v>
      </c>
      <c r="G409" s="19"/>
      <c r="H409" s="19" t="s">
        <v>71</v>
      </c>
      <c r="I409" s="19" t="s">
        <v>72</v>
      </c>
      <c r="J409" s="19" t="s">
        <v>73</v>
      </c>
      <c r="K409" s="19" t="s">
        <v>76</v>
      </c>
      <c r="L409" s="19" t="s">
        <v>78</v>
      </c>
      <c r="M409" s="19" t="s">
        <v>79</v>
      </c>
      <c r="N409" s="19" t="s">
        <v>81</v>
      </c>
    </row>
    <row r="410" spans="1:14" ht="14.25" customHeight="1" x14ac:dyDescent="0.15">
      <c r="A410" s="21"/>
      <c r="B410" s="21"/>
      <c r="C410" s="21"/>
      <c r="D410" s="21"/>
      <c r="E410" s="23" t="str">
        <f t="shared" si="219"/>
        <v>20000</v>
      </c>
      <c r="F410" s="21">
        <v>380</v>
      </c>
      <c r="G410" s="21"/>
      <c r="H410" s="21">
        <f>H403</f>
        <v>1000</v>
      </c>
      <c r="I410" s="21">
        <v>585</v>
      </c>
      <c r="J410" s="23" t="str">
        <f t="shared" ref="J410:J411" si="220">J403</f>
        <v>3500</v>
      </c>
      <c r="K410" s="21"/>
      <c r="L410" s="21"/>
      <c r="M410" s="21">
        <f>M403</f>
        <v>2</v>
      </c>
      <c r="N410" s="21"/>
    </row>
    <row r="411" spans="1:14" ht="14.25" customHeight="1" x14ac:dyDescent="0.15">
      <c r="A411" s="19">
        <v>1</v>
      </c>
      <c r="B411" s="19">
        <v>3.6</v>
      </c>
      <c r="C411" s="19">
        <v>1.2</v>
      </c>
      <c r="D411" s="19">
        <f>B411*C411</f>
        <v>4.32</v>
      </c>
      <c r="E411" s="19"/>
      <c r="F411" s="19"/>
      <c r="G411" s="19"/>
      <c r="H411" s="19">
        <f t="shared" ref="H411:I411" si="221">A411</f>
        <v>1</v>
      </c>
      <c r="I411" s="19">
        <f t="shared" si="221"/>
        <v>3.6</v>
      </c>
      <c r="J411" s="19">
        <f t="shared" si="220"/>
        <v>3</v>
      </c>
      <c r="K411" s="19"/>
      <c r="L411" s="19"/>
      <c r="M411" s="19"/>
      <c r="N411" s="19"/>
    </row>
    <row r="412" spans="1:14" ht="14.25" customHeight="1" x14ac:dyDescent="0.15">
      <c r="A412" s="19"/>
      <c r="B412" s="19"/>
      <c r="C412" s="19"/>
      <c r="D412" s="26" t="str">
        <f>D356</f>
        <v>7500</v>
      </c>
      <c r="E412" s="19">
        <f>E405</f>
        <v>3</v>
      </c>
      <c r="F412" s="19">
        <f>B411*2</f>
        <v>7.2</v>
      </c>
      <c r="G412" s="19"/>
      <c r="H412" s="19"/>
      <c r="I412" s="19"/>
      <c r="J412" s="19"/>
      <c r="K412" s="19"/>
      <c r="L412" s="19"/>
      <c r="M412" s="19"/>
      <c r="N412" s="19"/>
    </row>
    <row r="413" spans="1:14" ht="14.25" customHeight="1" x14ac:dyDescent="0.15">
      <c r="A413" s="19"/>
      <c r="B413" s="19"/>
      <c r="C413" s="19"/>
      <c r="D413" s="19">
        <f>D411*D412</f>
        <v>32400.000000000004</v>
      </c>
      <c r="E413" s="19">
        <f>E412*E410</f>
        <v>60000</v>
      </c>
      <c r="F413" s="19">
        <f>F410*F412</f>
        <v>2736</v>
      </c>
      <c r="G413" s="19"/>
      <c r="H413" s="19">
        <f t="shared" ref="H413:J413" si="222">H410*H411</f>
        <v>1000</v>
      </c>
      <c r="I413" s="19">
        <f t="shared" si="222"/>
        <v>2106</v>
      </c>
      <c r="J413" s="19">
        <f t="shared" si="222"/>
        <v>10500</v>
      </c>
      <c r="K413" s="19">
        <f>SUM(D413:J413)</f>
        <v>108742</v>
      </c>
      <c r="L413" s="19">
        <f>K413/A411</f>
        <v>108742</v>
      </c>
      <c r="M413" s="19">
        <f>L413*M410</f>
        <v>217484</v>
      </c>
      <c r="N413" s="19">
        <f>MROUND(M413,100)</f>
        <v>217500</v>
      </c>
    </row>
    <row r="414" spans="1:14" ht="14.25" customHeight="1" x14ac:dyDescent="0.1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</row>
    <row r="415" spans="1:14" ht="14.25" customHeight="1" x14ac:dyDescent="0.15">
      <c r="A415" s="109" t="str">
        <f>PRICELIST!I529</f>
        <v>MTFLW-LG-LVM-3600-1200</v>
      </c>
      <c r="B415" s="87"/>
      <c r="C415" s="87"/>
      <c r="D415" s="30"/>
      <c r="E415" s="30"/>
      <c r="F415" s="30"/>
      <c r="G415" s="30"/>
      <c r="H415" s="30"/>
      <c r="I415" s="30"/>
      <c r="J415" s="30"/>
      <c r="K415" s="30"/>
      <c r="L415" s="30"/>
      <c r="M415" s="30"/>
    </row>
    <row r="416" spans="1:14" ht="14.25" customHeight="1" x14ac:dyDescent="0.15">
      <c r="A416" s="19" t="s">
        <v>57</v>
      </c>
      <c r="B416" s="19" t="s">
        <v>59</v>
      </c>
      <c r="C416" s="19" t="s">
        <v>62</v>
      </c>
      <c r="D416" s="19" t="s">
        <v>64</v>
      </c>
      <c r="E416" s="19" t="str">
        <f t="shared" ref="E416:E417" si="223">E409</f>
        <v>ATHENA LEG</v>
      </c>
      <c r="F416" s="19" t="s">
        <v>67</v>
      </c>
      <c r="G416" s="19"/>
      <c r="H416" s="19" t="s">
        <v>71</v>
      </c>
      <c r="I416" s="19" t="s">
        <v>72</v>
      </c>
      <c r="J416" s="19" t="s">
        <v>73</v>
      </c>
      <c r="K416" s="19" t="s">
        <v>76</v>
      </c>
      <c r="L416" s="19" t="s">
        <v>78</v>
      </c>
      <c r="M416" s="19" t="s">
        <v>79</v>
      </c>
      <c r="N416" s="19" t="s">
        <v>81</v>
      </c>
    </row>
    <row r="417" spans="1:14" ht="14.25" customHeight="1" x14ac:dyDescent="0.15">
      <c r="A417" s="21"/>
      <c r="B417" s="21"/>
      <c r="C417" s="21"/>
      <c r="D417" s="21"/>
      <c r="E417" s="23" t="str">
        <f t="shared" si="223"/>
        <v>20000</v>
      </c>
      <c r="F417" s="21">
        <v>380</v>
      </c>
      <c r="G417" s="21"/>
      <c r="H417" s="21">
        <f>H410</f>
        <v>1000</v>
      </c>
      <c r="I417" s="21">
        <v>585</v>
      </c>
      <c r="J417" s="23" t="str">
        <f t="shared" ref="J417:J418" si="224">J410</f>
        <v>3500</v>
      </c>
      <c r="K417" s="21"/>
      <c r="L417" s="21"/>
      <c r="M417" s="21">
        <f>M410</f>
        <v>2</v>
      </c>
      <c r="N417" s="21"/>
    </row>
    <row r="418" spans="1:14" ht="14.25" customHeight="1" x14ac:dyDescent="0.15">
      <c r="A418" s="19">
        <v>1</v>
      </c>
      <c r="B418" s="19">
        <v>3.6</v>
      </c>
      <c r="C418" s="19">
        <v>1.2</v>
      </c>
      <c r="D418" s="19">
        <f>B418*C418</f>
        <v>4.32</v>
      </c>
      <c r="E418" s="19"/>
      <c r="F418" s="19"/>
      <c r="G418" s="19"/>
      <c r="H418" s="19">
        <f t="shared" ref="H418:I418" si="225">A418</f>
        <v>1</v>
      </c>
      <c r="I418" s="19">
        <f t="shared" si="225"/>
        <v>3.6</v>
      </c>
      <c r="J418" s="19">
        <f t="shared" si="224"/>
        <v>3</v>
      </c>
      <c r="K418" s="19"/>
      <c r="L418" s="19"/>
      <c r="M418" s="19"/>
      <c r="N418" s="19"/>
    </row>
    <row r="419" spans="1:14" ht="14.25" customHeight="1" x14ac:dyDescent="0.15">
      <c r="A419" s="19"/>
      <c r="B419" s="19"/>
      <c r="C419" s="19"/>
      <c r="D419" s="26" t="str">
        <f>D363</f>
        <v>9500</v>
      </c>
      <c r="E419" s="19">
        <f>E412</f>
        <v>3</v>
      </c>
      <c r="F419" s="19">
        <f>B418*2</f>
        <v>7.2</v>
      </c>
      <c r="G419" s="19"/>
      <c r="H419" s="19"/>
      <c r="I419" s="19"/>
      <c r="J419" s="19"/>
      <c r="K419" s="19"/>
      <c r="L419" s="19"/>
      <c r="M419" s="19"/>
      <c r="N419" s="19"/>
    </row>
    <row r="420" spans="1:14" ht="14.25" customHeight="1" x14ac:dyDescent="0.15">
      <c r="A420" s="19"/>
      <c r="B420" s="19"/>
      <c r="C420" s="19"/>
      <c r="D420" s="19">
        <f>D418*D419</f>
        <v>41040</v>
      </c>
      <c r="E420" s="19">
        <f>E419*E417</f>
        <v>60000</v>
      </c>
      <c r="F420" s="19">
        <f>F417*F419</f>
        <v>2736</v>
      </c>
      <c r="G420" s="19"/>
      <c r="H420" s="19">
        <f t="shared" ref="H420:J420" si="226">H417*H418</f>
        <v>1000</v>
      </c>
      <c r="I420" s="19">
        <f t="shared" si="226"/>
        <v>2106</v>
      </c>
      <c r="J420" s="19">
        <f t="shared" si="226"/>
        <v>10500</v>
      </c>
      <c r="K420" s="19">
        <f>SUM(D420:J420)</f>
        <v>117382</v>
      </c>
      <c r="L420" s="19">
        <f>K420/A418</f>
        <v>117382</v>
      </c>
      <c r="M420" s="19">
        <f>L420*M417</f>
        <v>234764</v>
      </c>
      <c r="N420" s="19">
        <f>MROUND(M420,100)</f>
        <v>234800</v>
      </c>
    </row>
    <row r="421" spans="1:14" ht="14.25" customHeight="1" x14ac:dyDescent="0.1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</row>
    <row r="422" spans="1:14" ht="14.25" customHeight="1" x14ac:dyDescent="0.15">
      <c r="A422" s="109" t="str">
        <f>PRICELIST!I530</f>
        <v>MTFLW-LG-LVP-3600-1200</v>
      </c>
      <c r="B422" s="87"/>
      <c r="C422" s="87"/>
      <c r="D422" s="30"/>
      <c r="E422" s="30"/>
      <c r="F422" s="30"/>
      <c r="G422" s="30"/>
      <c r="H422" s="30"/>
      <c r="I422" s="30"/>
      <c r="J422" s="30"/>
      <c r="K422" s="30"/>
      <c r="L422" s="30"/>
      <c r="M422" s="30"/>
    </row>
    <row r="423" spans="1:14" ht="14.25" customHeight="1" x14ac:dyDescent="0.15">
      <c r="A423" s="19" t="s">
        <v>57</v>
      </c>
      <c r="B423" s="19" t="s">
        <v>59</v>
      </c>
      <c r="C423" s="19" t="s">
        <v>62</v>
      </c>
      <c r="D423" s="19" t="s">
        <v>64</v>
      </c>
      <c r="E423" s="19" t="str">
        <f t="shared" ref="E423:E424" si="227">E416</f>
        <v>ATHENA LEG</v>
      </c>
      <c r="F423" s="19" t="s">
        <v>67</v>
      </c>
      <c r="G423" s="19"/>
      <c r="H423" s="19" t="s">
        <v>71</v>
      </c>
      <c r="I423" s="19" t="s">
        <v>72</v>
      </c>
      <c r="J423" s="19" t="s">
        <v>73</v>
      </c>
      <c r="K423" s="19" t="s">
        <v>76</v>
      </c>
      <c r="L423" s="19" t="s">
        <v>78</v>
      </c>
      <c r="M423" s="19" t="s">
        <v>79</v>
      </c>
      <c r="N423" s="19" t="s">
        <v>81</v>
      </c>
    </row>
    <row r="424" spans="1:14" ht="14.25" customHeight="1" x14ac:dyDescent="0.15">
      <c r="A424" s="21"/>
      <c r="B424" s="21"/>
      <c r="C424" s="21"/>
      <c r="D424" s="21"/>
      <c r="E424" s="23" t="str">
        <f t="shared" si="227"/>
        <v>20000</v>
      </c>
      <c r="F424" s="21">
        <v>380</v>
      </c>
      <c r="G424" s="21"/>
      <c r="H424" s="21">
        <f>H417</f>
        <v>1000</v>
      </c>
      <c r="I424" s="21">
        <v>585</v>
      </c>
      <c r="J424" s="23" t="str">
        <f t="shared" ref="J424:J425" si="228">J417</f>
        <v>3500</v>
      </c>
      <c r="K424" s="21"/>
      <c r="L424" s="21"/>
      <c r="M424" s="21">
        <f>M417</f>
        <v>2</v>
      </c>
      <c r="N424" s="21"/>
    </row>
    <row r="425" spans="1:14" ht="14.25" customHeight="1" x14ac:dyDescent="0.15">
      <c r="A425" s="19">
        <v>1</v>
      </c>
      <c r="B425" s="19">
        <v>3.6</v>
      </c>
      <c r="C425" s="19">
        <v>1.2</v>
      </c>
      <c r="D425" s="19">
        <f>B425*C425</f>
        <v>4.32</v>
      </c>
      <c r="E425" s="19"/>
      <c r="F425" s="19"/>
      <c r="G425" s="19"/>
      <c r="H425" s="19">
        <f t="shared" ref="H425:I425" si="229">A425</f>
        <v>1</v>
      </c>
      <c r="I425" s="19">
        <f t="shared" si="229"/>
        <v>3.6</v>
      </c>
      <c r="J425" s="19">
        <f t="shared" si="228"/>
        <v>3</v>
      </c>
      <c r="K425" s="19"/>
      <c r="L425" s="19"/>
      <c r="M425" s="19"/>
      <c r="N425" s="19"/>
    </row>
    <row r="426" spans="1:14" ht="14.25" customHeight="1" x14ac:dyDescent="0.15">
      <c r="A426" s="19"/>
      <c r="B426" s="19"/>
      <c r="C426" s="19"/>
      <c r="D426" s="26" t="str">
        <f>D370</f>
        <v>10500</v>
      </c>
      <c r="E426" s="19">
        <f>E419</f>
        <v>3</v>
      </c>
      <c r="F426" s="19">
        <f>B425*2</f>
        <v>7.2</v>
      </c>
      <c r="G426" s="19"/>
      <c r="H426" s="19"/>
      <c r="I426" s="19"/>
      <c r="J426" s="19"/>
      <c r="K426" s="19"/>
      <c r="L426" s="19"/>
      <c r="M426" s="19"/>
      <c r="N426" s="19"/>
    </row>
    <row r="427" spans="1:14" ht="14.25" customHeight="1" x14ac:dyDescent="0.15">
      <c r="A427" s="19"/>
      <c r="B427" s="19"/>
      <c r="C427" s="19"/>
      <c r="D427" s="19">
        <f>D425*D426</f>
        <v>45360</v>
      </c>
      <c r="E427" s="19">
        <f>E426*E424</f>
        <v>60000</v>
      </c>
      <c r="F427" s="19">
        <f>F424*F426</f>
        <v>2736</v>
      </c>
      <c r="G427" s="19"/>
      <c r="H427" s="19">
        <f t="shared" ref="H427:J427" si="230">H424*H425</f>
        <v>1000</v>
      </c>
      <c r="I427" s="19">
        <f t="shared" si="230"/>
        <v>2106</v>
      </c>
      <c r="J427" s="19">
        <f t="shared" si="230"/>
        <v>10500</v>
      </c>
      <c r="K427" s="19">
        <f>SUM(D427:J427)</f>
        <v>121702</v>
      </c>
      <c r="L427" s="19">
        <f>K427/A425</f>
        <v>121702</v>
      </c>
      <c r="M427" s="19">
        <f>L427*M424</f>
        <v>243404</v>
      </c>
      <c r="N427" s="19">
        <f>MROUND(M427,100)</f>
        <v>243400</v>
      </c>
    </row>
    <row r="428" spans="1:14" ht="14.25" customHeight="1" x14ac:dyDescent="0.1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</row>
    <row r="429" spans="1:14" ht="14.25" customHeight="1" x14ac:dyDescent="0.15">
      <c r="A429" s="109" t="str">
        <f>PRICELIST!I531</f>
        <v>MTFLW-LG-VNR-3600-1200</v>
      </c>
      <c r="B429" s="87"/>
      <c r="C429" s="87"/>
      <c r="D429" s="30"/>
      <c r="E429" s="30"/>
      <c r="F429" s="30"/>
      <c r="G429" s="30"/>
      <c r="H429" s="30"/>
      <c r="I429" s="30"/>
      <c r="J429" s="30"/>
      <c r="K429" s="30"/>
      <c r="L429" s="30"/>
      <c r="M429" s="30"/>
    </row>
    <row r="430" spans="1:14" ht="14.25" customHeight="1" x14ac:dyDescent="0.15">
      <c r="A430" s="19" t="s">
        <v>57</v>
      </c>
      <c r="B430" s="19" t="s">
        <v>59</v>
      </c>
      <c r="C430" s="19" t="s">
        <v>62</v>
      </c>
      <c r="D430" s="19" t="s">
        <v>64</v>
      </c>
      <c r="E430" s="19" t="str">
        <f t="shared" ref="E430:E431" si="231">E423</f>
        <v>ATHENA LEG</v>
      </c>
      <c r="F430" s="19" t="s">
        <v>67</v>
      </c>
      <c r="G430" s="19"/>
      <c r="H430" s="19" t="s">
        <v>71</v>
      </c>
      <c r="I430" s="19" t="s">
        <v>72</v>
      </c>
      <c r="J430" s="19" t="s">
        <v>73</v>
      </c>
      <c r="K430" s="19" t="s">
        <v>76</v>
      </c>
      <c r="L430" s="19" t="s">
        <v>78</v>
      </c>
      <c r="M430" s="19" t="s">
        <v>79</v>
      </c>
      <c r="N430" s="19" t="s">
        <v>81</v>
      </c>
    </row>
    <row r="431" spans="1:14" ht="14.25" customHeight="1" x14ac:dyDescent="0.15">
      <c r="A431" s="21"/>
      <c r="B431" s="21"/>
      <c r="C431" s="21"/>
      <c r="D431" s="21"/>
      <c r="E431" s="23" t="str">
        <f t="shared" si="231"/>
        <v>20000</v>
      </c>
      <c r="F431" s="21">
        <v>380</v>
      </c>
      <c r="G431" s="21"/>
      <c r="H431" s="21">
        <f>H424</f>
        <v>1000</v>
      </c>
      <c r="I431" s="21">
        <v>585</v>
      </c>
      <c r="J431" s="23" t="str">
        <f t="shared" ref="J431:J432" si="232">J424</f>
        <v>3500</v>
      </c>
      <c r="K431" s="21"/>
      <c r="L431" s="21"/>
      <c r="M431" s="21">
        <f>M424</f>
        <v>2</v>
      </c>
      <c r="N431" s="21"/>
    </row>
    <row r="432" spans="1:14" ht="14.25" customHeight="1" x14ac:dyDescent="0.15">
      <c r="A432" s="19">
        <v>1</v>
      </c>
      <c r="B432" s="19">
        <v>3.6</v>
      </c>
      <c r="C432" s="19">
        <v>1.2</v>
      </c>
      <c r="D432" s="19">
        <f>B432*C432</f>
        <v>4.32</v>
      </c>
      <c r="E432" s="19"/>
      <c r="F432" s="19"/>
      <c r="G432" s="19"/>
      <c r="H432" s="19">
        <f t="shared" ref="H432:I432" si="233">A432</f>
        <v>1</v>
      </c>
      <c r="I432" s="19">
        <f t="shared" si="233"/>
        <v>3.6</v>
      </c>
      <c r="J432" s="19">
        <f t="shared" si="232"/>
        <v>3</v>
      </c>
      <c r="K432" s="19"/>
      <c r="L432" s="19"/>
      <c r="M432" s="19"/>
      <c r="N432" s="19"/>
    </row>
    <row r="433" spans="1:14" ht="14.25" customHeight="1" x14ac:dyDescent="0.15">
      <c r="A433" s="19"/>
      <c r="B433" s="19"/>
      <c r="C433" s="19"/>
      <c r="D433" s="26" t="str">
        <f>D377</f>
        <v>30000</v>
      </c>
      <c r="E433" s="19">
        <f>E426</f>
        <v>3</v>
      </c>
      <c r="F433" s="19">
        <f>B432*2</f>
        <v>7.2</v>
      </c>
      <c r="G433" s="19"/>
      <c r="H433" s="19"/>
      <c r="I433" s="19"/>
      <c r="J433" s="19"/>
      <c r="K433" s="19"/>
      <c r="L433" s="19"/>
      <c r="M433" s="19"/>
      <c r="N433" s="19"/>
    </row>
    <row r="434" spans="1:14" ht="14.25" customHeight="1" x14ac:dyDescent="0.15">
      <c r="A434" s="19"/>
      <c r="B434" s="19"/>
      <c r="C434" s="19"/>
      <c r="D434" s="19">
        <f>D432*D433</f>
        <v>129600.00000000001</v>
      </c>
      <c r="E434" s="19">
        <f>E433*E431</f>
        <v>60000</v>
      </c>
      <c r="F434" s="19">
        <f>F431*F433</f>
        <v>2736</v>
      </c>
      <c r="G434" s="19"/>
      <c r="H434" s="19">
        <f t="shared" ref="H434:J434" si="234">H431*H432</f>
        <v>1000</v>
      </c>
      <c r="I434" s="19">
        <f t="shared" si="234"/>
        <v>2106</v>
      </c>
      <c r="J434" s="19">
        <f t="shared" si="234"/>
        <v>10500</v>
      </c>
      <c r="K434" s="19">
        <f>SUM(D434:J434)</f>
        <v>205942</v>
      </c>
      <c r="L434" s="19">
        <f>K434/A432</f>
        <v>205942</v>
      </c>
      <c r="M434" s="19">
        <f>L434*M431</f>
        <v>411884</v>
      </c>
      <c r="N434" s="19">
        <f>MROUND(M434,100)</f>
        <v>411900</v>
      </c>
    </row>
    <row r="435" spans="1:14" ht="14.25" customHeight="1" x14ac:dyDescent="0.1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</row>
    <row r="436" spans="1:14" ht="14.25" customHeight="1" x14ac:dyDescent="0.15">
      <c r="A436" s="109" t="str">
        <f>PRICELIST!I532</f>
        <v>MTFLW-LG-MBL-3600-1200</v>
      </c>
      <c r="B436" s="87"/>
      <c r="C436" s="87"/>
      <c r="D436" s="30"/>
      <c r="E436" s="30"/>
      <c r="F436" s="30"/>
      <c r="G436" s="30"/>
      <c r="H436" s="30"/>
      <c r="I436" s="30"/>
      <c r="J436" s="30"/>
      <c r="K436" s="30"/>
      <c r="L436" s="30"/>
      <c r="M436" s="30"/>
    </row>
    <row r="437" spans="1:14" ht="14.25" customHeight="1" x14ac:dyDescent="0.15">
      <c r="A437" s="19" t="s">
        <v>57</v>
      </c>
      <c r="B437" s="19" t="s">
        <v>59</v>
      </c>
      <c r="C437" s="19" t="s">
        <v>62</v>
      </c>
      <c r="D437" s="19" t="s">
        <v>64</v>
      </c>
      <c r="E437" s="19" t="str">
        <f t="shared" ref="E437:E438" si="235">E430</f>
        <v>ATHENA LEG</v>
      </c>
      <c r="F437" s="19" t="s">
        <v>67</v>
      </c>
      <c r="G437" s="19"/>
      <c r="H437" s="19" t="s">
        <v>71</v>
      </c>
      <c r="I437" s="19" t="s">
        <v>72</v>
      </c>
      <c r="J437" s="19" t="s">
        <v>73</v>
      </c>
      <c r="K437" s="19" t="s">
        <v>76</v>
      </c>
      <c r="L437" s="19" t="s">
        <v>78</v>
      </c>
      <c r="M437" s="19" t="s">
        <v>79</v>
      </c>
      <c r="N437" s="19" t="s">
        <v>81</v>
      </c>
    </row>
    <row r="438" spans="1:14" ht="14.25" customHeight="1" x14ac:dyDescent="0.15">
      <c r="A438" s="21"/>
      <c r="B438" s="21"/>
      <c r="C438" s="21"/>
      <c r="D438" s="21"/>
      <c r="E438" s="23" t="str">
        <f t="shared" si="235"/>
        <v>20000</v>
      </c>
      <c r="F438" s="21">
        <v>380</v>
      </c>
      <c r="G438" s="21"/>
      <c r="H438" s="21">
        <f>H431</f>
        <v>1000</v>
      </c>
      <c r="I438" s="21">
        <v>585</v>
      </c>
      <c r="J438" s="23" t="str">
        <f t="shared" ref="J438:J439" si="236">J431</f>
        <v>3500</v>
      </c>
      <c r="K438" s="21"/>
      <c r="L438" s="21"/>
      <c r="M438" s="21">
        <f>M431</f>
        <v>2</v>
      </c>
      <c r="N438" s="21"/>
    </row>
    <row r="439" spans="1:14" ht="14.25" customHeight="1" x14ac:dyDescent="0.15">
      <c r="A439" s="19">
        <v>1</v>
      </c>
      <c r="B439" s="19">
        <v>3.6</v>
      </c>
      <c r="C439" s="19">
        <v>1.2</v>
      </c>
      <c r="D439" s="19">
        <f>B439*C439</f>
        <v>4.32</v>
      </c>
      <c r="E439" s="19"/>
      <c r="F439" s="19"/>
      <c r="G439" s="19"/>
      <c r="H439" s="19">
        <f t="shared" ref="H439:I439" si="237">A439</f>
        <v>1</v>
      </c>
      <c r="I439" s="19">
        <f t="shared" si="237"/>
        <v>3.6</v>
      </c>
      <c r="J439" s="19">
        <f t="shared" si="236"/>
        <v>3</v>
      </c>
      <c r="K439" s="19"/>
      <c r="L439" s="19"/>
      <c r="M439" s="19"/>
      <c r="N439" s="19"/>
    </row>
    <row r="440" spans="1:14" ht="14.25" customHeight="1" x14ac:dyDescent="0.15">
      <c r="A440" s="19"/>
      <c r="B440" s="19"/>
      <c r="C440" s="19"/>
      <c r="D440" s="26">
        <f>D384</f>
        <v>37500</v>
      </c>
      <c r="E440" s="19">
        <f>E433</f>
        <v>3</v>
      </c>
      <c r="F440" s="19">
        <f>B439*2</f>
        <v>7.2</v>
      </c>
      <c r="G440" s="19"/>
      <c r="H440" s="19"/>
      <c r="I440" s="19"/>
      <c r="J440" s="19"/>
      <c r="K440" s="19"/>
      <c r="L440" s="19"/>
      <c r="M440" s="19"/>
      <c r="N440" s="19"/>
    </row>
    <row r="441" spans="1:14" ht="14.25" customHeight="1" x14ac:dyDescent="0.15">
      <c r="A441" s="19"/>
      <c r="B441" s="19"/>
      <c r="C441" s="19"/>
      <c r="D441" s="19">
        <f>D439*D440</f>
        <v>162000</v>
      </c>
      <c r="E441" s="19">
        <f>E440*E438</f>
        <v>60000</v>
      </c>
      <c r="F441" s="19">
        <f>F438*F440</f>
        <v>2736</v>
      </c>
      <c r="G441" s="19"/>
      <c r="H441" s="19">
        <f t="shared" ref="H441:J441" si="238">H438*H439</f>
        <v>1000</v>
      </c>
      <c r="I441" s="19">
        <f t="shared" si="238"/>
        <v>2106</v>
      </c>
      <c r="J441" s="19">
        <f t="shared" si="238"/>
        <v>10500</v>
      </c>
      <c r="K441" s="19">
        <f>SUM(D441:J441)</f>
        <v>238342</v>
      </c>
      <c r="L441" s="19">
        <f>K441/A439</f>
        <v>238342</v>
      </c>
      <c r="M441" s="19">
        <f>L441*M438</f>
        <v>476684</v>
      </c>
      <c r="N441" s="19">
        <f>MROUND(M441,100)</f>
        <v>476700</v>
      </c>
    </row>
    <row r="442" spans="1:14" ht="14.25" customHeight="1" x14ac:dyDescent="0.1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</row>
    <row r="443" spans="1:14" ht="14.25" customHeight="1" x14ac:dyDescent="0.15">
      <c r="A443" s="109" t="str">
        <f>PRICELIST!I533</f>
        <v>MTFLW-LG-GL-3600-1200</v>
      </c>
      <c r="B443" s="87"/>
      <c r="C443" s="87"/>
      <c r="D443" s="30"/>
      <c r="E443" s="30"/>
      <c r="F443" s="30"/>
      <c r="G443" s="30"/>
      <c r="H443" s="30"/>
      <c r="I443" s="30"/>
      <c r="J443" s="30"/>
      <c r="K443" s="30"/>
      <c r="L443" s="30"/>
      <c r="M443" s="30"/>
    </row>
    <row r="444" spans="1:14" ht="14.25" customHeight="1" x14ac:dyDescent="0.15">
      <c r="A444" s="19" t="s">
        <v>57</v>
      </c>
      <c r="B444" s="19" t="s">
        <v>59</v>
      </c>
      <c r="C444" s="19" t="s">
        <v>62</v>
      </c>
      <c r="D444" s="19" t="s">
        <v>64</v>
      </c>
      <c r="E444" s="19" t="str">
        <f t="shared" ref="E444:E445" si="239">E437</f>
        <v>ATHENA LEG</v>
      </c>
      <c r="F444" s="19" t="s">
        <v>67</v>
      </c>
      <c r="G444" s="19"/>
      <c r="H444" s="19" t="s">
        <v>71</v>
      </c>
      <c r="I444" s="19" t="s">
        <v>72</v>
      </c>
      <c r="J444" s="19" t="s">
        <v>73</v>
      </c>
      <c r="K444" s="19" t="s">
        <v>76</v>
      </c>
      <c r="L444" s="19" t="s">
        <v>78</v>
      </c>
      <c r="M444" s="19" t="s">
        <v>79</v>
      </c>
      <c r="N444" s="19" t="s">
        <v>81</v>
      </c>
    </row>
    <row r="445" spans="1:14" ht="14.25" customHeight="1" x14ac:dyDescent="0.15">
      <c r="A445" s="21"/>
      <c r="B445" s="21"/>
      <c r="C445" s="21"/>
      <c r="D445" s="21"/>
      <c r="E445" s="23" t="str">
        <f t="shared" si="239"/>
        <v>20000</v>
      </c>
      <c r="F445" s="21">
        <v>380</v>
      </c>
      <c r="G445" s="21"/>
      <c r="H445" s="21">
        <f>H438</f>
        <v>1000</v>
      </c>
      <c r="I445" s="21">
        <v>585</v>
      </c>
      <c r="J445" s="23" t="str">
        <f t="shared" ref="J445:J446" si="240">J438</f>
        <v>3500</v>
      </c>
      <c r="K445" s="21"/>
      <c r="L445" s="21"/>
      <c r="M445" s="21">
        <f>M438</f>
        <v>2</v>
      </c>
      <c r="N445" s="21"/>
    </row>
    <row r="446" spans="1:14" ht="14.25" customHeight="1" x14ac:dyDescent="0.15">
      <c r="A446" s="19">
        <v>1</v>
      </c>
      <c r="B446" s="19">
        <v>3.6</v>
      </c>
      <c r="C446" s="19">
        <v>1.2</v>
      </c>
      <c r="D446" s="19">
        <f>B446*C446</f>
        <v>4.32</v>
      </c>
      <c r="E446" s="19"/>
      <c r="F446" s="19"/>
      <c r="G446" s="19"/>
      <c r="H446" s="19">
        <f t="shared" ref="H446:I446" si="241">A446</f>
        <v>1</v>
      </c>
      <c r="I446" s="19">
        <f t="shared" si="241"/>
        <v>3.6</v>
      </c>
      <c r="J446" s="19">
        <f t="shared" si="240"/>
        <v>3</v>
      </c>
      <c r="K446" s="19"/>
      <c r="L446" s="19"/>
      <c r="M446" s="19"/>
      <c r="N446" s="19"/>
    </row>
    <row r="447" spans="1:14" ht="14.25" customHeight="1" x14ac:dyDescent="0.15">
      <c r="A447" s="19"/>
      <c r="B447" s="19"/>
      <c r="C447" s="19"/>
      <c r="D447" s="26" t="str">
        <f>D391</f>
        <v>7500</v>
      </c>
      <c r="E447" s="19">
        <f>E440</f>
        <v>3</v>
      </c>
      <c r="F447" s="19">
        <f>B446*2</f>
        <v>7.2</v>
      </c>
      <c r="G447" s="19"/>
      <c r="H447" s="19"/>
      <c r="I447" s="19"/>
      <c r="J447" s="19"/>
      <c r="K447" s="19"/>
      <c r="L447" s="19"/>
      <c r="M447" s="19"/>
      <c r="N447" s="19"/>
    </row>
    <row r="448" spans="1:14" ht="14.25" customHeight="1" x14ac:dyDescent="0.15">
      <c r="A448" s="19"/>
      <c r="B448" s="19"/>
      <c r="C448" s="19"/>
      <c r="D448" s="19">
        <f>D446*D447</f>
        <v>32400.000000000004</v>
      </c>
      <c r="E448" s="19">
        <f>E447*E445</f>
        <v>60000</v>
      </c>
      <c r="F448" s="19">
        <f>F445*F447</f>
        <v>2736</v>
      </c>
      <c r="G448" s="19"/>
      <c r="H448" s="19">
        <f t="shared" ref="H448:J448" si="242">H445*H446</f>
        <v>1000</v>
      </c>
      <c r="I448" s="19">
        <f t="shared" si="242"/>
        <v>2106</v>
      </c>
      <c r="J448" s="19">
        <f t="shared" si="242"/>
        <v>10500</v>
      </c>
      <c r="K448" s="19">
        <f>SUM(D448:J448)</f>
        <v>108742</v>
      </c>
      <c r="L448" s="19">
        <f>K448/A446</f>
        <v>108742</v>
      </c>
      <c r="M448" s="19">
        <f>L448*M445</f>
        <v>217484</v>
      </c>
      <c r="N448" s="19">
        <f>MROUND(M448,100)</f>
        <v>217500</v>
      </c>
    </row>
    <row r="449" spans="1:14" ht="14.25" customHeight="1" x14ac:dyDescent="0.1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 spans="1:14" ht="14.25" customHeight="1" x14ac:dyDescent="0.15">
      <c r="A450" s="109" t="str">
        <f>PRICELIST!I534</f>
        <v>MTFLW-XL-PB-4800-1200</v>
      </c>
      <c r="B450" s="87"/>
      <c r="C450" s="87"/>
      <c r="D450" s="30"/>
      <c r="E450" s="30"/>
      <c r="F450" s="30"/>
      <c r="G450" s="30"/>
      <c r="H450" s="30"/>
      <c r="I450" s="30"/>
      <c r="J450" s="30"/>
      <c r="K450" s="30"/>
      <c r="L450" s="30"/>
      <c r="M450" s="30"/>
    </row>
    <row r="451" spans="1:14" ht="14.25" customHeight="1" x14ac:dyDescent="0.15">
      <c r="A451" s="19" t="s">
        <v>57</v>
      </c>
      <c r="B451" s="19" t="s">
        <v>59</v>
      </c>
      <c r="C451" s="19" t="s">
        <v>62</v>
      </c>
      <c r="D451" s="19" t="s">
        <v>64</v>
      </c>
      <c r="E451" s="19" t="str">
        <f t="shared" ref="E451:E452" si="243">E444</f>
        <v>ATHENA LEG</v>
      </c>
      <c r="F451" s="19" t="s">
        <v>67</v>
      </c>
      <c r="G451" s="19"/>
      <c r="H451" s="19" t="s">
        <v>71</v>
      </c>
      <c r="I451" s="19" t="s">
        <v>72</v>
      </c>
      <c r="J451" s="19" t="s">
        <v>73</v>
      </c>
      <c r="K451" s="19" t="s">
        <v>76</v>
      </c>
      <c r="L451" s="19" t="s">
        <v>78</v>
      </c>
      <c r="M451" s="19" t="s">
        <v>79</v>
      </c>
      <c r="N451" s="19" t="s">
        <v>81</v>
      </c>
    </row>
    <row r="452" spans="1:14" ht="14.25" customHeight="1" x14ac:dyDescent="0.15">
      <c r="A452" s="21"/>
      <c r="B452" s="21"/>
      <c r="C452" s="21"/>
      <c r="D452" s="21"/>
      <c r="E452" s="23" t="str">
        <f t="shared" si="243"/>
        <v>20000</v>
      </c>
      <c r="F452" s="21">
        <v>380</v>
      </c>
      <c r="G452" s="21"/>
      <c r="H452" s="21">
        <f>H445</f>
        <v>1000</v>
      </c>
      <c r="I452" s="21">
        <v>585</v>
      </c>
      <c r="J452" s="23" t="str">
        <f t="shared" ref="J452:J453" si="244">J445</f>
        <v>3500</v>
      </c>
      <c r="K452" s="21"/>
      <c r="L452" s="21"/>
      <c r="M452" s="21">
        <f>M445</f>
        <v>2</v>
      </c>
      <c r="N452" s="21"/>
    </row>
    <row r="453" spans="1:14" ht="14.25" customHeight="1" x14ac:dyDescent="0.15">
      <c r="A453" s="19">
        <v>1</v>
      </c>
      <c r="B453" s="19">
        <v>4.8</v>
      </c>
      <c r="C453" s="19">
        <v>1.2</v>
      </c>
      <c r="D453" s="19">
        <f>B453*C453</f>
        <v>5.76</v>
      </c>
      <c r="E453" s="19"/>
      <c r="F453" s="19"/>
      <c r="G453" s="19"/>
      <c r="H453" s="19">
        <f t="shared" ref="H453:I453" si="245">A453</f>
        <v>1</v>
      </c>
      <c r="I453" s="19">
        <f t="shared" si="245"/>
        <v>4.8</v>
      </c>
      <c r="J453" s="19">
        <f t="shared" si="244"/>
        <v>3</v>
      </c>
      <c r="K453" s="19"/>
      <c r="L453" s="19"/>
      <c r="M453" s="19"/>
      <c r="N453" s="19"/>
    </row>
    <row r="454" spans="1:14" ht="14.25" customHeight="1" x14ac:dyDescent="0.15">
      <c r="A454" s="19"/>
      <c r="B454" s="19"/>
      <c r="C454" s="19"/>
      <c r="D454" s="26" t="str">
        <f>D398</f>
        <v>2200</v>
      </c>
      <c r="E454" s="19">
        <v>3</v>
      </c>
      <c r="F454" s="19">
        <f>B453*2</f>
        <v>9.6</v>
      </c>
      <c r="G454" s="19"/>
      <c r="H454" s="19"/>
      <c r="I454" s="19"/>
      <c r="J454" s="19"/>
      <c r="K454" s="19"/>
      <c r="L454" s="19"/>
      <c r="M454" s="19"/>
      <c r="N454" s="19"/>
    </row>
    <row r="455" spans="1:14" ht="14.25" customHeight="1" x14ac:dyDescent="0.15">
      <c r="A455" s="19"/>
      <c r="B455" s="19"/>
      <c r="C455" s="19"/>
      <c r="D455" s="19">
        <f>D453*D454</f>
        <v>12672</v>
      </c>
      <c r="E455" s="19">
        <f>E454*E452</f>
        <v>60000</v>
      </c>
      <c r="F455" s="19">
        <f>F452*F454</f>
        <v>3648</v>
      </c>
      <c r="G455" s="19"/>
      <c r="H455" s="19">
        <f t="shared" ref="H455:J455" si="246">H452*H453</f>
        <v>1000</v>
      </c>
      <c r="I455" s="19">
        <f t="shared" si="246"/>
        <v>2808</v>
      </c>
      <c r="J455" s="19">
        <f t="shared" si="246"/>
        <v>10500</v>
      </c>
      <c r="K455" s="19">
        <f>SUM(D455:J455)</f>
        <v>90628</v>
      </c>
      <c r="L455" s="19">
        <f>K455/A453</f>
        <v>90628</v>
      </c>
      <c r="M455" s="19">
        <f>L455*M452</f>
        <v>181256</v>
      </c>
      <c r="N455" s="19">
        <f>MROUND(M455,100)</f>
        <v>181300</v>
      </c>
    </row>
    <row r="456" spans="1:14" ht="14.25" customHeight="1" x14ac:dyDescent="0.15">
      <c r="A456" s="111"/>
      <c r="B456" s="87"/>
      <c r="C456" s="87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spans="1:14" ht="14.25" customHeight="1" x14ac:dyDescent="0.15">
      <c r="A457" s="109" t="str">
        <f>PRICELIST!I535</f>
        <v>MTFLW-XL-PLM-4800-1200</v>
      </c>
      <c r="B457" s="87"/>
      <c r="C457" s="87"/>
      <c r="D457" s="30"/>
      <c r="E457" s="30"/>
      <c r="F457" s="30"/>
      <c r="G457" s="30"/>
      <c r="H457" s="30"/>
      <c r="I457" s="30"/>
      <c r="J457" s="30"/>
      <c r="K457" s="30"/>
      <c r="L457" s="30"/>
      <c r="M457" s="30"/>
    </row>
    <row r="458" spans="1:14" ht="14.25" customHeight="1" x14ac:dyDescent="0.15">
      <c r="A458" s="19" t="s">
        <v>57</v>
      </c>
      <c r="B458" s="19" t="s">
        <v>59</v>
      </c>
      <c r="C458" s="19" t="s">
        <v>62</v>
      </c>
      <c r="D458" s="19" t="s">
        <v>64</v>
      </c>
      <c r="E458" s="19" t="str">
        <f t="shared" ref="E458:E459" si="247">E451</f>
        <v>ATHENA LEG</v>
      </c>
      <c r="F458" s="19" t="s">
        <v>67</v>
      </c>
      <c r="G458" s="19"/>
      <c r="H458" s="19" t="s">
        <v>71</v>
      </c>
      <c r="I458" s="19" t="s">
        <v>72</v>
      </c>
      <c r="J458" s="19" t="s">
        <v>73</v>
      </c>
      <c r="K458" s="19" t="s">
        <v>76</v>
      </c>
      <c r="L458" s="19" t="s">
        <v>78</v>
      </c>
      <c r="M458" s="19" t="s">
        <v>79</v>
      </c>
      <c r="N458" s="19" t="s">
        <v>81</v>
      </c>
    </row>
    <row r="459" spans="1:14" ht="14.25" customHeight="1" x14ac:dyDescent="0.15">
      <c r="A459" s="21"/>
      <c r="B459" s="21"/>
      <c r="C459" s="21"/>
      <c r="D459" s="21"/>
      <c r="E459" s="23" t="str">
        <f t="shared" si="247"/>
        <v>20000</v>
      </c>
      <c r="F459" s="21">
        <v>380</v>
      </c>
      <c r="G459" s="21"/>
      <c r="H459" s="21">
        <f>H452</f>
        <v>1000</v>
      </c>
      <c r="I459" s="21">
        <v>585</v>
      </c>
      <c r="J459" s="23" t="str">
        <f>J452</f>
        <v>3500</v>
      </c>
      <c r="K459" s="21"/>
      <c r="L459" s="21"/>
      <c r="M459" s="21">
        <f>M452</f>
        <v>2</v>
      </c>
      <c r="N459" s="21"/>
    </row>
    <row r="460" spans="1:14" ht="14.25" customHeight="1" x14ac:dyDescent="0.15">
      <c r="A460" s="19">
        <v>1</v>
      </c>
      <c r="B460" s="19">
        <v>4.8</v>
      </c>
      <c r="C460" s="19">
        <v>1.2</v>
      </c>
      <c r="D460" s="19">
        <f>B460*C460</f>
        <v>5.76</v>
      </c>
      <c r="E460" s="19"/>
      <c r="F460" s="19"/>
      <c r="G460" s="19"/>
      <c r="H460" s="19">
        <f t="shared" ref="H460:I460" si="248">A460</f>
        <v>1</v>
      </c>
      <c r="I460" s="19">
        <f t="shared" si="248"/>
        <v>4.8</v>
      </c>
      <c r="J460" s="19">
        <v>4</v>
      </c>
      <c r="K460" s="19"/>
      <c r="L460" s="19"/>
      <c r="M460" s="19"/>
      <c r="N460" s="19"/>
    </row>
    <row r="461" spans="1:14" ht="14.25" customHeight="1" x14ac:dyDescent="0.15">
      <c r="A461" s="19"/>
      <c r="B461" s="19"/>
      <c r="C461" s="19"/>
      <c r="D461" s="26" t="str">
        <f>D405</f>
        <v>3000</v>
      </c>
      <c r="E461" s="19">
        <f>E454</f>
        <v>3</v>
      </c>
      <c r="F461" s="19">
        <f>B460*2</f>
        <v>9.6</v>
      </c>
      <c r="G461" s="19"/>
      <c r="H461" s="19"/>
      <c r="I461" s="19"/>
      <c r="J461" s="19"/>
      <c r="K461" s="19"/>
      <c r="L461" s="19"/>
      <c r="M461" s="19"/>
      <c r="N461" s="19"/>
    </row>
    <row r="462" spans="1:14" ht="14.25" customHeight="1" x14ac:dyDescent="0.15">
      <c r="A462" s="19"/>
      <c r="B462" s="19"/>
      <c r="C462" s="19"/>
      <c r="D462" s="19">
        <f>D460*D461</f>
        <v>17280</v>
      </c>
      <c r="E462" s="19">
        <f>E461*E459</f>
        <v>60000</v>
      </c>
      <c r="F462" s="19">
        <f>F459*F461</f>
        <v>3648</v>
      </c>
      <c r="G462" s="19"/>
      <c r="H462" s="19">
        <f t="shared" ref="H462:J462" si="249">H459*H460</f>
        <v>1000</v>
      </c>
      <c r="I462" s="19">
        <f t="shared" si="249"/>
        <v>2808</v>
      </c>
      <c r="J462" s="19">
        <f t="shared" si="249"/>
        <v>14000</v>
      </c>
      <c r="K462" s="19">
        <f>SUM(D462:J462)</f>
        <v>98736</v>
      </c>
      <c r="L462" s="19">
        <f>K462/A460</f>
        <v>98736</v>
      </c>
      <c r="M462" s="19">
        <f>L462*M459</f>
        <v>197472</v>
      </c>
      <c r="N462" s="19">
        <f>MROUND(M462,100)</f>
        <v>197500</v>
      </c>
    </row>
    <row r="463" spans="1:14" ht="14.25" customHeight="1" x14ac:dyDescent="0.1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 spans="1:14" ht="14.25" customHeight="1" x14ac:dyDescent="0.15">
      <c r="A464" s="109" t="str">
        <f>PRICELIST!I536</f>
        <v>MTFLW-XL-PoLM-4800-1200</v>
      </c>
      <c r="B464" s="87"/>
      <c r="C464" s="87"/>
      <c r="D464" s="30"/>
      <c r="E464" s="30"/>
      <c r="F464" s="30"/>
      <c r="G464" s="30"/>
      <c r="H464" s="30"/>
      <c r="I464" s="30"/>
      <c r="J464" s="30"/>
      <c r="K464" s="30"/>
      <c r="L464" s="30"/>
      <c r="M464" s="30"/>
    </row>
    <row r="465" spans="1:14" ht="14.25" customHeight="1" x14ac:dyDescent="0.15">
      <c r="A465" s="19" t="s">
        <v>57</v>
      </c>
      <c r="B465" s="19" t="s">
        <v>59</v>
      </c>
      <c r="C465" s="19" t="s">
        <v>62</v>
      </c>
      <c r="D465" s="19" t="s">
        <v>64</v>
      </c>
      <c r="E465" s="19" t="str">
        <f t="shared" ref="E465:E466" si="250">E458</f>
        <v>ATHENA LEG</v>
      </c>
      <c r="F465" s="19" t="s">
        <v>67</v>
      </c>
      <c r="G465" s="19"/>
      <c r="H465" s="19" t="s">
        <v>71</v>
      </c>
      <c r="I465" s="19" t="s">
        <v>72</v>
      </c>
      <c r="J465" s="19" t="s">
        <v>73</v>
      </c>
      <c r="K465" s="19" t="s">
        <v>76</v>
      </c>
      <c r="L465" s="19" t="s">
        <v>78</v>
      </c>
      <c r="M465" s="19" t="s">
        <v>79</v>
      </c>
      <c r="N465" s="19" t="s">
        <v>81</v>
      </c>
    </row>
    <row r="466" spans="1:14" ht="14.25" customHeight="1" x14ac:dyDescent="0.15">
      <c r="A466" s="21"/>
      <c r="B466" s="21"/>
      <c r="C466" s="21"/>
      <c r="D466" s="21"/>
      <c r="E466" s="23" t="str">
        <f t="shared" si="250"/>
        <v>20000</v>
      </c>
      <c r="F466" s="21">
        <v>380</v>
      </c>
      <c r="G466" s="21"/>
      <c r="H466" s="21">
        <f>H459</f>
        <v>1000</v>
      </c>
      <c r="I466" s="21">
        <v>585</v>
      </c>
      <c r="J466" s="23" t="str">
        <f t="shared" ref="J466:J467" si="251">J459</f>
        <v>3500</v>
      </c>
      <c r="K466" s="21"/>
      <c r="L466" s="21"/>
      <c r="M466" s="21">
        <f>M459</f>
        <v>2</v>
      </c>
      <c r="N466" s="21"/>
    </row>
    <row r="467" spans="1:14" ht="14.25" customHeight="1" x14ac:dyDescent="0.15">
      <c r="A467" s="19">
        <v>1</v>
      </c>
      <c r="B467" s="19">
        <v>4.8</v>
      </c>
      <c r="C467" s="19">
        <v>1.2</v>
      </c>
      <c r="D467" s="19">
        <f>B467*C467</f>
        <v>5.76</v>
      </c>
      <c r="E467" s="19"/>
      <c r="F467" s="19"/>
      <c r="G467" s="19"/>
      <c r="H467" s="19">
        <f t="shared" ref="H467:I467" si="252">A467</f>
        <v>1</v>
      </c>
      <c r="I467" s="19">
        <f t="shared" si="252"/>
        <v>4.8</v>
      </c>
      <c r="J467" s="19">
        <f t="shared" si="251"/>
        <v>4</v>
      </c>
      <c r="K467" s="19"/>
      <c r="L467" s="19"/>
      <c r="M467" s="19"/>
      <c r="N467" s="19"/>
    </row>
    <row r="468" spans="1:14" ht="14.25" customHeight="1" x14ac:dyDescent="0.15">
      <c r="A468" s="19"/>
      <c r="B468" s="19"/>
      <c r="C468" s="19"/>
      <c r="D468" s="26" t="str">
        <f>D412</f>
        <v>7500</v>
      </c>
      <c r="E468" s="19">
        <f>E461</f>
        <v>3</v>
      </c>
      <c r="F468" s="19">
        <f>B467*2</f>
        <v>9.6</v>
      </c>
      <c r="G468" s="19"/>
      <c r="H468" s="19"/>
      <c r="I468" s="19"/>
      <c r="J468" s="19"/>
      <c r="K468" s="19"/>
      <c r="L468" s="19"/>
      <c r="M468" s="19"/>
      <c r="N468" s="19"/>
    </row>
    <row r="469" spans="1:14" ht="14.25" customHeight="1" x14ac:dyDescent="0.15">
      <c r="A469" s="19"/>
      <c r="B469" s="19"/>
      <c r="C469" s="19"/>
      <c r="D469" s="19">
        <f>D467*D468</f>
        <v>43200</v>
      </c>
      <c r="E469" s="19">
        <f>E468*E466</f>
        <v>60000</v>
      </c>
      <c r="F469" s="19">
        <f>F466*F468</f>
        <v>3648</v>
      </c>
      <c r="G469" s="19"/>
      <c r="H469" s="19">
        <f t="shared" ref="H469:J469" si="253">H466*H467</f>
        <v>1000</v>
      </c>
      <c r="I469" s="19">
        <f t="shared" si="253"/>
        <v>2808</v>
      </c>
      <c r="J469" s="19">
        <f t="shared" si="253"/>
        <v>14000</v>
      </c>
      <c r="K469" s="19">
        <f>SUM(D469:J469)</f>
        <v>124656</v>
      </c>
      <c r="L469" s="19">
        <f>K469/A467</f>
        <v>124656</v>
      </c>
      <c r="M469" s="19">
        <f>L469*M466</f>
        <v>249312</v>
      </c>
      <c r="N469" s="19">
        <f>MROUND(M469,100)</f>
        <v>249300</v>
      </c>
    </row>
    <row r="470" spans="1:14" ht="14.25" customHeight="1" x14ac:dyDescent="0.1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</row>
    <row r="471" spans="1:14" ht="14.25" customHeight="1" x14ac:dyDescent="0.15">
      <c r="A471" s="109" t="str">
        <f>PRICELIST!I537</f>
        <v>MTFLW-XL-LVM-4800-1200</v>
      </c>
      <c r="B471" s="87"/>
      <c r="C471" s="87"/>
      <c r="D471" s="30"/>
      <c r="E471" s="30"/>
      <c r="F471" s="30"/>
      <c r="G471" s="30"/>
      <c r="H471" s="30"/>
      <c r="I471" s="30"/>
      <c r="J471" s="30"/>
      <c r="K471" s="30"/>
      <c r="L471" s="30"/>
      <c r="M471" s="30"/>
    </row>
    <row r="472" spans="1:14" ht="14.25" customHeight="1" x14ac:dyDescent="0.15">
      <c r="A472" s="19" t="s">
        <v>57</v>
      </c>
      <c r="B472" s="19" t="s">
        <v>59</v>
      </c>
      <c r="C472" s="19" t="s">
        <v>62</v>
      </c>
      <c r="D472" s="19" t="s">
        <v>64</v>
      </c>
      <c r="E472" s="19" t="str">
        <f t="shared" ref="E472:E473" si="254">E465</f>
        <v>ATHENA LEG</v>
      </c>
      <c r="F472" s="19" t="s">
        <v>67</v>
      </c>
      <c r="G472" s="19"/>
      <c r="H472" s="19" t="s">
        <v>71</v>
      </c>
      <c r="I472" s="19" t="s">
        <v>72</v>
      </c>
      <c r="J472" s="19" t="s">
        <v>73</v>
      </c>
      <c r="K472" s="19" t="s">
        <v>76</v>
      </c>
      <c r="L472" s="19" t="s">
        <v>78</v>
      </c>
      <c r="M472" s="19" t="s">
        <v>79</v>
      </c>
      <c r="N472" s="19" t="s">
        <v>81</v>
      </c>
    </row>
    <row r="473" spans="1:14" ht="14.25" customHeight="1" x14ac:dyDescent="0.15">
      <c r="A473" s="21"/>
      <c r="B473" s="21"/>
      <c r="C473" s="21"/>
      <c r="D473" s="21"/>
      <c r="E473" s="23" t="str">
        <f t="shared" si="254"/>
        <v>20000</v>
      </c>
      <c r="F473" s="21">
        <v>380</v>
      </c>
      <c r="G473" s="21"/>
      <c r="H473" s="21">
        <f>H466</f>
        <v>1000</v>
      </c>
      <c r="I473" s="21">
        <v>585</v>
      </c>
      <c r="J473" s="23" t="str">
        <f t="shared" ref="J473:J474" si="255">J466</f>
        <v>3500</v>
      </c>
      <c r="K473" s="21"/>
      <c r="L473" s="21"/>
      <c r="M473" s="21">
        <f>M466</f>
        <v>2</v>
      </c>
      <c r="N473" s="21"/>
    </row>
    <row r="474" spans="1:14" ht="14.25" customHeight="1" x14ac:dyDescent="0.15">
      <c r="A474" s="19">
        <v>1</v>
      </c>
      <c r="B474" s="19">
        <v>4.8</v>
      </c>
      <c r="C474" s="19">
        <v>1.2</v>
      </c>
      <c r="D474" s="19">
        <f>B474*C474</f>
        <v>5.76</v>
      </c>
      <c r="E474" s="19"/>
      <c r="F474" s="19"/>
      <c r="G474" s="19"/>
      <c r="H474" s="19">
        <f t="shared" ref="H474:I474" si="256">A474</f>
        <v>1</v>
      </c>
      <c r="I474" s="19">
        <f t="shared" si="256"/>
        <v>4.8</v>
      </c>
      <c r="J474" s="19">
        <f t="shared" si="255"/>
        <v>4</v>
      </c>
      <c r="K474" s="19"/>
      <c r="L474" s="19"/>
      <c r="M474" s="19"/>
      <c r="N474" s="19"/>
    </row>
    <row r="475" spans="1:14" ht="14.25" customHeight="1" x14ac:dyDescent="0.15">
      <c r="A475" s="19"/>
      <c r="B475" s="19"/>
      <c r="C475" s="19"/>
      <c r="D475" s="26" t="str">
        <f>D419</f>
        <v>9500</v>
      </c>
      <c r="E475" s="19">
        <f>E468</f>
        <v>3</v>
      </c>
      <c r="F475" s="19">
        <f>B474*2</f>
        <v>9.6</v>
      </c>
      <c r="G475" s="19"/>
      <c r="H475" s="19"/>
      <c r="I475" s="19"/>
      <c r="J475" s="19"/>
      <c r="K475" s="19"/>
      <c r="L475" s="19"/>
      <c r="M475" s="19"/>
      <c r="N475" s="19"/>
    </row>
    <row r="476" spans="1:14" ht="14.25" customHeight="1" x14ac:dyDescent="0.15">
      <c r="A476" s="19"/>
      <c r="B476" s="19"/>
      <c r="C476" s="19"/>
      <c r="D476" s="19">
        <f>D474*D475</f>
        <v>54720</v>
      </c>
      <c r="E476" s="19">
        <f>E475*E473</f>
        <v>60000</v>
      </c>
      <c r="F476" s="19">
        <f>F473*F475</f>
        <v>3648</v>
      </c>
      <c r="G476" s="19"/>
      <c r="H476" s="19">
        <f t="shared" ref="H476:J476" si="257">H473*H474</f>
        <v>1000</v>
      </c>
      <c r="I476" s="19">
        <f t="shared" si="257"/>
        <v>2808</v>
      </c>
      <c r="J476" s="19">
        <f t="shared" si="257"/>
        <v>14000</v>
      </c>
      <c r="K476" s="19">
        <f>SUM(D476:J476)</f>
        <v>136176</v>
      </c>
      <c r="L476" s="19">
        <f>K476/A474</f>
        <v>136176</v>
      </c>
      <c r="M476" s="19">
        <f>L476*M473</f>
        <v>272352</v>
      </c>
      <c r="N476" s="19">
        <f>MROUND(M476,100)</f>
        <v>272400</v>
      </c>
    </row>
    <row r="477" spans="1:14" ht="14.25" customHeight="1" x14ac:dyDescent="0.1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 spans="1:14" ht="14.25" customHeight="1" x14ac:dyDescent="0.15">
      <c r="A478" s="109" t="str">
        <f>PRICELIST!I538</f>
        <v>MTFLW-XL-LVP-4800-1200</v>
      </c>
      <c r="B478" s="87"/>
      <c r="C478" s="87"/>
      <c r="D478" s="30"/>
      <c r="E478" s="30"/>
      <c r="F478" s="30"/>
      <c r="G478" s="30"/>
      <c r="H478" s="30"/>
      <c r="I478" s="30"/>
      <c r="J478" s="30"/>
      <c r="K478" s="30"/>
      <c r="L478" s="30"/>
      <c r="M478" s="30"/>
    </row>
    <row r="479" spans="1:14" ht="14.25" customHeight="1" x14ac:dyDescent="0.15">
      <c r="A479" s="19" t="s">
        <v>57</v>
      </c>
      <c r="B479" s="19" t="s">
        <v>59</v>
      </c>
      <c r="C479" s="19" t="s">
        <v>62</v>
      </c>
      <c r="D479" s="19" t="s">
        <v>64</v>
      </c>
      <c r="E479" s="19" t="str">
        <f t="shared" ref="E479:E480" si="258">E472</f>
        <v>ATHENA LEG</v>
      </c>
      <c r="F479" s="19" t="s">
        <v>67</v>
      </c>
      <c r="G479" s="19"/>
      <c r="H479" s="19" t="s">
        <v>71</v>
      </c>
      <c r="I479" s="19" t="s">
        <v>72</v>
      </c>
      <c r="J479" s="19" t="s">
        <v>73</v>
      </c>
      <c r="K479" s="19" t="s">
        <v>76</v>
      </c>
      <c r="L479" s="19" t="s">
        <v>78</v>
      </c>
      <c r="M479" s="19" t="s">
        <v>79</v>
      </c>
      <c r="N479" s="19" t="s">
        <v>81</v>
      </c>
    </row>
    <row r="480" spans="1:14" ht="14.25" customHeight="1" x14ac:dyDescent="0.15">
      <c r="A480" s="21"/>
      <c r="B480" s="21"/>
      <c r="C480" s="21"/>
      <c r="D480" s="21"/>
      <c r="E480" s="23" t="str">
        <f t="shared" si="258"/>
        <v>20000</v>
      </c>
      <c r="F480" s="21">
        <v>380</v>
      </c>
      <c r="G480" s="21"/>
      <c r="H480" s="21">
        <f>H473</f>
        <v>1000</v>
      </c>
      <c r="I480" s="21">
        <v>585</v>
      </c>
      <c r="J480" s="23" t="str">
        <f t="shared" ref="J480:J481" si="259">J473</f>
        <v>3500</v>
      </c>
      <c r="K480" s="21"/>
      <c r="L480" s="21"/>
      <c r="M480" s="21">
        <f>M473</f>
        <v>2</v>
      </c>
      <c r="N480" s="21"/>
    </row>
    <row r="481" spans="1:14" ht="14.25" customHeight="1" x14ac:dyDescent="0.15">
      <c r="A481" s="19">
        <v>1</v>
      </c>
      <c r="B481" s="19">
        <v>4.8</v>
      </c>
      <c r="C481" s="19">
        <v>1.2</v>
      </c>
      <c r="D481" s="19">
        <f>B481*C481</f>
        <v>5.76</v>
      </c>
      <c r="E481" s="19"/>
      <c r="F481" s="19"/>
      <c r="G481" s="19"/>
      <c r="H481" s="19">
        <f t="shared" ref="H481:I481" si="260">A481</f>
        <v>1</v>
      </c>
      <c r="I481" s="19">
        <f t="shared" si="260"/>
        <v>4.8</v>
      </c>
      <c r="J481" s="19">
        <f t="shared" si="259"/>
        <v>4</v>
      </c>
      <c r="K481" s="19"/>
      <c r="L481" s="19"/>
      <c r="M481" s="19"/>
      <c r="N481" s="19"/>
    </row>
    <row r="482" spans="1:14" ht="14.25" customHeight="1" x14ac:dyDescent="0.15">
      <c r="A482" s="19"/>
      <c r="B482" s="19"/>
      <c r="C482" s="19"/>
      <c r="D482" s="26" t="str">
        <f>D426</f>
        <v>10500</v>
      </c>
      <c r="E482" s="19">
        <f>E475</f>
        <v>3</v>
      </c>
      <c r="F482" s="19">
        <f>B481*2</f>
        <v>9.6</v>
      </c>
      <c r="G482" s="19"/>
      <c r="H482" s="19"/>
      <c r="I482" s="19"/>
      <c r="J482" s="19"/>
      <c r="K482" s="19"/>
      <c r="L482" s="19"/>
      <c r="M482" s="19"/>
      <c r="N482" s="19"/>
    </row>
    <row r="483" spans="1:14" ht="14.25" customHeight="1" x14ac:dyDescent="0.15">
      <c r="A483" s="19"/>
      <c r="B483" s="19"/>
      <c r="C483" s="19"/>
      <c r="D483" s="19">
        <f>D481*D482</f>
        <v>60480</v>
      </c>
      <c r="E483" s="19">
        <f>E482*E480</f>
        <v>60000</v>
      </c>
      <c r="F483" s="19">
        <f>F480*F482</f>
        <v>3648</v>
      </c>
      <c r="G483" s="19"/>
      <c r="H483" s="19">
        <f t="shared" ref="H483:J483" si="261">H480*H481</f>
        <v>1000</v>
      </c>
      <c r="I483" s="19">
        <f t="shared" si="261"/>
        <v>2808</v>
      </c>
      <c r="J483" s="19">
        <f t="shared" si="261"/>
        <v>14000</v>
      </c>
      <c r="K483" s="19">
        <f>SUM(D483:J483)</f>
        <v>141936</v>
      </c>
      <c r="L483" s="19">
        <f>K483/A481</f>
        <v>141936</v>
      </c>
      <c r="M483" s="19">
        <f>L483*M480</f>
        <v>283872</v>
      </c>
      <c r="N483" s="19">
        <f>MROUND(M483,100)</f>
        <v>283900</v>
      </c>
    </row>
    <row r="484" spans="1:14" ht="14.25" customHeight="1" x14ac:dyDescent="0.1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</row>
    <row r="485" spans="1:14" ht="14.25" customHeight="1" x14ac:dyDescent="0.15">
      <c r="A485" s="109" t="str">
        <f>PRICELIST!I539</f>
        <v>MTFLW-XL-VNR-4800-1200</v>
      </c>
      <c r="B485" s="87"/>
      <c r="C485" s="87"/>
      <c r="D485" s="30"/>
      <c r="E485" s="30"/>
      <c r="F485" s="30"/>
      <c r="G485" s="30"/>
      <c r="H485" s="30"/>
      <c r="I485" s="30"/>
      <c r="J485" s="30"/>
      <c r="K485" s="30"/>
      <c r="L485" s="30"/>
      <c r="M485" s="30"/>
    </row>
    <row r="486" spans="1:14" ht="14.25" customHeight="1" x14ac:dyDescent="0.15">
      <c r="A486" s="19" t="s">
        <v>57</v>
      </c>
      <c r="B486" s="19" t="s">
        <v>59</v>
      </c>
      <c r="C486" s="19" t="s">
        <v>62</v>
      </c>
      <c r="D486" s="19" t="s">
        <v>64</v>
      </c>
      <c r="E486" s="19" t="str">
        <f t="shared" ref="E486:E487" si="262">E479</f>
        <v>ATHENA LEG</v>
      </c>
      <c r="F486" s="19" t="s">
        <v>67</v>
      </c>
      <c r="G486" s="19"/>
      <c r="H486" s="19" t="s">
        <v>71</v>
      </c>
      <c r="I486" s="19" t="s">
        <v>72</v>
      </c>
      <c r="J486" s="19" t="s">
        <v>73</v>
      </c>
      <c r="K486" s="19" t="s">
        <v>76</v>
      </c>
      <c r="L486" s="19" t="s">
        <v>78</v>
      </c>
      <c r="M486" s="19" t="s">
        <v>79</v>
      </c>
      <c r="N486" s="19" t="s">
        <v>81</v>
      </c>
    </row>
    <row r="487" spans="1:14" ht="14.25" customHeight="1" x14ac:dyDescent="0.15">
      <c r="A487" s="21"/>
      <c r="B487" s="21"/>
      <c r="C487" s="21"/>
      <c r="D487" s="21"/>
      <c r="E487" s="23" t="str">
        <f t="shared" si="262"/>
        <v>20000</v>
      </c>
      <c r="F487" s="21">
        <v>380</v>
      </c>
      <c r="G487" s="21"/>
      <c r="H487" s="21">
        <f>H480</f>
        <v>1000</v>
      </c>
      <c r="I487" s="21">
        <v>585</v>
      </c>
      <c r="J487" s="23" t="str">
        <f t="shared" ref="J487:J488" si="263">J480</f>
        <v>3500</v>
      </c>
      <c r="K487" s="21"/>
      <c r="L487" s="21"/>
      <c r="M487" s="21">
        <f>M480</f>
        <v>2</v>
      </c>
      <c r="N487" s="21"/>
    </row>
    <row r="488" spans="1:14" ht="14.25" customHeight="1" x14ac:dyDescent="0.15">
      <c r="A488" s="19">
        <v>1</v>
      </c>
      <c r="B488" s="19">
        <v>4.8</v>
      </c>
      <c r="C488" s="19">
        <v>1.2</v>
      </c>
      <c r="D488" s="19">
        <f>B488*C488</f>
        <v>5.76</v>
      </c>
      <c r="E488" s="19"/>
      <c r="F488" s="19"/>
      <c r="G488" s="19"/>
      <c r="H488" s="19">
        <f t="shared" ref="H488:I488" si="264">A488</f>
        <v>1</v>
      </c>
      <c r="I488" s="19">
        <f t="shared" si="264"/>
        <v>4.8</v>
      </c>
      <c r="J488" s="19">
        <f t="shared" si="263"/>
        <v>4</v>
      </c>
      <c r="K488" s="19"/>
      <c r="L488" s="19"/>
      <c r="M488" s="19"/>
      <c r="N488" s="19"/>
    </row>
    <row r="489" spans="1:14" ht="14.25" customHeight="1" x14ac:dyDescent="0.15">
      <c r="A489" s="19"/>
      <c r="B489" s="19"/>
      <c r="C489" s="19"/>
      <c r="D489" s="26" t="str">
        <f>D433</f>
        <v>30000</v>
      </c>
      <c r="E489" s="19">
        <f>E482</f>
        <v>3</v>
      </c>
      <c r="F489" s="19">
        <f>B488*2</f>
        <v>9.6</v>
      </c>
      <c r="G489" s="19"/>
      <c r="H489" s="19"/>
      <c r="I489" s="19"/>
      <c r="J489" s="19"/>
      <c r="K489" s="19"/>
      <c r="L489" s="19"/>
      <c r="M489" s="19"/>
      <c r="N489" s="19"/>
    </row>
    <row r="490" spans="1:14" ht="14.25" customHeight="1" x14ac:dyDescent="0.15">
      <c r="A490" s="19"/>
      <c r="B490" s="19"/>
      <c r="C490" s="19"/>
      <c r="D490" s="19">
        <f>D488*D489</f>
        <v>172800</v>
      </c>
      <c r="E490" s="19">
        <f>E489*E487</f>
        <v>60000</v>
      </c>
      <c r="F490" s="19">
        <f>F487*F489</f>
        <v>3648</v>
      </c>
      <c r="G490" s="19"/>
      <c r="H490" s="19">
        <f t="shared" ref="H490:J490" si="265">H487*H488</f>
        <v>1000</v>
      </c>
      <c r="I490" s="19">
        <f t="shared" si="265"/>
        <v>2808</v>
      </c>
      <c r="J490" s="19">
        <f t="shared" si="265"/>
        <v>14000</v>
      </c>
      <c r="K490" s="19">
        <f>SUM(D490:J490)</f>
        <v>254256</v>
      </c>
      <c r="L490" s="19">
        <f>K490/A488</f>
        <v>254256</v>
      </c>
      <c r="M490" s="19">
        <f>L490*M487</f>
        <v>508512</v>
      </c>
      <c r="N490" s="19">
        <f>MROUND(M490,100)</f>
        <v>508500</v>
      </c>
    </row>
    <row r="491" spans="1:14" ht="14.25" customHeight="1" x14ac:dyDescent="0.1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 spans="1:14" ht="14.25" customHeight="1" x14ac:dyDescent="0.15">
      <c r="A492" s="109" t="str">
        <f>PRICELIST!I540</f>
        <v>MTFLW-XL-MBL-4800-1200</v>
      </c>
      <c r="B492" s="87"/>
      <c r="C492" s="87"/>
      <c r="D492" s="30"/>
      <c r="E492" s="30"/>
      <c r="F492" s="30"/>
      <c r="G492" s="30"/>
      <c r="H492" s="30"/>
      <c r="I492" s="30"/>
      <c r="J492" s="30"/>
      <c r="K492" s="30"/>
      <c r="L492" s="30"/>
      <c r="M492" s="30"/>
    </row>
    <row r="493" spans="1:14" ht="14.25" customHeight="1" x14ac:dyDescent="0.15">
      <c r="A493" s="19" t="s">
        <v>57</v>
      </c>
      <c r="B493" s="19" t="s">
        <v>59</v>
      </c>
      <c r="C493" s="19" t="s">
        <v>62</v>
      </c>
      <c r="D493" s="19" t="s">
        <v>64</v>
      </c>
      <c r="E493" s="19" t="str">
        <f t="shared" ref="E493:E494" si="266">E486</f>
        <v>ATHENA LEG</v>
      </c>
      <c r="F493" s="19" t="s">
        <v>67</v>
      </c>
      <c r="G493" s="19"/>
      <c r="H493" s="19" t="s">
        <v>71</v>
      </c>
      <c r="I493" s="19" t="s">
        <v>72</v>
      </c>
      <c r="J493" s="19" t="s">
        <v>73</v>
      </c>
      <c r="K493" s="19" t="s">
        <v>76</v>
      </c>
      <c r="L493" s="19" t="s">
        <v>78</v>
      </c>
      <c r="M493" s="19" t="s">
        <v>79</v>
      </c>
      <c r="N493" s="19" t="s">
        <v>81</v>
      </c>
    </row>
    <row r="494" spans="1:14" ht="14.25" customHeight="1" x14ac:dyDescent="0.15">
      <c r="A494" s="21"/>
      <c r="B494" s="21"/>
      <c r="C494" s="21"/>
      <c r="D494" s="21"/>
      <c r="E494" s="23" t="str">
        <f t="shared" si="266"/>
        <v>20000</v>
      </c>
      <c r="F494" s="21">
        <v>380</v>
      </c>
      <c r="G494" s="21"/>
      <c r="H494" s="21">
        <f>H487</f>
        <v>1000</v>
      </c>
      <c r="I494" s="21">
        <v>585</v>
      </c>
      <c r="J494" s="23" t="str">
        <f t="shared" ref="J494:J495" si="267">J487</f>
        <v>3500</v>
      </c>
      <c r="K494" s="21"/>
      <c r="L494" s="21"/>
      <c r="M494" s="21">
        <f>M487</f>
        <v>2</v>
      </c>
      <c r="N494" s="21"/>
    </row>
    <row r="495" spans="1:14" ht="14.25" customHeight="1" x14ac:dyDescent="0.15">
      <c r="A495" s="19">
        <v>1</v>
      </c>
      <c r="B495" s="19">
        <v>4.8</v>
      </c>
      <c r="C495" s="19">
        <v>1.2</v>
      </c>
      <c r="D495" s="19">
        <f>B495*C495</f>
        <v>5.76</v>
      </c>
      <c r="E495" s="19"/>
      <c r="F495" s="19"/>
      <c r="G495" s="19"/>
      <c r="H495" s="19">
        <f t="shared" ref="H495:I495" si="268">A495</f>
        <v>1</v>
      </c>
      <c r="I495" s="19">
        <f t="shared" si="268"/>
        <v>4.8</v>
      </c>
      <c r="J495" s="19">
        <f t="shared" si="267"/>
        <v>4</v>
      </c>
      <c r="K495" s="19"/>
      <c r="L495" s="19"/>
      <c r="M495" s="19"/>
      <c r="N495" s="19"/>
    </row>
    <row r="496" spans="1:14" ht="14.25" customHeight="1" x14ac:dyDescent="0.15">
      <c r="A496" s="19"/>
      <c r="B496" s="19"/>
      <c r="C496" s="19"/>
      <c r="D496" s="26">
        <f>D440</f>
        <v>37500</v>
      </c>
      <c r="E496" s="19">
        <f>E489</f>
        <v>3</v>
      </c>
      <c r="F496" s="19">
        <f>B495*2</f>
        <v>9.6</v>
      </c>
      <c r="G496" s="19"/>
      <c r="H496" s="19"/>
      <c r="I496" s="19"/>
      <c r="J496" s="19"/>
      <c r="K496" s="19"/>
      <c r="L496" s="19"/>
      <c r="M496" s="19"/>
      <c r="N496" s="19"/>
    </row>
    <row r="497" spans="1:14" ht="14.25" customHeight="1" x14ac:dyDescent="0.15">
      <c r="A497" s="19"/>
      <c r="B497" s="19"/>
      <c r="C497" s="19"/>
      <c r="D497" s="19">
        <f>D495*D496</f>
        <v>216000</v>
      </c>
      <c r="E497" s="19">
        <f>E496*E494</f>
        <v>60000</v>
      </c>
      <c r="F497" s="19">
        <f>F494*F496</f>
        <v>3648</v>
      </c>
      <c r="G497" s="19"/>
      <c r="H497" s="19">
        <f t="shared" ref="H497:J497" si="269">H494*H495</f>
        <v>1000</v>
      </c>
      <c r="I497" s="19">
        <f t="shared" si="269"/>
        <v>2808</v>
      </c>
      <c r="J497" s="19">
        <f t="shared" si="269"/>
        <v>14000</v>
      </c>
      <c r="K497" s="19">
        <f>SUM(D497:J497)</f>
        <v>297456</v>
      </c>
      <c r="L497" s="19">
        <f>K497/A495</f>
        <v>297456</v>
      </c>
      <c r="M497" s="19">
        <f>L497*M494</f>
        <v>594912</v>
      </c>
      <c r="N497" s="19">
        <f>MROUND(M497,100)</f>
        <v>594900</v>
      </c>
    </row>
    <row r="498" spans="1:14" ht="14.25" customHeight="1" x14ac:dyDescent="0.1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</row>
    <row r="499" spans="1:14" ht="14.25" customHeight="1" x14ac:dyDescent="0.15">
      <c r="A499" s="109" t="str">
        <f>PRICELIST!I541</f>
        <v>MTFLW-XL-GL-4800-1200</v>
      </c>
      <c r="B499" s="87"/>
      <c r="C499" s="87"/>
      <c r="D499" s="30"/>
      <c r="E499" s="30"/>
      <c r="F499" s="30"/>
      <c r="G499" s="30"/>
      <c r="H499" s="30"/>
      <c r="I499" s="30"/>
      <c r="J499" s="30"/>
      <c r="K499" s="30"/>
      <c r="L499" s="30"/>
      <c r="M499" s="30"/>
    </row>
    <row r="500" spans="1:14" ht="14.25" customHeight="1" x14ac:dyDescent="0.15">
      <c r="A500" s="19" t="s">
        <v>57</v>
      </c>
      <c r="B500" s="19" t="s">
        <v>59</v>
      </c>
      <c r="C500" s="19" t="s">
        <v>62</v>
      </c>
      <c r="D500" s="19" t="s">
        <v>64</v>
      </c>
      <c r="E500" s="19" t="str">
        <f t="shared" ref="E500:E501" si="270">E493</f>
        <v>ATHENA LEG</v>
      </c>
      <c r="F500" s="19" t="s">
        <v>67</v>
      </c>
      <c r="G500" s="19"/>
      <c r="H500" s="19" t="s">
        <v>71</v>
      </c>
      <c r="I500" s="19" t="s">
        <v>72</v>
      </c>
      <c r="J500" s="19" t="s">
        <v>73</v>
      </c>
      <c r="K500" s="19" t="s">
        <v>76</v>
      </c>
      <c r="L500" s="19" t="s">
        <v>78</v>
      </c>
      <c r="M500" s="19" t="s">
        <v>79</v>
      </c>
      <c r="N500" s="19" t="s">
        <v>81</v>
      </c>
    </row>
    <row r="501" spans="1:14" ht="14.25" customHeight="1" x14ac:dyDescent="0.15">
      <c r="A501" s="21"/>
      <c r="B501" s="21"/>
      <c r="C501" s="21"/>
      <c r="D501" s="21"/>
      <c r="E501" s="23" t="str">
        <f t="shared" si="270"/>
        <v>20000</v>
      </c>
      <c r="F501" s="21">
        <v>380</v>
      </c>
      <c r="G501" s="21"/>
      <c r="H501" s="21">
        <f>H494</f>
        <v>1000</v>
      </c>
      <c r="I501" s="21">
        <v>585</v>
      </c>
      <c r="J501" s="23" t="str">
        <f t="shared" ref="J501:J502" si="271">J494</f>
        <v>3500</v>
      </c>
      <c r="K501" s="21"/>
      <c r="L501" s="21"/>
      <c r="M501" s="21">
        <f>M494</f>
        <v>2</v>
      </c>
      <c r="N501" s="21"/>
    </row>
    <row r="502" spans="1:14" ht="14.25" customHeight="1" x14ac:dyDescent="0.15">
      <c r="A502" s="19">
        <v>1</v>
      </c>
      <c r="B502" s="19">
        <v>4.8</v>
      </c>
      <c r="C502" s="19">
        <v>1.2</v>
      </c>
      <c r="D502" s="19">
        <f>B502*C502</f>
        <v>5.76</v>
      </c>
      <c r="E502" s="19"/>
      <c r="F502" s="19"/>
      <c r="G502" s="19"/>
      <c r="H502" s="19">
        <f t="shared" ref="H502:I502" si="272">A502</f>
        <v>1</v>
      </c>
      <c r="I502" s="19">
        <f t="shared" si="272"/>
        <v>4.8</v>
      </c>
      <c r="J502" s="19">
        <f t="shared" si="271"/>
        <v>4</v>
      </c>
      <c r="K502" s="19"/>
      <c r="L502" s="19"/>
      <c r="M502" s="19"/>
      <c r="N502" s="19"/>
    </row>
    <row r="503" spans="1:14" ht="14.25" customHeight="1" x14ac:dyDescent="0.15">
      <c r="A503" s="19"/>
      <c r="B503" s="19"/>
      <c r="C503" s="19"/>
      <c r="D503" s="26" t="str">
        <f>D447</f>
        <v>7500</v>
      </c>
      <c r="E503" s="19">
        <f>E496</f>
        <v>3</v>
      </c>
      <c r="F503" s="19">
        <f>B502*2</f>
        <v>9.6</v>
      </c>
      <c r="G503" s="19"/>
      <c r="H503" s="19"/>
      <c r="I503" s="19"/>
      <c r="J503" s="19"/>
      <c r="K503" s="19"/>
      <c r="L503" s="19"/>
      <c r="M503" s="19"/>
      <c r="N503" s="19"/>
    </row>
    <row r="504" spans="1:14" ht="14.25" customHeight="1" x14ac:dyDescent="0.15">
      <c r="A504" s="19"/>
      <c r="B504" s="19"/>
      <c r="C504" s="19"/>
      <c r="D504" s="19">
        <f>D502*D503</f>
        <v>43200</v>
      </c>
      <c r="E504" s="19">
        <f>E503*E501</f>
        <v>60000</v>
      </c>
      <c r="F504" s="19">
        <f>F501*F503</f>
        <v>3648</v>
      </c>
      <c r="G504" s="19"/>
      <c r="H504" s="19">
        <f t="shared" ref="H504:J504" si="273">H501*H502</f>
        <v>1000</v>
      </c>
      <c r="I504" s="19">
        <f t="shared" si="273"/>
        <v>2808</v>
      </c>
      <c r="J504" s="19">
        <f t="shared" si="273"/>
        <v>14000</v>
      </c>
      <c r="K504" s="19">
        <f>SUM(D504:J504)</f>
        <v>124656</v>
      </c>
      <c r="L504" s="19">
        <f>K504/A502</f>
        <v>124656</v>
      </c>
      <c r="M504" s="19">
        <f>L504*M501</f>
        <v>249312</v>
      </c>
      <c r="N504" s="19">
        <f>MROUND(M504,100)</f>
        <v>249300</v>
      </c>
    </row>
  </sheetData>
  <mergeCells count="93">
    <mergeCell ref="A232:C232"/>
    <mergeCell ref="A233:C233"/>
    <mergeCell ref="A240:C240"/>
    <mergeCell ref="A247:C247"/>
    <mergeCell ref="A211:C211"/>
    <mergeCell ref="A212:C212"/>
    <mergeCell ref="A218:C218"/>
    <mergeCell ref="A219:C219"/>
    <mergeCell ref="A226:C226"/>
    <mergeCell ref="A184:C184"/>
    <mergeCell ref="A190:C190"/>
    <mergeCell ref="A191:C191"/>
    <mergeCell ref="A198:C198"/>
    <mergeCell ref="A205:C205"/>
    <mergeCell ref="A163:C163"/>
    <mergeCell ref="A169:N169"/>
    <mergeCell ref="A170:C170"/>
    <mergeCell ref="A176:C176"/>
    <mergeCell ref="A177:C177"/>
    <mergeCell ref="A128:C128"/>
    <mergeCell ref="A135:C135"/>
    <mergeCell ref="A142:C142"/>
    <mergeCell ref="A149:C149"/>
    <mergeCell ref="A156:C156"/>
    <mergeCell ref="A100:C100"/>
    <mergeCell ref="A107:C107"/>
    <mergeCell ref="A114:C114"/>
    <mergeCell ref="A120:C120"/>
    <mergeCell ref="A121:C121"/>
    <mergeCell ref="A65:C65"/>
    <mergeCell ref="A72:C72"/>
    <mergeCell ref="A79:C79"/>
    <mergeCell ref="A86:C86"/>
    <mergeCell ref="A93:C93"/>
    <mergeCell ref="A44:C44"/>
    <mergeCell ref="A50:C50"/>
    <mergeCell ref="A51:C51"/>
    <mergeCell ref="A58:C58"/>
    <mergeCell ref="A64:C64"/>
    <mergeCell ref="A22:C22"/>
    <mergeCell ref="A23:C23"/>
    <mergeCell ref="A30:C30"/>
    <mergeCell ref="A37:C37"/>
    <mergeCell ref="A43:C43"/>
    <mergeCell ref="A1:N1"/>
    <mergeCell ref="A2:C2"/>
    <mergeCell ref="A8:C8"/>
    <mergeCell ref="A9:C9"/>
    <mergeCell ref="A16:C16"/>
    <mergeCell ref="A492:C492"/>
    <mergeCell ref="A499:C499"/>
    <mergeCell ref="A450:C450"/>
    <mergeCell ref="A456:C456"/>
    <mergeCell ref="A457:C457"/>
    <mergeCell ref="A464:C464"/>
    <mergeCell ref="A471:C471"/>
    <mergeCell ref="A478:C478"/>
    <mergeCell ref="A485:C485"/>
    <mergeCell ref="A415:C415"/>
    <mergeCell ref="A422:C422"/>
    <mergeCell ref="A429:C429"/>
    <mergeCell ref="A436:C436"/>
    <mergeCell ref="A443:C443"/>
    <mergeCell ref="A387:C387"/>
    <mergeCell ref="A394:C394"/>
    <mergeCell ref="A400:C400"/>
    <mergeCell ref="A401:C401"/>
    <mergeCell ref="A408:C408"/>
    <mergeCell ref="A366:C366"/>
    <mergeCell ref="A373:C373"/>
    <mergeCell ref="A379:C379"/>
    <mergeCell ref="A380:C380"/>
    <mergeCell ref="A386:C386"/>
    <mergeCell ref="A344:C344"/>
    <mergeCell ref="A345:C345"/>
    <mergeCell ref="A352:C352"/>
    <mergeCell ref="A358:C358"/>
    <mergeCell ref="A359:C359"/>
    <mergeCell ref="A317:C317"/>
    <mergeCell ref="A324:C324"/>
    <mergeCell ref="A331:C331"/>
    <mergeCell ref="A337:N337"/>
    <mergeCell ref="A338:C338"/>
    <mergeCell ref="A288:C288"/>
    <mergeCell ref="A289:C289"/>
    <mergeCell ref="A296:C296"/>
    <mergeCell ref="A303:C303"/>
    <mergeCell ref="A310:C310"/>
    <mergeCell ref="A254:C254"/>
    <mergeCell ref="A261:C261"/>
    <mergeCell ref="A268:C268"/>
    <mergeCell ref="A275:C275"/>
    <mergeCell ref="A282:C28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23"/>
  <sheetViews>
    <sheetView workbookViewId="0"/>
  </sheetViews>
  <sheetFormatPr baseColWidth="10" defaultColWidth="12.6640625" defaultRowHeight="15.75" customHeight="1" x14ac:dyDescent="0.15"/>
  <cols>
    <col min="1" max="2" width="17" customWidth="1"/>
    <col min="3" max="3" width="29.1640625" customWidth="1"/>
    <col min="4" max="4" width="17" customWidth="1"/>
    <col min="5" max="7" width="19.6640625" customWidth="1"/>
    <col min="8" max="16" width="17" customWidth="1"/>
  </cols>
  <sheetData>
    <row r="1" spans="1:16" ht="33" customHeight="1" x14ac:dyDescent="0.15">
      <c r="A1" s="113" t="s">
        <v>243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1:16" ht="14.25" customHeight="1" x14ac:dyDescent="0.15">
      <c r="A2" s="109" t="str">
        <f>PRICELIST!I544</f>
        <v>CBFLX-RST-PB-1500x600+1800</v>
      </c>
      <c r="B2" s="87"/>
      <c r="C2" s="87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6" ht="14.25" customHeight="1" x14ac:dyDescent="0.15">
      <c r="A3" s="19" t="s">
        <v>57</v>
      </c>
      <c r="B3" s="19" t="s">
        <v>59</v>
      </c>
      <c r="C3" s="19" t="s">
        <v>62</v>
      </c>
      <c r="D3" s="19" t="s">
        <v>64</v>
      </c>
      <c r="E3" s="19" t="s">
        <v>233</v>
      </c>
      <c r="F3" s="19">
        <v>900</v>
      </c>
      <c r="G3" s="19">
        <v>600</v>
      </c>
      <c r="H3" s="19" t="s">
        <v>67</v>
      </c>
      <c r="I3" s="19" t="s">
        <v>244</v>
      </c>
      <c r="J3" s="19" t="s">
        <v>71</v>
      </c>
      <c r="K3" s="19" t="s">
        <v>72</v>
      </c>
      <c r="L3" s="19" t="s">
        <v>73</v>
      </c>
      <c r="M3" s="19" t="s">
        <v>76</v>
      </c>
      <c r="N3" s="19" t="s">
        <v>78</v>
      </c>
      <c r="O3" s="19" t="s">
        <v>79</v>
      </c>
      <c r="P3" s="19" t="s">
        <v>81</v>
      </c>
    </row>
    <row r="4" spans="1:16" ht="14.25" customHeight="1" x14ac:dyDescent="0.15">
      <c r="A4" s="21"/>
      <c r="B4" s="21"/>
      <c r="C4" s="66" t="s">
        <v>245</v>
      </c>
      <c r="D4" s="21"/>
      <c r="E4" s="21">
        <v>6</v>
      </c>
      <c r="F4" s="23" t="str">
        <f>'MASTER DATA'!E4</f>
        <v>1900</v>
      </c>
      <c r="G4" s="23" t="str">
        <f>'MASTER DATA'!E3</f>
        <v>1800</v>
      </c>
      <c r="H4" s="21">
        <v>380</v>
      </c>
      <c r="I4" s="23" t="str">
        <f>'MASTER DATA'!I5</f>
        <v>1500</v>
      </c>
      <c r="J4" s="21">
        <v>1000</v>
      </c>
      <c r="K4" s="21">
        <v>585</v>
      </c>
      <c r="L4" s="23" t="str">
        <f>'MASTER DATA'!G3</f>
        <v>1500</v>
      </c>
      <c r="M4" s="21"/>
      <c r="N4" s="21"/>
      <c r="O4" s="21">
        <f>'MASTER DATA'!C16</f>
        <v>2</v>
      </c>
      <c r="P4" s="21"/>
    </row>
    <row r="5" spans="1:16" ht="14.25" customHeight="1" x14ac:dyDescent="0.15">
      <c r="A5" s="19">
        <v>1</v>
      </c>
      <c r="B5" s="19">
        <v>1.5</v>
      </c>
      <c r="C5" s="19">
        <f>0.6+0.3</f>
        <v>0.89999999999999991</v>
      </c>
      <c r="D5" s="19">
        <f>B5*C5</f>
        <v>1.3499999999999999</v>
      </c>
      <c r="E5" s="19">
        <v>2.5</v>
      </c>
      <c r="F5" s="19"/>
      <c r="G5" s="19"/>
      <c r="H5" s="19"/>
      <c r="I5" s="19">
        <v>1</v>
      </c>
      <c r="J5" s="19">
        <f>A5</f>
        <v>1</v>
      </c>
      <c r="K5" s="19">
        <v>0</v>
      </c>
      <c r="L5" s="19">
        <v>1</v>
      </c>
      <c r="M5" s="19"/>
      <c r="N5" s="19"/>
      <c r="O5" s="19"/>
      <c r="P5" s="19"/>
    </row>
    <row r="6" spans="1:16" ht="14.25" customHeight="1" x14ac:dyDescent="0.15">
      <c r="A6" s="19"/>
      <c r="B6" s="19"/>
      <c r="C6" s="19"/>
      <c r="D6" s="26" t="str">
        <f>'MASTER DATA'!C3</f>
        <v>2200</v>
      </c>
      <c r="E6" s="26" t="str">
        <f>'MASTER DATA'!M3</f>
        <v>1000</v>
      </c>
      <c r="F6" s="19">
        <v>0</v>
      </c>
      <c r="G6" s="19">
        <v>1</v>
      </c>
      <c r="H6" s="19">
        <f>B5*2</f>
        <v>3</v>
      </c>
      <c r="I6" s="19"/>
      <c r="J6" s="19"/>
      <c r="K6" s="19"/>
      <c r="L6" s="19"/>
      <c r="M6" s="19"/>
      <c r="N6" s="19"/>
      <c r="O6" s="19"/>
      <c r="P6" s="19"/>
    </row>
    <row r="7" spans="1:16" ht="14.25" customHeight="1" x14ac:dyDescent="0.15">
      <c r="A7" s="19"/>
      <c r="B7" s="19"/>
      <c r="C7" s="19"/>
      <c r="D7" s="19">
        <f>D5*D6</f>
        <v>2969.9999999999995</v>
      </c>
      <c r="E7" s="19">
        <f>E6*E4</f>
        <v>6000</v>
      </c>
      <c r="F7" s="19">
        <f t="shared" ref="F7:H7" si="0">F4*F6</f>
        <v>0</v>
      </c>
      <c r="G7" s="19">
        <f t="shared" si="0"/>
        <v>1800</v>
      </c>
      <c r="H7" s="19">
        <f t="shared" si="0"/>
        <v>1140</v>
      </c>
      <c r="I7" s="19">
        <f t="shared" ref="I7:L7" si="1">I4*I5</f>
        <v>1500</v>
      </c>
      <c r="J7" s="19">
        <f t="shared" si="1"/>
        <v>1000</v>
      </c>
      <c r="K7" s="19">
        <f t="shared" si="1"/>
        <v>0</v>
      </c>
      <c r="L7" s="19">
        <f t="shared" si="1"/>
        <v>1500</v>
      </c>
      <c r="M7" s="19">
        <f>SUM(D7:L7)</f>
        <v>15910</v>
      </c>
      <c r="N7" s="19">
        <f>M7/A5</f>
        <v>15910</v>
      </c>
      <c r="O7" s="19">
        <f>N7*O4</f>
        <v>31820</v>
      </c>
      <c r="P7" s="19">
        <f>MROUND(O7,100)</f>
        <v>31800</v>
      </c>
    </row>
    <row r="8" spans="1:16" ht="14.25" customHeight="1" x14ac:dyDescent="0.15">
      <c r="A8" s="111"/>
      <c r="B8" s="87"/>
      <c r="C8" s="87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</row>
    <row r="9" spans="1:16" ht="14.25" customHeight="1" x14ac:dyDescent="0.15">
      <c r="A9" s="109" t="str">
        <f>PRICELIST!I545</f>
        <v>CBFLX-RST-PLM-1500x600+1800</v>
      </c>
      <c r="B9" s="87"/>
      <c r="C9" s="87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</row>
    <row r="10" spans="1:16" ht="14.25" customHeight="1" x14ac:dyDescent="0.15">
      <c r="A10" s="19" t="s">
        <v>57</v>
      </c>
      <c r="B10" s="19" t="s">
        <v>59</v>
      </c>
      <c r="C10" s="19" t="s">
        <v>62</v>
      </c>
      <c r="D10" s="19" t="s">
        <v>64</v>
      </c>
      <c r="E10" s="19" t="s">
        <v>233</v>
      </c>
      <c r="F10" s="19">
        <v>900</v>
      </c>
      <c r="G10" s="19">
        <v>600</v>
      </c>
      <c r="H10" s="19" t="s">
        <v>67</v>
      </c>
      <c r="I10" s="19" t="s">
        <v>244</v>
      </c>
      <c r="J10" s="19" t="s">
        <v>71</v>
      </c>
      <c r="K10" s="19" t="s">
        <v>72</v>
      </c>
      <c r="L10" s="19" t="s">
        <v>73</v>
      </c>
      <c r="M10" s="19" t="s">
        <v>76</v>
      </c>
      <c r="N10" s="19" t="s">
        <v>78</v>
      </c>
      <c r="O10" s="19" t="s">
        <v>79</v>
      </c>
      <c r="P10" s="19" t="s">
        <v>81</v>
      </c>
    </row>
    <row r="11" spans="1:16" ht="14.25" customHeight="1" x14ac:dyDescent="0.15">
      <c r="A11" s="21"/>
      <c r="B11" s="21"/>
      <c r="C11" s="66" t="s">
        <v>245</v>
      </c>
      <c r="D11" s="21"/>
      <c r="E11" s="21">
        <v>6</v>
      </c>
      <c r="F11" s="23" t="str">
        <f t="shared" ref="F11:G11" si="2">F4</f>
        <v>1900</v>
      </c>
      <c r="G11" s="23" t="str">
        <f t="shared" si="2"/>
        <v>1800</v>
      </c>
      <c r="H11" s="21">
        <v>380</v>
      </c>
      <c r="I11" s="23" t="str">
        <f t="shared" ref="I11:J11" si="3">I4</f>
        <v>1500</v>
      </c>
      <c r="J11" s="21">
        <f t="shared" si="3"/>
        <v>1000</v>
      </c>
      <c r="K11" s="21">
        <v>585</v>
      </c>
      <c r="L11" s="23" t="str">
        <f>L4</f>
        <v>1500</v>
      </c>
      <c r="M11" s="21"/>
      <c r="N11" s="21"/>
      <c r="O11" s="21">
        <f>O4</f>
        <v>2</v>
      </c>
      <c r="P11" s="21"/>
    </row>
    <row r="12" spans="1:16" ht="14.25" customHeight="1" x14ac:dyDescent="0.15">
      <c r="A12" s="19">
        <v>1</v>
      </c>
      <c r="B12" s="19">
        <v>1.5</v>
      </c>
      <c r="C12" s="19">
        <f>0.6+0.3</f>
        <v>0.89999999999999991</v>
      </c>
      <c r="D12" s="19">
        <f>B12*C12</f>
        <v>1.3499999999999999</v>
      </c>
      <c r="E12" s="19">
        <v>2.5</v>
      </c>
      <c r="F12" s="19"/>
      <c r="G12" s="19"/>
      <c r="H12" s="19"/>
      <c r="I12" s="19">
        <v>1</v>
      </c>
      <c r="J12" s="19">
        <f>A12</f>
        <v>1</v>
      </c>
      <c r="K12" s="19">
        <f t="shared" ref="K12:L12" si="4">K5</f>
        <v>0</v>
      </c>
      <c r="L12" s="19">
        <f t="shared" si="4"/>
        <v>1</v>
      </c>
      <c r="M12" s="19"/>
      <c r="N12" s="19"/>
      <c r="O12" s="19"/>
      <c r="P12" s="19"/>
    </row>
    <row r="13" spans="1:16" ht="14.25" customHeight="1" x14ac:dyDescent="0.15">
      <c r="A13" s="19"/>
      <c r="B13" s="19"/>
      <c r="C13" s="19"/>
      <c r="D13" s="26" t="str">
        <f>'MASTER DATA'!C4</f>
        <v>3000</v>
      </c>
      <c r="E13" s="26" t="str">
        <f>E6</f>
        <v>1000</v>
      </c>
      <c r="F13" s="19">
        <v>0</v>
      </c>
      <c r="G13" s="19">
        <v>1</v>
      </c>
      <c r="H13" s="19">
        <f>B12*2</f>
        <v>3</v>
      </c>
      <c r="I13" s="19"/>
      <c r="J13" s="19"/>
      <c r="K13" s="19"/>
      <c r="L13" s="19"/>
      <c r="M13" s="19"/>
      <c r="N13" s="19"/>
      <c r="O13" s="19"/>
      <c r="P13" s="19"/>
    </row>
    <row r="14" spans="1:16" ht="14.25" customHeight="1" x14ac:dyDescent="0.15">
      <c r="A14" s="19"/>
      <c r="B14" s="19"/>
      <c r="C14" s="19"/>
      <c r="D14" s="19">
        <f>D12*D13</f>
        <v>4049.9999999999995</v>
      </c>
      <c r="E14" s="19">
        <f>E13*E11</f>
        <v>6000</v>
      </c>
      <c r="F14" s="19">
        <f t="shared" ref="F14:H14" si="5">F11*F13</f>
        <v>0</v>
      </c>
      <c r="G14" s="19">
        <f t="shared" si="5"/>
        <v>1800</v>
      </c>
      <c r="H14" s="19">
        <f t="shared" si="5"/>
        <v>1140</v>
      </c>
      <c r="I14" s="19">
        <f t="shared" ref="I14:L14" si="6">I11*I12</f>
        <v>1500</v>
      </c>
      <c r="J14" s="19">
        <f t="shared" si="6"/>
        <v>1000</v>
      </c>
      <c r="K14" s="19">
        <f t="shared" si="6"/>
        <v>0</v>
      </c>
      <c r="L14" s="19">
        <f t="shared" si="6"/>
        <v>1500</v>
      </c>
      <c r="M14" s="19">
        <f>SUM(D14:L14)</f>
        <v>16990</v>
      </c>
      <c r="N14" s="19">
        <f>M14/A12</f>
        <v>16990</v>
      </c>
      <c r="O14" s="19">
        <f>N14*O11</f>
        <v>33980</v>
      </c>
      <c r="P14" s="19">
        <f>MROUND(O14,100)</f>
        <v>34000</v>
      </c>
    </row>
    <row r="15" spans="1:16" ht="14.25" customHeight="1" x14ac:dyDescent="0.15">
      <c r="A15" s="111"/>
      <c r="B15" s="87"/>
      <c r="C15" s="87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</row>
    <row r="16" spans="1:16" ht="14.25" customHeight="1" x14ac:dyDescent="0.15">
      <c r="A16" s="109" t="str">
        <f>PRICELIST!I546</f>
        <v>CBFLX-RST-PoLM-1500x600+1800</v>
      </c>
      <c r="B16" s="87"/>
      <c r="C16" s="87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4.25" customHeight="1" x14ac:dyDescent="0.15">
      <c r="A17" s="19" t="s">
        <v>57</v>
      </c>
      <c r="B17" s="19" t="s">
        <v>59</v>
      </c>
      <c r="C17" s="19" t="s">
        <v>62</v>
      </c>
      <c r="D17" s="19" t="s">
        <v>64</v>
      </c>
      <c r="E17" s="19" t="s">
        <v>233</v>
      </c>
      <c r="F17" s="19">
        <v>900</v>
      </c>
      <c r="G17" s="19">
        <v>600</v>
      </c>
      <c r="H17" s="19" t="s">
        <v>67</v>
      </c>
      <c r="I17" s="19" t="s">
        <v>244</v>
      </c>
      <c r="J17" s="19" t="s">
        <v>71</v>
      </c>
      <c r="K17" s="19" t="s">
        <v>72</v>
      </c>
      <c r="L17" s="19" t="s">
        <v>73</v>
      </c>
      <c r="M17" s="19" t="s">
        <v>76</v>
      </c>
      <c r="N17" s="19" t="s">
        <v>78</v>
      </c>
      <c r="O17" s="19" t="s">
        <v>79</v>
      </c>
      <c r="P17" s="19" t="s">
        <v>81</v>
      </c>
    </row>
    <row r="18" spans="1:16" ht="14.25" customHeight="1" x14ac:dyDescent="0.15">
      <c r="A18" s="21"/>
      <c r="B18" s="21"/>
      <c r="C18" s="44" t="s">
        <v>245</v>
      </c>
      <c r="D18" s="21"/>
      <c r="E18" s="21">
        <v>6</v>
      </c>
      <c r="F18" s="23" t="str">
        <f t="shared" ref="F18:G18" si="7">F11</f>
        <v>1900</v>
      </c>
      <c r="G18" s="23" t="str">
        <f t="shared" si="7"/>
        <v>1800</v>
      </c>
      <c r="H18" s="21">
        <v>380</v>
      </c>
      <c r="I18" s="23" t="str">
        <f t="shared" ref="I18:J18" si="8">I11</f>
        <v>1500</v>
      </c>
      <c r="J18" s="21">
        <f t="shared" si="8"/>
        <v>1000</v>
      </c>
      <c r="K18" s="21">
        <v>585</v>
      </c>
      <c r="L18" s="23" t="str">
        <f>L11</f>
        <v>1500</v>
      </c>
      <c r="M18" s="21"/>
      <c r="N18" s="21"/>
      <c r="O18" s="21">
        <f>O11</f>
        <v>2</v>
      </c>
      <c r="P18" s="21"/>
    </row>
    <row r="19" spans="1:16" ht="14.25" customHeight="1" x14ac:dyDescent="0.15">
      <c r="A19" s="19">
        <v>1</v>
      </c>
      <c r="B19" s="19">
        <v>1.5</v>
      </c>
      <c r="C19" s="19">
        <f>0.6+0.3</f>
        <v>0.89999999999999991</v>
      </c>
      <c r="D19" s="19">
        <f>B19*C19</f>
        <v>1.3499999999999999</v>
      </c>
      <c r="E19" s="19">
        <v>2.5</v>
      </c>
      <c r="F19" s="19"/>
      <c r="G19" s="19"/>
      <c r="H19" s="19"/>
      <c r="I19" s="19">
        <v>1</v>
      </c>
      <c r="J19" s="19">
        <f>A19</f>
        <v>1</v>
      </c>
      <c r="K19" s="19">
        <f t="shared" ref="K19:L19" si="9">K12</f>
        <v>0</v>
      </c>
      <c r="L19" s="19">
        <f t="shared" si="9"/>
        <v>1</v>
      </c>
      <c r="M19" s="19"/>
      <c r="N19" s="19"/>
      <c r="O19" s="19"/>
      <c r="P19" s="19"/>
    </row>
    <row r="20" spans="1:16" ht="14.25" customHeight="1" x14ac:dyDescent="0.15">
      <c r="A20" s="19"/>
      <c r="B20" s="19"/>
      <c r="C20" s="19"/>
      <c r="D20" s="26" t="str">
        <f>'MASTER DATA'!C5</f>
        <v>7500</v>
      </c>
      <c r="E20" s="26" t="str">
        <f>E13</f>
        <v>1000</v>
      </c>
      <c r="F20" s="19">
        <v>0</v>
      </c>
      <c r="G20" s="19">
        <v>1</v>
      </c>
      <c r="H20" s="19">
        <f>B19*2</f>
        <v>3</v>
      </c>
      <c r="I20" s="19"/>
      <c r="J20" s="19"/>
      <c r="K20" s="19"/>
      <c r="L20" s="19"/>
      <c r="M20" s="19"/>
      <c r="N20" s="19"/>
      <c r="O20" s="19"/>
      <c r="P20" s="19"/>
    </row>
    <row r="21" spans="1:16" ht="14.25" customHeight="1" x14ac:dyDescent="0.15">
      <c r="A21" s="19"/>
      <c r="B21" s="19"/>
      <c r="C21" s="19"/>
      <c r="D21" s="19">
        <f>D19*D20</f>
        <v>10124.999999999998</v>
      </c>
      <c r="E21" s="19">
        <f>E20*E18</f>
        <v>6000</v>
      </c>
      <c r="F21" s="19">
        <f t="shared" ref="F21:H21" si="10">F18*F20</f>
        <v>0</v>
      </c>
      <c r="G21" s="19">
        <f t="shared" si="10"/>
        <v>1800</v>
      </c>
      <c r="H21" s="19">
        <f t="shared" si="10"/>
        <v>1140</v>
      </c>
      <c r="I21" s="19">
        <f t="shared" ref="I21:L21" si="11">I18*I19</f>
        <v>1500</v>
      </c>
      <c r="J21" s="19">
        <f t="shared" si="11"/>
        <v>1000</v>
      </c>
      <c r="K21" s="19">
        <f t="shared" si="11"/>
        <v>0</v>
      </c>
      <c r="L21" s="19">
        <f t="shared" si="11"/>
        <v>1500</v>
      </c>
      <c r="M21" s="19">
        <f>SUM(D21:L21)</f>
        <v>23065</v>
      </c>
      <c r="N21" s="19">
        <f>M21/A19</f>
        <v>23065</v>
      </c>
      <c r="O21" s="19">
        <f>N21*O18</f>
        <v>46130</v>
      </c>
      <c r="P21" s="19">
        <f>MROUND(O21,100)</f>
        <v>46100</v>
      </c>
    </row>
    <row r="22" spans="1:16" ht="14.25" customHeight="1" x14ac:dyDescent="0.15">
      <c r="A22" s="111"/>
      <c r="B22" s="87"/>
      <c r="C22" s="87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</row>
    <row r="23" spans="1:16" ht="14.25" customHeight="1" x14ac:dyDescent="0.15">
      <c r="A23" s="109" t="str">
        <f>PRICELIST!I547</f>
        <v>CBFLX-RST-LVM-1500x600+1800</v>
      </c>
      <c r="B23" s="87"/>
      <c r="C23" s="87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4.25" customHeight="1" x14ac:dyDescent="0.15">
      <c r="A24" s="19" t="s">
        <v>57</v>
      </c>
      <c r="B24" s="19" t="s">
        <v>59</v>
      </c>
      <c r="C24" s="19" t="s">
        <v>62</v>
      </c>
      <c r="D24" s="19" t="s">
        <v>64</v>
      </c>
      <c r="E24" s="19" t="s">
        <v>233</v>
      </c>
      <c r="F24" s="19">
        <v>900</v>
      </c>
      <c r="G24" s="19">
        <v>600</v>
      </c>
      <c r="H24" s="19" t="s">
        <v>67</v>
      </c>
      <c r="I24" s="19" t="s">
        <v>244</v>
      </c>
      <c r="J24" s="19" t="s">
        <v>71</v>
      </c>
      <c r="K24" s="19" t="s">
        <v>72</v>
      </c>
      <c r="L24" s="19" t="s">
        <v>73</v>
      </c>
      <c r="M24" s="19" t="s">
        <v>76</v>
      </c>
      <c r="N24" s="19" t="s">
        <v>78</v>
      </c>
      <c r="O24" s="19" t="s">
        <v>79</v>
      </c>
      <c r="P24" s="19" t="s">
        <v>81</v>
      </c>
    </row>
    <row r="25" spans="1:16" ht="14.25" customHeight="1" x14ac:dyDescent="0.15">
      <c r="A25" s="21"/>
      <c r="B25" s="21"/>
      <c r="C25" s="44" t="s">
        <v>245</v>
      </c>
      <c r="D25" s="21"/>
      <c r="E25" s="21">
        <v>6</v>
      </c>
      <c r="F25" s="23" t="str">
        <f t="shared" ref="F25:G25" si="12">F18</f>
        <v>1900</v>
      </c>
      <c r="G25" s="23" t="str">
        <f t="shared" si="12"/>
        <v>1800</v>
      </c>
      <c r="H25" s="21">
        <v>380</v>
      </c>
      <c r="I25" s="23" t="str">
        <f t="shared" ref="I25:J25" si="13">I18</f>
        <v>1500</v>
      </c>
      <c r="J25" s="21">
        <f t="shared" si="13"/>
        <v>1000</v>
      </c>
      <c r="K25" s="21">
        <v>585</v>
      </c>
      <c r="L25" s="23" t="str">
        <f>L18</f>
        <v>1500</v>
      </c>
      <c r="M25" s="21"/>
      <c r="N25" s="21"/>
      <c r="O25" s="21">
        <f>O18</f>
        <v>2</v>
      </c>
      <c r="P25" s="21"/>
    </row>
    <row r="26" spans="1:16" ht="14.25" customHeight="1" x14ac:dyDescent="0.15">
      <c r="A26" s="19">
        <v>1</v>
      </c>
      <c r="B26" s="19">
        <v>1.5</v>
      </c>
      <c r="C26" s="19">
        <f>0.6+0.3</f>
        <v>0.89999999999999991</v>
      </c>
      <c r="D26" s="19">
        <f>B26*C26</f>
        <v>1.3499999999999999</v>
      </c>
      <c r="E26" s="19">
        <v>2.5</v>
      </c>
      <c r="F26" s="19"/>
      <c r="G26" s="19"/>
      <c r="H26" s="19"/>
      <c r="I26" s="19">
        <v>1</v>
      </c>
      <c r="J26" s="19">
        <f>A26</f>
        <v>1</v>
      </c>
      <c r="K26" s="19">
        <f t="shared" ref="K26:L26" si="14">K19</f>
        <v>0</v>
      </c>
      <c r="L26" s="19">
        <f t="shared" si="14"/>
        <v>1</v>
      </c>
      <c r="M26" s="19"/>
      <c r="N26" s="19"/>
      <c r="O26" s="19"/>
      <c r="P26" s="19"/>
    </row>
    <row r="27" spans="1:16" ht="14.25" customHeight="1" x14ac:dyDescent="0.15">
      <c r="A27" s="19"/>
      <c r="B27" s="19"/>
      <c r="C27" s="19"/>
      <c r="D27" s="26" t="str">
        <f>'MASTER DATA'!C6</f>
        <v>9500</v>
      </c>
      <c r="E27" s="26" t="str">
        <f>'MASTER DATA'!M4</f>
        <v>1500</v>
      </c>
      <c r="F27" s="19">
        <v>0</v>
      </c>
      <c r="G27" s="19">
        <v>1</v>
      </c>
      <c r="H27" s="19">
        <f>B26*2</f>
        <v>3</v>
      </c>
      <c r="I27" s="19"/>
      <c r="J27" s="19"/>
      <c r="K27" s="19"/>
      <c r="L27" s="19"/>
      <c r="M27" s="19"/>
      <c r="N27" s="19"/>
      <c r="O27" s="19"/>
      <c r="P27" s="19"/>
    </row>
    <row r="28" spans="1:16" ht="14.25" customHeight="1" x14ac:dyDescent="0.15">
      <c r="A28" s="19"/>
      <c r="B28" s="19"/>
      <c r="C28" s="19"/>
      <c r="D28" s="19">
        <f>D26*D27</f>
        <v>12824.999999999998</v>
      </c>
      <c r="E28" s="19">
        <f>E27*E25</f>
        <v>9000</v>
      </c>
      <c r="F28" s="19">
        <f t="shared" ref="F28:H28" si="15">F25*F27</f>
        <v>0</v>
      </c>
      <c r="G28" s="19">
        <f t="shared" si="15"/>
        <v>1800</v>
      </c>
      <c r="H28" s="19">
        <f t="shared" si="15"/>
        <v>1140</v>
      </c>
      <c r="I28" s="19">
        <f t="shared" ref="I28:L28" si="16">I25*I26</f>
        <v>1500</v>
      </c>
      <c r="J28" s="19">
        <f t="shared" si="16"/>
        <v>1000</v>
      </c>
      <c r="K28" s="19">
        <f t="shared" si="16"/>
        <v>0</v>
      </c>
      <c r="L28" s="19">
        <f t="shared" si="16"/>
        <v>1500</v>
      </c>
      <c r="M28" s="19">
        <f>SUM(D28:L28)</f>
        <v>28765</v>
      </c>
      <c r="N28" s="19">
        <f>M28/A26</f>
        <v>28765</v>
      </c>
      <c r="O28" s="19">
        <f>N28*O25</f>
        <v>57530</v>
      </c>
      <c r="P28" s="19">
        <f>MROUND(O28,100)</f>
        <v>57500</v>
      </c>
    </row>
    <row r="29" spans="1:16" ht="14.25" customHeight="1" x14ac:dyDescent="0.15">
      <c r="A29" s="111"/>
      <c r="B29" s="87"/>
      <c r="C29" s="87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</row>
    <row r="30" spans="1:16" ht="14.25" customHeight="1" x14ac:dyDescent="0.15">
      <c r="A30" s="109" t="str">
        <f>PRICELIST!I548</f>
        <v>CBFLX-RST-LVP-1500x600+1800</v>
      </c>
      <c r="B30" s="87"/>
      <c r="C30" s="87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 ht="14.25" customHeight="1" x14ac:dyDescent="0.15">
      <c r="A31" s="19" t="s">
        <v>57</v>
      </c>
      <c r="B31" s="19" t="s">
        <v>59</v>
      </c>
      <c r="C31" s="19" t="s">
        <v>62</v>
      </c>
      <c r="D31" s="19" t="s">
        <v>64</v>
      </c>
      <c r="E31" s="19" t="s">
        <v>233</v>
      </c>
      <c r="F31" s="19">
        <v>900</v>
      </c>
      <c r="G31" s="19">
        <v>600</v>
      </c>
      <c r="H31" s="19" t="s">
        <v>67</v>
      </c>
      <c r="I31" s="19" t="s">
        <v>244</v>
      </c>
      <c r="J31" s="19" t="s">
        <v>71</v>
      </c>
      <c r="K31" s="19" t="s">
        <v>72</v>
      </c>
      <c r="L31" s="19" t="s">
        <v>73</v>
      </c>
      <c r="M31" s="19" t="s">
        <v>76</v>
      </c>
      <c r="N31" s="19" t="s">
        <v>78</v>
      </c>
      <c r="O31" s="19" t="s">
        <v>79</v>
      </c>
      <c r="P31" s="19" t="s">
        <v>81</v>
      </c>
    </row>
    <row r="32" spans="1:16" ht="14.25" customHeight="1" x14ac:dyDescent="0.15">
      <c r="A32" s="21"/>
      <c r="B32" s="21"/>
      <c r="C32" s="44" t="s">
        <v>245</v>
      </c>
      <c r="D32" s="21"/>
      <c r="E32" s="21">
        <v>6</v>
      </c>
      <c r="F32" s="23" t="str">
        <f t="shared" ref="F32:G32" si="17">F25</f>
        <v>1900</v>
      </c>
      <c r="G32" s="23" t="str">
        <f t="shared" si="17"/>
        <v>1800</v>
      </c>
      <c r="H32" s="21">
        <v>380</v>
      </c>
      <c r="I32" s="23" t="str">
        <f t="shared" ref="I32:J32" si="18">I25</f>
        <v>1500</v>
      </c>
      <c r="J32" s="21">
        <f t="shared" si="18"/>
        <v>1000</v>
      </c>
      <c r="K32" s="21">
        <v>585</v>
      </c>
      <c r="L32" s="23" t="str">
        <f>L25</f>
        <v>1500</v>
      </c>
      <c r="M32" s="21"/>
      <c r="N32" s="21"/>
      <c r="O32" s="21">
        <f>O25</f>
        <v>2</v>
      </c>
      <c r="P32" s="21"/>
    </row>
    <row r="33" spans="1:16" ht="14.25" customHeight="1" x14ac:dyDescent="0.15">
      <c r="A33" s="19">
        <v>1</v>
      </c>
      <c r="B33" s="19">
        <v>1.5</v>
      </c>
      <c r="C33" s="19">
        <f>0.6+0.3</f>
        <v>0.89999999999999991</v>
      </c>
      <c r="D33" s="19">
        <f>B33*C33</f>
        <v>1.3499999999999999</v>
      </c>
      <c r="E33" s="19">
        <v>2.5</v>
      </c>
      <c r="F33" s="19"/>
      <c r="G33" s="19"/>
      <c r="H33" s="19"/>
      <c r="I33" s="19">
        <v>1</v>
      </c>
      <c r="J33" s="19">
        <f>A33</f>
        <v>1</v>
      </c>
      <c r="K33" s="19">
        <f t="shared" ref="K33:L33" si="19">K26</f>
        <v>0</v>
      </c>
      <c r="L33" s="19">
        <f t="shared" si="19"/>
        <v>1</v>
      </c>
      <c r="M33" s="19"/>
      <c r="N33" s="19"/>
      <c r="O33" s="19"/>
      <c r="P33" s="19"/>
    </row>
    <row r="34" spans="1:16" ht="14.25" customHeight="1" x14ac:dyDescent="0.15">
      <c r="A34" s="19"/>
      <c r="B34" s="19"/>
      <c r="C34" s="19"/>
      <c r="D34" s="26" t="str">
        <f>'MASTER DATA'!C7</f>
        <v>10500</v>
      </c>
      <c r="E34" s="26" t="str">
        <f>E27</f>
        <v>1500</v>
      </c>
      <c r="F34" s="19">
        <v>0</v>
      </c>
      <c r="G34" s="19">
        <v>1</v>
      </c>
      <c r="H34" s="19">
        <f>B33*2</f>
        <v>3</v>
      </c>
      <c r="I34" s="19"/>
      <c r="J34" s="19"/>
      <c r="K34" s="19"/>
      <c r="L34" s="19"/>
      <c r="M34" s="19"/>
      <c r="N34" s="19"/>
      <c r="O34" s="19"/>
      <c r="P34" s="19"/>
    </row>
    <row r="35" spans="1:16" ht="14.25" customHeight="1" x14ac:dyDescent="0.15">
      <c r="A35" s="19"/>
      <c r="B35" s="19"/>
      <c r="C35" s="19"/>
      <c r="D35" s="19">
        <f>D33*D34</f>
        <v>14174.999999999998</v>
      </c>
      <c r="E35" s="19">
        <f>E34*E32</f>
        <v>9000</v>
      </c>
      <c r="F35" s="19">
        <f t="shared" ref="F35:H35" si="20">F32*F34</f>
        <v>0</v>
      </c>
      <c r="G35" s="19">
        <f t="shared" si="20"/>
        <v>1800</v>
      </c>
      <c r="H35" s="19">
        <f t="shared" si="20"/>
        <v>1140</v>
      </c>
      <c r="I35" s="19">
        <f t="shared" ref="I35:L35" si="21">I32*I33</f>
        <v>1500</v>
      </c>
      <c r="J35" s="19">
        <f t="shared" si="21"/>
        <v>1000</v>
      </c>
      <c r="K35" s="19">
        <f t="shared" si="21"/>
        <v>0</v>
      </c>
      <c r="L35" s="19">
        <f t="shared" si="21"/>
        <v>1500</v>
      </c>
      <c r="M35" s="19">
        <f>SUM(D35:L35)</f>
        <v>30115</v>
      </c>
      <c r="N35" s="19">
        <f>M35/A33</f>
        <v>30115</v>
      </c>
      <c r="O35" s="19">
        <f>N35*O32</f>
        <v>60230</v>
      </c>
      <c r="P35" s="19">
        <f>MROUND(O35,100)</f>
        <v>60200</v>
      </c>
    </row>
    <row r="36" spans="1:16" ht="14.25" customHeight="1" x14ac:dyDescent="0.15">
      <c r="A36" s="111"/>
      <c r="B36" s="87"/>
      <c r="C36" s="87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</row>
    <row r="37" spans="1:16" ht="14.25" customHeight="1" x14ac:dyDescent="0.15">
      <c r="A37" s="109" t="str">
        <f>PRICELIST!I549</f>
        <v>CBFLX-RST-VNR-1500x600+1800</v>
      </c>
      <c r="B37" s="87"/>
      <c r="C37" s="87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 ht="14.25" customHeight="1" x14ac:dyDescent="0.15">
      <c r="A38" s="19" t="s">
        <v>57</v>
      </c>
      <c r="B38" s="19" t="s">
        <v>59</v>
      </c>
      <c r="C38" s="19" t="s">
        <v>62</v>
      </c>
      <c r="D38" s="19" t="s">
        <v>64</v>
      </c>
      <c r="E38" s="19" t="s">
        <v>233</v>
      </c>
      <c r="F38" s="19">
        <v>900</v>
      </c>
      <c r="G38" s="19">
        <v>600</v>
      </c>
      <c r="H38" s="19" t="s">
        <v>67</v>
      </c>
      <c r="I38" s="19" t="s">
        <v>244</v>
      </c>
      <c r="J38" s="19" t="s">
        <v>71</v>
      </c>
      <c r="K38" s="19" t="s">
        <v>72</v>
      </c>
      <c r="L38" s="19" t="s">
        <v>73</v>
      </c>
      <c r="M38" s="19" t="s">
        <v>76</v>
      </c>
      <c r="N38" s="19" t="s">
        <v>78</v>
      </c>
      <c r="O38" s="19" t="s">
        <v>79</v>
      </c>
      <c r="P38" s="19" t="s">
        <v>81</v>
      </c>
    </row>
    <row r="39" spans="1:16" ht="14.25" customHeight="1" x14ac:dyDescent="0.15">
      <c r="A39" s="21"/>
      <c r="B39" s="21"/>
      <c r="C39" s="44" t="s">
        <v>245</v>
      </c>
      <c r="D39" s="21"/>
      <c r="E39" s="21">
        <v>6</v>
      </c>
      <c r="F39" s="23" t="str">
        <f t="shared" ref="F39:G39" si="22">F32</f>
        <v>1900</v>
      </c>
      <c r="G39" s="23" t="str">
        <f t="shared" si="22"/>
        <v>1800</v>
      </c>
      <c r="H39" s="21">
        <v>380</v>
      </c>
      <c r="I39" s="23" t="str">
        <f t="shared" ref="I39:J39" si="23">I32</f>
        <v>1500</v>
      </c>
      <c r="J39" s="21">
        <f t="shared" si="23"/>
        <v>1000</v>
      </c>
      <c r="K39" s="21">
        <v>585</v>
      </c>
      <c r="L39" s="23" t="str">
        <f>L32</f>
        <v>1500</v>
      </c>
      <c r="M39" s="21"/>
      <c r="N39" s="21"/>
      <c r="O39" s="21">
        <f>O32</f>
        <v>2</v>
      </c>
      <c r="P39" s="21"/>
    </row>
    <row r="40" spans="1:16" ht="14.25" customHeight="1" x14ac:dyDescent="0.15">
      <c r="A40" s="19">
        <v>1</v>
      </c>
      <c r="B40" s="19">
        <v>1.5</v>
      </c>
      <c r="C40" s="19">
        <f>0.6+0.3</f>
        <v>0.89999999999999991</v>
      </c>
      <c r="D40" s="19">
        <f>B40*C40</f>
        <v>1.3499999999999999</v>
      </c>
      <c r="E40" s="19">
        <v>2.5</v>
      </c>
      <c r="F40" s="19"/>
      <c r="G40" s="19"/>
      <c r="H40" s="19"/>
      <c r="I40" s="19">
        <v>1</v>
      </c>
      <c r="J40" s="19">
        <f>A40</f>
        <v>1</v>
      </c>
      <c r="K40" s="19">
        <f t="shared" ref="K40:L40" si="24">K33</f>
        <v>0</v>
      </c>
      <c r="L40" s="19">
        <f t="shared" si="24"/>
        <v>1</v>
      </c>
      <c r="M40" s="19"/>
      <c r="N40" s="19"/>
      <c r="O40" s="19"/>
      <c r="P40" s="19"/>
    </row>
    <row r="41" spans="1:16" ht="14.25" customHeight="1" x14ac:dyDescent="0.15">
      <c r="A41" s="19"/>
      <c r="B41" s="19"/>
      <c r="C41" s="19"/>
      <c r="D41" s="26" t="str">
        <f>'MASTER DATA'!C8</f>
        <v>30000</v>
      </c>
      <c r="E41" s="26" t="str">
        <f>E34</f>
        <v>1500</v>
      </c>
      <c r="F41" s="19">
        <v>0</v>
      </c>
      <c r="G41" s="19">
        <v>1</v>
      </c>
      <c r="H41" s="19">
        <f>B40*2</f>
        <v>3</v>
      </c>
      <c r="I41" s="19"/>
      <c r="J41" s="19"/>
      <c r="K41" s="19"/>
      <c r="L41" s="19"/>
      <c r="M41" s="19"/>
      <c r="N41" s="19"/>
      <c r="O41" s="19"/>
      <c r="P41" s="19"/>
    </row>
    <row r="42" spans="1:16" ht="14.25" customHeight="1" x14ac:dyDescent="0.15">
      <c r="A42" s="19"/>
      <c r="B42" s="19"/>
      <c r="C42" s="19"/>
      <c r="D42" s="19">
        <f>D40*D41</f>
        <v>40499.999999999993</v>
      </c>
      <c r="E42" s="19">
        <f>E41*E39</f>
        <v>9000</v>
      </c>
      <c r="F42" s="19">
        <f t="shared" ref="F42:H42" si="25">F39*F41</f>
        <v>0</v>
      </c>
      <c r="G42" s="19">
        <f t="shared" si="25"/>
        <v>1800</v>
      </c>
      <c r="H42" s="19">
        <f t="shared" si="25"/>
        <v>1140</v>
      </c>
      <c r="I42" s="19">
        <f t="shared" ref="I42:L42" si="26">I39*I40</f>
        <v>1500</v>
      </c>
      <c r="J42" s="19">
        <f t="shared" si="26"/>
        <v>1000</v>
      </c>
      <c r="K42" s="19">
        <f t="shared" si="26"/>
        <v>0</v>
      </c>
      <c r="L42" s="19">
        <f t="shared" si="26"/>
        <v>1500</v>
      </c>
      <c r="M42" s="19">
        <f>SUM(D42:L42)</f>
        <v>56439.999999999993</v>
      </c>
      <c r="N42" s="19">
        <f>M42/A40</f>
        <v>56439.999999999993</v>
      </c>
      <c r="O42" s="19">
        <f>N42*O39</f>
        <v>112879.99999999999</v>
      </c>
      <c r="P42" s="19">
        <f>MROUND(O42,100)</f>
        <v>112900</v>
      </c>
    </row>
    <row r="43" spans="1:16" ht="14.25" customHeight="1" x14ac:dyDescent="0.15">
      <c r="A43" s="111"/>
      <c r="B43" s="87"/>
      <c r="C43" s="87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6" ht="14.25" customHeight="1" x14ac:dyDescent="0.15">
      <c r="A44" s="109" t="str">
        <f>PRICELIST!I550</f>
        <v>CBFLX-RST-GL-1500x600+1800</v>
      </c>
      <c r="B44" s="87"/>
      <c r="C44" s="87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spans="1:16" ht="14.25" customHeight="1" x14ac:dyDescent="0.15">
      <c r="A45" s="19" t="s">
        <v>57</v>
      </c>
      <c r="B45" s="19" t="s">
        <v>59</v>
      </c>
      <c r="C45" s="19" t="s">
        <v>62</v>
      </c>
      <c r="D45" s="19" t="s">
        <v>64</v>
      </c>
      <c r="E45" s="19" t="s">
        <v>233</v>
      </c>
      <c r="F45" s="19">
        <v>900</v>
      </c>
      <c r="G45" s="19">
        <v>600</v>
      </c>
      <c r="H45" s="19" t="s">
        <v>67</v>
      </c>
      <c r="I45" s="19" t="s">
        <v>244</v>
      </c>
      <c r="J45" s="19" t="s">
        <v>71</v>
      </c>
      <c r="K45" s="19" t="s">
        <v>72</v>
      </c>
      <c r="L45" s="19" t="s">
        <v>73</v>
      </c>
      <c r="M45" s="19" t="s">
        <v>76</v>
      </c>
      <c r="N45" s="19" t="s">
        <v>78</v>
      </c>
      <c r="O45" s="19" t="s">
        <v>79</v>
      </c>
      <c r="P45" s="19" t="s">
        <v>81</v>
      </c>
    </row>
    <row r="46" spans="1:16" ht="14.25" customHeight="1" x14ac:dyDescent="0.15">
      <c r="A46" s="21"/>
      <c r="B46" s="21"/>
      <c r="C46" s="44" t="s">
        <v>245</v>
      </c>
      <c r="D46" s="21"/>
      <c r="E46" s="21">
        <v>6</v>
      </c>
      <c r="F46" s="23" t="str">
        <f t="shared" ref="F46:G46" si="27">F39</f>
        <v>1900</v>
      </c>
      <c r="G46" s="23" t="str">
        <f t="shared" si="27"/>
        <v>1800</v>
      </c>
      <c r="H46" s="21">
        <v>380</v>
      </c>
      <c r="I46" s="23" t="str">
        <f t="shared" ref="I46:J46" si="28">I39</f>
        <v>1500</v>
      </c>
      <c r="J46" s="21">
        <f t="shared" si="28"/>
        <v>1000</v>
      </c>
      <c r="K46" s="21">
        <v>585</v>
      </c>
      <c r="L46" s="23" t="str">
        <f>L39</f>
        <v>1500</v>
      </c>
      <c r="M46" s="21"/>
      <c r="N46" s="21"/>
      <c r="O46" s="21">
        <f>O39</f>
        <v>2</v>
      </c>
      <c r="P46" s="21"/>
    </row>
    <row r="47" spans="1:16" ht="14.25" customHeight="1" x14ac:dyDescent="0.15">
      <c r="A47" s="19">
        <v>1</v>
      </c>
      <c r="B47" s="19">
        <v>1.5</v>
      </c>
      <c r="C47" s="19">
        <f>0.6+0.3</f>
        <v>0.89999999999999991</v>
      </c>
      <c r="D47" s="19">
        <f>B47*C47</f>
        <v>1.3499999999999999</v>
      </c>
      <c r="E47" s="19">
        <v>2.5</v>
      </c>
      <c r="F47" s="19"/>
      <c r="G47" s="19"/>
      <c r="H47" s="19"/>
      <c r="I47" s="19">
        <v>1</v>
      </c>
      <c r="J47" s="19">
        <f>A47</f>
        <v>1</v>
      </c>
      <c r="K47" s="19">
        <f t="shared" ref="K47:L47" si="29">K40</f>
        <v>0</v>
      </c>
      <c r="L47" s="19">
        <f t="shared" si="29"/>
        <v>1</v>
      </c>
      <c r="M47" s="19"/>
      <c r="N47" s="19"/>
      <c r="O47" s="19"/>
      <c r="P47" s="19"/>
    </row>
    <row r="48" spans="1:16" ht="14.25" customHeight="1" x14ac:dyDescent="0.15">
      <c r="A48" s="19"/>
      <c r="B48" s="19"/>
      <c r="C48" s="19"/>
      <c r="D48" s="26" t="str">
        <f>'MASTER DATA'!C9</f>
        <v>7500</v>
      </c>
      <c r="E48" s="26" t="str">
        <f>E41</f>
        <v>1500</v>
      </c>
      <c r="F48" s="19">
        <v>0</v>
      </c>
      <c r="G48" s="19">
        <v>1</v>
      </c>
      <c r="H48" s="19">
        <f>B47*2</f>
        <v>3</v>
      </c>
      <c r="I48" s="19"/>
      <c r="J48" s="19"/>
      <c r="K48" s="19"/>
      <c r="L48" s="19"/>
      <c r="M48" s="19"/>
      <c r="N48" s="19"/>
      <c r="O48" s="19"/>
      <c r="P48" s="19"/>
    </row>
    <row r="49" spans="1:16" ht="14.25" customHeight="1" x14ac:dyDescent="0.15">
      <c r="A49" s="19"/>
      <c r="B49" s="19"/>
      <c r="C49" s="19"/>
      <c r="D49" s="19">
        <f>D47*D48</f>
        <v>10124.999999999998</v>
      </c>
      <c r="E49" s="19">
        <f>E48*E46</f>
        <v>9000</v>
      </c>
      <c r="F49" s="19">
        <f t="shared" ref="F49:H49" si="30">F46*F48</f>
        <v>0</v>
      </c>
      <c r="G49" s="19">
        <f t="shared" si="30"/>
        <v>1800</v>
      </c>
      <c r="H49" s="19">
        <f t="shared" si="30"/>
        <v>1140</v>
      </c>
      <c r="I49" s="19">
        <f t="shared" ref="I49:L49" si="31">I46*I47</f>
        <v>1500</v>
      </c>
      <c r="J49" s="19">
        <f t="shared" si="31"/>
        <v>1000</v>
      </c>
      <c r="K49" s="19">
        <f t="shared" si="31"/>
        <v>0</v>
      </c>
      <c r="L49" s="19">
        <f t="shared" si="31"/>
        <v>1500</v>
      </c>
      <c r="M49" s="19">
        <f>SUM(D49:L49)</f>
        <v>26065</v>
      </c>
      <c r="N49" s="19">
        <f>M49/A47</f>
        <v>26065</v>
      </c>
      <c r="O49" s="19">
        <f>N49*O46</f>
        <v>52130</v>
      </c>
      <c r="P49" s="19">
        <f>MROUND(O49,100)</f>
        <v>52100</v>
      </c>
    </row>
    <row r="50" spans="1:16" ht="14.25" customHeight="1" x14ac:dyDescent="0.15">
      <c r="A50" s="111"/>
      <c r="B50" s="87"/>
      <c r="C50" s="87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</row>
    <row r="51" spans="1:16" ht="14.25" customHeight="1" x14ac:dyDescent="0.15">
      <c r="A51" s="109" t="str">
        <f>PRICELIST!I551</f>
        <v>CBFLX-RST-PB-1800x750+1800</v>
      </c>
      <c r="B51" s="87"/>
      <c r="C51" s="87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</row>
    <row r="52" spans="1:16" ht="14.25" customHeight="1" x14ac:dyDescent="0.15">
      <c r="A52" s="19" t="s">
        <v>57</v>
      </c>
      <c r="B52" s="19" t="s">
        <v>59</v>
      </c>
      <c r="C52" s="19" t="s">
        <v>62</v>
      </c>
      <c r="D52" s="19" t="s">
        <v>64</v>
      </c>
      <c r="E52" s="19" t="s">
        <v>233</v>
      </c>
      <c r="F52" s="19">
        <v>900</v>
      </c>
      <c r="G52" s="19">
        <v>600</v>
      </c>
      <c r="H52" s="19" t="s">
        <v>67</v>
      </c>
      <c r="I52" s="19" t="s">
        <v>244</v>
      </c>
      <c r="J52" s="19" t="s">
        <v>71</v>
      </c>
      <c r="K52" s="19" t="s">
        <v>72</v>
      </c>
      <c r="L52" s="19" t="s">
        <v>73</v>
      </c>
      <c r="M52" s="19" t="s">
        <v>76</v>
      </c>
      <c r="N52" s="19" t="s">
        <v>78</v>
      </c>
      <c r="O52" s="19" t="s">
        <v>79</v>
      </c>
      <c r="P52" s="19" t="s">
        <v>81</v>
      </c>
    </row>
    <row r="53" spans="1:16" ht="14.25" customHeight="1" x14ac:dyDescent="0.15">
      <c r="A53" s="21"/>
      <c r="B53" s="21"/>
      <c r="C53" s="44" t="s">
        <v>245</v>
      </c>
      <c r="D53" s="21"/>
      <c r="E53" s="21">
        <v>6</v>
      </c>
      <c r="F53" s="23" t="str">
        <f t="shared" ref="F53:G53" si="32">F46</f>
        <v>1900</v>
      </c>
      <c r="G53" s="23" t="str">
        <f t="shared" si="32"/>
        <v>1800</v>
      </c>
      <c r="H53" s="21">
        <v>380</v>
      </c>
      <c r="I53" s="23" t="str">
        <f t="shared" ref="I53:J53" si="33">I46</f>
        <v>1500</v>
      </c>
      <c r="J53" s="21">
        <f t="shared" si="33"/>
        <v>1000</v>
      </c>
      <c r="K53" s="21">
        <v>585</v>
      </c>
      <c r="L53" s="23" t="str">
        <f>L46</f>
        <v>1500</v>
      </c>
      <c r="M53" s="21"/>
      <c r="N53" s="21"/>
      <c r="O53" s="21">
        <f>O46</f>
        <v>2</v>
      </c>
      <c r="P53" s="21"/>
    </row>
    <row r="54" spans="1:16" ht="14.25" customHeight="1" x14ac:dyDescent="0.15">
      <c r="A54" s="19">
        <v>1</v>
      </c>
      <c r="B54" s="19">
        <v>1.8</v>
      </c>
      <c r="C54" s="19">
        <f>0.75+0.3</f>
        <v>1.05</v>
      </c>
      <c r="D54" s="19">
        <f>B54*C54</f>
        <v>1.8900000000000001</v>
      </c>
      <c r="E54" s="19">
        <v>2.5</v>
      </c>
      <c r="F54" s="19"/>
      <c r="G54" s="19"/>
      <c r="H54" s="19"/>
      <c r="I54" s="19">
        <v>1</v>
      </c>
      <c r="J54" s="19">
        <f>A54</f>
        <v>1</v>
      </c>
      <c r="K54" s="19">
        <f t="shared" ref="K54:L54" si="34">K47</f>
        <v>0</v>
      </c>
      <c r="L54" s="19">
        <f t="shared" si="34"/>
        <v>1</v>
      </c>
      <c r="M54" s="19"/>
      <c r="N54" s="19"/>
      <c r="O54" s="19"/>
      <c r="P54" s="19"/>
    </row>
    <row r="55" spans="1:16" ht="14.25" customHeight="1" x14ac:dyDescent="0.15">
      <c r="A55" s="19"/>
      <c r="B55" s="19"/>
      <c r="C55" s="19"/>
      <c r="D55" s="26" t="str">
        <f t="shared" ref="D55:E55" si="35">D6</f>
        <v>2200</v>
      </c>
      <c r="E55" s="26" t="str">
        <f t="shared" si="35"/>
        <v>1000</v>
      </c>
      <c r="F55" s="19">
        <v>1</v>
      </c>
      <c r="G55" s="19">
        <v>0</v>
      </c>
      <c r="H55" s="19">
        <f>B54*2</f>
        <v>3.6</v>
      </c>
      <c r="I55" s="19"/>
      <c r="J55" s="19"/>
      <c r="K55" s="19"/>
      <c r="L55" s="19"/>
      <c r="M55" s="19"/>
      <c r="N55" s="19"/>
      <c r="O55" s="19"/>
      <c r="P55" s="19"/>
    </row>
    <row r="56" spans="1:16" ht="14.25" customHeight="1" x14ac:dyDescent="0.15">
      <c r="A56" s="19"/>
      <c r="B56" s="19"/>
      <c r="C56" s="19"/>
      <c r="D56" s="19">
        <f>D54*D55</f>
        <v>4158</v>
      </c>
      <c r="E56" s="19">
        <f>E55*E53</f>
        <v>6000</v>
      </c>
      <c r="F56" s="19">
        <f t="shared" ref="F56:H56" si="36">F53*F55</f>
        <v>1900</v>
      </c>
      <c r="G56" s="19">
        <f t="shared" si="36"/>
        <v>0</v>
      </c>
      <c r="H56" s="19">
        <f t="shared" si="36"/>
        <v>1368</v>
      </c>
      <c r="I56" s="19">
        <f t="shared" ref="I56:L56" si="37">I53*I54</f>
        <v>1500</v>
      </c>
      <c r="J56" s="19">
        <f t="shared" si="37"/>
        <v>1000</v>
      </c>
      <c r="K56" s="19">
        <f t="shared" si="37"/>
        <v>0</v>
      </c>
      <c r="L56" s="19">
        <f t="shared" si="37"/>
        <v>1500</v>
      </c>
      <c r="M56" s="19">
        <f>SUM(D56:L56)</f>
        <v>17426</v>
      </c>
      <c r="N56" s="19">
        <f>M56/A54</f>
        <v>17426</v>
      </c>
      <c r="O56" s="19">
        <f>N56*O53</f>
        <v>34852</v>
      </c>
      <c r="P56" s="19">
        <f>MROUND(O56,100)</f>
        <v>34900</v>
      </c>
    </row>
    <row r="57" spans="1:16" ht="14.25" customHeight="1" x14ac:dyDescent="0.15">
      <c r="A57" s="111"/>
      <c r="B57" s="87"/>
      <c r="C57" s="87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</row>
    <row r="58" spans="1:16" ht="14.25" customHeight="1" x14ac:dyDescent="0.15">
      <c r="A58" s="109" t="str">
        <f>PRICELIST!I552</f>
        <v>CBFLX-RST-PLM-1800x750+1800</v>
      </c>
      <c r="B58" s="87"/>
      <c r="C58" s="87"/>
      <c r="D58" s="30"/>
      <c r="E58" s="30"/>
      <c r="F58" s="30"/>
      <c r="G58" s="30"/>
      <c r="H58" s="19"/>
      <c r="I58" s="19"/>
      <c r="J58" s="19"/>
      <c r="K58" s="19"/>
      <c r="L58" s="19"/>
      <c r="M58" s="19"/>
      <c r="N58" s="19"/>
      <c r="O58" s="19"/>
      <c r="P58" s="19"/>
    </row>
    <row r="59" spans="1:16" ht="14.25" customHeight="1" x14ac:dyDescent="0.15">
      <c r="A59" s="19" t="s">
        <v>57</v>
      </c>
      <c r="B59" s="19" t="s">
        <v>59</v>
      </c>
      <c r="C59" s="19" t="s">
        <v>62</v>
      </c>
      <c r="D59" s="19" t="s">
        <v>64</v>
      </c>
      <c r="E59" s="19" t="s">
        <v>233</v>
      </c>
      <c r="F59" s="19">
        <v>900</v>
      </c>
      <c r="G59" s="19">
        <v>600</v>
      </c>
      <c r="H59" s="19" t="s">
        <v>67</v>
      </c>
      <c r="I59" s="19" t="s">
        <v>244</v>
      </c>
      <c r="J59" s="19" t="s">
        <v>71</v>
      </c>
      <c r="K59" s="19" t="s">
        <v>72</v>
      </c>
      <c r="L59" s="19" t="s">
        <v>73</v>
      </c>
      <c r="M59" s="19" t="s">
        <v>76</v>
      </c>
      <c r="N59" s="19" t="s">
        <v>78</v>
      </c>
      <c r="O59" s="19" t="s">
        <v>79</v>
      </c>
      <c r="P59" s="19" t="s">
        <v>81</v>
      </c>
    </row>
    <row r="60" spans="1:16" ht="14.25" customHeight="1" x14ac:dyDescent="0.15">
      <c r="A60" s="21"/>
      <c r="B60" s="21"/>
      <c r="C60" s="44" t="s">
        <v>245</v>
      </c>
      <c r="D60" s="21"/>
      <c r="E60" s="21">
        <v>6</v>
      </c>
      <c r="F60" s="23" t="str">
        <f t="shared" ref="F60:G60" si="38">F53</f>
        <v>1900</v>
      </c>
      <c r="G60" s="23" t="str">
        <f t="shared" si="38"/>
        <v>1800</v>
      </c>
      <c r="H60" s="21">
        <v>380</v>
      </c>
      <c r="I60" s="23" t="str">
        <f t="shared" ref="I60:J60" si="39">I53</f>
        <v>1500</v>
      </c>
      <c r="J60" s="21">
        <f t="shared" si="39"/>
        <v>1000</v>
      </c>
      <c r="K60" s="21">
        <v>585</v>
      </c>
      <c r="L60" s="23" t="str">
        <f>L53</f>
        <v>1500</v>
      </c>
      <c r="M60" s="21"/>
      <c r="N60" s="21"/>
      <c r="O60" s="21">
        <f>O53</f>
        <v>2</v>
      </c>
      <c r="P60" s="21"/>
    </row>
    <row r="61" spans="1:16" ht="14.25" customHeight="1" x14ac:dyDescent="0.15">
      <c r="A61" s="19">
        <v>1</v>
      </c>
      <c r="B61" s="19">
        <v>1.8</v>
      </c>
      <c r="C61" s="19">
        <f>0.75+0.3</f>
        <v>1.05</v>
      </c>
      <c r="D61" s="19">
        <f>B61*C61</f>
        <v>1.8900000000000001</v>
      </c>
      <c r="E61" s="19">
        <v>2.5</v>
      </c>
      <c r="F61" s="19"/>
      <c r="G61" s="19"/>
      <c r="H61" s="19"/>
      <c r="I61" s="19">
        <v>1</v>
      </c>
      <c r="J61" s="19">
        <f>A61</f>
        <v>1</v>
      </c>
      <c r="K61" s="19">
        <f t="shared" ref="K61:L61" si="40">K54</f>
        <v>0</v>
      </c>
      <c r="L61" s="19">
        <f t="shared" si="40"/>
        <v>1</v>
      </c>
      <c r="M61" s="19"/>
      <c r="N61" s="19"/>
      <c r="O61" s="19"/>
      <c r="P61" s="19"/>
    </row>
    <row r="62" spans="1:16" ht="14.25" customHeight="1" x14ac:dyDescent="0.15">
      <c r="A62" s="19"/>
      <c r="B62" s="19"/>
      <c r="C62" s="19"/>
      <c r="D62" s="26" t="str">
        <f>D13</f>
        <v>3000</v>
      </c>
      <c r="E62" s="26" t="str">
        <f>E55</f>
        <v>1000</v>
      </c>
      <c r="F62" s="19">
        <v>1</v>
      </c>
      <c r="G62" s="19">
        <v>0</v>
      </c>
      <c r="H62" s="19">
        <f>B61*2</f>
        <v>3.6</v>
      </c>
      <c r="I62" s="19"/>
      <c r="J62" s="19"/>
      <c r="K62" s="19"/>
      <c r="L62" s="19"/>
      <c r="M62" s="19"/>
      <c r="N62" s="19"/>
      <c r="O62" s="19"/>
      <c r="P62" s="19"/>
    </row>
    <row r="63" spans="1:16" ht="14.25" customHeight="1" x14ac:dyDescent="0.15">
      <c r="A63" s="19"/>
      <c r="B63" s="19"/>
      <c r="C63" s="19"/>
      <c r="D63" s="19">
        <f>D61*D62</f>
        <v>5670</v>
      </c>
      <c r="E63" s="19">
        <f>E62*E60</f>
        <v>6000</v>
      </c>
      <c r="F63" s="19">
        <f t="shared" ref="F63:H63" si="41">F60*F62</f>
        <v>1900</v>
      </c>
      <c r="G63" s="19">
        <f t="shared" si="41"/>
        <v>0</v>
      </c>
      <c r="H63" s="19">
        <f t="shared" si="41"/>
        <v>1368</v>
      </c>
      <c r="I63" s="19">
        <f t="shared" ref="I63:L63" si="42">I60*I61</f>
        <v>1500</v>
      </c>
      <c r="J63" s="19">
        <f t="shared" si="42"/>
        <v>1000</v>
      </c>
      <c r="K63" s="19">
        <f t="shared" si="42"/>
        <v>0</v>
      </c>
      <c r="L63" s="19">
        <f t="shared" si="42"/>
        <v>1500</v>
      </c>
      <c r="M63" s="19">
        <f>SUM(D63:L63)</f>
        <v>18938</v>
      </c>
      <c r="N63" s="19">
        <f>M63/A61</f>
        <v>18938</v>
      </c>
      <c r="O63" s="19">
        <f>N63*O60</f>
        <v>37876</v>
      </c>
      <c r="P63" s="19">
        <f>MROUND(O63,100)</f>
        <v>37900</v>
      </c>
    </row>
    <row r="64" spans="1:16" ht="14.25" customHeight="1" x14ac:dyDescent="0.15">
      <c r="A64" s="111"/>
      <c r="B64" s="87"/>
      <c r="C64" s="87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</row>
    <row r="65" spans="1:16" ht="14.25" customHeight="1" x14ac:dyDescent="0.15">
      <c r="A65" s="109" t="str">
        <f>PRICELIST!I553</f>
        <v>CBFLX-RST-PoLM-1800x750+1800</v>
      </c>
      <c r="B65" s="87"/>
      <c r="C65" s="87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1:16" ht="14.25" customHeight="1" x14ac:dyDescent="0.15">
      <c r="A66" s="19" t="s">
        <v>57</v>
      </c>
      <c r="B66" s="19" t="s">
        <v>59</v>
      </c>
      <c r="C66" s="19" t="s">
        <v>62</v>
      </c>
      <c r="D66" s="19" t="s">
        <v>64</v>
      </c>
      <c r="E66" s="19" t="s">
        <v>233</v>
      </c>
      <c r="F66" s="19">
        <v>900</v>
      </c>
      <c r="G66" s="19">
        <v>600</v>
      </c>
      <c r="H66" s="19" t="s">
        <v>67</v>
      </c>
      <c r="I66" s="19" t="s">
        <v>244</v>
      </c>
      <c r="J66" s="19" t="s">
        <v>71</v>
      </c>
      <c r="K66" s="19" t="s">
        <v>72</v>
      </c>
      <c r="L66" s="19" t="s">
        <v>73</v>
      </c>
      <c r="M66" s="19" t="s">
        <v>76</v>
      </c>
      <c r="N66" s="19" t="s">
        <v>78</v>
      </c>
      <c r="O66" s="19" t="s">
        <v>79</v>
      </c>
      <c r="P66" s="19" t="s">
        <v>81</v>
      </c>
    </row>
    <row r="67" spans="1:16" ht="14.25" customHeight="1" x14ac:dyDescent="0.15">
      <c r="A67" s="21"/>
      <c r="B67" s="21"/>
      <c r="C67" s="44" t="s">
        <v>245</v>
      </c>
      <c r="D67" s="21"/>
      <c r="E67" s="21">
        <v>6</v>
      </c>
      <c r="F67" s="23" t="str">
        <f t="shared" ref="F67:G67" si="43">F60</f>
        <v>1900</v>
      </c>
      <c r="G67" s="23" t="str">
        <f t="shared" si="43"/>
        <v>1800</v>
      </c>
      <c r="H67" s="21">
        <v>380</v>
      </c>
      <c r="I67" s="23" t="str">
        <f t="shared" ref="I67:J67" si="44">I60</f>
        <v>1500</v>
      </c>
      <c r="J67" s="21">
        <f t="shared" si="44"/>
        <v>1000</v>
      </c>
      <c r="K67" s="21">
        <v>585</v>
      </c>
      <c r="L67" s="23" t="str">
        <f>L60</f>
        <v>1500</v>
      </c>
      <c r="M67" s="21"/>
      <c r="N67" s="21"/>
      <c r="O67" s="21">
        <f>O60</f>
        <v>2</v>
      </c>
      <c r="P67" s="21"/>
    </row>
    <row r="68" spans="1:16" ht="14.25" customHeight="1" x14ac:dyDescent="0.15">
      <c r="A68" s="19">
        <v>1</v>
      </c>
      <c r="B68" s="19">
        <v>1.8</v>
      </c>
      <c r="C68" s="19">
        <f>0.75+0.3</f>
        <v>1.05</v>
      </c>
      <c r="D68" s="19">
        <f>B68*C68</f>
        <v>1.8900000000000001</v>
      </c>
      <c r="E68" s="19">
        <v>2.5</v>
      </c>
      <c r="F68" s="19"/>
      <c r="G68" s="19"/>
      <c r="H68" s="19"/>
      <c r="I68" s="19">
        <v>1</v>
      </c>
      <c r="J68" s="19">
        <f>A68</f>
        <v>1</v>
      </c>
      <c r="K68" s="19">
        <f t="shared" ref="K68:L68" si="45">K61</f>
        <v>0</v>
      </c>
      <c r="L68" s="19">
        <f t="shared" si="45"/>
        <v>1</v>
      </c>
      <c r="M68" s="19"/>
      <c r="N68" s="19"/>
      <c r="O68" s="19"/>
      <c r="P68" s="19"/>
    </row>
    <row r="69" spans="1:16" ht="14.25" customHeight="1" x14ac:dyDescent="0.15">
      <c r="A69" s="19"/>
      <c r="B69" s="19"/>
      <c r="C69" s="19"/>
      <c r="D69" s="26" t="str">
        <f>D20</f>
        <v>7500</v>
      </c>
      <c r="E69" s="26" t="str">
        <f>E62</f>
        <v>1000</v>
      </c>
      <c r="F69" s="19">
        <v>1</v>
      </c>
      <c r="G69" s="19">
        <v>0</v>
      </c>
      <c r="H69" s="19">
        <f>B68*2</f>
        <v>3.6</v>
      </c>
      <c r="I69" s="19"/>
      <c r="J69" s="19"/>
      <c r="K69" s="19"/>
      <c r="L69" s="19"/>
      <c r="M69" s="19"/>
      <c r="N69" s="19"/>
      <c r="O69" s="19"/>
      <c r="P69" s="19"/>
    </row>
    <row r="70" spans="1:16" ht="14.25" customHeight="1" x14ac:dyDescent="0.15">
      <c r="A70" s="19"/>
      <c r="B70" s="19"/>
      <c r="C70" s="19"/>
      <c r="D70" s="19">
        <f>D68*D69</f>
        <v>14175.000000000002</v>
      </c>
      <c r="E70" s="19">
        <f>E69*E67</f>
        <v>6000</v>
      </c>
      <c r="F70" s="19">
        <f t="shared" ref="F70:H70" si="46">F67*F69</f>
        <v>1900</v>
      </c>
      <c r="G70" s="19">
        <f t="shared" si="46"/>
        <v>0</v>
      </c>
      <c r="H70" s="19">
        <f t="shared" si="46"/>
        <v>1368</v>
      </c>
      <c r="I70" s="19">
        <f t="shared" ref="I70:L70" si="47">I67*I68</f>
        <v>1500</v>
      </c>
      <c r="J70" s="19">
        <f t="shared" si="47"/>
        <v>1000</v>
      </c>
      <c r="K70" s="19">
        <f t="shared" si="47"/>
        <v>0</v>
      </c>
      <c r="L70" s="19">
        <f t="shared" si="47"/>
        <v>1500</v>
      </c>
      <c r="M70" s="19">
        <f>SUM(D70:L70)</f>
        <v>27443</v>
      </c>
      <c r="N70" s="19">
        <f>M70/A68</f>
        <v>27443</v>
      </c>
      <c r="O70" s="19">
        <f>N70*O67</f>
        <v>54886</v>
      </c>
      <c r="P70" s="19">
        <f>MROUND(O70,100)</f>
        <v>54900</v>
      </c>
    </row>
    <row r="71" spans="1:16" ht="14.25" customHeight="1" x14ac:dyDescent="0.15">
      <c r="A71" s="111"/>
      <c r="B71" s="87"/>
      <c r="C71" s="87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</row>
    <row r="72" spans="1:16" ht="14.25" customHeight="1" x14ac:dyDescent="0.15">
      <c r="A72" s="109" t="str">
        <f>PRICELIST!I554</f>
        <v>CBFLX-RST-LVM-1800x750+1800</v>
      </c>
      <c r="B72" s="87"/>
      <c r="C72" s="87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4.25" customHeight="1" x14ac:dyDescent="0.15">
      <c r="A73" s="19" t="s">
        <v>57</v>
      </c>
      <c r="B73" s="19" t="s">
        <v>59</v>
      </c>
      <c r="C73" s="19" t="s">
        <v>62</v>
      </c>
      <c r="D73" s="19" t="s">
        <v>64</v>
      </c>
      <c r="E73" s="19" t="s">
        <v>233</v>
      </c>
      <c r="F73" s="19">
        <v>900</v>
      </c>
      <c r="G73" s="19">
        <v>600</v>
      </c>
      <c r="H73" s="19" t="s">
        <v>67</v>
      </c>
      <c r="I73" s="19" t="s">
        <v>244</v>
      </c>
      <c r="J73" s="19" t="s">
        <v>71</v>
      </c>
      <c r="K73" s="19" t="s">
        <v>72</v>
      </c>
      <c r="L73" s="19" t="s">
        <v>73</v>
      </c>
      <c r="M73" s="19" t="s">
        <v>76</v>
      </c>
      <c r="N73" s="19" t="s">
        <v>78</v>
      </c>
      <c r="O73" s="19" t="s">
        <v>79</v>
      </c>
      <c r="P73" s="19" t="s">
        <v>81</v>
      </c>
    </row>
    <row r="74" spans="1:16" ht="14.25" customHeight="1" x14ac:dyDescent="0.15">
      <c r="A74" s="21"/>
      <c r="B74" s="21"/>
      <c r="C74" s="44" t="s">
        <v>245</v>
      </c>
      <c r="D74" s="21"/>
      <c r="E74" s="21">
        <v>6</v>
      </c>
      <c r="F74" s="23" t="str">
        <f t="shared" ref="F74:G74" si="48">F67</f>
        <v>1900</v>
      </c>
      <c r="G74" s="23" t="str">
        <f t="shared" si="48"/>
        <v>1800</v>
      </c>
      <c r="H74" s="21">
        <v>380</v>
      </c>
      <c r="I74" s="23" t="str">
        <f t="shared" ref="I74:J74" si="49">I67</f>
        <v>1500</v>
      </c>
      <c r="J74" s="21">
        <f t="shared" si="49"/>
        <v>1000</v>
      </c>
      <c r="K74" s="21">
        <v>585</v>
      </c>
      <c r="L74" s="23" t="str">
        <f>L67</f>
        <v>1500</v>
      </c>
      <c r="M74" s="21"/>
      <c r="N74" s="21"/>
      <c r="O74" s="21">
        <f>O67</f>
        <v>2</v>
      </c>
      <c r="P74" s="21"/>
    </row>
    <row r="75" spans="1:16" ht="14.25" customHeight="1" x14ac:dyDescent="0.15">
      <c r="A75" s="19">
        <v>1</v>
      </c>
      <c r="B75" s="19">
        <v>1.8</v>
      </c>
      <c r="C75" s="19">
        <f>0.75+0.3</f>
        <v>1.05</v>
      </c>
      <c r="D75" s="19">
        <f>B75*C75</f>
        <v>1.8900000000000001</v>
      </c>
      <c r="E75" s="19">
        <v>2.5</v>
      </c>
      <c r="F75" s="19"/>
      <c r="G75" s="19"/>
      <c r="H75" s="19"/>
      <c r="I75" s="19">
        <v>1</v>
      </c>
      <c r="J75" s="19">
        <f>A75</f>
        <v>1</v>
      </c>
      <c r="K75" s="19">
        <f t="shared" ref="K75:L75" si="50">K68</f>
        <v>0</v>
      </c>
      <c r="L75" s="19">
        <f t="shared" si="50"/>
        <v>1</v>
      </c>
      <c r="M75" s="19"/>
      <c r="N75" s="19"/>
      <c r="O75" s="19"/>
      <c r="P75" s="19"/>
    </row>
    <row r="76" spans="1:16" ht="14.25" customHeight="1" x14ac:dyDescent="0.15">
      <c r="A76" s="19"/>
      <c r="B76" s="19"/>
      <c r="C76" s="19"/>
      <c r="D76" s="26" t="str">
        <f>D27</f>
        <v>9500</v>
      </c>
      <c r="E76" s="26" t="str">
        <f>E34</f>
        <v>1500</v>
      </c>
      <c r="F76" s="19">
        <v>1</v>
      </c>
      <c r="G76" s="19">
        <v>0</v>
      </c>
      <c r="H76" s="19">
        <f>B75*2</f>
        <v>3.6</v>
      </c>
      <c r="I76" s="19"/>
      <c r="J76" s="19"/>
      <c r="K76" s="19"/>
      <c r="L76" s="19"/>
      <c r="M76" s="19"/>
      <c r="N76" s="19"/>
      <c r="O76" s="19"/>
      <c r="P76" s="19"/>
    </row>
    <row r="77" spans="1:16" ht="14.25" customHeight="1" x14ac:dyDescent="0.15">
      <c r="A77" s="19"/>
      <c r="B77" s="19"/>
      <c r="C77" s="19"/>
      <c r="D77" s="19">
        <f>D75*D76</f>
        <v>17955</v>
      </c>
      <c r="E77" s="19">
        <f>E76*E74</f>
        <v>9000</v>
      </c>
      <c r="F77" s="19">
        <f t="shared" ref="F77:H77" si="51">F74*F76</f>
        <v>1900</v>
      </c>
      <c r="G77" s="19">
        <f t="shared" si="51"/>
        <v>0</v>
      </c>
      <c r="H77" s="19">
        <f t="shared" si="51"/>
        <v>1368</v>
      </c>
      <c r="I77" s="19">
        <f t="shared" ref="I77:L77" si="52">I74*I75</f>
        <v>1500</v>
      </c>
      <c r="J77" s="19">
        <f t="shared" si="52"/>
        <v>1000</v>
      </c>
      <c r="K77" s="19">
        <f t="shared" si="52"/>
        <v>0</v>
      </c>
      <c r="L77" s="19">
        <f t="shared" si="52"/>
        <v>1500</v>
      </c>
      <c r="M77" s="19">
        <f>SUM(D77:L77)</f>
        <v>34223</v>
      </c>
      <c r="N77" s="19">
        <f>M77/A75</f>
        <v>34223</v>
      </c>
      <c r="O77" s="19">
        <f>N77*O74</f>
        <v>68446</v>
      </c>
      <c r="P77" s="19">
        <f>MROUND(O77,100)</f>
        <v>68400</v>
      </c>
    </row>
    <row r="78" spans="1:16" ht="14.25" customHeight="1" x14ac:dyDescent="0.15">
      <c r="A78" s="111"/>
      <c r="B78" s="87"/>
      <c r="C78" s="87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</row>
    <row r="79" spans="1:16" ht="14.25" customHeight="1" x14ac:dyDescent="0.15">
      <c r="A79" s="109" t="str">
        <f>PRICELIST!I555</f>
        <v>CBFLX-RST-LVP-1800x750+1800</v>
      </c>
      <c r="B79" s="87"/>
      <c r="C79" s="87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spans="1:16" ht="14.25" customHeight="1" x14ac:dyDescent="0.15">
      <c r="A80" s="19" t="s">
        <v>57</v>
      </c>
      <c r="B80" s="19" t="s">
        <v>59</v>
      </c>
      <c r="C80" s="19" t="s">
        <v>62</v>
      </c>
      <c r="D80" s="19" t="s">
        <v>64</v>
      </c>
      <c r="E80" s="19" t="s">
        <v>233</v>
      </c>
      <c r="F80" s="19">
        <v>900</v>
      </c>
      <c r="G80" s="19">
        <v>600</v>
      </c>
      <c r="H80" s="19" t="s">
        <v>67</v>
      </c>
      <c r="I80" s="19" t="s">
        <v>244</v>
      </c>
      <c r="J80" s="19" t="s">
        <v>71</v>
      </c>
      <c r="K80" s="19" t="s">
        <v>72</v>
      </c>
      <c r="L80" s="19" t="s">
        <v>73</v>
      </c>
      <c r="M80" s="19" t="s">
        <v>76</v>
      </c>
      <c r="N80" s="19" t="s">
        <v>78</v>
      </c>
      <c r="O80" s="19" t="s">
        <v>79</v>
      </c>
      <c r="P80" s="19" t="s">
        <v>81</v>
      </c>
    </row>
    <row r="81" spans="1:16" ht="14.25" customHeight="1" x14ac:dyDescent="0.15">
      <c r="A81" s="21"/>
      <c r="B81" s="21"/>
      <c r="C81" s="44" t="s">
        <v>245</v>
      </c>
      <c r="D81" s="21"/>
      <c r="E81" s="21">
        <v>6</v>
      </c>
      <c r="F81" s="23" t="str">
        <f t="shared" ref="F81:G81" si="53">F74</f>
        <v>1900</v>
      </c>
      <c r="G81" s="23" t="str">
        <f t="shared" si="53"/>
        <v>1800</v>
      </c>
      <c r="H81" s="21">
        <v>380</v>
      </c>
      <c r="I81" s="23" t="str">
        <f t="shared" ref="I81:J81" si="54">I74</f>
        <v>1500</v>
      </c>
      <c r="J81" s="21">
        <f t="shared" si="54"/>
        <v>1000</v>
      </c>
      <c r="K81" s="21">
        <v>585</v>
      </c>
      <c r="L81" s="23" t="str">
        <f>L74</f>
        <v>1500</v>
      </c>
      <c r="M81" s="21"/>
      <c r="N81" s="21"/>
      <c r="O81" s="21">
        <f>O74</f>
        <v>2</v>
      </c>
      <c r="P81" s="21"/>
    </row>
    <row r="82" spans="1:16" ht="14.25" customHeight="1" x14ac:dyDescent="0.15">
      <c r="A82" s="19">
        <v>1</v>
      </c>
      <c r="B82" s="19">
        <v>1.8</v>
      </c>
      <c r="C82" s="19">
        <f>0.75+0.3</f>
        <v>1.05</v>
      </c>
      <c r="D82" s="19">
        <f>B82*C82</f>
        <v>1.8900000000000001</v>
      </c>
      <c r="E82" s="19">
        <v>2.5</v>
      </c>
      <c r="F82" s="19"/>
      <c r="G82" s="19"/>
      <c r="H82" s="19"/>
      <c r="I82" s="19">
        <v>1</v>
      </c>
      <c r="J82" s="19">
        <f>A82</f>
        <v>1</v>
      </c>
      <c r="K82" s="19">
        <f t="shared" ref="K82:L82" si="55">K75</f>
        <v>0</v>
      </c>
      <c r="L82" s="19">
        <f t="shared" si="55"/>
        <v>1</v>
      </c>
      <c r="M82" s="19"/>
      <c r="N82" s="19"/>
      <c r="O82" s="19"/>
      <c r="P82" s="19"/>
    </row>
    <row r="83" spans="1:16" ht="14.25" customHeight="1" x14ac:dyDescent="0.15">
      <c r="A83" s="19"/>
      <c r="B83" s="19"/>
      <c r="C83" s="19"/>
      <c r="D83" s="26" t="str">
        <f>D34</f>
        <v>10500</v>
      </c>
      <c r="E83" s="26" t="str">
        <f>E76</f>
        <v>1500</v>
      </c>
      <c r="F83" s="19">
        <v>1</v>
      </c>
      <c r="G83" s="19">
        <v>0</v>
      </c>
      <c r="H83" s="19">
        <f>B82*2</f>
        <v>3.6</v>
      </c>
      <c r="I83" s="19"/>
      <c r="J83" s="19"/>
      <c r="K83" s="19"/>
      <c r="L83" s="19"/>
      <c r="M83" s="19"/>
      <c r="N83" s="19"/>
      <c r="O83" s="19"/>
      <c r="P83" s="19"/>
    </row>
    <row r="84" spans="1:16" ht="14.25" customHeight="1" x14ac:dyDescent="0.15">
      <c r="A84" s="19"/>
      <c r="B84" s="19"/>
      <c r="C84" s="19"/>
      <c r="D84" s="19">
        <f>D82*D83</f>
        <v>19845</v>
      </c>
      <c r="E84" s="19">
        <f>E83*E81</f>
        <v>9000</v>
      </c>
      <c r="F84" s="19">
        <f t="shared" ref="F84:H84" si="56">F81*F83</f>
        <v>1900</v>
      </c>
      <c r="G84" s="19">
        <f t="shared" si="56"/>
        <v>0</v>
      </c>
      <c r="H84" s="19">
        <f t="shared" si="56"/>
        <v>1368</v>
      </c>
      <c r="I84" s="19">
        <f t="shared" ref="I84:L84" si="57">I81*I82</f>
        <v>1500</v>
      </c>
      <c r="J84" s="19">
        <f t="shared" si="57"/>
        <v>1000</v>
      </c>
      <c r="K84" s="19">
        <f t="shared" si="57"/>
        <v>0</v>
      </c>
      <c r="L84" s="19">
        <f t="shared" si="57"/>
        <v>1500</v>
      </c>
      <c r="M84" s="19">
        <f>SUM(D84:L84)</f>
        <v>36113</v>
      </c>
      <c r="N84" s="19">
        <f>M84/A82</f>
        <v>36113</v>
      </c>
      <c r="O84" s="19">
        <f>N84*O81</f>
        <v>72226</v>
      </c>
      <c r="P84" s="19">
        <f>MROUND(O84,100)</f>
        <v>72200</v>
      </c>
    </row>
    <row r="85" spans="1:16" ht="14.25" customHeight="1" x14ac:dyDescent="0.15">
      <c r="A85" s="111"/>
      <c r="B85" s="87"/>
      <c r="C85" s="87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</row>
    <row r="86" spans="1:16" ht="14.25" customHeight="1" x14ac:dyDescent="0.15">
      <c r="A86" s="109" t="str">
        <f>PRICELIST!I556</f>
        <v>CBFLX-RST-VNR-1800x750+1800</v>
      </c>
      <c r="B86" s="87"/>
      <c r="C86" s="87"/>
      <c r="D86" s="19"/>
      <c r="E86" s="19"/>
      <c r="F86" s="30"/>
      <c r="G86" s="30"/>
      <c r="H86" s="19"/>
      <c r="I86" s="19"/>
      <c r="J86" s="19"/>
      <c r="K86" s="19"/>
      <c r="L86" s="19"/>
      <c r="M86" s="19"/>
      <c r="N86" s="19"/>
      <c r="O86" s="19"/>
      <c r="P86" s="19"/>
    </row>
    <row r="87" spans="1:16" ht="14.25" customHeight="1" x14ac:dyDescent="0.15">
      <c r="A87" s="19" t="s">
        <v>57</v>
      </c>
      <c r="B87" s="19" t="s">
        <v>59</v>
      </c>
      <c r="C87" s="19" t="s">
        <v>62</v>
      </c>
      <c r="D87" s="19" t="s">
        <v>64</v>
      </c>
      <c r="E87" s="19" t="s">
        <v>233</v>
      </c>
      <c r="F87" s="19">
        <v>900</v>
      </c>
      <c r="G87" s="19">
        <v>600</v>
      </c>
      <c r="H87" s="19" t="s">
        <v>67</v>
      </c>
      <c r="I87" s="19" t="s">
        <v>244</v>
      </c>
      <c r="J87" s="19" t="s">
        <v>71</v>
      </c>
      <c r="K87" s="19" t="s">
        <v>72</v>
      </c>
      <c r="L87" s="19" t="s">
        <v>73</v>
      </c>
      <c r="M87" s="19" t="s">
        <v>76</v>
      </c>
      <c r="N87" s="19" t="s">
        <v>78</v>
      </c>
      <c r="O87" s="19" t="s">
        <v>79</v>
      </c>
      <c r="P87" s="19" t="s">
        <v>81</v>
      </c>
    </row>
    <row r="88" spans="1:16" ht="14.25" customHeight="1" x14ac:dyDescent="0.15">
      <c r="A88" s="21"/>
      <c r="B88" s="21"/>
      <c r="C88" s="44" t="s">
        <v>245</v>
      </c>
      <c r="D88" s="21"/>
      <c r="E88" s="21">
        <v>6</v>
      </c>
      <c r="F88" s="23" t="str">
        <f t="shared" ref="F88:G88" si="58">F81</f>
        <v>1900</v>
      </c>
      <c r="G88" s="23" t="str">
        <f t="shared" si="58"/>
        <v>1800</v>
      </c>
      <c r="H88" s="21">
        <v>380</v>
      </c>
      <c r="I88" s="23" t="str">
        <f t="shared" ref="I88:J88" si="59">I81</f>
        <v>1500</v>
      </c>
      <c r="J88" s="21">
        <f t="shared" si="59"/>
        <v>1000</v>
      </c>
      <c r="K88" s="21">
        <v>585</v>
      </c>
      <c r="L88" s="23" t="str">
        <f>L81</f>
        <v>1500</v>
      </c>
      <c r="M88" s="21"/>
      <c r="N88" s="21"/>
      <c r="O88" s="21">
        <f>O81</f>
        <v>2</v>
      </c>
      <c r="P88" s="21"/>
    </row>
    <row r="89" spans="1:16" ht="14.25" customHeight="1" x14ac:dyDescent="0.15">
      <c r="A89" s="19">
        <v>1</v>
      </c>
      <c r="B89" s="19">
        <v>1.8</v>
      </c>
      <c r="C89" s="19">
        <f>0.75+0.3</f>
        <v>1.05</v>
      </c>
      <c r="D89" s="19">
        <f>B89*C89</f>
        <v>1.8900000000000001</v>
      </c>
      <c r="E89" s="19">
        <v>2.5</v>
      </c>
      <c r="F89" s="19"/>
      <c r="G89" s="19"/>
      <c r="H89" s="19"/>
      <c r="I89" s="19">
        <v>1</v>
      </c>
      <c r="J89" s="19">
        <f>A89</f>
        <v>1</v>
      </c>
      <c r="K89" s="19">
        <f t="shared" ref="K89:L89" si="60">K82</f>
        <v>0</v>
      </c>
      <c r="L89" s="19">
        <f t="shared" si="60"/>
        <v>1</v>
      </c>
      <c r="M89" s="19"/>
      <c r="N89" s="19"/>
      <c r="O89" s="19"/>
      <c r="P89" s="19"/>
    </row>
    <row r="90" spans="1:16" ht="14.25" customHeight="1" x14ac:dyDescent="0.15">
      <c r="A90" s="19"/>
      <c r="B90" s="19"/>
      <c r="C90" s="19"/>
      <c r="D90" s="26" t="str">
        <f>D41</f>
        <v>30000</v>
      </c>
      <c r="E90" s="26" t="str">
        <f>E83</f>
        <v>1500</v>
      </c>
      <c r="F90" s="19">
        <v>1</v>
      </c>
      <c r="G90" s="19">
        <v>0</v>
      </c>
      <c r="H90" s="19">
        <f>B89*2</f>
        <v>3.6</v>
      </c>
      <c r="I90" s="19"/>
      <c r="J90" s="19"/>
      <c r="K90" s="19"/>
      <c r="L90" s="19"/>
      <c r="M90" s="19"/>
      <c r="N90" s="19"/>
      <c r="O90" s="19"/>
      <c r="P90" s="19"/>
    </row>
    <row r="91" spans="1:16" ht="14.25" customHeight="1" x14ac:dyDescent="0.15">
      <c r="A91" s="19"/>
      <c r="B91" s="19"/>
      <c r="C91" s="19"/>
      <c r="D91" s="19">
        <f>D89*D90</f>
        <v>56700.000000000007</v>
      </c>
      <c r="E91" s="19">
        <f>E90*E88</f>
        <v>9000</v>
      </c>
      <c r="F91" s="19">
        <f t="shared" ref="F91:H91" si="61">F88*F90</f>
        <v>1900</v>
      </c>
      <c r="G91" s="19">
        <f t="shared" si="61"/>
        <v>0</v>
      </c>
      <c r="H91" s="19">
        <f t="shared" si="61"/>
        <v>1368</v>
      </c>
      <c r="I91" s="19">
        <f t="shared" ref="I91:L91" si="62">I88*I89</f>
        <v>1500</v>
      </c>
      <c r="J91" s="19">
        <f t="shared" si="62"/>
        <v>1000</v>
      </c>
      <c r="K91" s="19">
        <f t="shared" si="62"/>
        <v>0</v>
      </c>
      <c r="L91" s="19">
        <f t="shared" si="62"/>
        <v>1500</v>
      </c>
      <c r="M91" s="19">
        <f>SUM(D91:L91)</f>
        <v>72968</v>
      </c>
      <c r="N91" s="19">
        <f>M91/A89</f>
        <v>72968</v>
      </c>
      <c r="O91" s="19">
        <f>N91*O88</f>
        <v>145936</v>
      </c>
      <c r="P91" s="19">
        <f>MROUND(O91,100)</f>
        <v>145900</v>
      </c>
    </row>
    <row r="92" spans="1:16" ht="14.25" customHeight="1" x14ac:dyDescent="0.15">
      <c r="A92" s="111"/>
      <c r="B92" s="87"/>
      <c r="C92" s="87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</row>
    <row r="93" spans="1:16" ht="14.25" customHeight="1" x14ac:dyDescent="0.15">
      <c r="A93" s="109" t="str">
        <f>PRICELIST!I557</f>
        <v>CBFLX-RST-GL-1800x750+1800</v>
      </c>
      <c r="B93" s="87"/>
      <c r="C93" s="87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</row>
    <row r="94" spans="1:16" ht="14.25" customHeight="1" x14ac:dyDescent="0.15">
      <c r="A94" s="19" t="s">
        <v>57</v>
      </c>
      <c r="B94" s="19" t="s">
        <v>59</v>
      </c>
      <c r="C94" s="19" t="s">
        <v>62</v>
      </c>
      <c r="D94" s="19" t="s">
        <v>64</v>
      </c>
      <c r="E94" s="19" t="s">
        <v>233</v>
      </c>
      <c r="F94" s="19">
        <v>900</v>
      </c>
      <c r="G94" s="19">
        <v>600</v>
      </c>
      <c r="H94" s="19" t="s">
        <v>67</v>
      </c>
      <c r="I94" s="19" t="s">
        <v>244</v>
      </c>
      <c r="J94" s="19" t="s">
        <v>71</v>
      </c>
      <c r="K94" s="19" t="s">
        <v>72</v>
      </c>
      <c r="L94" s="19" t="s">
        <v>73</v>
      </c>
      <c r="M94" s="19" t="s">
        <v>76</v>
      </c>
      <c r="N94" s="19" t="s">
        <v>78</v>
      </c>
      <c r="O94" s="19" t="s">
        <v>79</v>
      </c>
      <c r="P94" s="19" t="s">
        <v>81</v>
      </c>
    </row>
    <row r="95" spans="1:16" ht="14.25" customHeight="1" x14ac:dyDescent="0.15">
      <c r="A95" s="21"/>
      <c r="B95" s="21"/>
      <c r="C95" s="44" t="s">
        <v>245</v>
      </c>
      <c r="D95" s="21"/>
      <c r="E95" s="21">
        <v>6</v>
      </c>
      <c r="F95" s="23" t="str">
        <f t="shared" ref="F95:G95" si="63">F88</f>
        <v>1900</v>
      </c>
      <c r="G95" s="23" t="str">
        <f t="shared" si="63"/>
        <v>1800</v>
      </c>
      <c r="H95" s="21">
        <v>380</v>
      </c>
      <c r="I95" s="23" t="str">
        <f t="shared" ref="I95:J95" si="64">I88</f>
        <v>1500</v>
      </c>
      <c r="J95" s="21">
        <f t="shared" si="64"/>
        <v>1000</v>
      </c>
      <c r="K95" s="21">
        <v>585</v>
      </c>
      <c r="L95" s="23" t="str">
        <f>L88</f>
        <v>1500</v>
      </c>
      <c r="M95" s="21"/>
      <c r="N95" s="21"/>
      <c r="O95" s="21">
        <f>O88</f>
        <v>2</v>
      </c>
      <c r="P95" s="21"/>
    </row>
    <row r="96" spans="1:16" ht="14.25" customHeight="1" x14ac:dyDescent="0.15">
      <c r="A96" s="19">
        <v>1</v>
      </c>
      <c r="B96" s="19">
        <v>1.8</v>
      </c>
      <c r="C96" s="19">
        <f>0.75+0.3</f>
        <v>1.05</v>
      </c>
      <c r="D96" s="19">
        <f>B96*C96</f>
        <v>1.8900000000000001</v>
      </c>
      <c r="E96" s="19">
        <v>2.5</v>
      </c>
      <c r="F96" s="19"/>
      <c r="G96" s="19"/>
      <c r="H96" s="19"/>
      <c r="I96" s="19">
        <v>1</v>
      </c>
      <c r="J96" s="19">
        <f>A96</f>
        <v>1</v>
      </c>
      <c r="K96" s="19">
        <f t="shared" ref="K96:L96" si="65">K89</f>
        <v>0</v>
      </c>
      <c r="L96" s="19">
        <f t="shared" si="65"/>
        <v>1</v>
      </c>
      <c r="M96" s="19"/>
      <c r="N96" s="19"/>
      <c r="O96" s="19"/>
      <c r="P96" s="19"/>
    </row>
    <row r="97" spans="1:16" ht="14.25" customHeight="1" x14ac:dyDescent="0.15">
      <c r="A97" s="19"/>
      <c r="B97" s="19"/>
      <c r="C97" s="19"/>
      <c r="D97" s="26" t="str">
        <f>D48</f>
        <v>7500</v>
      </c>
      <c r="E97" s="26" t="str">
        <f>E90</f>
        <v>1500</v>
      </c>
      <c r="F97" s="19">
        <v>1</v>
      </c>
      <c r="G97" s="19">
        <v>0</v>
      </c>
      <c r="H97" s="19">
        <f>B96*2</f>
        <v>3.6</v>
      </c>
      <c r="I97" s="19"/>
      <c r="J97" s="19"/>
      <c r="K97" s="19"/>
      <c r="L97" s="19"/>
      <c r="M97" s="19"/>
      <c r="N97" s="19"/>
      <c r="O97" s="19"/>
      <c r="P97" s="19"/>
    </row>
    <row r="98" spans="1:16" ht="14.25" customHeight="1" x14ac:dyDescent="0.15">
      <c r="A98" s="19"/>
      <c r="B98" s="19"/>
      <c r="C98" s="19"/>
      <c r="D98" s="19">
        <f>D96*D97</f>
        <v>14175.000000000002</v>
      </c>
      <c r="E98" s="19">
        <f>E97*E95</f>
        <v>9000</v>
      </c>
      <c r="F98" s="19">
        <f t="shared" ref="F98:H98" si="66">F95*F97</f>
        <v>1900</v>
      </c>
      <c r="G98" s="19">
        <f t="shared" si="66"/>
        <v>0</v>
      </c>
      <c r="H98" s="19">
        <f t="shared" si="66"/>
        <v>1368</v>
      </c>
      <c r="I98" s="19">
        <f t="shared" ref="I98:L98" si="67">I95*I96</f>
        <v>1500</v>
      </c>
      <c r="J98" s="19">
        <f t="shared" si="67"/>
        <v>1000</v>
      </c>
      <c r="K98" s="19">
        <f t="shared" si="67"/>
        <v>0</v>
      </c>
      <c r="L98" s="19">
        <f t="shared" si="67"/>
        <v>1500</v>
      </c>
      <c r="M98" s="19">
        <f>SUM(D98:L98)</f>
        <v>30443</v>
      </c>
      <c r="N98" s="19">
        <f>M98/A96</f>
        <v>30443</v>
      </c>
      <c r="O98" s="19">
        <f>N98*O95</f>
        <v>60886</v>
      </c>
      <c r="P98" s="19">
        <f>MROUND(O98,100)</f>
        <v>60900</v>
      </c>
    </row>
    <row r="99" spans="1:16" ht="14.25" customHeight="1" x14ac:dyDescent="0.15">
      <c r="A99" s="111"/>
      <c r="B99" s="87"/>
      <c r="C99" s="87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</row>
    <row r="100" spans="1:16" ht="14.25" customHeight="1" x14ac:dyDescent="0.15">
      <c r="A100" s="109" t="str">
        <f>PRICELIST!I558</f>
        <v>CBFLX-RST-PB-2100x900+1800</v>
      </c>
      <c r="B100" s="87"/>
      <c r="C100" s="87"/>
      <c r="D100" s="30"/>
      <c r="E100" s="30"/>
      <c r="F100" s="21"/>
      <c r="G100" s="21"/>
      <c r="H100" s="19"/>
      <c r="I100" s="19"/>
      <c r="J100" s="19"/>
      <c r="K100" s="19"/>
      <c r="L100" s="19"/>
      <c r="M100" s="19"/>
      <c r="N100" s="19"/>
      <c r="O100" s="19"/>
      <c r="P100" s="19"/>
    </row>
    <row r="101" spans="1:16" ht="14.25" customHeight="1" x14ac:dyDescent="0.15">
      <c r="A101" s="19" t="s">
        <v>57</v>
      </c>
      <c r="B101" s="19" t="s">
        <v>59</v>
      </c>
      <c r="C101" s="19" t="s">
        <v>62</v>
      </c>
      <c r="D101" s="19" t="s">
        <v>64</v>
      </c>
      <c r="E101" s="19" t="s">
        <v>233</v>
      </c>
      <c r="F101" s="19">
        <v>900</v>
      </c>
      <c r="G101" s="19">
        <v>600</v>
      </c>
      <c r="H101" s="19" t="s">
        <v>67</v>
      </c>
      <c r="I101" s="19" t="s">
        <v>244</v>
      </c>
      <c r="J101" s="19" t="s">
        <v>71</v>
      </c>
      <c r="K101" s="19" t="s">
        <v>72</v>
      </c>
      <c r="L101" s="19" t="s">
        <v>73</v>
      </c>
      <c r="M101" s="19" t="s">
        <v>76</v>
      </c>
      <c r="N101" s="19" t="s">
        <v>78</v>
      </c>
      <c r="O101" s="19" t="s">
        <v>79</v>
      </c>
      <c r="P101" s="19" t="s">
        <v>81</v>
      </c>
    </row>
    <row r="102" spans="1:16" ht="14.25" customHeight="1" x14ac:dyDescent="0.15">
      <c r="A102" s="21"/>
      <c r="B102" s="21"/>
      <c r="C102" s="44" t="s">
        <v>245</v>
      </c>
      <c r="D102" s="21"/>
      <c r="E102" s="21">
        <v>6</v>
      </c>
      <c r="F102" s="23" t="str">
        <f t="shared" ref="F102:G102" si="68">F95</f>
        <v>1900</v>
      </c>
      <c r="G102" s="23" t="str">
        <f t="shared" si="68"/>
        <v>1800</v>
      </c>
      <c r="H102" s="21">
        <v>380</v>
      </c>
      <c r="I102" s="23" t="str">
        <f t="shared" ref="I102:J102" si="69">I95</f>
        <v>1500</v>
      </c>
      <c r="J102" s="21">
        <f t="shared" si="69"/>
        <v>1000</v>
      </c>
      <c r="K102" s="21">
        <v>585</v>
      </c>
      <c r="L102" s="23" t="str">
        <f>L95</f>
        <v>1500</v>
      </c>
      <c r="M102" s="21"/>
      <c r="N102" s="21"/>
      <c r="O102" s="21">
        <f>O95</f>
        <v>2</v>
      </c>
      <c r="P102" s="21"/>
    </row>
    <row r="103" spans="1:16" ht="14.25" customHeight="1" x14ac:dyDescent="0.15">
      <c r="A103" s="19">
        <v>1</v>
      </c>
      <c r="B103" s="19">
        <v>2.1</v>
      </c>
      <c r="C103" s="19">
        <f>0.9+0.3</f>
        <v>1.2</v>
      </c>
      <c r="D103" s="19">
        <f>B103*C103</f>
        <v>2.52</v>
      </c>
      <c r="E103" s="19">
        <v>2.5</v>
      </c>
      <c r="F103" s="19"/>
      <c r="G103" s="19"/>
      <c r="H103" s="19"/>
      <c r="I103" s="19">
        <v>1</v>
      </c>
      <c r="J103" s="19">
        <f>A103</f>
        <v>1</v>
      </c>
      <c r="K103" s="19">
        <f t="shared" ref="K103:L103" si="70">K96</f>
        <v>0</v>
      </c>
      <c r="L103" s="19">
        <f t="shared" si="70"/>
        <v>1</v>
      </c>
      <c r="M103" s="19"/>
      <c r="N103" s="19"/>
      <c r="O103" s="19"/>
      <c r="P103" s="19"/>
    </row>
    <row r="104" spans="1:16" ht="14.25" customHeight="1" x14ac:dyDescent="0.15">
      <c r="A104" s="19"/>
      <c r="B104" s="19"/>
      <c r="C104" s="19"/>
      <c r="D104" s="26" t="str">
        <f t="shared" ref="D104:E104" si="71">D55</f>
        <v>2200</v>
      </c>
      <c r="E104" s="26" t="str">
        <f t="shared" si="71"/>
        <v>1000</v>
      </c>
      <c r="F104" s="19">
        <v>1</v>
      </c>
      <c r="G104" s="19">
        <v>0</v>
      </c>
      <c r="H104" s="19">
        <f>B103*2</f>
        <v>4.2</v>
      </c>
      <c r="I104" s="19"/>
      <c r="J104" s="19"/>
      <c r="K104" s="19"/>
      <c r="L104" s="19"/>
      <c r="M104" s="19"/>
      <c r="N104" s="19"/>
      <c r="O104" s="19"/>
      <c r="P104" s="19"/>
    </row>
    <row r="105" spans="1:16" ht="14.25" customHeight="1" x14ac:dyDescent="0.15">
      <c r="A105" s="19"/>
      <c r="B105" s="19"/>
      <c r="C105" s="19"/>
      <c r="D105" s="19">
        <f>D103*D104</f>
        <v>5544</v>
      </c>
      <c r="E105" s="19">
        <f>E104*E102</f>
        <v>6000</v>
      </c>
      <c r="F105" s="19">
        <f t="shared" ref="F105:H105" si="72">F102*F104</f>
        <v>1900</v>
      </c>
      <c r="G105" s="19">
        <f t="shared" si="72"/>
        <v>0</v>
      </c>
      <c r="H105" s="19">
        <f t="shared" si="72"/>
        <v>1596</v>
      </c>
      <c r="I105" s="19">
        <f t="shared" ref="I105:L105" si="73">I102*I103</f>
        <v>1500</v>
      </c>
      <c r="J105" s="19">
        <f t="shared" si="73"/>
        <v>1000</v>
      </c>
      <c r="K105" s="19">
        <f t="shared" si="73"/>
        <v>0</v>
      </c>
      <c r="L105" s="19">
        <f t="shared" si="73"/>
        <v>1500</v>
      </c>
      <c r="M105" s="19">
        <f>SUM(D105:L105)</f>
        <v>19040</v>
      </c>
      <c r="N105" s="19">
        <f>M105/A103</f>
        <v>19040</v>
      </c>
      <c r="O105" s="19">
        <f>N105*O102</f>
        <v>38080</v>
      </c>
      <c r="P105" s="19">
        <f>MROUND(O105,100)</f>
        <v>38100</v>
      </c>
    </row>
    <row r="106" spans="1:16" ht="14.25" customHeight="1" x14ac:dyDescent="0.15">
      <c r="A106" s="111"/>
      <c r="B106" s="87"/>
      <c r="C106" s="87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</row>
    <row r="107" spans="1:16" ht="14.25" customHeight="1" x14ac:dyDescent="0.15">
      <c r="A107" s="109" t="str">
        <f>PRICELIST!I559</f>
        <v>CBFLX-RST-PLM-2100x900+1800</v>
      </c>
      <c r="B107" s="87"/>
      <c r="C107" s="87"/>
      <c r="D107" s="30"/>
      <c r="E107" s="30"/>
      <c r="F107" s="30"/>
      <c r="G107" s="30"/>
      <c r="H107" s="19"/>
      <c r="I107" s="19"/>
      <c r="J107" s="19"/>
      <c r="K107" s="19"/>
      <c r="L107" s="19"/>
      <c r="M107" s="19"/>
      <c r="N107" s="19"/>
      <c r="O107" s="19"/>
      <c r="P107" s="19"/>
    </row>
    <row r="108" spans="1:16" ht="14.25" customHeight="1" x14ac:dyDescent="0.15">
      <c r="A108" s="19" t="s">
        <v>57</v>
      </c>
      <c r="B108" s="19" t="s">
        <v>59</v>
      </c>
      <c r="C108" s="19" t="s">
        <v>62</v>
      </c>
      <c r="D108" s="19" t="s">
        <v>64</v>
      </c>
      <c r="E108" s="19" t="s">
        <v>233</v>
      </c>
      <c r="F108" s="19">
        <v>900</v>
      </c>
      <c r="G108" s="19">
        <v>600</v>
      </c>
      <c r="H108" s="19" t="s">
        <v>67</v>
      </c>
      <c r="I108" s="19" t="s">
        <v>244</v>
      </c>
      <c r="J108" s="19" t="s">
        <v>71</v>
      </c>
      <c r="K108" s="19" t="s">
        <v>72</v>
      </c>
      <c r="L108" s="19" t="s">
        <v>73</v>
      </c>
      <c r="M108" s="19" t="s">
        <v>76</v>
      </c>
      <c r="N108" s="19" t="s">
        <v>78</v>
      </c>
      <c r="O108" s="19" t="s">
        <v>79</v>
      </c>
      <c r="P108" s="19" t="s">
        <v>81</v>
      </c>
    </row>
    <row r="109" spans="1:16" ht="14.25" customHeight="1" x14ac:dyDescent="0.15">
      <c r="A109" s="21"/>
      <c r="B109" s="21"/>
      <c r="C109" s="44" t="s">
        <v>245</v>
      </c>
      <c r="D109" s="21"/>
      <c r="E109" s="21">
        <v>6</v>
      </c>
      <c r="F109" s="23" t="str">
        <f t="shared" ref="F109:G109" si="74">F102</f>
        <v>1900</v>
      </c>
      <c r="G109" s="23" t="str">
        <f t="shared" si="74"/>
        <v>1800</v>
      </c>
      <c r="H109" s="21">
        <v>380</v>
      </c>
      <c r="I109" s="23" t="str">
        <f t="shared" ref="I109:J109" si="75">I102</f>
        <v>1500</v>
      </c>
      <c r="J109" s="21">
        <f t="shared" si="75"/>
        <v>1000</v>
      </c>
      <c r="K109" s="21">
        <v>585</v>
      </c>
      <c r="L109" s="23" t="str">
        <f>L102</f>
        <v>1500</v>
      </c>
      <c r="M109" s="21"/>
      <c r="N109" s="21"/>
      <c r="O109" s="21">
        <f>O102</f>
        <v>2</v>
      </c>
      <c r="P109" s="21"/>
    </row>
    <row r="110" spans="1:16" ht="14.25" customHeight="1" x14ac:dyDescent="0.15">
      <c r="A110" s="19">
        <v>1</v>
      </c>
      <c r="B110" s="19">
        <v>2.1</v>
      </c>
      <c r="C110" s="19">
        <f>0.9+0.3</f>
        <v>1.2</v>
      </c>
      <c r="D110" s="19">
        <f>B110*C110</f>
        <v>2.52</v>
      </c>
      <c r="E110" s="19">
        <v>2.5</v>
      </c>
      <c r="F110" s="19"/>
      <c r="G110" s="19"/>
      <c r="H110" s="19"/>
      <c r="I110" s="19">
        <v>1</v>
      </c>
      <c r="J110" s="19">
        <f>A110</f>
        <v>1</v>
      </c>
      <c r="K110" s="19">
        <f t="shared" ref="K110:L110" si="76">K103</f>
        <v>0</v>
      </c>
      <c r="L110" s="19">
        <f t="shared" si="76"/>
        <v>1</v>
      </c>
      <c r="M110" s="19"/>
      <c r="N110" s="19"/>
      <c r="O110" s="19"/>
      <c r="P110" s="19"/>
    </row>
    <row r="111" spans="1:16" ht="14.25" customHeight="1" x14ac:dyDescent="0.15">
      <c r="A111" s="19"/>
      <c r="B111" s="19"/>
      <c r="C111" s="19"/>
      <c r="D111" s="26" t="str">
        <f>D62</f>
        <v>3000</v>
      </c>
      <c r="E111" s="26" t="str">
        <f>E104</f>
        <v>1000</v>
      </c>
      <c r="F111" s="19">
        <v>1</v>
      </c>
      <c r="G111" s="19">
        <v>0</v>
      </c>
      <c r="H111" s="19">
        <f>B110*2</f>
        <v>4.2</v>
      </c>
      <c r="I111" s="19"/>
      <c r="J111" s="19"/>
      <c r="K111" s="19"/>
      <c r="L111" s="19"/>
      <c r="M111" s="19"/>
      <c r="N111" s="19"/>
      <c r="O111" s="19"/>
      <c r="P111" s="19"/>
    </row>
    <row r="112" spans="1:16" ht="14.25" customHeight="1" x14ac:dyDescent="0.15">
      <c r="A112" s="19"/>
      <c r="B112" s="19"/>
      <c r="C112" s="19"/>
      <c r="D112" s="19">
        <f>D110*D111</f>
        <v>7560</v>
      </c>
      <c r="E112" s="19">
        <f>E111*E109</f>
        <v>6000</v>
      </c>
      <c r="F112" s="19">
        <f t="shared" ref="F112:H112" si="77">F109*F111</f>
        <v>1900</v>
      </c>
      <c r="G112" s="19">
        <f t="shared" si="77"/>
        <v>0</v>
      </c>
      <c r="H112" s="19">
        <f t="shared" si="77"/>
        <v>1596</v>
      </c>
      <c r="I112" s="19">
        <f t="shared" ref="I112:L112" si="78">I109*I110</f>
        <v>1500</v>
      </c>
      <c r="J112" s="19">
        <f t="shared" si="78"/>
        <v>1000</v>
      </c>
      <c r="K112" s="19">
        <f t="shared" si="78"/>
        <v>0</v>
      </c>
      <c r="L112" s="19">
        <f t="shared" si="78"/>
        <v>1500</v>
      </c>
      <c r="M112" s="19">
        <f>SUM(D112:L112)</f>
        <v>21056</v>
      </c>
      <c r="N112" s="19">
        <f>M112/A110</f>
        <v>21056</v>
      </c>
      <c r="O112" s="19">
        <f>N112*O109</f>
        <v>42112</v>
      </c>
      <c r="P112" s="19">
        <f>MROUND(O112,100)</f>
        <v>42100</v>
      </c>
    </row>
    <row r="113" spans="1:16" ht="14.25" customHeight="1" x14ac:dyDescent="0.15">
      <c r="A113" s="111"/>
      <c r="B113" s="87"/>
      <c r="C113" s="87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</row>
    <row r="114" spans="1:16" ht="14.25" customHeight="1" x14ac:dyDescent="0.15">
      <c r="A114" s="109" t="str">
        <f>PRICELIST!I560</f>
        <v>CBFLX-RST-PoLM-2100x900+1800</v>
      </c>
      <c r="B114" s="87"/>
      <c r="C114" s="87"/>
      <c r="D114" s="19"/>
      <c r="E114" s="19"/>
      <c r="F114" s="30"/>
      <c r="G114" s="30"/>
      <c r="H114" s="19"/>
      <c r="I114" s="19"/>
      <c r="J114" s="19"/>
      <c r="K114" s="19"/>
      <c r="L114" s="19"/>
      <c r="M114" s="19"/>
      <c r="N114" s="19"/>
      <c r="O114" s="19"/>
      <c r="P114" s="19"/>
    </row>
    <row r="115" spans="1:16" ht="14.25" customHeight="1" x14ac:dyDescent="0.15">
      <c r="A115" s="19" t="s">
        <v>57</v>
      </c>
      <c r="B115" s="19" t="s">
        <v>59</v>
      </c>
      <c r="C115" s="19" t="s">
        <v>62</v>
      </c>
      <c r="D115" s="19" t="s">
        <v>64</v>
      </c>
      <c r="E115" s="19" t="s">
        <v>233</v>
      </c>
      <c r="F115" s="19">
        <v>900</v>
      </c>
      <c r="G115" s="19">
        <v>600</v>
      </c>
      <c r="H115" s="19" t="s">
        <v>67</v>
      </c>
      <c r="I115" s="19" t="s">
        <v>244</v>
      </c>
      <c r="J115" s="19" t="s">
        <v>71</v>
      </c>
      <c r="K115" s="19" t="s">
        <v>72</v>
      </c>
      <c r="L115" s="19" t="s">
        <v>73</v>
      </c>
      <c r="M115" s="19" t="s">
        <v>76</v>
      </c>
      <c r="N115" s="19" t="s">
        <v>78</v>
      </c>
      <c r="O115" s="19" t="s">
        <v>79</v>
      </c>
      <c r="P115" s="19" t="s">
        <v>81</v>
      </c>
    </row>
    <row r="116" spans="1:16" ht="14.25" customHeight="1" x14ac:dyDescent="0.15">
      <c r="A116" s="21"/>
      <c r="B116" s="21"/>
      <c r="C116" s="44" t="s">
        <v>245</v>
      </c>
      <c r="D116" s="21"/>
      <c r="E116" s="21">
        <v>6</v>
      </c>
      <c r="F116" s="23" t="str">
        <f t="shared" ref="F116:G116" si="79">F109</f>
        <v>1900</v>
      </c>
      <c r="G116" s="23" t="str">
        <f t="shared" si="79"/>
        <v>1800</v>
      </c>
      <c r="H116" s="21">
        <v>380</v>
      </c>
      <c r="I116" s="23" t="str">
        <f t="shared" ref="I116:J116" si="80">I109</f>
        <v>1500</v>
      </c>
      <c r="J116" s="21">
        <f t="shared" si="80"/>
        <v>1000</v>
      </c>
      <c r="K116" s="21">
        <v>585</v>
      </c>
      <c r="L116" s="23" t="str">
        <f>L109</f>
        <v>1500</v>
      </c>
      <c r="M116" s="21"/>
      <c r="N116" s="21"/>
      <c r="O116" s="21">
        <f>O109</f>
        <v>2</v>
      </c>
      <c r="P116" s="21"/>
    </row>
    <row r="117" spans="1:16" ht="14.25" customHeight="1" x14ac:dyDescent="0.15">
      <c r="A117" s="19">
        <v>1</v>
      </c>
      <c r="B117" s="19">
        <v>2.1</v>
      </c>
      <c r="C117" s="19">
        <f>0.9+0.3</f>
        <v>1.2</v>
      </c>
      <c r="D117" s="19">
        <f>B117*C117</f>
        <v>2.52</v>
      </c>
      <c r="E117" s="19">
        <v>2.5</v>
      </c>
      <c r="F117" s="19"/>
      <c r="G117" s="19"/>
      <c r="H117" s="19"/>
      <c r="I117" s="19">
        <v>1</v>
      </c>
      <c r="J117" s="19">
        <f>A117</f>
        <v>1</v>
      </c>
      <c r="K117" s="19">
        <f t="shared" ref="K117:L117" si="81">K110</f>
        <v>0</v>
      </c>
      <c r="L117" s="19">
        <f t="shared" si="81"/>
        <v>1</v>
      </c>
      <c r="M117" s="19"/>
      <c r="N117" s="19"/>
      <c r="O117" s="19"/>
      <c r="P117" s="19"/>
    </row>
    <row r="118" spans="1:16" ht="14.25" customHeight="1" x14ac:dyDescent="0.15">
      <c r="A118" s="19"/>
      <c r="B118" s="19"/>
      <c r="C118" s="19"/>
      <c r="D118" s="26" t="str">
        <f>D69</f>
        <v>7500</v>
      </c>
      <c r="E118" s="26" t="str">
        <f>E111</f>
        <v>1000</v>
      </c>
      <c r="F118" s="19">
        <v>1</v>
      </c>
      <c r="G118" s="19">
        <v>0</v>
      </c>
      <c r="H118" s="19">
        <f>B117*2</f>
        <v>4.2</v>
      </c>
      <c r="I118" s="19"/>
      <c r="J118" s="19"/>
      <c r="K118" s="19"/>
      <c r="L118" s="19"/>
      <c r="M118" s="19"/>
      <c r="N118" s="19"/>
      <c r="O118" s="19"/>
      <c r="P118" s="19"/>
    </row>
    <row r="119" spans="1:16" ht="14.25" customHeight="1" x14ac:dyDescent="0.15">
      <c r="A119" s="19"/>
      <c r="B119" s="19"/>
      <c r="C119" s="19"/>
      <c r="D119" s="19">
        <f>D117*D118</f>
        <v>18900</v>
      </c>
      <c r="E119" s="19">
        <f>E118*E116</f>
        <v>6000</v>
      </c>
      <c r="F119" s="19">
        <f t="shared" ref="F119:H119" si="82">F116*F118</f>
        <v>1900</v>
      </c>
      <c r="G119" s="19">
        <f t="shared" si="82"/>
        <v>0</v>
      </c>
      <c r="H119" s="19">
        <f t="shared" si="82"/>
        <v>1596</v>
      </c>
      <c r="I119" s="19">
        <f t="shared" ref="I119:L119" si="83">I116*I117</f>
        <v>1500</v>
      </c>
      <c r="J119" s="19">
        <f t="shared" si="83"/>
        <v>1000</v>
      </c>
      <c r="K119" s="19">
        <f t="shared" si="83"/>
        <v>0</v>
      </c>
      <c r="L119" s="19">
        <f t="shared" si="83"/>
        <v>1500</v>
      </c>
      <c r="M119" s="19">
        <f>SUM(D119:L119)</f>
        <v>32396</v>
      </c>
      <c r="N119" s="19">
        <f>M119/A117</f>
        <v>32396</v>
      </c>
      <c r="O119" s="19">
        <f>N119*O116</f>
        <v>64792</v>
      </c>
      <c r="P119" s="19">
        <f>MROUND(O119,100)</f>
        <v>64800</v>
      </c>
    </row>
    <row r="120" spans="1:16" ht="14.25" customHeight="1" x14ac:dyDescent="0.15">
      <c r="A120" s="111"/>
      <c r="B120" s="87"/>
      <c r="C120" s="87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spans="1:16" ht="14.25" customHeight="1" x14ac:dyDescent="0.15">
      <c r="A121" s="109" t="str">
        <f>PRICELIST!I561</f>
        <v>CBFLX-RST-LVM-2100x900+1800</v>
      </c>
      <c r="B121" s="87"/>
      <c r="C121" s="87"/>
      <c r="D121" s="21"/>
      <c r="E121" s="21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</row>
    <row r="122" spans="1:16" ht="14.25" customHeight="1" x14ac:dyDescent="0.15">
      <c r="A122" s="19" t="s">
        <v>57</v>
      </c>
      <c r="B122" s="19" t="s">
        <v>59</v>
      </c>
      <c r="C122" s="19" t="s">
        <v>62</v>
      </c>
      <c r="D122" s="19" t="s">
        <v>64</v>
      </c>
      <c r="E122" s="19" t="s">
        <v>233</v>
      </c>
      <c r="F122" s="19">
        <v>900</v>
      </c>
      <c r="G122" s="19">
        <v>600</v>
      </c>
      <c r="H122" s="19" t="s">
        <v>67</v>
      </c>
      <c r="I122" s="19" t="s">
        <v>244</v>
      </c>
      <c r="J122" s="19" t="s">
        <v>71</v>
      </c>
      <c r="K122" s="19" t="s">
        <v>72</v>
      </c>
      <c r="L122" s="19" t="s">
        <v>73</v>
      </c>
      <c r="M122" s="19" t="s">
        <v>76</v>
      </c>
      <c r="N122" s="19" t="s">
        <v>78</v>
      </c>
      <c r="O122" s="19" t="s">
        <v>79</v>
      </c>
      <c r="P122" s="19" t="s">
        <v>81</v>
      </c>
    </row>
    <row r="123" spans="1:16" ht="14.25" customHeight="1" x14ac:dyDescent="0.15">
      <c r="A123" s="21"/>
      <c r="B123" s="21"/>
      <c r="C123" s="44" t="s">
        <v>245</v>
      </c>
      <c r="D123" s="21"/>
      <c r="E123" s="21">
        <v>6</v>
      </c>
      <c r="F123" s="23" t="str">
        <f t="shared" ref="F123:G123" si="84">F116</f>
        <v>1900</v>
      </c>
      <c r="G123" s="23" t="str">
        <f t="shared" si="84"/>
        <v>1800</v>
      </c>
      <c r="H123" s="21">
        <v>380</v>
      </c>
      <c r="I123" s="23" t="str">
        <f t="shared" ref="I123:J123" si="85">I116</f>
        <v>1500</v>
      </c>
      <c r="J123" s="21">
        <f t="shared" si="85"/>
        <v>1000</v>
      </c>
      <c r="K123" s="21">
        <v>585</v>
      </c>
      <c r="L123" s="23" t="str">
        <f>L116</f>
        <v>1500</v>
      </c>
      <c r="M123" s="21"/>
      <c r="N123" s="21"/>
      <c r="O123" s="21">
        <f>O116</f>
        <v>2</v>
      </c>
      <c r="P123" s="21"/>
    </row>
    <row r="124" spans="1:16" ht="14.25" customHeight="1" x14ac:dyDescent="0.15">
      <c r="A124" s="19">
        <v>1</v>
      </c>
      <c r="B124" s="19">
        <v>2.1</v>
      </c>
      <c r="C124" s="19">
        <f>0.9+0.3</f>
        <v>1.2</v>
      </c>
      <c r="D124" s="19">
        <f>B124*C124</f>
        <v>2.52</v>
      </c>
      <c r="E124" s="19">
        <v>2.5</v>
      </c>
      <c r="F124" s="19"/>
      <c r="G124" s="19"/>
      <c r="H124" s="19"/>
      <c r="I124" s="19">
        <v>1</v>
      </c>
      <c r="J124" s="19">
        <f>A124</f>
        <v>1</v>
      </c>
      <c r="K124" s="19">
        <f t="shared" ref="K124:L124" si="86">K117</f>
        <v>0</v>
      </c>
      <c r="L124" s="19">
        <f t="shared" si="86"/>
        <v>1</v>
      </c>
      <c r="M124" s="19"/>
      <c r="N124" s="19"/>
      <c r="O124" s="19"/>
      <c r="P124" s="19"/>
    </row>
    <row r="125" spans="1:16" ht="14.25" customHeight="1" x14ac:dyDescent="0.15">
      <c r="A125" s="19"/>
      <c r="B125" s="19"/>
      <c r="C125" s="19"/>
      <c r="D125" s="26" t="str">
        <f>D76</f>
        <v>9500</v>
      </c>
      <c r="E125" s="26" t="str">
        <f>E83</f>
        <v>1500</v>
      </c>
      <c r="F125" s="19">
        <v>1</v>
      </c>
      <c r="G125" s="19">
        <v>0</v>
      </c>
      <c r="H125" s="19">
        <f>B124*2</f>
        <v>4.2</v>
      </c>
      <c r="I125" s="19"/>
      <c r="J125" s="19"/>
      <c r="K125" s="19"/>
      <c r="L125" s="19"/>
      <c r="M125" s="19"/>
      <c r="N125" s="19"/>
      <c r="O125" s="19"/>
      <c r="P125" s="19"/>
    </row>
    <row r="126" spans="1:16" ht="14.25" customHeight="1" x14ac:dyDescent="0.15">
      <c r="A126" s="19"/>
      <c r="B126" s="19"/>
      <c r="C126" s="19"/>
      <c r="D126" s="19">
        <f>D124*D125</f>
        <v>23940</v>
      </c>
      <c r="E126" s="19">
        <f>E125*E123</f>
        <v>9000</v>
      </c>
      <c r="F126" s="19">
        <f t="shared" ref="F126:H126" si="87">F123*F125</f>
        <v>1900</v>
      </c>
      <c r="G126" s="19">
        <f t="shared" si="87"/>
        <v>0</v>
      </c>
      <c r="H126" s="19">
        <f t="shared" si="87"/>
        <v>1596</v>
      </c>
      <c r="I126" s="19">
        <f t="shared" ref="I126:L126" si="88">I123*I124</f>
        <v>1500</v>
      </c>
      <c r="J126" s="19">
        <f t="shared" si="88"/>
        <v>1000</v>
      </c>
      <c r="K126" s="19">
        <f t="shared" si="88"/>
        <v>0</v>
      </c>
      <c r="L126" s="19">
        <f t="shared" si="88"/>
        <v>1500</v>
      </c>
      <c r="M126" s="19">
        <f>SUM(D126:L126)</f>
        <v>40436</v>
      </c>
      <c r="N126" s="19">
        <f>M126/A124</f>
        <v>40436</v>
      </c>
      <c r="O126" s="19">
        <f>N126*O123</f>
        <v>80872</v>
      </c>
      <c r="P126" s="19">
        <f>MROUND(O126,100)</f>
        <v>80900</v>
      </c>
    </row>
    <row r="127" spans="1:16" ht="14.25" customHeight="1" x14ac:dyDescent="0.15">
      <c r="A127" s="111"/>
      <c r="B127" s="87"/>
      <c r="C127" s="87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</row>
    <row r="128" spans="1:16" ht="14.25" customHeight="1" x14ac:dyDescent="0.15">
      <c r="A128" s="109" t="str">
        <f>PRICELIST!I562</f>
        <v>CBFLX-RST-LVP-2100x900+1800</v>
      </c>
      <c r="B128" s="87"/>
      <c r="C128" s="87"/>
      <c r="D128" s="19"/>
      <c r="E128" s="19"/>
      <c r="F128" s="21"/>
      <c r="G128" s="21"/>
      <c r="H128" s="19"/>
      <c r="I128" s="19"/>
      <c r="J128" s="19"/>
      <c r="K128" s="19"/>
      <c r="L128" s="19"/>
      <c r="M128" s="19"/>
      <c r="N128" s="19"/>
      <c r="O128" s="19"/>
      <c r="P128" s="19"/>
    </row>
    <row r="129" spans="1:16" ht="14.25" customHeight="1" x14ac:dyDescent="0.15">
      <c r="A129" s="19" t="s">
        <v>57</v>
      </c>
      <c r="B129" s="19" t="s">
        <v>59</v>
      </c>
      <c r="C129" s="19" t="s">
        <v>62</v>
      </c>
      <c r="D129" s="19" t="s">
        <v>64</v>
      </c>
      <c r="E129" s="19" t="s">
        <v>233</v>
      </c>
      <c r="F129" s="19">
        <v>900</v>
      </c>
      <c r="G129" s="19">
        <v>600</v>
      </c>
      <c r="H129" s="19" t="s">
        <v>67</v>
      </c>
      <c r="I129" s="19" t="s">
        <v>244</v>
      </c>
      <c r="J129" s="19" t="s">
        <v>71</v>
      </c>
      <c r="K129" s="19" t="s">
        <v>72</v>
      </c>
      <c r="L129" s="19" t="s">
        <v>73</v>
      </c>
      <c r="M129" s="19" t="s">
        <v>76</v>
      </c>
      <c r="N129" s="19" t="s">
        <v>78</v>
      </c>
      <c r="O129" s="19" t="s">
        <v>79</v>
      </c>
      <c r="P129" s="19" t="s">
        <v>81</v>
      </c>
    </row>
    <row r="130" spans="1:16" ht="14.25" customHeight="1" x14ac:dyDescent="0.15">
      <c r="A130" s="21"/>
      <c r="B130" s="21"/>
      <c r="C130" s="44" t="s">
        <v>245</v>
      </c>
      <c r="D130" s="21"/>
      <c r="E130" s="21">
        <v>6</v>
      </c>
      <c r="F130" s="23" t="str">
        <f t="shared" ref="F130:G130" si="89">F123</f>
        <v>1900</v>
      </c>
      <c r="G130" s="23" t="str">
        <f t="shared" si="89"/>
        <v>1800</v>
      </c>
      <c r="H130" s="21">
        <v>380</v>
      </c>
      <c r="I130" s="23" t="str">
        <f t="shared" ref="I130:J130" si="90">I123</f>
        <v>1500</v>
      </c>
      <c r="J130" s="21">
        <f t="shared" si="90"/>
        <v>1000</v>
      </c>
      <c r="K130" s="21">
        <v>585</v>
      </c>
      <c r="L130" s="23" t="str">
        <f>L123</f>
        <v>1500</v>
      </c>
      <c r="M130" s="21"/>
      <c r="N130" s="21"/>
      <c r="O130" s="21">
        <f>O123</f>
        <v>2</v>
      </c>
      <c r="P130" s="21"/>
    </row>
    <row r="131" spans="1:16" ht="14.25" customHeight="1" x14ac:dyDescent="0.15">
      <c r="A131" s="19">
        <v>1</v>
      </c>
      <c r="B131" s="19">
        <v>2.1</v>
      </c>
      <c r="C131" s="19">
        <f>0.9+0.3</f>
        <v>1.2</v>
      </c>
      <c r="D131" s="19">
        <f>B131*C131</f>
        <v>2.52</v>
      </c>
      <c r="E131" s="19">
        <v>2.5</v>
      </c>
      <c r="F131" s="19"/>
      <c r="G131" s="19"/>
      <c r="H131" s="19"/>
      <c r="I131" s="19">
        <v>1</v>
      </c>
      <c r="J131" s="19">
        <f>A131</f>
        <v>1</v>
      </c>
      <c r="K131" s="19">
        <f t="shared" ref="K131:L131" si="91">K124</f>
        <v>0</v>
      </c>
      <c r="L131" s="19">
        <f t="shared" si="91"/>
        <v>1</v>
      </c>
      <c r="M131" s="19"/>
      <c r="N131" s="19"/>
      <c r="O131" s="19"/>
      <c r="P131" s="19"/>
    </row>
    <row r="132" spans="1:16" ht="14.25" customHeight="1" x14ac:dyDescent="0.15">
      <c r="A132" s="19"/>
      <c r="B132" s="19"/>
      <c r="C132" s="19"/>
      <c r="D132" s="26" t="str">
        <f>D83</f>
        <v>10500</v>
      </c>
      <c r="E132" s="26" t="str">
        <f>E125</f>
        <v>1500</v>
      </c>
      <c r="F132" s="19">
        <v>1</v>
      </c>
      <c r="G132" s="19">
        <v>0</v>
      </c>
      <c r="H132" s="19">
        <f>B131*2</f>
        <v>4.2</v>
      </c>
      <c r="I132" s="19"/>
      <c r="J132" s="19"/>
      <c r="K132" s="19"/>
      <c r="L132" s="19"/>
      <c r="M132" s="19"/>
      <c r="N132" s="19"/>
      <c r="O132" s="19"/>
      <c r="P132" s="19"/>
    </row>
    <row r="133" spans="1:16" ht="14.25" customHeight="1" x14ac:dyDescent="0.15">
      <c r="A133" s="19"/>
      <c r="B133" s="19"/>
      <c r="C133" s="19"/>
      <c r="D133" s="19">
        <f>D131*D132</f>
        <v>26460</v>
      </c>
      <c r="E133" s="19">
        <f>E132*E130</f>
        <v>9000</v>
      </c>
      <c r="F133" s="19">
        <f t="shared" ref="F133:H133" si="92">F130*F132</f>
        <v>1900</v>
      </c>
      <c r="G133" s="19">
        <f t="shared" si="92"/>
        <v>0</v>
      </c>
      <c r="H133" s="19">
        <f t="shared" si="92"/>
        <v>1596</v>
      </c>
      <c r="I133" s="19">
        <f t="shared" ref="I133:L133" si="93">I130*I131</f>
        <v>1500</v>
      </c>
      <c r="J133" s="19">
        <f t="shared" si="93"/>
        <v>1000</v>
      </c>
      <c r="K133" s="19">
        <f t="shared" si="93"/>
        <v>0</v>
      </c>
      <c r="L133" s="19">
        <f t="shared" si="93"/>
        <v>1500</v>
      </c>
      <c r="M133" s="19">
        <f>SUM(D133:L133)</f>
        <v>42956</v>
      </c>
      <c r="N133" s="19">
        <f>M133/A131</f>
        <v>42956</v>
      </c>
      <c r="O133" s="19">
        <f>N133*O130</f>
        <v>85912</v>
      </c>
      <c r="P133" s="19">
        <f>MROUND(O133,100)</f>
        <v>85900</v>
      </c>
    </row>
    <row r="134" spans="1:16" ht="14.25" customHeight="1" x14ac:dyDescent="0.15">
      <c r="A134" s="111"/>
      <c r="B134" s="87"/>
      <c r="C134" s="87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</row>
    <row r="135" spans="1:16" ht="14.25" customHeight="1" x14ac:dyDescent="0.15">
      <c r="A135" s="109" t="str">
        <f>PRICELIST!I563</f>
        <v>CBFLX-RST-VNR-2100x900+1800</v>
      </c>
      <c r="B135" s="87"/>
      <c r="C135" s="87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</row>
    <row r="136" spans="1:16" ht="14.25" customHeight="1" x14ac:dyDescent="0.15">
      <c r="A136" s="19" t="s">
        <v>57</v>
      </c>
      <c r="B136" s="19" t="s">
        <v>59</v>
      </c>
      <c r="C136" s="19" t="s">
        <v>62</v>
      </c>
      <c r="D136" s="19" t="s">
        <v>64</v>
      </c>
      <c r="E136" s="19" t="s">
        <v>233</v>
      </c>
      <c r="F136" s="19">
        <v>900</v>
      </c>
      <c r="G136" s="19">
        <v>600</v>
      </c>
      <c r="H136" s="19" t="s">
        <v>67</v>
      </c>
      <c r="I136" s="19" t="s">
        <v>244</v>
      </c>
      <c r="J136" s="19" t="s">
        <v>71</v>
      </c>
      <c r="K136" s="19" t="s">
        <v>72</v>
      </c>
      <c r="L136" s="19" t="s">
        <v>73</v>
      </c>
      <c r="M136" s="19" t="s">
        <v>76</v>
      </c>
      <c r="N136" s="19" t="s">
        <v>78</v>
      </c>
      <c r="O136" s="19" t="s">
        <v>79</v>
      </c>
      <c r="P136" s="19" t="s">
        <v>81</v>
      </c>
    </row>
    <row r="137" spans="1:16" ht="14.25" customHeight="1" x14ac:dyDescent="0.15">
      <c r="A137" s="21"/>
      <c r="B137" s="21"/>
      <c r="C137" s="44" t="s">
        <v>245</v>
      </c>
      <c r="D137" s="21"/>
      <c r="E137" s="21">
        <v>6</v>
      </c>
      <c r="F137" s="23" t="str">
        <f t="shared" ref="F137:G137" si="94">F130</f>
        <v>1900</v>
      </c>
      <c r="G137" s="23" t="str">
        <f t="shared" si="94"/>
        <v>1800</v>
      </c>
      <c r="H137" s="21">
        <v>380</v>
      </c>
      <c r="I137" s="23" t="str">
        <f t="shared" ref="I137:J137" si="95">I130</f>
        <v>1500</v>
      </c>
      <c r="J137" s="21">
        <f t="shared" si="95"/>
        <v>1000</v>
      </c>
      <c r="K137" s="21">
        <v>585</v>
      </c>
      <c r="L137" s="23" t="str">
        <f>L130</f>
        <v>1500</v>
      </c>
      <c r="M137" s="21"/>
      <c r="N137" s="21"/>
      <c r="O137" s="21">
        <f>O130</f>
        <v>2</v>
      </c>
      <c r="P137" s="21"/>
    </row>
    <row r="138" spans="1:16" ht="14.25" customHeight="1" x14ac:dyDescent="0.15">
      <c r="A138" s="19">
        <v>1</v>
      </c>
      <c r="B138" s="19">
        <v>2.1</v>
      </c>
      <c r="C138" s="19">
        <f>0.9+0.3</f>
        <v>1.2</v>
      </c>
      <c r="D138" s="19">
        <f>B138*C138</f>
        <v>2.52</v>
      </c>
      <c r="E138" s="19">
        <v>2.5</v>
      </c>
      <c r="F138" s="19"/>
      <c r="G138" s="19"/>
      <c r="H138" s="19"/>
      <c r="I138" s="19">
        <v>1</v>
      </c>
      <c r="J138" s="19">
        <f>A138</f>
        <v>1</v>
      </c>
      <c r="K138" s="19">
        <f t="shared" ref="K138:L138" si="96">K131</f>
        <v>0</v>
      </c>
      <c r="L138" s="19">
        <f t="shared" si="96"/>
        <v>1</v>
      </c>
      <c r="M138" s="19"/>
      <c r="N138" s="19"/>
      <c r="O138" s="19"/>
      <c r="P138" s="19"/>
    </row>
    <row r="139" spans="1:16" ht="14.25" customHeight="1" x14ac:dyDescent="0.15">
      <c r="A139" s="19"/>
      <c r="B139" s="19"/>
      <c r="C139" s="19"/>
      <c r="D139" s="26" t="str">
        <f>D90</f>
        <v>30000</v>
      </c>
      <c r="E139" s="26" t="str">
        <f>E132</f>
        <v>1500</v>
      </c>
      <c r="F139" s="19">
        <v>1</v>
      </c>
      <c r="G139" s="19">
        <v>0</v>
      </c>
      <c r="H139" s="19">
        <f>B138*2</f>
        <v>4.2</v>
      </c>
      <c r="I139" s="19"/>
      <c r="J139" s="19"/>
      <c r="K139" s="19"/>
      <c r="L139" s="19"/>
      <c r="M139" s="19"/>
      <c r="N139" s="19"/>
      <c r="O139" s="19"/>
      <c r="P139" s="19"/>
    </row>
    <row r="140" spans="1:16" ht="14.25" customHeight="1" x14ac:dyDescent="0.15">
      <c r="A140" s="19"/>
      <c r="B140" s="19"/>
      <c r="C140" s="19"/>
      <c r="D140" s="19">
        <f>D138*D139</f>
        <v>75600</v>
      </c>
      <c r="E140" s="19">
        <f>E139*E137</f>
        <v>9000</v>
      </c>
      <c r="F140" s="19">
        <f t="shared" ref="F140:H140" si="97">F137*F139</f>
        <v>1900</v>
      </c>
      <c r="G140" s="19">
        <f t="shared" si="97"/>
        <v>0</v>
      </c>
      <c r="H140" s="19">
        <f t="shared" si="97"/>
        <v>1596</v>
      </c>
      <c r="I140" s="19">
        <f t="shared" ref="I140:L140" si="98">I137*I138</f>
        <v>1500</v>
      </c>
      <c r="J140" s="19">
        <f t="shared" si="98"/>
        <v>1000</v>
      </c>
      <c r="K140" s="19">
        <f t="shared" si="98"/>
        <v>0</v>
      </c>
      <c r="L140" s="19">
        <f t="shared" si="98"/>
        <v>1500</v>
      </c>
      <c r="M140" s="19">
        <f>SUM(D140:L140)</f>
        <v>92096</v>
      </c>
      <c r="N140" s="19">
        <f>M140/A138</f>
        <v>92096</v>
      </c>
      <c r="O140" s="19">
        <f>N140*O137</f>
        <v>184192</v>
      </c>
      <c r="P140" s="19">
        <f>MROUND(O140,100)</f>
        <v>184200</v>
      </c>
    </row>
    <row r="141" spans="1:16" ht="14.25" customHeight="1" x14ac:dyDescent="0.15">
      <c r="A141" s="111"/>
      <c r="B141" s="87"/>
      <c r="C141" s="87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</row>
    <row r="142" spans="1:16" ht="14.25" customHeight="1" x14ac:dyDescent="0.15">
      <c r="A142" s="109" t="str">
        <f>PRICELIST!I564</f>
        <v>CBFLX-RST-GL-2100x900+1800</v>
      </c>
      <c r="B142" s="87"/>
      <c r="C142" s="87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</row>
    <row r="143" spans="1:16" ht="14.25" customHeight="1" x14ac:dyDescent="0.15">
      <c r="A143" s="19" t="s">
        <v>57</v>
      </c>
      <c r="B143" s="19" t="s">
        <v>59</v>
      </c>
      <c r="C143" s="19" t="s">
        <v>62</v>
      </c>
      <c r="D143" s="19" t="s">
        <v>64</v>
      </c>
      <c r="E143" s="19" t="s">
        <v>233</v>
      </c>
      <c r="F143" s="19">
        <v>900</v>
      </c>
      <c r="G143" s="19">
        <v>600</v>
      </c>
      <c r="H143" s="19" t="s">
        <v>67</v>
      </c>
      <c r="I143" s="19" t="s">
        <v>244</v>
      </c>
      <c r="J143" s="19" t="s">
        <v>71</v>
      </c>
      <c r="K143" s="19" t="s">
        <v>72</v>
      </c>
      <c r="L143" s="19" t="s">
        <v>73</v>
      </c>
      <c r="M143" s="19" t="s">
        <v>76</v>
      </c>
      <c r="N143" s="19" t="s">
        <v>78</v>
      </c>
      <c r="O143" s="19" t="s">
        <v>79</v>
      </c>
      <c r="P143" s="19" t="s">
        <v>81</v>
      </c>
    </row>
    <row r="144" spans="1:16" ht="14.25" customHeight="1" x14ac:dyDescent="0.15">
      <c r="A144" s="21"/>
      <c r="B144" s="21"/>
      <c r="C144" s="44" t="s">
        <v>245</v>
      </c>
      <c r="D144" s="21"/>
      <c r="E144" s="21">
        <v>6</v>
      </c>
      <c r="F144" s="23" t="str">
        <f t="shared" ref="F144:G144" si="99">F137</f>
        <v>1900</v>
      </c>
      <c r="G144" s="23" t="str">
        <f t="shared" si="99"/>
        <v>1800</v>
      </c>
      <c r="H144" s="21">
        <v>380</v>
      </c>
      <c r="I144" s="23" t="str">
        <f t="shared" ref="I144:J144" si="100">I137</f>
        <v>1500</v>
      </c>
      <c r="J144" s="21">
        <f t="shared" si="100"/>
        <v>1000</v>
      </c>
      <c r="K144" s="21">
        <v>585</v>
      </c>
      <c r="L144" s="23" t="str">
        <f>L137</f>
        <v>1500</v>
      </c>
      <c r="M144" s="21"/>
      <c r="N144" s="21"/>
      <c r="O144" s="21">
        <f>O137</f>
        <v>2</v>
      </c>
      <c r="P144" s="21"/>
    </row>
    <row r="145" spans="1:16" ht="14.25" customHeight="1" x14ac:dyDescent="0.15">
      <c r="A145" s="19">
        <v>1</v>
      </c>
      <c r="B145" s="19">
        <v>2.1</v>
      </c>
      <c r="C145" s="19">
        <f>0.9+0.3</f>
        <v>1.2</v>
      </c>
      <c r="D145" s="19">
        <f>B145*C145</f>
        <v>2.52</v>
      </c>
      <c r="E145" s="19">
        <v>2.5</v>
      </c>
      <c r="F145" s="19"/>
      <c r="G145" s="19"/>
      <c r="H145" s="19"/>
      <c r="I145" s="19">
        <v>1</v>
      </c>
      <c r="J145" s="19">
        <f>A145</f>
        <v>1</v>
      </c>
      <c r="K145" s="19">
        <f t="shared" ref="K145:L145" si="101">K138</f>
        <v>0</v>
      </c>
      <c r="L145" s="19">
        <f t="shared" si="101"/>
        <v>1</v>
      </c>
      <c r="M145" s="19"/>
      <c r="N145" s="19"/>
      <c r="O145" s="19"/>
      <c r="P145" s="19"/>
    </row>
    <row r="146" spans="1:16" ht="14.25" customHeight="1" x14ac:dyDescent="0.15">
      <c r="A146" s="19"/>
      <c r="B146" s="19"/>
      <c r="C146" s="19"/>
      <c r="D146" s="26" t="str">
        <f>D97</f>
        <v>7500</v>
      </c>
      <c r="E146" s="26" t="str">
        <f>E139</f>
        <v>1500</v>
      </c>
      <c r="F146" s="19">
        <v>1</v>
      </c>
      <c r="G146" s="19">
        <v>0</v>
      </c>
      <c r="H146" s="19">
        <f>B145*2</f>
        <v>4.2</v>
      </c>
      <c r="I146" s="19"/>
      <c r="J146" s="19"/>
      <c r="K146" s="19"/>
      <c r="L146" s="19"/>
      <c r="M146" s="19"/>
      <c r="N146" s="19"/>
      <c r="O146" s="19"/>
      <c r="P146" s="19"/>
    </row>
    <row r="147" spans="1:16" ht="14.25" customHeight="1" x14ac:dyDescent="0.15">
      <c r="A147" s="19"/>
      <c r="B147" s="19"/>
      <c r="C147" s="19"/>
      <c r="D147" s="19">
        <f>D145*D146</f>
        <v>18900</v>
      </c>
      <c r="E147" s="19">
        <f>E146*E144</f>
        <v>9000</v>
      </c>
      <c r="F147" s="19">
        <f t="shared" ref="F147:H147" si="102">F144*F146</f>
        <v>1900</v>
      </c>
      <c r="G147" s="19">
        <f t="shared" si="102"/>
        <v>0</v>
      </c>
      <c r="H147" s="19">
        <f t="shared" si="102"/>
        <v>1596</v>
      </c>
      <c r="I147" s="19">
        <f t="shared" ref="I147:L147" si="103">I144*I145</f>
        <v>1500</v>
      </c>
      <c r="J147" s="19">
        <f t="shared" si="103"/>
        <v>1000</v>
      </c>
      <c r="K147" s="19">
        <f t="shared" si="103"/>
        <v>0</v>
      </c>
      <c r="L147" s="19">
        <f t="shared" si="103"/>
        <v>1500</v>
      </c>
      <c r="M147" s="19">
        <f>SUM(D147:L147)</f>
        <v>35396</v>
      </c>
      <c r="N147" s="19">
        <f>M147/A145</f>
        <v>35396</v>
      </c>
      <c r="O147" s="19">
        <f>N147*O144</f>
        <v>70792</v>
      </c>
      <c r="P147" s="19">
        <f>MROUND(O147,100)</f>
        <v>70800</v>
      </c>
    </row>
    <row r="148" spans="1:16" ht="14.25" customHeight="1" x14ac:dyDescent="0.15">
      <c r="A148" s="111"/>
      <c r="B148" s="87"/>
      <c r="C148" s="87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</row>
    <row r="149" spans="1:16" ht="14.25" customHeight="1" x14ac:dyDescent="0.15">
      <c r="A149" s="109" t="str">
        <f>PRICELIST!I565</f>
        <v>CBFLX-FR-PB-1500x600+900</v>
      </c>
      <c r="B149" s="87"/>
      <c r="C149" s="87"/>
      <c r="D149" s="30"/>
      <c r="E149" s="30"/>
      <c r="F149" s="30"/>
      <c r="G149" s="30"/>
      <c r="H149" s="19"/>
      <c r="I149" s="19"/>
      <c r="J149" s="19"/>
      <c r="K149" s="19"/>
      <c r="L149" s="19"/>
      <c r="M149" s="19"/>
      <c r="N149" s="19"/>
      <c r="O149" s="19"/>
      <c r="P149" s="19"/>
    </row>
    <row r="150" spans="1:16" ht="14.25" customHeight="1" x14ac:dyDescent="0.15">
      <c r="A150" s="19" t="s">
        <v>57</v>
      </c>
      <c r="B150" s="19" t="s">
        <v>59</v>
      </c>
      <c r="C150" s="19" t="s">
        <v>62</v>
      </c>
      <c r="D150" s="19" t="s">
        <v>64</v>
      </c>
      <c r="E150" s="19" t="s">
        <v>233</v>
      </c>
      <c r="F150" s="19">
        <v>900</v>
      </c>
      <c r="G150" s="19">
        <v>600</v>
      </c>
      <c r="H150" s="19" t="s">
        <v>67</v>
      </c>
      <c r="I150" s="19" t="s">
        <v>244</v>
      </c>
      <c r="J150" s="19" t="s">
        <v>71</v>
      </c>
      <c r="K150" s="19" t="s">
        <v>72</v>
      </c>
      <c r="L150" s="19" t="s">
        <v>73</v>
      </c>
      <c r="M150" s="19" t="s">
        <v>76</v>
      </c>
      <c r="N150" s="19" t="s">
        <v>78</v>
      </c>
      <c r="O150" s="19" t="s">
        <v>79</v>
      </c>
      <c r="P150" s="19" t="s">
        <v>81</v>
      </c>
    </row>
    <row r="151" spans="1:16" ht="14.25" customHeight="1" x14ac:dyDescent="0.15">
      <c r="A151" s="21"/>
      <c r="B151" s="21"/>
      <c r="C151" s="44" t="s">
        <v>245</v>
      </c>
      <c r="D151" s="21"/>
      <c r="E151" s="21">
        <v>3</v>
      </c>
      <c r="F151" s="23" t="str">
        <f t="shared" ref="F151:G151" si="104">F144</f>
        <v>1900</v>
      </c>
      <c r="G151" s="23" t="str">
        <f t="shared" si="104"/>
        <v>1800</v>
      </c>
      <c r="H151" s="21">
        <v>380</v>
      </c>
      <c r="I151" s="23" t="str">
        <f t="shared" ref="I151:J151" si="105">I144</f>
        <v>1500</v>
      </c>
      <c r="J151" s="21">
        <f t="shared" si="105"/>
        <v>1000</v>
      </c>
      <c r="K151" s="21">
        <v>585</v>
      </c>
      <c r="L151" s="23" t="str">
        <f>L144</f>
        <v>1500</v>
      </c>
      <c r="M151" s="21"/>
      <c r="N151" s="21"/>
      <c r="O151" s="21">
        <f>O144</f>
        <v>2</v>
      </c>
      <c r="P151" s="21"/>
    </row>
    <row r="152" spans="1:16" ht="14.25" customHeight="1" x14ac:dyDescent="0.15">
      <c r="A152" s="19">
        <v>1</v>
      </c>
      <c r="B152" s="19">
        <v>1.5</v>
      </c>
      <c r="C152" s="19">
        <v>0.9</v>
      </c>
      <c r="D152" s="19">
        <f>B152*C152</f>
        <v>1.35</v>
      </c>
      <c r="E152" s="19">
        <v>2.5</v>
      </c>
      <c r="F152" s="19"/>
      <c r="G152" s="19"/>
      <c r="H152" s="19"/>
      <c r="I152" s="19">
        <v>1</v>
      </c>
      <c r="J152" s="19">
        <f>A152</f>
        <v>1</v>
      </c>
      <c r="K152" s="19">
        <f t="shared" ref="K152:L152" si="106">K145</f>
        <v>0</v>
      </c>
      <c r="L152" s="19">
        <f t="shared" si="106"/>
        <v>1</v>
      </c>
      <c r="M152" s="19"/>
      <c r="N152" s="19"/>
      <c r="O152" s="19"/>
      <c r="P152" s="19"/>
    </row>
    <row r="153" spans="1:16" ht="14.25" customHeight="1" x14ac:dyDescent="0.15">
      <c r="A153" s="19"/>
      <c r="B153" s="19"/>
      <c r="C153" s="19"/>
      <c r="D153" s="26" t="str">
        <f t="shared" ref="D153:E153" si="107">D104</f>
        <v>2200</v>
      </c>
      <c r="E153" s="26" t="str">
        <f t="shared" si="107"/>
        <v>1000</v>
      </c>
      <c r="F153" s="19">
        <v>0</v>
      </c>
      <c r="G153" s="19">
        <v>2</v>
      </c>
      <c r="H153" s="19">
        <f>B152*2</f>
        <v>3</v>
      </c>
      <c r="I153" s="19"/>
      <c r="J153" s="19"/>
      <c r="K153" s="19"/>
      <c r="L153" s="19"/>
      <c r="M153" s="19"/>
      <c r="N153" s="19"/>
      <c r="O153" s="19"/>
      <c r="P153" s="19"/>
    </row>
    <row r="154" spans="1:16" ht="14.25" customHeight="1" x14ac:dyDescent="0.15">
      <c r="A154" s="19"/>
      <c r="B154" s="19"/>
      <c r="C154" s="19"/>
      <c r="D154" s="19">
        <f>D152*D153</f>
        <v>2970</v>
      </c>
      <c r="E154" s="19">
        <f>E153*E151</f>
        <v>3000</v>
      </c>
      <c r="F154" s="19">
        <f t="shared" ref="F154:H154" si="108">F151*F153</f>
        <v>0</v>
      </c>
      <c r="G154" s="19">
        <f t="shared" si="108"/>
        <v>3600</v>
      </c>
      <c r="H154" s="19">
        <f t="shared" si="108"/>
        <v>1140</v>
      </c>
      <c r="I154" s="19">
        <f t="shared" ref="I154:L154" si="109">I151*I152</f>
        <v>1500</v>
      </c>
      <c r="J154" s="19">
        <f t="shared" si="109"/>
        <v>1000</v>
      </c>
      <c r="K154" s="19">
        <f t="shared" si="109"/>
        <v>0</v>
      </c>
      <c r="L154" s="19">
        <f t="shared" si="109"/>
        <v>1500</v>
      </c>
      <c r="M154" s="19">
        <f>SUM(D154:L154)</f>
        <v>14710</v>
      </c>
      <c r="N154" s="19">
        <f>M154/A152</f>
        <v>14710</v>
      </c>
      <c r="O154" s="19">
        <f>N154*O151</f>
        <v>29420</v>
      </c>
      <c r="P154" s="19">
        <f>MROUND(O154,100)</f>
        <v>29400</v>
      </c>
    </row>
    <row r="155" spans="1:16" ht="14.25" customHeight="1" x14ac:dyDescent="0.15">
      <c r="A155" s="111"/>
      <c r="B155" s="87"/>
      <c r="C155" s="87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</row>
    <row r="156" spans="1:16" ht="14.25" customHeight="1" x14ac:dyDescent="0.15">
      <c r="A156" s="109" t="str">
        <f>PRICELIST!I566</f>
        <v>CBFLX-FR-PLM-1500x600+900</v>
      </c>
      <c r="B156" s="87"/>
      <c r="C156" s="87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</row>
    <row r="157" spans="1:16" ht="14.25" customHeight="1" x14ac:dyDescent="0.15">
      <c r="A157" s="19" t="s">
        <v>57</v>
      </c>
      <c r="B157" s="19" t="s">
        <v>59</v>
      </c>
      <c r="C157" s="19" t="s">
        <v>62</v>
      </c>
      <c r="D157" s="19" t="s">
        <v>64</v>
      </c>
      <c r="E157" s="19" t="s">
        <v>233</v>
      </c>
      <c r="F157" s="19">
        <v>900</v>
      </c>
      <c r="G157" s="19">
        <v>600</v>
      </c>
      <c r="H157" s="19" t="s">
        <v>67</v>
      </c>
      <c r="I157" s="19" t="s">
        <v>244</v>
      </c>
      <c r="J157" s="19" t="s">
        <v>71</v>
      </c>
      <c r="K157" s="19" t="s">
        <v>72</v>
      </c>
      <c r="L157" s="19" t="s">
        <v>73</v>
      </c>
      <c r="M157" s="19" t="s">
        <v>76</v>
      </c>
      <c r="N157" s="19" t="s">
        <v>78</v>
      </c>
      <c r="O157" s="19" t="s">
        <v>79</v>
      </c>
      <c r="P157" s="19" t="s">
        <v>81</v>
      </c>
    </row>
    <row r="158" spans="1:16" ht="14.25" customHeight="1" x14ac:dyDescent="0.15">
      <c r="A158" s="21"/>
      <c r="B158" s="21"/>
      <c r="C158" s="44" t="s">
        <v>245</v>
      </c>
      <c r="D158" s="21"/>
      <c r="E158" s="21">
        <v>3</v>
      </c>
      <c r="F158" s="23" t="str">
        <f t="shared" ref="F158:G158" si="110">F151</f>
        <v>1900</v>
      </c>
      <c r="G158" s="23" t="str">
        <f t="shared" si="110"/>
        <v>1800</v>
      </c>
      <c r="H158" s="21">
        <v>380</v>
      </c>
      <c r="I158" s="23" t="str">
        <f t="shared" ref="I158:J158" si="111">I151</f>
        <v>1500</v>
      </c>
      <c r="J158" s="21">
        <f t="shared" si="111"/>
        <v>1000</v>
      </c>
      <c r="K158" s="21">
        <v>585</v>
      </c>
      <c r="L158" s="23" t="str">
        <f>L151</f>
        <v>1500</v>
      </c>
      <c r="M158" s="21"/>
      <c r="N158" s="21"/>
      <c r="O158" s="21">
        <f>O151</f>
        <v>2</v>
      </c>
      <c r="P158" s="21"/>
    </row>
    <row r="159" spans="1:16" ht="14.25" customHeight="1" x14ac:dyDescent="0.15">
      <c r="A159" s="19">
        <v>1</v>
      </c>
      <c r="B159" s="19">
        <v>1.5</v>
      </c>
      <c r="C159" s="19">
        <f>0.6+0.3</f>
        <v>0.89999999999999991</v>
      </c>
      <c r="D159" s="19">
        <f>B159*C159</f>
        <v>1.3499999999999999</v>
      </c>
      <c r="E159" s="19">
        <v>2.5</v>
      </c>
      <c r="F159" s="19"/>
      <c r="G159" s="19"/>
      <c r="H159" s="19"/>
      <c r="I159" s="19">
        <v>1</v>
      </c>
      <c r="J159" s="19">
        <f>A159</f>
        <v>1</v>
      </c>
      <c r="K159" s="19">
        <f t="shared" ref="K159:L159" si="112">K152</f>
        <v>0</v>
      </c>
      <c r="L159" s="19">
        <f t="shared" si="112"/>
        <v>1</v>
      </c>
      <c r="M159" s="19"/>
      <c r="N159" s="19"/>
      <c r="O159" s="19"/>
      <c r="P159" s="19"/>
    </row>
    <row r="160" spans="1:16" ht="14.25" customHeight="1" x14ac:dyDescent="0.15">
      <c r="A160" s="19"/>
      <c r="B160" s="19"/>
      <c r="C160" s="19"/>
      <c r="D160" s="26" t="str">
        <f>D111</f>
        <v>3000</v>
      </c>
      <c r="E160" s="26" t="str">
        <f>E153</f>
        <v>1000</v>
      </c>
      <c r="F160" s="19">
        <v>0</v>
      </c>
      <c r="G160" s="19">
        <v>2</v>
      </c>
      <c r="H160" s="19">
        <f>B159*2</f>
        <v>3</v>
      </c>
      <c r="I160" s="19"/>
      <c r="J160" s="19"/>
      <c r="K160" s="19"/>
      <c r="L160" s="19"/>
      <c r="M160" s="19"/>
      <c r="N160" s="19"/>
      <c r="O160" s="19"/>
      <c r="P160" s="19"/>
    </row>
    <row r="161" spans="1:16" ht="14.25" customHeight="1" x14ac:dyDescent="0.15">
      <c r="A161" s="19"/>
      <c r="B161" s="19"/>
      <c r="C161" s="19"/>
      <c r="D161" s="19">
        <f>D159*D160</f>
        <v>4049.9999999999995</v>
      </c>
      <c r="E161" s="19">
        <f>E160*E158</f>
        <v>3000</v>
      </c>
      <c r="F161" s="19">
        <f t="shared" ref="F161:H161" si="113">F158*F160</f>
        <v>0</v>
      </c>
      <c r="G161" s="19">
        <f t="shared" si="113"/>
        <v>3600</v>
      </c>
      <c r="H161" s="19">
        <f t="shared" si="113"/>
        <v>1140</v>
      </c>
      <c r="I161" s="19">
        <f t="shared" ref="I161:L161" si="114">I158*I159</f>
        <v>1500</v>
      </c>
      <c r="J161" s="19">
        <f t="shared" si="114"/>
        <v>1000</v>
      </c>
      <c r="K161" s="19">
        <f t="shared" si="114"/>
        <v>0</v>
      </c>
      <c r="L161" s="19">
        <f t="shared" si="114"/>
        <v>1500</v>
      </c>
      <c r="M161" s="19">
        <f>SUM(D161:L161)</f>
        <v>15790</v>
      </c>
      <c r="N161" s="19">
        <f>M161/A159</f>
        <v>15790</v>
      </c>
      <c r="O161" s="19">
        <f>N161*O158</f>
        <v>31580</v>
      </c>
      <c r="P161" s="19">
        <f>MROUND(O161,100)</f>
        <v>31600</v>
      </c>
    </row>
    <row r="162" spans="1:16" ht="14.25" customHeight="1" x14ac:dyDescent="0.15">
      <c r="A162" s="111"/>
      <c r="B162" s="87"/>
      <c r="C162" s="87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</row>
    <row r="163" spans="1:16" ht="14.25" customHeight="1" x14ac:dyDescent="0.15">
      <c r="A163" s="109" t="str">
        <f>PRICELIST!I567</f>
        <v>CBFLX-FR-PoLM-1500x600+900</v>
      </c>
      <c r="B163" s="87"/>
      <c r="C163" s="87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</row>
    <row r="164" spans="1:16" ht="14.25" customHeight="1" x14ac:dyDescent="0.15">
      <c r="A164" s="19" t="s">
        <v>57</v>
      </c>
      <c r="B164" s="19" t="s">
        <v>59</v>
      </c>
      <c r="C164" s="19" t="s">
        <v>62</v>
      </c>
      <c r="D164" s="19" t="s">
        <v>64</v>
      </c>
      <c r="E164" s="19" t="s">
        <v>233</v>
      </c>
      <c r="F164" s="19">
        <v>900</v>
      </c>
      <c r="G164" s="19">
        <v>600</v>
      </c>
      <c r="H164" s="19" t="s">
        <v>67</v>
      </c>
      <c r="I164" s="19" t="s">
        <v>244</v>
      </c>
      <c r="J164" s="19" t="s">
        <v>71</v>
      </c>
      <c r="K164" s="19" t="s">
        <v>72</v>
      </c>
      <c r="L164" s="19" t="s">
        <v>73</v>
      </c>
      <c r="M164" s="19" t="s">
        <v>76</v>
      </c>
      <c r="N164" s="19" t="s">
        <v>78</v>
      </c>
      <c r="O164" s="19" t="s">
        <v>79</v>
      </c>
      <c r="P164" s="19" t="s">
        <v>81</v>
      </c>
    </row>
    <row r="165" spans="1:16" ht="14.25" customHeight="1" x14ac:dyDescent="0.15">
      <c r="A165" s="21"/>
      <c r="B165" s="21"/>
      <c r="C165" s="44" t="s">
        <v>245</v>
      </c>
      <c r="D165" s="21"/>
      <c r="E165" s="21">
        <v>3</v>
      </c>
      <c r="F165" s="21">
        <f>'MASTER DATA'!E209</f>
        <v>0</v>
      </c>
      <c r="G165" s="23" t="str">
        <f>G158</f>
        <v>1800</v>
      </c>
      <c r="H165" s="21">
        <v>380</v>
      </c>
      <c r="I165" s="23" t="str">
        <f t="shared" ref="I165:J165" si="115">I158</f>
        <v>1500</v>
      </c>
      <c r="J165" s="21">
        <f t="shared" si="115"/>
        <v>1000</v>
      </c>
      <c r="K165" s="21">
        <v>585</v>
      </c>
      <c r="L165" s="23" t="str">
        <f>L158</f>
        <v>1500</v>
      </c>
      <c r="M165" s="21"/>
      <c r="N165" s="21"/>
      <c r="O165" s="21">
        <f>O158</f>
        <v>2</v>
      </c>
      <c r="P165" s="21"/>
    </row>
    <row r="166" spans="1:16" ht="14.25" customHeight="1" x14ac:dyDescent="0.15">
      <c r="A166" s="19">
        <v>1</v>
      </c>
      <c r="B166" s="19">
        <v>1.5</v>
      </c>
      <c r="C166" s="19">
        <f>0.6+0.3</f>
        <v>0.89999999999999991</v>
      </c>
      <c r="D166" s="19">
        <f>B166*C166</f>
        <v>1.3499999999999999</v>
      </c>
      <c r="E166" s="19">
        <v>2.5</v>
      </c>
      <c r="F166" s="19"/>
      <c r="G166" s="19"/>
      <c r="H166" s="19"/>
      <c r="I166" s="19">
        <v>1</v>
      </c>
      <c r="J166" s="19">
        <f>A166</f>
        <v>1</v>
      </c>
      <c r="K166" s="19">
        <f t="shared" ref="K166:L166" si="116">K159</f>
        <v>0</v>
      </c>
      <c r="L166" s="19">
        <f t="shared" si="116"/>
        <v>1</v>
      </c>
      <c r="M166" s="19"/>
      <c r="N166" s="19"/>
      <c r="O166" s="19"/>
      <c r="P166" s="19"/>
    </row>
    <row r="167" spans="1:16" ht="14.25" customHeight="1" x14ac:dyDescent="0.15">
      <c r="A167" s="19"/>
      <c r="B167" s="19"/>
      <c r="C167" s="19"/>
      <c r="D167" s="26" t="str">
        <f>D118</f>
        <v>7500</v>
      </c>
      <c r="E167" s="26" t="str">
        <f>E160</f>
        <v>1000</v>
      </c>
      <c r="F167" s="19">
        <v>0</v>
      </c>
      <c r="G167" s="19">
        <v>2</v>
      </c>
      <c r="H167" s="19">
        <f>B166*2</f>
        <v>3</v>
      </c>
      <c r="I167" s="19"/>
      <c r="J167" s="19"/>
      <c r="K167" s="19"/>
      <c r="L167" s="19"/>
      <c r="M167" s="19"/>
      <c r="N167" s="19"/>
      <c r="O167" s="19"/>
      <c r="P167" s="19"/>
    </row>
    <row r="168" spans="1:16" ht="14.25" customHeight="1" x14ac:dyDescent="0.15">
      <c r="A168" s="19"/>
      <c r="B168" s="19"/>
      <c r="C168" s="19"/>
      <c r="D168" s="19">
        <f>D166*D167</f>
        <v>10124.999999999998</v>
      </c>
      <c r="E168" s="19">
        <f>E167*E165</f>
        <v>3000</v>
      </c>
      <c r="F168" s="19">
        <f t="shared" ref="F168:H168" si="117">F165*F167</f>
        <v>0</v>
      </c>
      <c r="G168" s="19">
        <f t="shared" si="117"/>
        <v>3600</v>
      </c>
      <c r="H168" s="19">
        <f t="shared" si="117"/>
        <v>1140</v>
      </c>
      <c r="I168" s="19">
        <f t="shared" ref="I168:L168" si="118">I165*I166</f>
        <v>1500</v>
      </c>
      <c r="J168" s="19">
        <f t="shared" si="118"/>
        <v>1000</v>
      </c>
      <c r="K168" s="19">
        <f t="shared" si="118"/>
        <v>0</v>
      </c>
      <c r="L168" s="19">
        <f t="shared" si="118"/>
        <v>1500</v>
      </c>
      <c r="M168" s="19">
        <f>SUM(D168:L168)</f>
        <v>21865</v>
      </c>
      <c r="N168" s="19">
        <f>M168/A166</f>
        <v>21865</v>
      </c>
      <c r="O168" s="19">
        <f>N168*O165</f>
        <v>43730</v>
      </c>
      <c r="P168" s="19">
        <f>MROUND(O168,100)</f>
        <v>43700</v>
      </c>
    </row>
    <row r="169" spans="1:16" ht="14.25" customHeight="1" x14ac:dyDescent="0.15">
      <c r="A169" s="111"/>
      <c r="B169" s="87"/>
      <c r="C169" s="87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</row>
    <row r="170" spans="1:16" ht="14.25" customHeight="1" x14ac:dyDescent="0.15">
      <c r="A170" s="109" t="str">
        <f>PRICELIST!I568</f>
        <v>CBFLX-FR-LVM-1500x600+900</v>
      </c>
      <c r="B170" s="87"/>
      <c r="C170" s="87"/>
      <c r="D170" s="21"/>
      <c r="E170" s="21"/>
      <c r="F170" s="21"/>
      <c r="G170" s="30"/>
      <c r="H170" s="19"/>
      <c r="I170" s="19"/>
      <c r="J170" s="19"/>
      <c r="K170" s="19"/>
      <c r="L170" s="19"/>
      <c r="M170" s="19"/>
      <c r="N170" s="19"/>
      <c r="O170" s="19"/>
      <c r="P170" s="19"/>
    </row>
    <row r="171" spans="1:16" ht="14.25" customHeight="1" x14ac:dyDescent="0.15">
      <c r="A171" s="19" t="s">
        <v>57</v>
      </c>
      <c r="B171" s="19" t="s">
        <v>59</v>
      </c>
      <c r="C171" s="19" t="s">
        <v>62</v>
      </c>
      <c r="D171" s="19" t="s">
        <v>64</v>
      </c>
      <c r="E171" s="19" t="s">
        <v>233</v>
      </c>
      <c r="F171" s="19">
        <v>900</v>
      </c>
      <c r="G171" s="19">
        <v>600</v>
      </c>
      <c r="H171" s="19" t="s">
        <v>67</v>
      </c>
      <c r="I171" s="19" t="s">
        <v>244</v>
      </c>
      <c r="J171" s="19" t="s">
        <v>71</v>
      </c>
      <c r="K171" s="19" t="s">
        <v>72</v>
      </c>
      <c r="L171" s="19" t="s">
        <v>73</v>
      </c>
      <c r="M171" s="19" t="s">
        <v>76</v>
      </c>
      <c r="N171" s="19" t="s">
        <v>78</v>
      </c>
      <c r="O171" s="19" t="s">
        <v>79</v>
      </c>
      <c r="P171" s="19" t="s">
        <v>81</v>
      </c>
    </row>
    <row r="172" spans="1:16" ht="14.25" customHeight="1" x14ac:dyDescent="0.15">
      <c r="A172" s="21"/>
      <c r="B172" s="21"/>
      <c r="C172" s="44" t="s">
        <v>245</v>
      </c>
      <c r="D172" s="21"/>
      <c r="E172" s="21">
        <v>3</v>
      </c>
      <c r="F172" s="21">
        <f>'MASTER DATA'!E216</f>
        <v>0</v>
      </c>
      <c r="G172" s="23" t="str">
        <f>G165</f>
        <v>1800</v>
      </c>
      <c r="H172" s="21">
        <v>380</v>
      </c>
      <c r="I172" s="23" t="str">
        <f t="shared" ref="I172:J172" si="119">I165</f>
        <v>1500</v>
      </c>
      <c r="J172" s="21">
        <f t="shared" si="119"/>
        <v>1000</v>
      </c>
      <c r="K172" s="21">
        <v>585</v>
      </c>
      <c r="L172" s="23" t="str">
        <f>L165</f>
        <v>1500</v>
      </c>
      <c r="M172" s="21"/>
      <c r="N172" s="21"/>
      <c r="O172" s="21">
        <f>O165</f>
        <v>2</v>
      </c>
      <c r="P172" s="21"/>
    </row>
    <row r="173" spans="1:16" ht="14.25" customHeight="1" x14ac:dyDescent="0.15">
      <c r="A173" s="19">
        <v>1</v>
      </c>
      <c r="B173" s="19">
        <v>1.5</v>
      </c>
      <c r="C173" s="19">
        <f>0.6+0.3</f>
        <v>0.89999999999999991</v>
      </c>
      <c r="D173" s="19">
        <f>B173*C173</f>
        <v>1.3499999999999999</v>
      </c>
      <c r="E173" s="19">
        <v>2.5</v>
      </c>
      <c r="F173" s="19"/>
      <c r="G173" s="19"/>
      <c r="H173" s="19"/>
      <c r="I173" s="19">
        <v>1</v>
      </c>
      <c r="J173" s="19">
        <f>A173</f>
        <v>1</v>
      </c>
      <c r="K173" s="19">
        <f t="shared" ref="K173:L173" si="120">K166</f>
        <v>0</v>
      </c>
      <c r="L173" s="19">
        <f t="shared" si="120"/>
        <v>1</v>
      </c>
      <c r="M173" s="19"/>
      <c r="N173" s="19"/>
      <c r="O173" s="19"/>
      <c r="P173" s="19"/>
    </row>
    <row r="174" spans="1:16" ht="14.25" customHeight="1" x14ac:dyDescent="0.15">
      <c r="A174" s="19"/>
      <c r="B174" s="19"/>
      <c r="C174" s="19"/>
      <c r="D174" s="26" t="str">
        <f>D125</f>
        <v>9500</v>
      </c>
      <c r="E174" s="26" t="str">
        <f>E132</f>
        <v>1500</v>
      </c>
      <c r="F174" s="19">
        <v>0</v>
      </c>
      <c r="G174" s="19">
        <v>2</v>
      </c>
      <c r="H174" s="19">
        <f>B173*2</f>
        <v>3</v>
      </c>
      <c r="I174" s="19"/>
      <c r="J174" s="19"/>
      <c r="K174" s="19"/>
      <c r="L174" s="19"/>
      <c r="M174" s="19"/>
      <c r="N174" s="19"/>
      <c r="O174" s="19"/>
      <c r="P174" s="19"/>
    </row>
    <row r="175" spans="1:16" ht="14.25" customHeight="1" x14ac:dyDescent="0.15">
      <c r="A175" s="19"/>
      <c r="B175" s="19"/>
      <c r="C175" s="19"/>
      <c r="D175" s="19">
        <f>D173*D174</f>
        <v>12824.999999999998</v>
      </c>
      <c r="E175" s="19">
        <f>E174*E172</f>
        <v>4500</v>
      </c>
      <c r="F175" s="19">
        <f t="shared" ref="F175:H175" si="121">F172*F174</f>
        <v>0</v>
      </c>
      <c r="G175" s="19">
        <f t="shared" si="121"/>
        <v>3600</v>
      </c>
      <c r="H175" s="19">
        <f t="shared" si="121"/>
        <v>1140</v>
      </c>
      <c r="I175" s="19">
        <f t="shared" ref="I175:L175" si="122">I172*I173</f>
        <v>1500</v>
      </c>
      <c r="J175" s="19">
        <f t="shared" si="122"/>
        <v>1000</v>
      </c>
      <c r="K175" s="19">
        <f t="shared" si="122"/>
        <v>0</v>
      </c>
      <c r="L175" s="19">
        <f t="shared" si="122"/>
        <v>1500</v>
      </c>
      <c r="M175" s="19">
        <f>SUM(D175:L175)</f>
        <v>26065</v>
      </c>
      <c r="N175" s="19">
        <f>M175/A173</f>
        <v>26065</v>
      </c>
      <c r="O175" s="19">
        <f>N175*O172</f>
        <v>52130</v>
      </c>
      <c r="P175" s="19">
        <f>MROUND(O175,100)</f>
        <v>52100</v>
      </c>
    </row>
    <row r="176" spans="1:16" ht="14.25" customHeight="1" x14ac:dyDescent="0.15">
      <c r="A176" s="111"/>
      <c r="B176" s="87"/>
      <c r="C176" s="87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</row>
    <row r="177" spans="1:16" ht="14.25" customHeight="1" x14ac:dyDescent="0.15">
      <c r="A177" s="109" t="str">
        <f>PRICELIST!I569</f>
        <v>CBFLX-FR-LVP-1500x600+900</v>
      </c>
      <c r="B177" s="87"/>
      <c r="C177" s="87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</row>
    <row r="178" spans="1:16" ht="14.25" customHeight="1" x14ac:dyDescent="0.15">
      <c r="A178" s="19" t="s">
        <v>57</v>
      </c>
      <c r="B178" s="19" t="s">
        <v>59</v>
      </c>
      <c r="C178" s="19" t="s">
        <v>62</v>
      </c>
      <c r="D178" s="19" t="s">
        <v>64</v>
      </c>
      <c r="E178" s="19" t="s">
        <v>233</v>
      </c>
      <c r="F178" s="19">
        <v>900</v>
      </c>
      <c r="G178" s="19">
        <v>600</v>
      </c>
      <c r="H178" s="19" t="s">
        <v>67</v>
      </c>
      <c r="I178" s="19" t="s">
        <v>244</v>
      </c>
      <c r="J178" s="19" t="s">
        <v>71</v>
      </c>
      <c r="K178" s="19" t="s">
        <v>72</v>
      </c>
      <c r="L178" s="19" t="s">
        <v>73</v>
      </c>
      <c r="M178" s="19" t="s">
        <v>76</v>
      </c>
      <c r="N178" s="19" t="s">
        <v>78</v>
      </c>
      <c r="O178" s="19" t="s">
        <v>79</v>
      </c>
      <c r="P178" s="19" t="s">
        <v>81</v>
      </c>
    </row>
    <row r="179" spans="1:16" ht="14.25" customHeight="1" x14ac:dyDescent="0.15">
      <c r="A179" s="21"/>
      <c r="B179" s="21"/>
      <c r="C179" s="44" t="s">
        <v>245</v>
      </c>
      <c r="D179" s="21"/>
      <c r="E179" s="21">
        <v>3</v>
      </c>
      <c r="F179" s="21">
        <f>'MASTER DATA'!E223</f>
        <v>0</v>
      </c>
      <c r="G179" s="23" t="str">
        <f>G172</f>
        <v>1800</v>
      </c>
      <c r="H179" s="21">
        <v>380</v>
      </c>
      <c r="I179" s="23" t="str">
        <f t="shared" ref="I179:J179" si="123">I172</f>
        <v>1500</v>
      </c>
      <c r="J179" s="21">
        <f t="shared" si="123"/>
        <v>1000</v>
      </c>
      <c r="K179" s="21">
        <v>585</v>
      </c>
      <c r="L179" s="23" t="str">
        <f>L172</f>
        <v>1500</v>
      </c>
      <c r="M179" s="21"/>
      <c r="N179" s="21"/>
      <c r="O179" s="21">
        <f>O172</f>
        <v>2</v>
      </c>
      <c r="P179" s="21"/>
    </row>
    <row r="180" spans="1:16" ht="14.25" customHeight="1" x14ac:dyDescent="0.15">
      <c r="A180" s="19">
        <v>1</v>
      </c>
      <c r="B180" s="19">
        <v>1.5</v>
      </c>
      <c r="C180" s="19">
        <f>0.6+0.3</f>
        <v>0.89999999999999991</v>
      </c>
      <c r="D180" s="19">
        <f>B180*C180</f>
        <v>1.3499999999999999</v>
      </c>
      <c r="E180" s="19">
        <v>2.5</v>
      </c>
      <c r="F180" s="19"/>
      <c r="G180" s="19"/>
      <c r="H180" s="19"/>
      <c r="I180" s="19">
        <v>1</v>
      </c>
      <c r="J180" s="19">
        <f>A180</f>
        <v>1</v>
      </c>
      <c r="K180" s="19">
        <f t="shared" ref="K180:L180" si="124">K173</f>
        <v>0</v>
      </c>
      <c r="L180" s="19">
        <f t="shared" si="124"/>
        <v>1</v>
      </c>
      <c r="M180" s="19"/>
      <c r="N180" s="19"/>
      <c r="O180" s="19"/>
      <c r="P180" s="19"/>
    </row>
    <row r="181" spans="1:16" ht="14.25" customHeight="1" x14ac:dyDescent="0.15">
      <c r="A181" s="19"/>
      <c r="B181" s="19"/>
      <c r="C181" s="19"/>
      <c r="D181" s="26" t="str">
        <f>D132</f>
        <v>10500</v>
      </c>
      <c r="E181" s="26" t="str">
        <f>E174</f>
        <v>1500</v>
      </c>
      <c r="F181" s="19">
        <v>0</v>
      </c>
      <c r="G181" s="19">
        <v>2</v>
      </c>
      <c r="H181" s="19">
        <f>B180*2</f>
        <v>3</v>
      </c>
      <c r="I181" s="19"/>
      <c r="J181" s="19"/>
      <c r="K181" s="19"/>
      <c r="L181" s="19"/>
      <c r="M181" s="19"/>
      <c r="N181" s="19"/>
      <c r="O181" s="19"/>
      <c r="P181" s="19"/>
    </row>
    <row r="182" spans="1:16" ht="14.25" customHeight="1" x14ac:dyDescent="0.15">
      <c r="A182" s="19"/>
      <c r="B182" s="19"/>
      <c r="C182" s="19"/>
      <c r="D182" s="19">
        <f>D180*D181</f>
        <v>14174.999999999998</v>
      </c>
      <c r="E182" s="19">
        <f>E181*E179</f>
        <v>4500</v>
      </c>
      <c r="F182" s="19">
        <f t="shared" ref="F182:H182" si="125">F179*F181</f>
        <v>0</v>
      </c>
      <c r="G182" s="19">
        <f t="shared" si="125"/>
        <v>3600</v>
      </c>
      <c r="H182" s="19">
        <f t="shared" si="125"/>
        <v>1140</v>
      </c>
      <c r="I182" s="19">
        <f t="shared" ref="I182:L182" si="126">I179*I180</f>
        <v>1500</v>
      </c>
      <c r="J182" s="19">
        <f t="shared" si="126"/>
        <v>1000</v>
      </c>
      <c r="K182" s="19">
        <f t="shared" si="126"/>
        <v>0</v>
      </c>
      <c r="L182" s="19">
        <f t="shared" si="126"/>
        <v>1500</v>
      </c>
      <c r="M182" s="19">
        <f>SUM(D182:L182)</f>
        <v>27415</v>
      </c>
      <c r="N182" s="19">
        <f>M182/A180</f>
        <v>27415</v>
      </c>
      <c r="O182" s="19">
        <f>N182*O179</f>
        <v>54830</v>
      </c>
      <c r="P182" s="19">
        <f>MROUND(O182,100)</f>
        <v>54800</v>
      </c>
    </row>
    <row r="183" spans="1:16" ht="14.25" customHeight="1" x14ac:dyDescent="0.15">
      <c r="A183" s="111"/>
      <c r="B183" s="87"/>
      <c r="C183" s="87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</row>
    <row r="184" spans="1:16" ht="14.25" customHeight="1" x14ac:dyDescent="0.15">
      <c r="A184" s="109" t="str">
        <f>PRICELIST!I570</f>
        <v>CBFLX-FR-VNR-1500x600+900</v>
      </c>
      <c r="B184" s="87"/>
      <c r="C184" s="87"/>
      <c r="D184" s="19"/>
      <c r="E184" s="19"/>
      <c r="F184" s="19"/>
      <c r="G184" s="30"/>
      <c r="H184" s="19"/>
      <c r="I184" s="19"/>
      <c r="J184" s="19"/>
      <c r="K184" s="19"/>
      <c r="L184" s="19"/>
      <c r="M184" s="19"/>
      <c r="N184" s="19"/>
      <c r="O184" s="19"/>
      <c r="P184" s="19"/>
    </row>
    <row r="185" spans="1:16" ht="14.25" customHeight="1" x14ac:dyDescent="0.15">
      <c r="A185" s="19" t="s">
        <v>57</v>
      </c>
      <c r="B185" s="19" t="s">
        <v>59</v>
      </c>
      <c r="C185" s="19" t="s">
        <v>62</v>
      </c>
      <c r="D185" s="19" t="s">
        <v>64</v>
      </c>
      <c r="E185" s="19" t="s">
        <v>233</v>
      </c>
      <c r="F185" s="19">
        <v>900</v>
      </c>
      <c r="G185" s="19">
        <v>600</v>
      </c>
      <c r="H185" s="19" t="s">
        <v>67</v>
      </c>
      <c r="I185" s="19" t="s">
        <v>244</v>
      </c>
      <c r="J185" s="19" t="s">
        <v>71</v>
      </c>
      <c r="K185" s="19" t="s">
        <v>72</v>
      </c>
      <c r="L185" s="19" t="s">
        <v>73</v>
      </c>
      <c r="M185" s="19" t="s">
        <v>76</v>
      </c>
      <c r="N185" s="19" t="s">
        <v>78</v>
      </c>
      <c r="O185" s="19" t="s">
        <v>79</v>
      </c>
      <c r="P185" s="19" t="s">
        <v>81</v>
      </c>
    </row>
    <row r="186" spans="1:16" ht="14.25" customHeight="1" x14ac:dyDescent="0.15">
      <c r="A186" s="21"/>
      <c r="B186" s="21"/>
      <c r="C186" s="44" t="s">
        <v>245</v>
      </c>
      <c r="D186" s="21"/>
      <c r="E186" s="21">
        <v>3</v>
      </c>
      <c r="F186" s="21">
        <f>'MASTER DATA'!E230</f>
        <v>0</v>
      </c>
      <c r="G186" s="23" t="str">
        <f>G179</f>
        <v>1800</v>
      </c>
      <c r="H186" s="21">
        <v>380</v>
      </c>
      <c r="I186" s="23" t="str">
        <f t="shared" ref="I186:J186" si="127">I179</f>
        <v>1500</v>
      </c>
      <c r="J186" s="21">
        <f t="shared" si="127"/>
        <v>1000</v>
      </c>
      <c r="K186" s="21">
        <v>585</v>
      </c>
      <c r="L186" s="23" t="str">
        <f>L179</f>
        <v>1500</v>
      </c>
      <c r="M186" s="21"/>
      <c r="N186" s="21"/>
      <c r="O186" s="21">
        <f>O179</f>
        <v>2</v>
      </c>
      <c r="P186" s="21"/>
    </row>
    <row r="187" spans="1:16" ht="14.25" customHeight="1" x14ac:dyDescent="0.15">
      <c r="A187" s="19">
        <v>1</v>
      </c>
      <c r="B187" s="19">
        <v>1.5</v>
      </c>
      <c r="C187" s="19">
        <f>0.6+0.3</f>
        <v>0.89999999999999991</v>
      </c>
      <c r="D187" s="19">
        <f>B187*C187</f>
        <v>1.3499999999999999</v>
      </c>
      <c r="E187" s="19">
        <v>2.5</v>
      </c>
      <c r="F187" s="19"/>
      <c r="G187" s="19"/>
      <c r="H187" s="19"/>
      <c r="I187" s="19">
        <v>1</v>
      </c>
      <c r="J187" s="19">
        <f>A187</f>
        <v>1</v>
      </c>
      <c r="K187" s="19">
        <f t="shared" ref="K187:L187" si="128">K180</f>
        <v>0</v>
      </c>
      <c r="L187" s="19">
        <f t="shared" si="128"/>
        <v>1</v>
      </c>
      <c r="M187" s="19"/>
      <c r="N187" s="19"/>
      <c r="O187" s="19"/>
      <c r="P187" s="19"/>
    </row>
    <row r="188" spans="1:16" ht="14.25" customHeight="1" x14ac:dyDescent="0.15">
      <c r="A188" s="19"/>
      <c r="B188" s="19"/>
      <c r="C188" s="19"/>
      <c r="D188" s="26" t="str">
        <f>D139</f>
        <v>30000</v>
      </c>
      <c r="E188" s="26" t="str">
        <f>E181</f>
        <v>1500</v>
      </c>
      <c r="F188" s="19">
        <v>0</v>
      </c>
      <c r="G188" s="19">
        <v>2</v>
      </c>
      <c r="H188" s="19">
        <f>B187*2</f>
        <v>3</v>
      </c>
      <c r="I188" s="19"/>
      <c r="J188" s="19"/>
      <c r="K188" s="19"/>
      <c r="L188" s="19"/>
      <c r="M188" s="19"/>
      <c r="N188" s="19"/>
      <c r="O188" s="19"/>
      <c r="P188" s="19"/>
    </row>
    <row r="189" spans="1:16" ht="14.25" customHeight="1" x14ac:dyDescent="0.15">
      <c r="A189" s="19"/>
      <c r="B189" s="19"/>
      <c r="C189" s="19"/>
      <c r="D189" s="19">
        <f>D187*D188</f>
        <v>40499.999999999993</v>
      </c>
      <c r="E189" s="19">
        <f>E188*E186</f>
        <v>4500</v>
      </c>
      <c r="F189" s="19">
        <f t="shared" ref="F189:H189" si="129">F186*F188</f>
        <v>0</v>
      </c>
      <c r="G189" s="19">
        <f t="shared" si="129"/>
        <v>3600</v>
      </c>
      <c r="H189" s="19">
        <f t="shared" si="129"/>
        <v>1140</v>
      </c>
      <c r="I189" s="19">
        <f t="shared" ref="I189:L189" si="130">I186*I187</f>
        <v>1500</v>
      </c>
      <c r="J189" s="19">
        <f t="shared" si="130"/>
        <v>1000</v>
      </c>
      <c r="K189" s="19">
        <f t="shared" si="130"/>
        <v>0</v>
      </c>
      <c r="L189" s="19">
        <f t="shared" si="130"/>
        <v>1500</v>
      </c>
      <c r="M189" s="19">
        <f>SUM(D189:L189)</f>
        <v>53739.999999999993</v>
      </c>
      <c r="N189" s="19">
        <f>M189/A187</f>
        <v>53739.999999999993</v>
      </c>
      <c r="O189" s="19">
        <f>N189*O186</f>
        <v>107479.99999999999</v>
      </c>
      <c r="P189" s="19">
        <f>MROUND(O189,100)</f>
        <v>107500</v>
      </c>
    </row>
    <row r="190" spans="1:16" ht="14.25" customHeight="1" x14ac:dyDescent="0.15">
      <c r="A190" s="111"/>
      <c r="B190" s="87"/>
      <c r="C190" s="87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</row>
    <row r="191" spans="1:16" ht="14.25" customHeight="1" x14ac:dyDescent="0.15">
      <c r="A191" s="109" t="str">
        <f>PRICELIST!I571</f>
        <v>CBFLX-FR-GL-1500x600+900</v>
      </c>
      <c r="B191" s="87"/>
      <c r="C191" s="87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</row>
    <row r="192" spans="1:16" ht="14.25" customHeight="1" x14ac:dyDescent="0.15">
      <c r="A192" s="19" t="s">
        <v>57</v>
      </c>
      <c r="B192" s="19" t="s">
        <v>59</v>
      </c>
      <c r="C192" s="19" t="s">
        <v>62</v>
      </c>
      <c r="D192" s="19" t="s">
        <v>64</v>
      </c>
      <c r="E192" s="19" t="s">
        <v>233</v>
      </c>
      <c r="F192" s="19">
        <v>900</v>
      </c>
      <c r="G192" s="19">
        <v>600</v>
      </c>
      <c r="H192" s="19" t="s">
        <v>67</v>
      </c>
      <c r="I192" s="19" t="s">
        <v>244</v>
      </c>
      <c r="J192" s="19" t="s">
        <v>71</v>
      </c>
      <c r="K192" s="19" t="s">
        <v>72</v>
      </c>
      <c r="L192" s="19" t="s">
        <v>73</v>
      </c>
      <c r="M192" s="19" t="s">
        <v>76</v>
      </c>
      <c r="N192" s="19" t="s">
        <v>78</v>
      </c>
      <c r="O192" s="19" t="s">
        <v>79</v>
      </c>
      <c r="P192" s="19" t="s">
        <v>81</v>
      </c>
    </row>
    <row r="193" spans="1:16" ht="14.25" customHeight="1" x14ac:dyDescent="0.15">
      <c r="A193" s="21"/>
      <c r="B193" s="21"/>
      <c r="C193" s="44" t="s">
        <v>245</v>
      </c>
      <c r="D193" s="21"/>
      <c r="E193" s="21">
        <v>3</v>
      </c>
      <c r="F193" s="21">
        <f>'MASTER DATA'!E237</f>
        <v>0</v>
      </c>
      <c r="G193" s="23" t="str">
        <f>G186</f>
        <v>1800</v>
      </c>
      <c r="H193" s="21">
        <v>380</v>
      </c>
      <c r="I193" s="23" t="str">
        <f t="shared" ref="I193:J193" si="131">I186</f>
        <v>1500</v>
      </c>
      <c r="J193" s="21">
        <f t="shared" si="131"/>
        <v>1000</v>
      </c>
      <c r="K193" s="21">
        <v>585</v>
      </c>
      <c r="L193" s="23" t="str">
        <f>L186</f>
        <v>1500</v>
      </c>
      <c r="M193" s="21"/>
      <c r="N193" s="21"/>
      <c r="O193" s="21">
        <f>O186</f>
        <v>2</v>
      </c>
      <c r="P193" s="21"/>
    </row>
    <row r="194" spans="1:16" ht="14.25" customHeight="1" x14ac:dyDescent="0.15">
      <c r="A194" s="19">
        <v>1</v>
      </c>
      <c r="B194" s="19">
        <v>1.5</v>
      </c>
      <c r="C194" s="19">
        <f>0.6+0.3</f>
        <v>0.89999999999999991</v>
      </c>
      <c r="D194" s="19">
        <f>B194*C194</f>
        <v>1.3499999999999999</v>
      </c>
      <c r="E194" s="19">
        <v>2.5</v>
      </c>
      <c r="F194" s="19"/>
      <c r="G194" s="19"/>
      <c r="H194" s="19"/>
      <c r="I194" s="19">
        <v>1</v>
      </c>
      <c r="J194" s="19">
        <f>A194</f>
        <v>1</v>
      </c>
      <c r="K194" s="19">
        <f t="shared" ref="K194:L194" si="132">K187</f>
        <v>0</v>
      </c>
      <c r="L194" s="19">
        <f t="shared" si="132"/>
        <v>1</v>
      </c>
      <c r="M194" s="19"/>
      <c r="N194" s="19"/>
      <c r="O194" s="19"/>
      <c r="P194" s="19"/>
    </row>
    <row r="195" spans="1:16" ht="14.25" customHeight="1" x14ac:dyDescent="0.15">
      <c r="A195" s="19"/>
      <c r="B195" s="19"/>
      <c r="C195" s="19"/>
      <c r="D195" s="26" t="str">
        <f>D146</f>
        <v>7500</v>
      </c>
      <c r="E195" s="26" t="str">
        <f>E188</f>
        <v>1500</v>
      </c>
      <c r="F195" s="19">
        <v>0</v>
      </c>
      <c r="G195" s="19">
        <v>2</v>
      </c>
      <c r="H195" s="19">
        <f>B194*2</f>
        <v>3</v>
      </c>
      <c r="I195" s="19"/>
      <c r="J195" s="19"/>
      <c r="K195" s="19"/>
      <c r="L195" s="19"/>
      <c r="M195" s="19"/>
      <c r="N195" s="19"/>
      <c r="O195" s="19"/>
      <c r="P195" s="19"/>
    </row>
    <row r="196" spans="1:16" ht="14.25" customHeight="1" x14ac:dyDescent="0.15">
      <c r="A196" s="19"/>
      <c r="B196" s="19"/>
      <c r="C196" s="19"/>
      <c r="D196" s="19">
        <f>D194*D195</f>
        <v>10124.999999999998</v>
      </c>
      <c r="E196" s="19">
        <f>E195*E193</f>
        <v>4500</v>
      </c>
      <c r="F196" s="19">
        <f t="shared" ref="F196:H196" si="133">F193*F195</f>
        <v>0</v>
      </c>
      <c r="G196" s="19">
        <f t="shared" si="133"/>
        <v>3600</v>
      </c>
      <c r="H196" s="19">
        <f t="shared" si="133"/>
        <v>1140</v>
      </c>
      <c r="I196" s="19">
        <f t="shared" ref="I196:L196" si="134">I193*I194</f>
        <v>1500</v>
      </c>
      <c r="J196" s="19">
        <f t="shared" si="134"/>
        <v>1000</v>
      </c>
      <c r="K196" s="19">
        <f t="shared" si="134"/>
        <v>0</v>
      </c>
      <c r="L196" s="19">
        <f t="shared" si="134"/>
        <v>1500</v>
      </c>
      <c r="M196" s="19">
        <f>SUM(D196:L196)</f>
        <v>23365</v>
      </c>
      <c r="N196" s="19">
        <f>M196/A194</f>
        <v>23365</v>
      </c>
      <c r="O196" s="19">
        <f>N196*O193</f>
        <v>46730</v>
      </c>
      <c r="P196" s="19">
        <f>MROUND(O196,100)</f>
        <v>46700</v>
      </c>
    </row>
    <row r="197" spans="1:16" ht="14.25" customHeight="1" x14ac:dyDescent="0.15">
      <c r="A197" s="111"/>
      <c r="B197" s="87"/>
      <c r="C197" s="87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</row>
    <row r="198" spans="1:16" ht="14.25" customHeight="1" x14ac:dyDescent="0.15">
      <c r="A198" s="109" t="str">
        <f>PRICELIST!I572</f>
        <v>CBFLX-FR-PB-1800x750+1350</v>
      </c>
      <c r="B198" s="87"/>
      <c r="C198" s="87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</row>
    <row r="199" spans="1:16" ht="14.25" customHeight="1" x14ac:dyDescent="0.15">
      <c r="A199" s="19" t="s">
        <v>57</v>
      </c>
      <c r="B199" s="19" t="s">
        <v>59</v>
      </c>
      <c r="C199" s="19" t="s">
        <v>62</v>
      </c>
      <c r="D199" s="19" t="s">
        <v>64</v>
      </c>
      <c r="E199" s="19" t="s">
        <v>233</v>
      </c>
      <c r="F199" s="19">
        <v>900</v>
      </c>
      <c r="G199" s="19">
        <v>600</v>
      </c>
      <c r="H199" s="19" t="s">
        <v>67</v>
      </c>
      <c r="I199" s="19" t="s">
        <v>244</v>
      </c>
      <c r="J199" s="19" t="s">
        <v>71</v>
      </c>
      <c r="K199" s="19" t="s">
        <v>72</v>
      </c>
      <c r="L199" s="19" t="s">
        <v>73</v>
      </c>
      <c r="M199" s="19" t="s">
        <v>76</v>
      </c>
      <c r="N199" s="19" t="s">
        <v>78</v>
      </c>
      <c r="O199" s="19" t="s">
        <v>79</v>
      </c>
      <c r="P199" s="19" t="s">
        <v>81</v>
      </c>
    </row>
    <row r="200" spans="1:16" ht="14.25" customHeight="1" x14ac:dyDescent="0.15">
      <c r="A200" s="21"/>
      <c r="B200" s="21"/>
      <c r="C200" s="44" t="s">
        <v>245</v>
      </c>
      <c r="D200" s="21"/>
      <c r="E200" s="21">
        <v>4.5</v>
      </c>
      <c r="F200" s="23" t="str">
        <f>F130</f>
        <v>1900</v>
      </c>
      <c r="G200" s="23" t="str">
        <f>G193</f>
        <v>1800</v>
      </c>
      <c r="H200" s="21">
        <v>380</v>
      </c>
      <c r="I200" s="23" t="str">
        <f t="shared" ref="I200:J200" si="135">I193</f>
        <v>1500</v>
      </c>
      <c r="J200" s="21">
        <f t="shared" si="135"/>
        <v>1000</v>
      </c>
      <c r="K200" s="21">
        <v>585</v>
      </c>
      <c r="L200" s="23" t="str">
        <f>L193</f>
        <v>1500</v>
      </c>
      <c r="M200" s="21"/>
      <c r="N200" s="21"/>
      <c r="O200" s="21">
        <f>O193</f>
        <v>2</v>
      </c>
      <c r="P200" s="21"/>
    </row>
    <row r="201" spans="1:16" ht="14.25" customHeight="1" x14ac:dyDescent="0.15">
      <c r="A201" s="19">
        <v>1</v>
      </c>
      <c r="B201" s="19">
        <v>1.8</v>
      </c>
      <c r="C201" s="19">
        <f>0.75+0.3</f>
        <v>1.05</v>
      </c>
      <c r="D201" s="19">
        <f>B201*C201</f>
        <v>1.8900000000000001</v>
      </c>
      <c r="E201" s="19">
        <v>2.5</v>
      </c>
      <c r="F201" s="19"/>
      <c r="G201" s="19"/>
      <c r="H201" s="19"/>
      <c r="I201" s="19">
        <v>1</v>
      </c>
      <c r="J201" s="19">
        <f>A201</f>
        <v>1</v>
      </c>
      <c r="K201" s="19">
        <f t="shared" ref="K201:L201" si="136">K194</f>
        <v>0</v>
      </c>
      <c r="L201" s="19">
        <f t="shared" si="136"/>
        <v>1</v>
      </c>
      <c r="M201" s="19"/>
      <c r="N201" s="19"/>
      <c r="O201" s="19"/>
      <c r="P201" s="19"/>
    </row>
    <row r="202" spans="1:16" ht="14.25" customHeight="1" x14ac:dyDescent="0.15">
      <c r="A202" s="19"/>
      <c r="B202" s="19"/>
      <c r="C202" s="19"/>
      <c r="D202" s="26" t="str">
        <f t="shared" ref="D202:E202" si="137">D153</f>
        <v>2200</v>
      </c>
      <c r="E202" s="26" t="str">
        <f t="shared" si="137"/>
        <v>1000</v>
      </c>
      <c r="F202" s="19">
        <v>2</v>
      </c>
      <c r="G202" s="19">
        <v>0</v>
      </c>
      <c r="H202" s="19">
        <f>B201*2</f>
        <v>3.6</v>
      </c>
      <c r="I202" s="19"/>
      <c r="J202" s="19"/>
      <c r="K202" s="19"/>
      <c r="L202" s="19"/>
      <c r="M202" s="19"/>
      <c r="N202" s="19"/>
      <c r="O202" s="19"/>
      <c r="P202" s="19"/>
    </row>
    <row r="203" spans="1:16" ht="14.25" customHeight="1" x14ac:dyDescent="0.15">
      <c r="A203" s="19"/>
      <c r="B203" s="19"/>
      <c r="C203" s="19"/>
      <c r="D203" s="19">
        <f>D201*D202</f>
        <v>4158</v>
      </c>
      <c r="E203" s="19">
        <f>E202*E200</f>
        <v>4500</v>
      </c>
      <c r="F203" s="19">
        <f t="shared" ref="F203:H203" si="138">F200*F202</f>
        <v>3800</v>
      </c>
      <c r="G203" s="19">
        <f t="shared" si="138"/>
        <v>0</v>
      </c>
      <c r="H203" s="19">
        <f t="shared" si="138"/>
        <v>1368</v>
      </c>
      <c r="I203" s="19">
        <f t="shared" ref="I203:L203" si="139">I200*I201</f>
        <v>1500</v>
      </c>
      <c r="J203" s="19">
        <f t="shared" si="139"/>
        <v>1000</v>
      </c>
      <c r="K203" s="19">
        <f t="shared" si="139"/>
        <v>0</v>
      </c>
      <c r="L203" s="19">
        <f t="shared" si="139"/>
        <v>1500</v>
      </c>
      <c r="M203" s="19">
        <f>SUM(D203:L203)</f>
        <v>17826</v>
      </c>
      <c r="N203" s="19">
        <f>M203/A201</f>
        <v>17826</v>
      </c>
      <c r="O203" s="19">
        <f>N203*O200</f>
        <v>35652</v>
      </c>
      <c r="P203" s="19">
        <f>MROUND(O203,100)</f>
        <v>35700</v>
      </c>
    </row>
    <row r="204" spans="1:16" ht="14.25" customHeight="1" x14ac:dyDescent="0.15">
      <c r="A204" s="111"/>
      <c r="B204" s="87"/>
      <c r="C204" s="87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</row>
    <row r="205" spans="1:16" ht="14.25" customHeight="1" x14ac:dyDescent="0.15">
      <c r="A205" s="109" t="str">
        <f>PRICELIST!I573</f>
        <v>CBFLX-FR-PLM-1800x750+1350</v>
      </c>
      <c r="B205" s="87"/>
      <c r="C205" s="87"/>
      <c r="D205" s="30"/>
      <c r="E205" s="30"/>
      <c r="F205" s="30"/>
      <c r="G205" s="30"/>
      <c r="H205" s="19"/>
      <c r="I205" s="19"/>
      <c r="J205" s="19"/>
      <c r="K205" s="19"/>
      <c r="L205" s="19"/>
      <c r="M205" s="19"/>
      <c r="N205" s="19"/>
      <c r="O205" s="19"/>
      <c r="P205" s="19"/>
    </row>
    <row r="206" spans="1:16" ht="14.25" customHeight="1" x14ac:dyDescent="0.15">
      <c r="A206" s="19" t="s">
        <v>57</v>
      </c>
      <c r="B206" s="19" t="s">
        <v>59</v>
      </c>
      <c r="C206" s="19" t="s">
        <v>62</v>
      </c>
      <c r="D206" s="19" t="s">
        <v>64</v>
      </c>
      <c r="E206" s="19" t="s">
        <v>233</v>
      </c>
      <c r="F206" s="19">
        <v>900</v>
      </c>
      <c r="G206" s="19">
        <v>600</v>
      </c>
      <c r="H206" s="19" t="s">
        <v>67</v>
      </c>
      <c r="I206" s="19" t="s">
        <v>244</v>
      </c>
      <c r="J206" s="19" t="s">
        <v>71</v>
      </c>
      <c r="K206" s="19" t="s">
        <v>72</v>
      </c>
      <c r="L206" s="19" t="s">
        <v>73</v>
      </c>
      <c r="M206" s="19" t="s">
        <v>76</v>
      </c>
      <c r="N206" s="19" t="s">
        <v>78</v>
      </c>
      <c r="O206" s="19" t="s">
        <v>79</v>
      </c>
      <c r="P206" s="19" t="s">
        <v>81</v>
      </c>
    </row>
    <row r="207" spans="1:16" ht="14.25" customHeight="1" x14ac:dyDescent="0.15">
      <c r="A207" s="21"/>
      <c r="B207" s="21"/>
      <c r="C207" s="44" t="s">
        <v>245</v>
      </c>
      <c r="D207" s="21"/>
      <c r="E207" s="21">
        <v>4.5</v>
      </c>
      <c r="F207" s="23" t="str">
        <f>F137</f>
        <v>1900</v>
      </c>
      <c r="G207" s="23" t="str">
        <f>G200</f>
        <v>1800</v>
      </c>
      <c r="H207" s="21">
        <v>380</v>
      </c>
      <c r="I207" s="23" t="str">
        <f t="shared" ref="I207:J207" si="140">I200</f>
        <v>1500</v>
      </c>
      <c r="J207" s="21">
        <f t="shared" si="140"/>
        <v>1000</v>
      </c>
      <c r="K207" s="21">
        <v>585</v>
      </c>
      <c r="L207" s="23" t="str">
        <f>L200</f>
        <v>1500</v>
      </c>
      <c r="M207" s="21"/>
      <c r="N207" s="21"/>
      <c r="O207" s="21">
        <f>O200</f>
        <v>2</v>
      </c>
      <c r="P207" s="21"/>
    </row>
    <row r="208" spans="1:16" ht="14.25" customHeight="1" x14ac:dyDescent="0.15">
      <c r="A208" s="19">
        <v>1</v>
      </c>
      <c r="B208" s="19">
        <v>1.8</v>
      </c>
      <c r="C208" s="19">
        <f>0.75+0.3</f>
        <v>1.05</v>
      </c>
      <c r="D208" s="19">
        <f>B208*C208</f>
        <v>1.8900000000000001</v>
      </c>
      <c r="E208" s="19">
        <v>2.5</v>
      </c>
      <c r="F208" s="19"/>
      <c r="G208" s="19"/>
      <c r="H208" s="19"/>
      <c r="I208" s="19">
        <v>1</v>
      </c>
      <c r="J208" s="19">
        <f>A208</f>
        <v>1</v>
      </c>
      <c r="K208" s="19">
        <f t="shared" ref="K208:L208" si="141">K201</f>
        <v>0</v>
      </c>
      <c r="L208" s="19">
        <f t="shared" si="141"/>
        <v>1</v>
      </c>
      <c r="M208" s="19"/>
      <c r="N208" s="19"/>
      <c r="O208" s="19"/>
      <c r="P208" s="19"/>
    </row>
    <row r="209" spans="1:16" ht="14.25" customHeight="1" x14ac:dyDescent="0.15">
      <c r="A209" s="19"/>
      <c r="B209" s="19"/>
      <c r="C209" s="19"/>
      <c r="D209" s="26" t="str">
        <f>D160</f>
        <v>3000</v>
      </c>
      <c r="E209" s="26" t="str">
        <f>E202</f>
        <v>1000</v>
      </c>
      <c r="F209" s="19">
        <v>2</v>
      </c>
      <c r="G209" s="19">
        <v>0</v>
      </c>
      <c r="H209" s="19">
        <f>B208*2</f>
        <v>3.6</v>
      </c>
      <c r="I209" s="19"/>
      <c r="J209" s="19"/>
      <c r="K209" s="19"/>
      <c r="L209" s="19"/>
      <c r="M209" s="19"/>
      <c r="N209" s="19"/>
      <c r="O209" s="19"/>
      <c r="P209" s="19"/>
    </row>
    <row r="210" spans="1:16" ht="14.25" customHeight="1" x14ac:dyDescent="0.15">
      <c r="A210" s="19"/>
      <c r="B210" s="19"/>
      <c r="C210" s="19"/>
      <c r="D210" s="19">
        <f>D208*D209</f>
        <v>5670</v>
      </c>
      <c r="E210" s="19">
        <f>E209*E207</f>
        <v>4500</v>
      </c>
      <c r="F210" s="19">
        <f t="shared" ref="F210:H210" si="142">F207*F209</f>
        <v>3800</v>
      </c>
      <c r="G210" s="19">
        <f t="shared" si="142"/>
        <v>0</v>
      </c>
      <c r="H210" s="19">
        <f t="shared" si="142"/>
        <v>1368</v>
      </c>
      <c r="I210" s="19">
        <f t="shared" ref="I210:L210" si="143">I207*I208</f>
        <v>1500</v>
      </c>
      <c r="J210" s="19">
        <f t="shared" si="143"/>
        <v>1000</v>
      </c>
      <c r="K210" s="19">
        <f t="shared" si="143"/>
        <v>0</v>
      </c>
      <c r="L210" s="19">
        <f t="shared" si="143"/>
        <v>1500</v>
      </c>
      <c r="M210" s="19">
        <f>SUM(D210:L210)</f>
        <v>19338</v>
      </c>
      <c r="N210" s="19">
        <f>M210/A208</f>
        <v>19338</v>
      </c>
      <c r="O210" s="19">
        <f>N210*O207</f>
        <v>38676</v>
      </c>
      <c r="P210" s="19">
        <f>MROUND(O210,100)</f>
        <v>38700</v>
      </c>
    </row>
    <row r="211" spans="1:16" ht="14.25" customHeight="1" x14ac:dyDescent="0.15">
      <c r="A211" s="111"/>
      <c r="B211" s="87"/>
      <c r="C211" s="87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</row>
    <row r="212" spans="1:16" ht="14.25" customHeight="1" x14ac:dyDescent="0.15">
      <c r="A212" s="109" t="str">
        <f>PRICELIST!I574</f>
        <v>CBFLX-FR-PoLM-1800x750+1350</v>
      </c>
      <c r="B212" s="87"/>
      <c r="C212" s="87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</row>
    <row r="213" spans="1:16" ht="14.25" customHeight="1" x14ac:dyDescent="0.15">
      <c r="A213" s="19" t="s">
        <v>57</v>
      </c>
      <c r="B213" s="19" t="s">
        <v>59</v>
      </c>
      <c r="C213" s="19" t="s">
        <v>62</v>
      </c>
      <c r="D213" s="19" t="s">
        <v>64</v>
      </c>
      <c r="E213" s="19" t="s">
        <v>233</v>
      </c>
      <c r="F213" s="19">
        <v>900</v>
      </c>
      <c r="G213" s="19">
        <v>600</v>
      </c>
      <c r="H213" s="19" t="s">
        <v>67</v>
      </c>
      <c r="I213" s="19" t="s">
        <v>244</v>
      </c>
      <c r="J213" s="19" t="s">
        <v>71</v>
      </c>
      <c r="K213" s="19" t="s">
        <v>72</v>
      </c>
      <c r="L213" s="19" t="s">
        <v>73</v>
      </c>
      <c r="M213" s="19" t="s">
        <v>76</v>
      </c>
      <c r="N213" s="19" t="s">
        <v>78</v>
      </c>
      <c r="O213" s="19" t="s">
        <v>79</v>
      </c>
      <c r="P213" s="19" t="s">
        <v>81</v>
      </c>
    </row>
    <row r="214" spans="1:16" ht="14.25" customHeight="1" x14ac:dyDescent="0.15">
      <c r="A214" s="21"/>
      <c r="B214" s="21"/>
      <c r="C214" s="44" t="s">
        <v>245</v>
      </c>
      <c r="D214" s="21"/>
      <c r="E214" s="21">
        <v>4.5</v>
      </c>
      <c r="F214" s="23" t="str">
        <f>F144</f>
        <v>1900</v>
      </c>
      <c r="G214" s="23" t="str">
        <f>G207</f>
        <v>1800</v>
      </c>
      <c r="H214" s="21">
        <v>380</v>
      </c>
      <c r="I214" s="23" t="str">
        <f t="shared" ref="I214:J214" si="144">I207</f>
        <v>1500</v>
      </c>
      <c r="J214" s="21">
        <f t="shared" si="144"/>
        <v>1000</v>
      </c>
      <c r="K214" s="21">
        <v>585</v>
      </c>
      <c r="L214" s="23" t="str">
        <f>L207</f>
        <v>1500</v>
      </c>
      <c r="M214" s="21"/>
      <c r="N214" s="21"/>
      <c r="O214" s="21">
        <f>O207</f>
        <v>2</v>
      </c>
      <c r="P214" s="21"/>
    </row>
    <row r="215" spans="1:16" ht="14.25" customHeight="1" x14ac:dyDescent="0.15">
      <c r="A215" s="19">
        <v>1</v>
      </c>
      <c r="B215" s="19">
        <v>1.8</v>
      </c>
      <c r="C215" s="19">
        <f>0.75+0.3</f>
        <v>1.05</v>
      </c>
      <c r="D215" s="19">
        <f>B215*C215</f>
        <v>1.8900000000000001</v>
      </c>
      <c r="E215" s="19">
        <v>2.5</v>
      </c>
      <c r="F215" s="19"/>
      <c r="G215" s="19"/>
      <c r="H215" s="19"/>
      <c r="I215" s="19">
        <v>1</v>
      </c>
      <c r="J215" s="19">
        <f>A215</f>
        <v>1</v>
      </c>
      <c r="K215" s="19">
        <f t="shared" ref="K215:L215" si="145">K208</f>
        <v>0</v>
      </c>
      <c r="L215" s="19">
        <f t="shared" si="145"/>
        <v>1</v>
      </c>
      <c r="M215" s="19"/>
      <c r="N215" s="19"/>
      <c r="O215" s="19"/>
      <c r="P215" s="19"/>
    </row>
    <row r="216" spans="1:16" ht="14.25" customHeight="1" x14ac:dyDescent="0.15">
      <c r="A216" s="19"/>
      <c r="B216" s="19"/>
      <c r="C216" s="19"/>
      <c r="D216" s="26" t="str">
        <f>D167</f>
        <v>7500</v>
      </c>
      <c r="E216" s="26" t="str">
        <f>E209</f>
        <v>1000</v>
      </c>
      <c r="F216" s="19">
        <v>2</v>
      </c>
      <c r="G216" s="19">
        <v>0</v>
      </c>
      <c r="H216" s="19">
        <f>B215*2</f>
        <v>3.6</v>
      </c>
      <c r="I216" s="19"/>
      <c r="J216" s="19"/>
      <c r="K216" s="19"/>
      <c r="L216" s="19"/>
      <c r="M216" s="19"/>
      <c r="N216" s="19"/>
      <c r="O216" s="19"/>
      <c r="P216" s="19"/>
    </row>
    <row r="217" spans="1:16" ht="14.25" customHeight="1" x14ac:dyDescent="0.15">
      <c r="A217" s="19"/>
      <c r="B217" s="19"/>
      <c r="C217" s="19"/>
      <c r="D217" s="19">
        <f>D215*D216</f>
        <v>14175.000000000002</v>
      </c>
      <c r="E217" s="19">
        <f>E216*E214</f>
        <v>4500</v>
      </c>
      <c r="F217" s="19">
        <f t="shared" ref="F217:H217" si="146">F214*F216</f>
        <v>3800</v>
      </c>
      <c r="G217" s="19">
        <f t="shared" si="146"/>
        <v>0</v>
      </c>
      <c r="H217" s="19">
        <f t="shared" si="146"/>
        <v>1368</v>
      </c>
      <c r="I217" s="19">
        <f t="shared" ref="I217:L217" si="147">I214*I215</f>
        <v>1500</v>
      </c>
      <c r="J217" s="19">
        <f t="shared" si="147"/>
        <v>1000</v>
      </c>
      <c r="K217" s="19">
        <f t="shared" si="147"/>
        <v>0</v>
      </c>
      <c r="L217" s="19">
        <f t="shared" si="147"/>
        <v>1500</v>
      </c>
      <c r="M217" s="19">
        <f>SUM(D217:L217)</f>
        <v>27843</v>
      </c>
      <c r="N217" s="19">
        <f>M217/A215</f>
        <v>27843</v>
      </c>
      <c r="O217" s="19">
        <f>N217*O214</f>
        <v>55686</v>
      </c>
      <c r="P217" s="19">
        <f>MROUND(O217,100)</f>
        <v>55700</v>
      </c>
    </row>
    <row r="218" spans="1:16" ht="14.25" customHeight="1" x14ac:dyDescent="0.15">
      <c r="A218" s="111"/>
      <c r="B218" s="87"/>
      <c r="C218" s="87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</row>
    <row r="219" spans="1:16" ht="14.25" customHeight="1" x14ac:dyDescent="0.15">
      <c r="A219" s="109" t="str">
        <f>PRICELIST!I575</f>
        <v>CBFLX-FR-LVM-1800x750+1350</v>
      </c>
      <c r="B219" s="87"/>
      <c r="C219" s="87"/>
      <c r="D219" s="21"/>
      <c r="E219" s="21"/>
      <c r="F219" s="21"/>
      <c r="G219" s="30"/>
      <c r="H219" s="21"/>
      <c r="I219" s="21"/>
      <c r="J219" s="21"/>
      <c r="K219" s="21"/>
      <c r="L219" s="21"/>
      <c r="M219" s="21"/>
      <c r="N219" s="21"/>
      <c r="O219" s="21"/>
      <c r="P219" s="21"/>
    </row>
    <row r="220" spans="1:16" ht="14.25" customHeight="1" x14ac:dyDescent="0.15">
      <c r="A220" s="19" t="s">
        <v>57</v>
      </c>
      <c r="B220" s="19" t="s">
        <v>59</v>
      </c>
      <c r="C220" s="19" t="s">
        <v>62</v>
      </c>
      <c r="D220" s="19" t="s">
        <v>64</v>
      </c>
      <c r="E220" s="19" t="s">
        <v>233</v>
      </c>
      <c r="F220" s="19">
        <v>900</v>
      </c>
      <c r="G220" s="19">
        <v>600</v>
      </c>
      <c r="H220" s="19" t="s">
        <v>67</v>
      </c>
      <c r="I220" s="19" t="s">
        <v>244</v>
      </c>
      <c r="J220" s="19" t="s">
        <v>71</v>
      </c>
      <c r="K220" s="19" t="s">
        <v>72</v>
      </c>
      <c r="L220" s="19" t="s">
        <v>73</v>
      </c>
      <c r="M220" s="19" t="s">
        <v>76</v>
      </c>
      <c r="N220" s="19" t="s">
        <v>78</v>
      </c>
      <c r="O220" s="19" t="s">
        <v>79</v>
      </c>
      <c r="P220" s="19" t="s">
        <v>81</v>
      </c>
    </row>
    <row r="221" spans="1:16" ht="14.25" customHeight="1" x14ac:dyDescent="0.15">
      <c r="A221" s="21"/>
      <c r="B221" s="21"/>
      <c r="C221" s="44" t="s">
        <v>245</v>
      </c>
      <c r="D221" s="21"/>
      <c r="E221" s="21">
        <v>4.5</v>
      </c>
      <c r="F221" s="23" t="str">
        <f>F151</f>
        <v>1900</v>
      </c>
      <c r="G221" s="23" t="str">
        <f>G214</f>
        <v>1800</v>
      </c>
      <c r="H221" s="21">
        <v>380</v>
      </c>
      <c r="I221" s="23" t="str">
        <f t="shared" ref="I221:J221" si="148">I214</f>
        <v>1500</v>
      </c>
      <c r="J221" s="21">
        <f t="shared" si="148"/>
        <v>1000</v>
      </c>
      <c r="K221" s="21">
        <v>585</v>
      </c>
      <c r="L221" s="23" t="str">
        <f>L214</f>
        <v>1500</v>
      </c>
      <c r="M221" s="21"/>
      <c r="N221" s="21"/>
      <c r="O221" s="21">
        <f>O214</f>
        <v>2</v>
      </c>
      <c r="P221" s="21"/>
    </row>
    <row r="222" spans="1:16" ht="14.25" customHeight="1" x14ac:dyDescent="0.15">
      <c r="A222" s="19">
        <v>1</v>
      </c>
      <c r="B222" s="19">
        <v>1.8</v>
      </c>
      <c r="C222" s="19">
        <f>0.75+0.3</f>
        <v>1.05</v>
      </c>
      <c r="D222" s="19">
        <f>B222*C222</f>
        <v>1.8900000000000001</v>
      </c>
      <c r="E222" s="19">
        <v>2.5</v>
      </c>
      <c r="F222" s="19"/>
      <c r="G222" s="19"/>
      <c r="H222" s="19"/>
      <c r="I222" s="19">
        <v>1</v>
      </c>
      <c r="J222" s="19">
        <f>A222</f>
        <v>1</v>
      </c>
      <c r="K222" s="19">
        <f t="shared" ref="K222:L222" si="149">K215</f>
        <v>0</v>
      </c>
      <c r="L222" s="19">
        <f t="shared" si="149"/>
        <v>1</v>
      </c>
      <c r="M222" s="19"/>
      <c r="N222" s="19"/>
      <c r="O222" s="19"/>
      <c r="P222" s="19"/>
    </row>
    <row r="223" spans="1:16" ht="14.25" customHeight="1" x14ac:dyDescent="0.15">
      <c r="A223" s="19"/>
      <c r="B223" s="19"/>
      <c r="C223" s="19"/>
      <c r="D223" s="26" t="str">
        <f>D174</f>
        <v>9500</v>
      </c>
      <c r="E223" s="26" t="str">
        <f>E181</f>
        <v>1500</v>
      </c>
      <c r="F223" s="19">
        <v>2</v>
      </c>
      <c r="G223" s="19">
        <v>0</v>
      </c>
      <c r="H223" s="19">
        <f>B222*2</f>
        <v>3.6</v>
      </c>
      <c r="I223" s="19"/>
      <c r="J223" s="19"/>
      <c r="K223" s="19"/>
      <c r="L223" s="19"/>
      <c r="M223" s="19"/>
      <c r="N223" s="19"/>
      <c r="O223" s="19"/>
      <c r="P223" s="19"/>
    </row>
    <row r="224" spans="1:16" ht="14.25" customHeight="1" x14ac:dyDescent="0.15">
      <c r="A224" s="19"/>
      <c r="B224" s="19"/>
      <c r="C224" s="19"/>
      <c r="D224" s="19">
        <f>D222*D223</f>
        <v>17955</v>
      </c>
      <c r="E224" s="19">
        <f>E223*E221</f>
        <v>6750</v>
      </c>
      <c r="F224" s="19">
        <f t="shared" ref="F224:H224" si="150">F221*F223</f>
        <v>3800</v>
      </c>
      <c r="G224" s="19">
        <f t="shared" si="150"/>
        <v>0</v>
      </c>
      <c r="H224" s="19">
        <f t="shared" si="150"/>
        <v>1368</v>
      </c>
      <c r="I224" s="19">
        <f t="shared" ref="I224:L224" si="151">I221*I222</f>
        <v>1500</v>
      </c>
      <c r="J224" s="19">
        <f t="shared" si="151"/>
        <v>1000</v>
      </c>
      <c r="K224" s="19">
        <f t="shared" si="151"/>
        <v>0</v>
      </c>
      <c r="L224" s="19">
        <f t="shared" si="151"/>
        <v>1500</v>
      </c>
      <c r="M224" s="19">
        <f>SUM(D224:L224)</f>
        <v>33873</v>
      </c>
      <c r="N224" s="19">
        <f>M224/A222</f>
        <v>33873</v>
      </c>
      <c r="O224" s="19">
        <f>N224*O221</f>
        <v>67746</v>
      </c>
      <c r="P224" s="19">
        <f>MROUND(O224,100)</f>
        <v>67700</v>
      </c>
    </row>
    <row r="225" spans="1:16" ht="14.25" customHeight="1" x14ac:dyDescent="0.15">
      <c r="A225" s="111"/>
      <c r="B225" s="87"/>
      <c r="C225" s="87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</row>
    <row r="226" spans="1:16" ht="14.25" customHeight="1" x14ac:dyDescent="0.15">
      <c r="A226" s="109" t="str">
        <f>PRICELIST!I576</f>
        <v>CBFLX-FR-LVP-1800x750+1350</v>
      </c>
      <c r="B226" s="87"/>
      <c r="C226" s="87"/>
      <c r="D226" s="19"/>
      <c r="E226" s="19"/>
      <c r="F226" s="30"/>
      <c r="G226" s="30"/>
      <c r="H226" s="19"/>
      <c r="I226" s="19"/>
      <c r="J226" s="19"/>
      <c r="K226" s="19"/>
      <c r="L226" s="19"/>
      <c r="M226" s="19"/>
      <c r="N226" s="19"/>
      <c r="O226" s="19"/>
      <c r="P226" s="19"/>
    </row>
    <row r="227" spans="1:16" ht="14.25" customHeight="1" x14ac:dyDescent="0.15">
      <c r="A227" s="19" t="s">
        <v>57</v>
      </c>
      <c r="B227" s="19" t="s">
        <v>59</v>
      </c>
      <c r="C227" s="19" t="s">
        <v>62</v>
      </c>
      <c r="D227" s="19" t="s">
        <v>64</v>
      </c>
      <c r="E227" s="19" t="s">
        <v>233</v>
      </c>
      <c r="F227" s="19">
        <v>900</v>
      </c>
      <c r="G227" s="19">
        <v>600</v>
      </c>
      <c r="H227" s="19" t="s">
        <v>67</v>
      </c>
      <c r="I227" s="19" t="s">
        <v>244</v>
      </c>
      <c r="J227" s="19" t="s">
        <v>71</v>
      </c>
      <c r="K227" s="19" t="s">
        <v>72</v>
      </c>
      <c r="L227" s="19" t="s">
        <v>73</v>
      </c>
      <c r="M227" s="19" t="s">
        <v>76</v>
      </c>
      <c r="N227" s="19" t="s">
        <v>78</v>
      </c>
      <c r="O227" s="19" t="s">
        <v>79</v>
      </c>
      <c r="P227" s="19" t="s">
        <v>81</v>
      </c>
    </row>
    <row r="228" spans="1:16" ht="14.25" customHeight="1" x14ac:dyDescent="0.15">
      <c r="A228" s="21"/>
      <c r="B228" s="21"/>
      <c r="C228" s="44" t="s">
        <v>245</v>
      </c>
      <c r="D228" s="21"/>
      <c r="E228" s="21">
        <v>4.5</v>
      </c>
      <c r="F228" s="23" t="str">
        <f>F158</f>
        <v>1900</v>
      </c>
      <c r="G228" s="23" t="str">
        <f>G221</f>
        <v>1800</v>
      </c>
      <c r="H228" s="21">
        <v>380</v>
      </c>
      <c r="I228" s="23" t="str">
        <f t="shared" ref="I228:J228" si="152">I221</f>
        <v>1500</v>
      </c>
      <c r="J228" s="21">
        <f t="shared" si="152"/>
        <v>1000</v>
      </c>
      <c r="K228" s="21">
        <v>585</v>
      </c>
      <c r="L228" s="23" t="str">
        <f>L221</f>
        <v>1500</v>
      </c>
      <c r="M228" s="21"/>
      <c r="N228" s="21"/>
      <c r="O228" s="21">
        <f>O221</f>
        <v>2</v>
      </c>
      <c r="P228" s="21"/>
    </row>
    <row r="229" spans="1:16" ht="14.25" customHeight="1" x14ac:dyDescent="0.15">
      <c r="A229" s="19">
        <v>1</v>
      </c>
      <c r="B229" s="19">
        <v>1.8</v>
      </c>
      <c r="C229" s="19">
        <f>0.75+0.3</f>
        <v>1.05</v>
      </c>
      <c r="D229" s="19">
        <f>B229*C229</f>
        <v>1.8900000000000001</v>
      </c>
      <c r="E229" s="19">
        <v>2.5</v>
      </c>
      <c r="F229" s="19"/>
      <c r="G229" s="19"/>
      <c r="H229" s="19"/>
      <c r="I229" s="19">
        <v>1</v>
      </c>
      <c r="J229" s="19">
        <f>A229</f>
        <v>1</v>
      </c>
      <c r="K229" s="19">
        <f t="shared" ref="K229:L229" si="153">K222</f>
        <v>0</v>
      </c>
      <c r="L229" s="19">
        <f t="shared" si="153"/>
        <v>1</v>
      </c>
      <c r="M229" s="19"/>
      <c r="N229" s="19"/>
      <c r="O229" s="19"/>
      <c r="P229" s="19"/>
    </row>
    <row r="230" spans="1:16" ht="14.25" customHeight="1" x14ac:dyDescent="0.15">
      <c r="A230" s="19"/>
      <c r="B230" s="19"/>
      <c r="C230" s="19"/>
      <c r="D230" s="26" t="str">
        <f>D181</f>
        <v>10500</v>
      </c>
      <c r="E230" s="26" t="str">
        <f>E223</f>
        <v>1500</v>
      </c>
      <c r="F230" s="19">
        <v>2</v>
      </c>
      <c r="G230" s="19">
        <v>0</v>
      </c>
      <c r="H230" s="19">
        <f>B229*2</f>
        <v>3.6</v>
      </c>
      <c r="I230" s="19"/>
      <c r="J230" s="19"/>
      <c r="K230" s="19"/>
      <c r="L230" s="19"/>
      <c r="M230" s="19"/>
      <c r="N230" s="19"/>
      <c r="O230" s="19"/>
      <c r="P230" s="19"/>
    </row>
    <row r="231" spans="1:16" ht="14.25" customHeight="1" x14ac:dyDescent="0.15">
      <c r="A231" s="19"/>
      <c r="B231" s="19"/>
      <c r="C231" s="19"/>
      <c r="D231" s="19">
        <f>D229*D230</f>
        <v>19845</v>
      </c>
      <c r="E231" s="19">
        <f>E230*E228</f>
        <v>6750</v>
      </c>
      <c r="F231" s="19">
        <f t="shared" ref="F231:H231" si="154">F228*F230</f>
        <v>3800</v>
      </c>
      <c r="G231" s="19">
        <f t="shared" si="154"/>
        <v>0</v>
      </c>
      <c r="H231" s="19">
        <f t="shared" si="154"/>
        <v>1368</v>
      </c>
      <c r="I231" s="19">
        <f t="shared" ref="I231:L231" si="155">I228*I229</f>
        <v>1500</v>
      </c>
      <c r="J231" s="19">
        <f t="shared" si="155"/>
        <v>1000</v>
      </c>
      <c r="K231" s="19">
        <f t="shared" si="155"/>
        <v>0</v>
      </c>
      <c r="L231" s="19">
        <f t="shared" si="155"/>
        <v>1500</v>
      </c>
      <c r="M231" s="19">
        <f>SUM(D231:L231)</f>
        <v>35763</v>
      </c>
      <c r="N231" s="19">
        <f>M231/A229</f>
        <v>35763</v>
      </c>
      <c r="O231" s="19">
        <f>N231*O228</f>
        <v>71526</v>
      </c>
      <c r="P231" s="19">
        <f>MROUND(O231,100)</f>
        <v>71500</v>
      </c>
    </row>
    <row r="232" spans="1:16" ht="14.25" customHeight="1" x14ac:dyDescent="0.15">
      <c r="A232" s="111"/>
      <c r="B232" s="87"/>
      <c r="C232" s="87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</row>
    <row r="233" spans="1:16" ht="14.25" customHeight="1" x14ac:dyDescent="0.15">
      <c r="A233" s="109" t="str">
        <f>PRICELIST!I577</f>
        <v>CBFLX-FR-VNR-1800x750+1350</v>
      </c>
      <c r="B233" s="87"/>
      <c r="C233" s="87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</row>
    <row r="234" spans="1:16" ht="14.25" customHeight="1" x14ac:dyDescent="0.15">
      <c r="A234" s="19" t="s">
        <v>57</v>
      </c>
      <c r="B234" s="19" t="s">
        <v>59</v>
      </c>
      <c r="C234" s="19" t="s">
        <v>62</v>
      </c>
      <c r="D234" s="19" t="s">
        <v>64</v>
      </c>
      <c r="E234" s="19" t="s">
        <v>233</v>
      </c>
      <c r="F234" s="19">
        <v>900</v>
      </c>
      <c r="G234" s="19">
        <v>600</v>
      </c>
      <c r="H234" s="19" t="s">
        <v>67</v>
      </c>
      <c r="I234" s="19" t="s">
        <v>244</v>
      </c>
      <c r="J234" s="19" t="s">
        <v>71</v>
      </c>
      <c r="K234" s="19" t="s">
        <v>72</v>
      </c>
      <c r="L234" s="19" t="s">
        <v>73</v>
      </c>
      <c r="M234" s="19" t="s">
        <v>76</v>
      </c>
      <c r="N234" s="19" t="s">
        <v>78</v>
      </c>
      <c r="O234" s="19" t="s">
        <v>79</v>
      </c>
      <c r="P234" s="19" t="s">
        <v>81</v>
      </c>
    </row>
    <row r="235" spans="1:16" ht="14.25" customHeight="1" x14ac:dyDescent="0.15">
      <c r="A235" s="21"/>
      <c r="B235" s="21"/>
      <c r="C235" s="44" t="s">
        <v>245</v>
      </c>
      <c r="D235" s="21"/>
      <c r="E235" s="21">
        <v>4.5</v>
      </c>
      <c r="F235" s="23" t="str">
        <f t="shared" ref="F235:G235" si="156">F228</f>
        <v>1900</v>
      </c>
      <c r="G235" s="23" t="str">
        <f t="shared" si="156"/>
        <v>1800</v>
      </c>
      <c r="H235" s="21">
        <v>380</v>
      </c>
      <c r="I235" s="23" t="str">
        <f t="shared" ref="I235:J235" si="157">I228</f>
        <v>1500</v>
      </c>
      <c r="J235" s="21">
        <f t="shared" si="157"/>
        <v>1000</v>
      </c>
      <c r="K235" s="21">
        <v>585</v>
      </c>
      <c r="L235" s="23" t="str">
        <f>L228</f>
        <v>1500</v>
      </c>
      <c r="M235" s="21"/>
      <c r="N235" s="21"/>
      <c r="O235" s="21">
        <f>O228</f>
        <v>2</v>
      </c>
      <c r="P235" s="21"/>
    </row>
    <row r="236" spans="1:16" ht="14.25" customHeight="1" x14ac:dyDescent="0.15">
      <c r="A236" s="19">
        <v>1</v>
      </c>
      <c r="B236" s="19">
        <v>1.8</v>
      </c>
      <c r="C236" s="19">
        <f>0.75+0.3</f>
        <v>1.05</v>
      </c>
      <c r="D236" s="19">
        <f>B236*C236</f>
        <v>1.8900000000000001</v>
      </c>
      <c r="E236" s="19">
        <v>2.5</v>
      </c>
      <c r="F236" s="19"/>
      <c r="G236" s="19"/>
      <c r="H236" s="19"/>
      <c r="I236" s="19">
        <v>1</v>
      </c>
      <c r="J236" s="19">
        <f>A236</f>
        <v>1</v>
      </c>
      <c r="K236" s="19">
        <f t="shared" ref="K236:L236" si="158">K229</f>
        <v>0</v>
      </c>
      <c r="L236" s="19">
        <f t="shared" si="158"/>
        <v>1</v>
      </c>
      <c r="M236" s="19"/>
      <c r="N236" s="19"/>
      <c r="O236" s="19"/>
      <c r="P236" s="19"/>
    </row>
    <row r="237" spans="1:16" ht="14.25" customHeight="1" x14ac:dyDescent="0.15">
      <c r="A237" s="19"/>
      <c r="B237" s="19"/>
      <c r="C237" s="19"/>
      <c r="D237" s="26" t="str">
        <f>D188</f>
        <v>30000</v>
      </c>
      <c r="E237" s="26" t="str">
        <f>E230</f>
        <v>1500</v>
      </c>
      <c r="F237" s="19">
        <v>2</v>
      </c>
      <c r="G237" s="19">
        <v>0</v>
      </c>
      <c r="H237" s="19">
        <f>B236*2</f>
        <v>3.6</v>
      </c>
      <c r="I237" s="19"/>
      <c r="J237" s="19"/>
      <c r="K237" s="19"/>
      <c r="L237" s="19"/>
      <c r="M237" s="19"/>
      <c r="N237" s="19"/>
      <c r="O237" s="19"/>
      <c r="P237" s="19"/>
    </row>
    <row r="238" spans="1:16" ht="14.25" customHeight="1" x14ac:dyDescent="0.15">
      <c r="A238" s="19"/>
      <c r="B238" s="19"/>
      <c r="C238" s="19"/>
      <c r="D238" s="19">
        <f>D236*D237</f>
        <v>56700.000000000007</v>
      </c>
      <c r="E238" s="19">
        <f>E237*E235</f>
        <v>6750</v>
      </c>
      <c r="F238" s="19">
        <f t="shared" ref="F238:H238" si="159">F235*F237</f>
        <v>3800</v>
      </c>
      <c r="G238" s="19">
        <f t="shared" si="159"/>
        <v>0</v>
      </c>
      <c r="H238" s="19">
        <f t="shared" si="159"/>
        <v>1368</v>
      </c>
      <c r="I238" s="19">
        <f t="shared" ref="I238:L238" si="160">I235*I236</f>
        <v>1500</v>
      </c>
      <c r="J238" s="19">
        <f t="shared" si="160"/>
        <v>1000</v>
      </c>
      <c r="K238" s="19">
        <f t="shared" si="160"/>
        <v>0</v>
      </c>
      <c r="L238" s="19">
        <f t="shared" si="160"/>
        <v>1500</v>
      </c>
      <c r="M238" s="19">
        <f>SUM(D238:L238)</f>
        <v>72618</v>
      </c>
      <c r="N238" s="19">
        <f>M238/A236</f>
        <v>72618</v>
      </c>
      <c r="O238" s="19">
        <f>N238*O235</f>
        <v>145236</v>
      </c>
      <c r="P238" s="19">
        <f>MROUND(O238,100)</f>
        <v>145200</v>
      </c>
    </row>
    <row r="239" spans="1:16" ht="14.25" customHeight="1" x14ac:dyDescent="0.15">
      <c r="A239" s="111"/>
      <c r="B239" s="87"/>
      <c r="C239" s="87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</row>
    <row r="240" spans="1:16" ht="14.25" customHeight="1" x14ac:dyDescent="0.15">
      <c r="A240" s="109" t="str">
        <f>PRICELIST!I578</f>
        <v>CBFLX-FR-GL-1800x750+1350</v>
      </c>
      <c r="B240" s="87"/>
      <c r="C240" s="87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</row>
    <row r="241" spans="1:16" ht="14.25" customHeight="1" x14ac:dyDescent="0.15">
      <c r="A241" s="19" t="s">
        <v>57</v>
      </c>
      <c r="B241" s="19" t="s">
        <v>59</v>
      </c>
      <c r="C241" s="19" t="s">
        <v>62</v>
      </c>
      <c r="D241" s="19" t="s">
        <v>64</v>
      </c>
      <c r="E241" s="19" t="s">
        <v>233</v>
      </c>
      <c r="F241" s="19">
        <v>900</v>
      </c>
      <c r="G241" s="19">
        <v>600</v>
      </c>
      <c r="H241" s="19" t="s">
        <v>67</v>
      </c>
      <c r="I241" s="19" t="s">
        <v>244</v>
      </c>
      <c r="J241" s="19" t="s">
        <v>71</v>
      </c>
      <c r="K241" s="19" t="s">
        <v>72</v>
      </c>
      <c r="L241" s="19" t="s">
        <v>73</v>
      </c>
      <c r="M241" s="19" t="s">
        <v>76</v>
      </c>
      <c r="N241" s="19" t="s">
        <v>78</v>
      </c>
      <c r="O241" s="19" t="s">
        <v>79</v>
      </c>
      <c r="P241" s="19" t="s">
        <v>81</v>
      </c>
    </row>
    <row r="242" spans="1:16" ht="14.25" customHeight="1" x14ac:dyDescent="0.15">
      <c r="A242" s="21"/>
      <c r="B242" s="21"/>
      <c r="C242" s="44" t="s">
        <v>245</v>
      </c>
      <c r="D242" s="21"/>
      <c r="E242" s="21">
        <v>4.5</v>
      </c>
      <c r="F242" s="23" t="str">
        <f t="shared" ref="F242:G242" si="161">F235</f>
        <v>1900</v>
      </c>
      <c r="G242" s="23" t="str">
        <f t="shared" si="161"/>
        <v>1800</v>
      </c>
      <c r="H242" s="21">
        <v>380</v>
      </c>
      <c r="I242" s="23" t="str">
        <f t="shared" ref="I242:J242" si="162">I235</f>
        <v>1500</v>
      </c>
      <c r="J242" s="21">
        <f t="shared" si="162"/>
        <v>1000</v>
      </c>
      <c r="K242" s="21">
        <v>585</v>
      </c>
      <c r="L242" s="23" t="str">
        <f>L235</f>
        <v>1500</v>
      </c>
      <c r="M242" s="21"/>
      <c r="N242" s="21"/>
      <c r="O242" s="21">
        <f>O235</f>
        <v>2</v>
      </c>
      <c r="P242" s="21"/>
    </row>
    <row r="243" spans="1:16" ht="14.25" customHeight="1" x14ac:dyDescent="0.15">
      <c r="A243" s="19">
        <v>1</v>
      </c>
      <c r="B243" s="19">
        <v>1.8</v>
      </c>
      <c r="C243" s="19">
        <f>0.75+0.3</f>
        <v>1.05</v>
      </c>
      <c r="D243" s="19">
        <f>B243*C243</f>
        <v>1.8900000000000001</v>
      </c>
      <c r="E243" s="19">
        <v>2.5</v>
      </c>
      <c r="F243" s="19"/>
      <c r="G243" s="19"/>
      <c r="H243" s="19"/>
      <c r="I243" s="19">
        <v>1</v>
      </c>
      <c r="J243" s="19">
        <f>A243</f>
        <v>1</v>
      </c>
      <c r="K243" s="19">
        <f t="shared" ref="K243:L243" si="163">K236</f>
        <v>0</v>
      </c>
      <c r="L243" s="19">
        <f t="shared" si="163"/>
        <v>1</v>
      </c>
      <c r="M243" s="19"/>
      <c r="N243" s="19"/>
      <c r="O243" s="19"/>
      <c r="P243" s="19"/>
    </row>
    <row r="244" spans="1:16" ht="14.25" customHeight="1" x14ac:dyDescent="0.15">
      <c r="A244" s="19"/>
      <c r="B244" s="19"/>
      <c r="C244" s="19"/>
      <c r="D244" s="26" t="str">
        <f>D195</f>
        <v>7500</v>
      </c>
      <c r="E244" s="26" t="str">
        <f>E237</f>
        <v>1500</v>
      </c>
      <c r="F244" s="19">
        <v>2</v>
      </c>
      <c r="G244" s="19">
        <v>0</v>
      </c>
      <c r="H244" s="19">
        <f>B243*2</f>
        <v>3.6</v>
      </c>
      <c r="I244" s="19"/>
      <c r="J244" s="19"/>
      <c r="K244" s="19"/>
      <c r="L244" s="19"/>
      <c r="M244" s="19"/>
      <c r="N244" s="19"/>
      <c r="O244" s="19"/>
      <c r="P244" s="19"/>
    </row>
    <row r="245" spans="1:16" ht="14.25" customHeight="1" x14ac:dyDescent="0.15">
      <c r="A245" s="19"/>
      <c r="B245" s="19"/>
      <c r="C245" s="19"/>
      <c r="D245" s="19">
        <f>D243*D244</f>
        <v>14175.000000000002</v>
      </c>
      <c r="E245" s="19">
        <f>E244*E242</f>
        <v>6750</v>
      </c>
      <c r="F245" s="19">
        <f t="shared" ref="F245:H245" si="164">F242*F244</f>
        <v>3800</v>
      </c>
      <c r="G245" s="19">
        <f t="shared" si="164"/>
        <v>0</v>
      </c>
      <c r="H245" s="19">
        <f t="shared" si="164"/>
        <v>1368</v>
      </c>
      <c r="I245" s="19">
        <f t="shared" ref="I245:L245" si="165">I242*I243</f>
        <v>1500</v>
      </c>
      <c r="J245" s="19">
        <f t="shared" si="165"/>
        <v>1000</v>
      </c>
      <c r="K245" s="19">
        <f t="shared" si="165"/>
        <v>0</v>
      </c>
      <c r="L245" s="19">
        <f t="shared" si="165"/>
        <v>1500</v>
      </c>
      <c r="M245" s="19">
        <f>SUM(D245:L245)</f>
        <v>30093</v>
      </c>
      <c r="N245" s="19">
        <f>M245/A243</f>
        <v>30093</v>
      </c>
      <c r="O245" s="19">
        <f>N245*O242</f>
        <v>60186</v>
      </c>
      <c r="P245" s="19">
        <f>MROUND(O245,100)</f>
        <v>60200</v>
      </c>
    </row>
    <row r="246" spans="1:16" ht="14.25" customHeight="1" x14ac:dyDescent="0.15">
      <c r="A246" s="111"/>
      <c r="B246" s="87"/>
      <c r="C246" s="87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</row>
    <row r="247" spans="1:16" ht="14.25" customHeight="1" x14ac:dyDescent="0.15">
      <c r="A247" s="109" t="str">
        <f>PRICELIST!I579</f>
        <v>CBFLX-FR-PB-2100x900+1800</v>
      </c>
      <c r="B247" s="87"/>
      <c r="C247" s="87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</row>
    <row r="248" spans="1:16" ht="14.25" customHeight="1" x14ac:dyDescent="0.15">
      <c r="A248" s="19" t="s">
        <v>57</v>
      </c>
      <c r="B248" s="19" t="s">
        <v>59</v>
      </c>
      <c r="C248" s="19" t="s">
        <v>62</v>
      </c>
      <c r="D248" s="19" t="s">
        <v>64</v>
      </c>
      <c r="E248" s="19" t="s">
        <v>233</v>
      </c>
      <c r="F248" s="19">
        <v>900</v>
      </c>
      <c r="G248" s="19">
        <v>600</v>
      </c>
      <c r="H248" s="19" t="s">
        <v>67</v>
      </c>
      <c r="I248" s="19" t="s">
        <v>244</v>
      </c>
      <c r="J248" s="19" t="s">
        <v>71</v>
      </c>
      <c r="K248" s="19" t="s">
        <v>72</v>
      </c>
      <c r="L248" s="19" t="s">
        <v>73</v>
      </c>
      <c r="M248" s="19" t="s">
        <v>76</v>
      </c>
      <c r="N248" s="19" t="s">
        <v>78</v>
      </c>
      <c r="O248" s="19" t="s">
        <v>79</v>
      </c>
      <c r="P248" s="19" t="s">
        <v>81</v>
      </c>
    </row>
    <row r="249" spans="1:16" ht="14.25" customHeight="1" x14ac:dyDescent="0.15">
      <c r="A249" s="21"/>
      <c r="B249" s="21"/>
      <c r="C249" s="44" t="s">
        <v>245</v>
      </c>
      <c r="D249" s="21"/>
      <c r="E249" s="21">
        <v>6</v>
      </c>
      <c r="F249" s="23" t="str">
        <f t="shared" ref="F249:G249" si="166">F242</f>
        <v>1900</v>
      </c>
      <c r="G249" s="23" t="str">
        <f t="shared" si="166"/>
        <v>1800</v>
      </c>
      <c r="H249" s="21">
        <v>380</v>
      </c>
      <c r="I249" s="23" t="str">
        <f t="shared" ref="I249:J249" si="167">I242</f>
        <v>1500</v>
      </c>
      <c r="J249" s="21">
        <f t="shared" si="167"/>
        <v>1000</v>
      </c>
      <c r="K249" s="21">
        <v>585</v>
      </c>
      <c r="L249" s="23" t="str">
        <f>L242</f>
        <v>1500</v>
      </c>
      <c r="M249" s="21"/>
      <c r="N249" s="21"/>
      <c r="O249" s="21">
        <f>O242</f>
        <v>2</v>
      </c>
      <c r="P249" s="21"/>
    </row>
    <row r="250" spans="1:16" ht="14.25" customHeight="1" x14ac:dyDescent="0.15">
      <c r="A250" s="19">
        <v>1</v>
      </c>
      <c r="B250" s="19">
        <v>2.1</v>
      </c>
      <c r="C250" s="19">
        <v>1.2</v>
      </c>
      <c r="D250" s="19">
        <f>B250*C250</f>
        <v>2.52</v>
      </c>
      <c r="E250" s="19">
        <v>2.5</v>
      </c>
      <c r="F250" s="19"/>
      <c r="G250" s="19"/>
      <c r="H250" s="19"/>
      <c r="I250" s="19">
        <v>1</v>
      </c>
      <c r="J250" s="19">
        <f>A250</f>
        <v>1</v>
      </c>
      <c r="K250" s="19">
        <f t="shared" ref="K250:L250" si="168">K243</f>
        <v>0</v>
      </c>
      <c r="L250" s="19">
        <f t="shared" si="168"/>
        <v>1</v>
      </c>
      <c r="M250" s="19"/>
      <c r="N250" s="19"/>
      <c r="O250" s="19"/>
      <c r="P250" s="19"/>
    </row>
    <row r="251" spans="1:16" ht="14.25" customHeight="1" x14ac:dyDescent="0.15">
      <c r="A251" s="19"/>
      <c r="B251" s="19"/>
      <c r="C251" s="19"/>
      <c r="D251" s="26" t="str">
        <f t="shared" ref="D251:E251" si="169">D202</f>
        <v>2200</v>
      </c>
      <c r="E251" s="26" t="str">
        <f t="shared" si="169"/>
        <v>1000</v>
      </c>
      <c r="F251" s="19">
        <v>2</v>
      </c>
      <c r="G251" s="19">
        <v>0</v>
      </c>
      <c r="H251" s="19">
        <f>B250*2</f>
        <v>4.2</v>
      </c>
      <c r="I251" s="19"/>
      <c r="J251" s="19"/>
      <c r="K251" s="19"/>
      <c r="L251" s="19"/>
      <c r="M251" s="19"/>
      <c r="N251" s="19"/>
      <c r="O251" s="19"/>
      <c r="P251" s="19"/>
    </row>
    <row r="252" spans="1:16" ht="14.25" customHeight="1" x14ac:dyDescent="0.15">
      <c r="A252" s="19"/>
      <c r="B252" s="19"/>
      <c r="C252" s="19"/>
      <c r="D252" s="19">
        <f>D250*D251</f>
        <v>5544</v>
      </c>
      <c r="E252" s="19">
        <f>E251*E249</f>
        <v>6000</v>
      </c>
      <c r="F252" s="19">
        <f t="shared" ref="F252:H252" si="170">F249*F251</f>
        <v>3800</v>
      </c>
      <c r="G252" s="19">
        <f t="shared" si="170"/>
        <v>0</v>
      </c>
      <c r="H252" s="19">
        <f t="shared" si="170"/>
        <v>1596</v>
      </c>
      <c r="I252" s="19">
        <f t="shared" ref="I252:L252" si="171">I249*I250</f>
        <v>1500</v>
      </c>
      <c r="J252" s="19">
        <f t="shared" si="171"/>
        <v>1000</v>
      </c>
      <c r="K252" s="19">
        <f t="shared" si="171"/>
        <v>0</v>
      </c>
      <c r="L252" s="19">
        <f t="shared" si="171"/>
        <v>1500</v>
      </c>
      <c r="M252" s="19">
        <f>SUM(D252:L252)</f>
        <v>20940</v>
      </c>
      <c r="N252" s="19">
        <f>M252/A250</f>
        <v>20940</v>
      </c>
      <c r="O252" s="19">
        <f>N252*O249</f>
        <v>41880</v>
      </c>
      <c r="P252" s="19">
        <f>MROUND(O252,100)</f>
        <v>41900</v>
      </c>
    </row>
    <row r="253" spans="1:16" ht="14.25" customHeight="1" x14ac:dyDescent="0.15">
      <c r="A253" s="111"/>
      <c r="B253" s="87"/>
      <c r="C253" s="87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</row>
    <row r="254" spans="1:16" ht="14.25" customHeight="1" x14ac:dyDescent="0.15">
      <c r="A254" s="109" t="str">
        <f>PRICELIST!I580</f>
        <v>CBFLX-FR-PLM-2100x900+1800</v>
      </c>
      <c r="B254" s="87"/>
      <c r="C254" s="87"/>
      <c r="D254" s="30"/>
      <c r="E254" s="3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</row>
    <row r="255" spans="1:16" ht="14.25" customHeight="1" x14ac:dyDescent="0.15">
      <c r="A255" s="19" t="s">
        <v>57</v>
      </c>
      <c r="B255" s="19" t="s">
        <v>59</v>
      </c>
      <c r="C255" s="19" t="s">
        <v>62</v>
      </c>
      <c r="D255" s="19" t="s">
        <v>64</v>
      </c>
      <c r="E255" s="19" t="s">
        <v>233</v>
      </c>
      <c r="F255" s="19">
        <v>900</v>
      </c>
      <c r="G255" s="19">
        <v>600</v>
      </c>
      <c r="H255" s="19" t="s">
        <v>67</v>
      </c>
      <c r="I255" s="19" t="s">
        <v>244</v>
      </c>
      <c r="J255" s="19" t="s">
        <v>71</v>
      </c>
      <c r="K255" s="19" t="s">
        <v>72</v>
      </c>
      <c r="L255" s="19" t="s">
        <v>73</v>
      </c>
      <c r="M255" s="19" t="s">
        <v>76</v>
      </c>
      <c r="N255" s="19" t="s">
        <v>78</v>
      </c>
      <c r="O255" s="19" t="s">
        <v>79</v>
      </c>
      <c r="P255" s="19" t="s">
        <v>81</v>
      </c>
    </row>
    <row r="256" spans="1:16" ht="14.25" customHeight="1" x14ac:dyDescent="0.15">
      <c r="A256" s="21"/>
      <c r="B256" s="21"/>
      <c r="C256" s="44" t="s">
        <v>245</v>
      </c>
      <c r="D256" s="21"/>
      <c r="E256" s="21">
        <v>6</v>
      </c>
      <c r="F256" s="23" t="str">
        <f t="shared" ref="F256:G256" si="172">F249</f>
        <v>1900</v>
      </c>
      <c r="G256" s="23" t="str">
        <f t="shared" si="172"/>
        <v>1800</v>
      </c>
      <c r="H256" s="21">
        <v>380</v>
      </c>
      <c r="I256" s="23" t="str">
        <f t="shared" ref="I256:J256" si="173">I249</f>
        <v>1500</v>
      </c>
      <c r="J256" s="21">
        <f t="shared" si="173"/>
        <v>1000</v>
      </c>
      <c r="K256" s="21">
        <v>585</v>
      </c>
      <c r="L256" s="23" t="str">
        <f>L249</f>
        <v>1500</v>
      </c>
      <c r="M256" s="21"/>
      <c r="N256" s="21"/>
      <c r="O256" s="21">
        <f>O249</f>
        <v>2</v>
      </c>
      <c r="P256" s="21"/>
    </row>
    <row r="257" spans="1:16" ht="14.25" customHeight="1" x14ac:dyDescent="0.15">
      <c r="A257" s="19">
        <v>1</v>
      </c>
      <c r="B257" s="19">
        <v>2.1</v>
      </c>
      <c r="C257" s="19">
        <v>1.2</v>
      </c>
      <c r="D257" s="19">
        <f>B257*C257</f>
        <v>2.52</v>
      </c>
      <c r="E257" s="19">
        <v>2.5</v>
      </c>
      <c r="F257" s="19"/>
      <c r="G257" s="19"/>
      <c r="H257" s="19"/>
      <c r="I257" s="19">
        <v>1</v>
      </c>
      <c r="J257" s="19">
        <f>A257</f>
        <v>1</v>
      </c>
      <c r="K257" s="19">
        <f t="shared" ref="K257:L257" si="174">K250</f>
        <v>0</v>
      </c>
      <c r="L257" s="19">
        <f t="shared" si="174"/>
        <v>1</v>
      </c>
      <c r="M257" s="19"/>
      <c r="N257" s="19"/>
      <c r="O257" s="19"/>
      <c r="P257" s="19"/>
    </row>
    <row r="258" spans="1:16" ht="14.25" customHeight="1" x14ac:dyDescent="0.15">
      <c r="A258" s="19"/>
      <c r="B258" s="19"/>
      <c r="C258" s="19"/>
      <c r="D258" s="26" t="str">
        <f>D209</f>
        <v>3000</v>
      </c>
      <c r="E258" s="26" t="str">
        <f>E251</f>
        <v>1000</v>
      </c>
      <c r="F258" s="19">
        <v>2</v>
      </c>
      <c r="G258" s="19">
        <v>0</v>
      </c>
      <c r="H258" s="19">
        <f>B257*2</f>
        <v>4.2</v>
      </c>
      <c r="I258" s="19"/>
      <c r="J258" s="19"/>
      <c r="K258" s="19"/>
      <c r="L258" s="19"/>
      <c r="M258" s="19"/>
      <c r="N258" s="19"/>
      <c r="O258" s="19"/>
      <c r="P258" s="19"/>
    </row>
    <row r="259" spans="1:16" ht="14.25" customHeight="1" x14ac:dyDescent="0.15">
      <c r="A259" s="19"/>
      <c r="B259" s="19"/>
      <c r="C259" s="19"/>
      <c r="D259" s="19">
        <f>D257*D258</f>
        <v>7560</v>
      </c>
      <c r="E259" s="19">
        <f>E258*E256</f>
        <v>6000</v>
      </c>
      <c r="F259" s="19">
        <f t="shared" ref="F259:H259" si="175">F256*F258</f>
        <v>3800</v>
      </c>
      <c r="G259" s="19">
        <f t="shared" si="175"/>
        <v>0</v>
      </c>
      <c r="H259" s="19">
        <f t="shared" si="175"/>
        <v>1596</v>
      </c>
      <c r="I259" s="19">
        <f t="shared" ref="I259:L259" si="176">I256*I257</f>
        <v>1500</v>
      </c>
      <c r="J259" s="19">
        <f t="shared" si="176"/>
        <v>1000</v>
      </c>
      <c r="K259" s="19">
        <f t="shared" si="176"/>
        <v>0</v>
      </c>
      <c r="L259" s="19">
        <f t="shared" si="176"/>
        <v>1500</v>
      </c>
      <c r="M259" s="19">
        <f>SUM(D259:L259)</f>
        <v>22956</v>
      </c>
      <c r="N259" s="19">
        <f>M259/A257</f>
        <v>22956</v>
      </c>
      <c r="O259" s="19">
        <f>N259*O256</f>
        <v>45912</v>
      </c>
      <c r="P259" s="19">
        <f>MROUND(O259,100)</f>
        <v>45900</v>
      </c>
    </row>
    <row r="260" spans="1:16" ht="14.25" customHeight="1" x14ac:dyDescent="0.15">
      <c r="A260" s="111"/>
      <c r="B260" s="87"/>
      <c r="C260" s="87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</row>
    <row r="261" spans="1:16" ht="14.25" customHeight="1" x14ac:dyDescent="0.15">
      <c r="A261" s="109" t="str">
        <f>PRICELIST!I581</f>
        <v>CBFLX-FR-PoLM-2100x900+1800</v>
      </c>
      <c r="B261" s="87"/>
      <c r="C261" s="87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</row>
    <row r="262" spans="1:16" ht="14.25" customHeight="1" x14ac:dyDescent="0.15">
      <c r="A262" s="19" t="s">
        <v>57</v>
      </c>
      <c r="B262" s="19" t="s">
        <v>59</v>
      </c>
      <c r="C262" s="19" t="s">
        <v>62</v>
      </c>
      <c r="D262" s="19" t="s">
        <v>64</v>
      </c>
      <c r="E262" s="19" t="s">
        <v>233</v>
      </c>
      <c r="F262" s="19">
        <v>900</v>
      </c>
      <c r="G262" s="19">
        <v>600</v>
      </c>
      <c r="H262" s="19" t="s">
        <v>67</v>
      </c>
      <c r="I262" s="19" t="s">
        <v>244</v>
      </c>
      <c r="J262" s="19" t="s">
        <v>71</v>
      </c>
      <c r="K262" s="19" t="s">
        <v>72</v>
      </c>
      <c r="L262" s="19" t="s">
        <v>73</v>
      </c>
      <c r="M262" s="19" t="s">
        <v>76</v>
      </c>
      <c r="N262" s="19" t="s">
        <v>78</v>
      </c>
      <c r="O262" s="19" t="s">
        <v>79</v>
      </c>
      <c r="P262" s="19" t="s">
        <v>81</v>
      </c>
    </row>
    <row r="263" spans="1:16" ht="14.25" customHeight="1" x14ac:dyDescent="0.15">
      <c r="A263" s="21"/>
      <c r="B263" s="21"/>
      <c r="C263" s="44" t="s">
        <v>245</v>
      </c>
      <c r="D263" s="21"/>
      <c r="E263" s="21">
        <v>6</v>
      </c>
      <c r="F263" s="23" t="str">
        <f t="shared" ref="F263:G263" si="177">F256</f>
        <v>1900</v>
      </c>
      <c r="G263" s="23" t="str">
        <f t="shared" si="177"/>
        <v>1800</v>
      </c>
      <c r="H263" s="21">
        <v>380</v>
      </c>
      <c r="I263" s="23" t="str">
        <f t="shared" ref="I263:J263" si="178">I256</f>
        <v>1500</v>
      </c>
      <c r="J263" s="21">
        <f t="shared" si="178"/>
        <v>1000</v>
      </c>
      <c r="K263" s="21">
        <v>585</v>
      </c>
      <c r="L263" s="23" t="str">
        <f>L256</f>
        <v>1500</v>
      </c>
      <c r="M263" s="21"/>
      <c r="N263" s="21"/>
      <c r="O263" s="21">
        <f>O256</f>
        <v>2</v>
      </c>
      <c r="P263" s="21"/>
    </row>
    <row r="264" spans="1:16" ht="14.25" customHeight="1" x14ac:dyDescent="0.15">
      <c r="A264" s="19">
        <v>1</v>
      </c>
      <c r="B264" s="19">
        <v>2.1</v>
      </c>
      <c r="C264" s="19">
        <v>1.2</v>
      </c>
      <c r="D264" s="19">
        <f>B264*C264</f>
        <v>2.52</v>
      </c>
      <c r="E264" s="19">
        <v>2.5</v>
      </c>
      <c r="F264" s="19"/>
      <c r="G264" s="19"/>
      <c r="H264" s="19"/>
      <c r="I264" s="19">
        <v>1</v>
      </c>
      <c r="J264" s="19">
        <f>A264</f>
        <v>1</v>
      </c>
      <c r="K264" s="19">
        <f t="shared" ref="K264:L264" si="179">K257</f>
        <v>0</v>
      </c>
      <c r="L264" s="19">
        <f t="shared" si="179"/>
        <v>1</v>
      </c>
      <c r="M264" s="19"/>
      <c r="N264" s="19"/>
      <c r="O264" s="19"/>
      <c r="P264" s="19"/>
    </row>
    <row r="265" spans="1:16" ht="14.25" customHeight="1" x14ac:dyDescent="0.15">
      <c r="A265" s="19"/>
      <c r="B265" s="19"/>
      <c r="C265" s="19"/>
      <c r="D265" s="26" t="str">
        <f>D216</f>
        <v>7500</v>
      </c>
      <c r="E265" s="26" t="str">
        <f>E258</f>
        <v>1000</v>
      </c>
      <c r="F265" s="19">
        <v>2</v>
      </c>
      <c r="G265" s="19">
        <v>0</v>
      </c>
      <c r="H265" s="19">
        <f>B264*2</f>
        <v>4.2</v>
      </c>
      <c r="I265" s="19"/>
      <c r="J265" s="19"/>
      <c r="K265" s="19"/>
      <c r="L265" s="19"/>
      <c r="M265" s="19"/>
      <c r="N265" s="19"/>
      <c r="O265" s="19"/>
      <c r="P265" s="19"/>
    </row>
    <row r="266" spans="1:16" ht="14.25" customHeight="1" x14ac:dyDescent="0.15">
      <c r="A266" s="19"/>
      <c r="B266" s="19"/>
      <c r="C266" s="19"/>
      <c r="D266" s="19">
        <f>D264*D265</f>
        <v>18900</v>
      </c>
      <c r="E266" s="19">
        <f>E265*E263</f>
        <v>6000</v>
      </c>
      <c r="F266" s="19">
        <f t="shared" ref="F266:H266" si="180">F263*F265</f>
        <v>3800</v>
      </c>
      <c r="G266" s="19">
        <f t="shared" si="180"/>
        <v>0</v>
      </c>
      <c r="H266" s="19">
        <f t="shared" si="180"/>
        <v>1596</v>
      </c>
      <c r="I266" s="19">
        <f t="shared" ref="I266:L266" si="181">I263*I264</f>
        <v>1500</v>
      </c>
      <c r="J266" s="19">
        <f t="shared" si="181"/>
        <v>1000</v>
      </c>
      <c r="K266" s="19">
        <f t="shared" si="181"/>
        <v>0</v>
      </c>
      <c r="L266" s="19">
        <f t="shared" si="181"/>
        <v>1500</v>
      </c>
      <c r="M266" s="19">
        <f>SUM(D266:L266)</f>
        <v>34296</v>
      </c>
      <c r="N266" s="19">
        <f>M266/A264</f>
        <v>34296</v>
      </c>
      <c r="O266" s="19">
        <f>N266*O263</f>
        <v>68592</v>
      </c>
      <c r="P266" s="19">
        <f>MROUND(O266,100)</f>
        <v>68600</v>
      </c>
    </row>
    <row r="267" spans="1:16" ht="14.25" customHeight="1" x14ac:dyDescent="0.15">
      <c r="A267" s="111"/>
      <c r="B267" s="87"/>
      <c r="C267" s="87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</row>
    <row r="268" spans="1:16" ht="28.5" customHeight="1" x14ac:dyDescent="0.15">
      <c r="A268" s="109" t="str">
        <f>PRICELIST!I582</f>
        <v>CBFLX-FR-LVM-2100x900+1800</v>
      </c>
      <c r="B268" s="87"/>
      <c r="C268" s="87"/>
      <c r="D268" s="21"/>
      <c r="E268" s="21"/>
      <c r="F268" s="30"/>
      <c r="G268" s="30"/>
      <c r="H268" s="21"/>
      <c r="I268" s="21"/>
      <c r="J268" s="21"/>
      <c r="K268" s="21"/>
      <c r="L268" s="21"/>
      <c r="M268" s="21"/>
      <c r="N268" s="21"/>
      <c r="O268" s="21"/>
      <c r="P268" s="21"/>
    </row>
    <row r="269" spans="1:16" ht="14.25" customHeight="1" x14ac:dyDescent="0.15">
      <c r="A269" s="19" t="s">
        <v>57</v>
      </c>
      <c r="B269" s="19" t="s">
        <v>59</v>
      </c>
      <c r="C269" s="19" t="s">
        <v>62</v>
      </c>
      <c r="D269" s="19" t="s">
        <v>64</v>
      </c>
      <c r="E269" s="19" t="s">
        <v>233</v>
      </c>
      <c r="F269" s="19">
        <v>900</v>
      </c>
      <c r="G269" s="19">
        <v>600</v>
      </c>
      <c r="H269" s="19" t="s">
        <v>67</v>
      </c>
      <c r="I269" s="19" t="s">
        <v>244</v>
      </c>
      <c r="J269" s="19" t="s">
        <v>71</v>
      </c>
      <c r="K269" s="19" t="s">
        <v>72</v>
      </c>
      <c r="L269" s="19" t="s">
        <v>73</v>
      </c>
      <c r="M269" s="19" t="s">
        <v>76</v>
      </c>
      <c r="N269" s="19" t="s">
        <v>78</v>
      </c>
      <c r="O269" s="19" t="s">
        <v>79</v>
      </c>
      <c r="P269" s="19" t="s">
        <v>81</v>
      </c>
    </row>
    <row r="270" spans="1:16" ht="14.25" customHeight="1" x14ac:dyDescent="0.15">
      <c r="A270" s="21"/>
      <c r="B270" s="21"/>
      <c r="C270" s="44" t="s">
        <v>245</v>
      </c>
      <c r="D270" s="21"/>
      <c r="E270" s="21">
        <v>6</v>
      </c>
      <c r="F270" s="23" t="str">
        <f t="shared" ref="F270:G270" si="182">F263</f>
        <v>1900</v>
      </c>
      <c r="G270" s="23" t="str">
        <f t="shared" si="182"/>
        <v>1800</v>
      </c>
      <c r="H270" s="21">
        <v>380</v>
      </c>
      <c r="I270" s="23" t="str">
        <f t="shared" ref="I270:J270" si="183">I263</f>
        <v>1500</v>
      </c>
      <c r="J270" s="21">
        <f t="shared" si="183"/>
        <v>1000</v>
      </c>
      <c r="K270" s="21">
        <v>585</v>
      </c>
      <c r="L270" s="23" t="str">
        <f>L263</f>
        <v>1500</v>
      </c>
      <c r="M270" s="21"/>
      <c r="N270" s="21"/>
      <c r="O270" s="21">
        <f>O263</f>
        <v>2</v>
      </c>
      <c r="P270" s="21"/>
    </row>
    <row r="271" spans="1:16" ht="14.25" customHeight="1" x14ac:dyDescent="0.15">
      <c r="A271" s="19">
        <v>1</v>
      </c>
      <c r="B271" s="19">
        <v>2.1</v>
      </c>
      <c r="C271" s="19">
        <v>1.2</v>
      </c>
      <c r="D271" s="19">
        <f>B271*C271</f>
        <v>2.52</v>
      </c>
      <c r="E271" s="19">
        <v>2.5</v>
      </c>
      <c r="F271" s="19"/>
      <c r="G271" s="19"/>
      <c r="H271" s="19"/>
      <c r="I271" s="19">
        <v>1</v>
      </c>
      <c r="J271" s="19">
        <f>A271</f>
        <v>1</v>
      </c>
      <c r="K271" s="19">
        <f t="shared" ref="K271:L271" si="184">K264</f>
        <v>0</v>
      </c>
      <c r="L271" s="19">
        <f t="shared" si="184"/>
        <v>1</v>
      </c>
      <c r="M271" s="19"/>
      <c r="N271" s="19"/>
      <c r="O271" s="19"/>
      <c r="P271" s="19"/>
    </row>
    <row r="272" spans="1:16" ht="14.25" customHeight="1" x14ac:dyDescent="0.15">
      <c r="A272" s="19"/>
      <c r="B272" s="19"/>
      <c r="C272" s="19"/>
      <c r="D272" s="26" t="str">
        <f>D223</f>
        <v>9500</v>
      </c>
      <c r="E272" s="26" t="str">
        <f>E230</f>
        <v>1500</v>
      </c>
      <c r="F272" s="19">
        <v>2</v>
      </c>
      <c r="G272" s="19">
        <v>0</v>
      </c>
      <c r="H272" s="19">
        <f>B271*2</f>
        <v>4.2</v>
      </c>
      <c r="I272" s="19"/>
      <c r="J272" s="19"/>
      <c r="K272" s="19"/>
      <c r="L272" s="19"/>
      <c r="M272" s="19"/>
      <c r="N272" s="19"/>
      <c r="O272" s="19"/>
      <c r="P272" s="19"/>
    </row>
    <row r="273" spans="1:16" ht="14.25" customHeight="1" x14ac:dyDescent="0.15">
      <c r="A273" s="19"/>
      <c r="B273" s="19"/>
      <c r="C273" s="19"/>
      <c r="D273" s="19">
        <f>D271*D272</f>
        <v>23940</v>
      </c>
      <c r="E273" s="19">
        <f>E272*E270</f>
        <v>9000</v>
      </c>
      <c r="F273" s="19">
        <f t="shared" ref="F273:H273" si="185">F270*F272</f>
        <v>3800</v>
      </c>
      <c r="G273" s="19">
        <f t="shared" si="185"/>
        <v>0</v>
      </c>
      <c r="H273" s="19">
        <f t="shared" si="185"/>
        <v>1596</v>
      </c>
      <c r="I273" s="19">
        <f t="shared" ref="I273:L273" si="186">I270*I271</f>
        <v>1500</v>
      </c>
      <c r="J273" s="19">
        <f t="shared" si="186"/>
        <v>1000</v>
      </c>
      <c r="K273" s="19">
        <f t="shared" si="186"/>
        <v>0</v>
      </c>
      <c r="L273" s="19">
        <f t="shared" si="186"/>
        <v>1500</v>
      </c>
      <c r="M273" s="19">
        <f>SUM(D273:L273)</f>
        <v>42336</v>
      </c>
      <c r="N273" s="19">
        <f>M273/A271</f>
        <v>42336</v>
      </c>
      <c r="O273" s="19">
        <f>N273*O270</f>
        <v>84672</v>
      </c>
      <c r="P273" s="19">
        <f>MROUND(O273,100)</f>
        <v>84700</v>
      </c>
    </row>
    <row r="274" spans="1:16" ht="14.25" customHeight="1" x14ac:dyDescent="0.15">
      <c r="A274" s="111"/>
      <c r="B274" s="87"/>
      <c r="C274" s="87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</row>
    <row r="275" spans="1:16" ht="14.25" customHeight="1" x14ac:dyDescent="0.15">
      <c r="A275" s="109" t="str">
        <f>PRICELIST!I583</f>
        <v>CBFLX-FR-LVP-2100x900+1800</v>
      </c>
      <c r="B275" s="87"/>
      <c r="C275" s="87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</row>
    <row r="276" spans="1:16" ht="14.25" customHeight="1" x14ac:dyDescent="0.15">
      <c r="A276" s="19" t="s">
        <v>57</v>
      </c>
      <c r="B276" s="19" t="s">
        <v>59</v>
      </c>
      <c r="C276" s="19" t="s">
        <v>62</v>
      </c>
      <c r="D276" s="19" t="s">
        <v>64</v>
      </c>
      <c r="E276" s="19" t="s">
        <v>233</v>
      </c>
      <c r="F276" s="19">
        <v>900</v>
      </c>
      <c r="G276" s="19">
        <v>600</v>
      </c>
      <c r="H276" s="19" t="s">
        <v>67</v>
      </c>
      <c r="I276" s="19" t="s">
        <v>244</v>
      </c>
      <c r="J276" s="19" t="s">
        <v>71</v>
      </c>
      <c r="K276" s="19" t="s">
        <v>72</v>
      </c>
      <c r="L276" s="19" t="s">
        <v>73</v>
      </c>
      <c r="M276" s="19" t="s">
        <v>76</v>
      </c>
      <c r="N276" s="19" t="s">
        <v>78</v>
      </c>
      <c r="O276" s="19" t="s">
        <v>79</v>
      </c>
      <c r="P276" s="19" t="s">
        <v>81</v>
      </c>
    </row>
    <row r="277" spans="1:16" ht="14.25" customHeight="1" x14ac:dyDescent="0.15">
      <c r="A277" s="21"/>
      <c r="B277" s="21"/>
      <c r="C277" s="44" t="s">
        <v>245</v>
      </c>
      <c r="D277" s="21"/>
      <c r="E277" s="21">
        <v>6</v>
      </c>
      <c r="F277" s="23" t="str">
        <f t="shared" ref="F277:G277" si="187">F270</f>
        <v>1900</v>
      </c>
      <c r="G277" s="23" t="str">
        <f t="shared" si="187"/>
        <v>1800</v>
      </c>
      <c r="H277" s="21">
        <v>380</v>
      </c>
      <c r="I277" s="23" t="str">
        <f t="shared" ref="I277:J277" si="188">I270</f>
        <v>1500</v>
      </c>
      <c r="J277" s="21">
        <f t="shared" si="188"/>
        <v>1000</v>
      </c>
      <c r="K277" s="21">
        <v>585</v>
      </c>
      <c r="L277" s="23" t="str">
        <f>L270</f>
        <v>1500</v>
      </c>
      <c r="M277" s="21"/>
      <c r="N277" s="21"/>
      <c r="O277" s="21">
        <f>O270</f>
        <v>2</v>
      </c>
      <c r="P277" s="21"/>
    </row>
    <row r="278" spans="1:16" ht="14.25" customHeight="1" x14ac:dyDescent="0.15">
      <c r="A278" s="19">
        <v>1</v>
      </c>
      <c r="B278" s="19">
        <v>2.1</v>
      </c>
      <c r="C278" s="19">
        <v>1.2</v>
      </c>
      <c r="D278" s="19">
        <f>B278*C278</f>
        <v>2.52</v>
      </c>
      <c r="E278" s="19">
        <v>2.5</v>
      </c>
      <c r="F278" s="19"/>
      <c r="G278" s="19"/>
      <c r="H278" s="19"/>
      <c r="I278" s="19">
        <v>1</v>
      </c>
      <c r="J278" s="19">
        <f>A278</f>
        <v>1</v>
      </c>
      <c r="K278" s="19">
        <f t="shared" ref="K278:L278" si="189">K271</f>
        <v>0</v>
      </c>
      <c r="L278" s="19">
        <f t="shared" si="189"/>
        <v>1</v>
      </c>
      <c r="M278" s="19"/>
      <c r="N278" s="19"/>
      <c r="O278" s="19"/>
      <c r="P278" s="19"/>
    </row>
    <row r="279" spans="1:16" ht="14.25" customHeight="1" x14ac:dyDescent="0.15">
      <c r="A279" s="19"/>
      <c r="B279" s="19"/>
      <c r="C279" s="19"/>
      <c r="D279" s="26" t="str">
        <f>D230</f>
        <v>10500</v>
      </c>
      <c r="E279" s="26" t="str">
        <f>E272</f>
        <v>1500</v>
      </c>
      <c r="F279" s="19">
        <v>2</v>
      </c>
      <c r="G279" s="19">
        <v>0</v>
      </c>
      <c r="H279" s="19">
        <f>B278*2</f>
        <v>4.2</v>
      </c>
      <c r="I279" s="19"/>
      <c r="J279" s="19"/>
      <c r="K279" s="19"/>
      <c r="L279" s="19"/>
      <c r="M279" s="19"/>
      <c r="N279" s="19"/>
      <c r="O279" s="19"/>
      <c r="P279" s="19"/>
    </row>
    <row r="280" spans="1:16" ht="14.25" customHeight="1" x14ac:dyDescent="0.15">
      <c r="A280" s="19"/>
      <c r="B280" s="19"/>
      <c r="C280" s="19"/>
      <c r="D280" s="19">
        <f>D278*D279</f>
        <v>26460</v>
      </c>
      <c r="E280" s="19">
        <f>E279*E277</f>
        <v>9000</v>
      </c>
      <c r="F280" s="19">
        <f t="shared" ref="F280:H280" si="190">F277*F279</f>
        <v>3800</v>
      </c>
      <c r="G280" s="19">
        <f t="shared" si="190"/>
        <v>0</v>
      </c>
      <c r="H280" s="19">
        <f t="shared" si="190"/>
        <v>1596</v>
      </c>
      <c r="I280" s="19">
        <f t="shared" ref="I280:L280" si="191">I277*I278</f>
        <v>1500</v>
      </c>
      <c r="J280" s="19">
        <f t="shared" si="191"/>
        <v>1000</v>
      </c>
      <c r="K280" s="19">
        <f t="shared" si="191"/>
        <v>0</v>
      </c>
      <c r="L280" s="19">
        <f t="shared" si="191"/>
        <v>1500</v>
      </c>
      <c r="M280" s="19">
        <f>SUM(D280:L280)</f>
        <v>44856</v>
      </c>
      <c r="N280" s="19">
        <f>M280/A278</f>
        <v>44856</v>
      </c>
      <c r="O280" s="19">
        <f>N280*O277</f>
        <v>89712</v>
      </c>
      <c r="P280" s="19">
        <f>MROUND(O280,100)</f>
        <v>89700</v>
      </c>
    </row>
    <row r="281" spans="1:16" ht="14.25" customHeight="1" x14ac:dyDescent="0.15">
      <c r="A281" s="111"/>
      <c r="B281" s="87"/>
      <c r="C281" s="87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</row>
    <row r="282" spans="1:16" ht="14.25" customHeight="1" x14ac:dyDescent="0.15">
      <c r="A282" s="109" t="str">
        <f>PRICELIST!I584</f>
        <v>CBFLX-FR-VNR-2100x900+1800</v>
      </c>
      <c r="B282" s="87"/>
      <c r="C282" s="87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</row>
    <row r="283" spans="1:16" ht="14.25" customHeight="1" x14ac:dyDescent="0.15">
      <c r="A283" s="19" t="s">
        <v>57</v>
      </c>
      <c r="B283" s="19" t="s">
        <v>59</v>
      </c>
      <c r="C283" s="19" t="s">
        <v>62</v>
      </c>
      <c r="D283" s="19" t="s">
        <v>64</v>
      </c>
      <c r="E283" s="19" t="s">
        <v>233</v>
      </c>
      <c r="F283" s="19">
        <v>900</v>
      </c>
      <c r="G283" s="19">
        <v>600</v>
      </c>
      <c r="H283" s="19" t="s">
        <v>67</v>
      </c>
      <c r="I283" s="19" t="s">
        <v>244</v>
      </c>
      <c r="J283" s="19" t="s">
        <v>71</v>
      </c>
      <c r="K283" s="19" t="s">
        <v>72</v>
      </c>
      <c r="L283" s="19" t="s">
        <v>73</v>
      </c>
      <c r="M283" s="19" t="s">
        <v>76</v>
      </c>
      <c r="N283" s="19" t="s">
        <v>78</v>
      </c>
      <c r="O283" s="19" t="s">
        <v>79</v>
      </c>
      <c r="P283" s="19" t="s">
        <v>81</v>
      </c>
    </row>
    <row r="284" spans="1:16" ht="14.25" customHeight="1" x14ac:dyDescent="0.15">
      <c r="A284" s="21"/>
      <c r="B284" s="21"/>
      <c r="C284" s="44" t="s">
        <v>245</v>
      </c>
      <c r="D284" s="21"/>
      <c r="E284" s="21">
        <v>6</v>
      </c>
      <c r="F284" s="23" t="str">
        <f t="shared" ref="F284:G284" si="192">F277</f>
        <v>1900</v>
      </c>
      <c r="G284" s="23" t="str">
        <f t="shared" si="192"/>
        <v>1800</v>
      </c>
      <c r="H284" s="21">
        <v>380</v>
      </c>
      <c r="I284" s="23" t="str">
        <f t="shared" ref="I284:J284" si="193">I277</f>
        <v>1500</v>
      </c>
      <c r="J284" s="21">
        <f t="shared" si="193"/>
        <v>1000</v>
      </c>
      <c r="K284" s="21">
        <v>585</v>
      </c>
      <c r="L284" s="23" t="str">
        <f>L277</f>
        <v>1500</v>
      </c>
      <c r="M284" s="21"/>
      <c r="N284" s="21"/>
      <c r="O284" s="21">
        <f>O277</f>
        <v>2</v>
      </c>
      <c r="P284" s="21"/>
    </row>
    <row r="285" spans="1:16" ht="14.25" customHeight="1" x14ac:dyDescent="0.15">
      <c r="A285" s="19">
        <v>1</v>
      </c>
      <c r="B285" s="19">
        <v>2.1</v>
      </c>
      <c r="C285" s="19">
        <v>1.2</v>
      </c>
      <c r="D285" s="19">
        <f>B285*C285</f>
        <v>2.52</v>
      </c>
      <c r="E285" s="19">
        <v>2.5</v>
      </c>
      <c r="F285" s="19"/>
      <c r="G285" s="19"/>
      <c r="H285" s="19"/>
      <c r="I285" s="19">
        <v>1</v>
      </c>
      <c r="J285" s="19">
        <f>A285</f>
        <v>1</v>
      </c>
      <c r="K285" s="19">
        <f t="shared" ref="K285:L285" si="194">K278</f>
        <v>0</v>
      </c>
      <c r="L285" s="19">
        <f t="shared" si="194"/>
        <v>1</v>
      </c>
      <c r="M285" s="19"/>
      <c r="N285" s="19"/>
      <c r="O285" s="19"/>
      <c r="P285" s="19"/>
    </row>
    <row r="286" spans="1:16" ht="14.25" customHeight="1" x14ac:dyDescent="0.15">
      <c r="A286" s="19"/>
      <c r="B286" s="19"/>
      <c r="C286" s="19"/>
      <c r="D286" s="26" t="str">
        <f>D237</f>
        <v>30000</v>
      </c>
      <c r="E286" s="26" t="str">
        <f>E279</f>
        <v>1500</v>
      </c>
      <c r="F286" s="19">
        <v>2</v>
      </c>
      <c r="G286" s="19">
        <v>0</v>
      </c>
      <c r="H286" s="19">
        <f>B285*2</f>
        <v>4.2</v>
      </c>
      <c r="I286" s="19"/>
      <c r="J286" s="19"/>
      <c r="K286" s="19"/>
      <c r="L286" s="19"/>
      <c r="M286" s="19"/>
      <c r="N286" s="19"/>
      <c r="O286" s="19"/>
      <c r="P286" s="19"/>
    </row>
    <row r="287" spans="1:16" ht="14.25" customHeight="1" x14ac:dyDescent="0.15">
      <c r="A287" s="19"/>
      <c r="B287" s="19"/>
      <c r="C287" s="19"/>
      <c r="D287" s="19">
        <f>D285*D286</f>
        <v>75600</v>
      </c>
      <c r="E287" s="19">
        <f>E286*E284</f>
        <v>9000</v>
      </c>
      <c r="F287" s="19">
        <f t="shared" ref="F287:H287" si="195">F284*F286</f>
        <v>3800</v>
      </c>
      <c r="G287" s="19">
        <f t="shared" si="195"/>
        <v>0</v>
      </c>
      <c r="H287" s="19">
        <f t="shared" si="195"/>
        <v>1596</v>
      </c>
      <c r="I287" s="19">
        <f t="shared" ref="I287:L287" si="196">I284*I285</f>
        <v>1500</v>
      </c>
      <c r="J287" s="19">
        <f t="shared" si="196"/>
        <v>1000</v>
      </c>
      <c r="K287" s="19">
        <f t="shared" si="196"/>
        <v>0</v>
      </c>
      <c r="L287" s="19">
        <f t="shared" si="196"/>
        <v>1500</v>
      </c>
      <c r="M287" s="19">
        <f>SUM(D287:L287)</f>
        <v>93996</v>
      </c>
      <c r="N287" s="19">
        <f>M287/A285</f>
        <v>93996</v>
      </c>
      <c r="O287" s="19">
        <f>N287*O284</f>
        <v>187992</v>
      </c>
      <c r="P287" s="19">
        <f>MROUND(O287,100)</f>
        <v>188000</v>
      </c>
    </row>
    <row r="288" spans="1:16" ht="14.25" customHeight="1" x14ac:dyDescent="0.15">
      <c r="A288" s="111"/>
      <c r="B288" s="87"/>
      <c r="C288" s="87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</row>
    <row r="289" spans="1:16" ht="14.25" customHeight="1" x14ac:dyDescent="0.15">
      <c r="A289" s="109" t="str">
        <f>PRICELIST!I585</f>
        <v>CBFLX-FR-GL-2100x900+1800</v>
      </c>
      <c r="B289" s="87"/>
      <c r="C289" s="87"/>
      <c r="D289" s="19"/>
      <c r="E289" s="19"/>
      <c r="F289" s="19"/>
      <c r="G289" s="30"/>
      <c r="H289" s="19"/>
      <c r="I289" s="19"/>
      <c r="J289" s="19"/>
      <c r="K289" s="19"/>
      <c r="L289" s="19"/>
      <c r="M289" s="19"/>
      <c r="N289" s="19"/>
      <c r="O289" s="19"/>
      <c r="P289" s="19"/>
    </row>
    <row r="290" spans="1:16" ht="14.25" customHeight="1" x14ac:dyDescent="0.15">
      <c r="A290" s="19" t="s">
        <v>57</v>
      </c>
      <c r="B290" s="19" t="s">
        <v>59</v>
      </c>
      <c r="C290" s="19" t="s">
        <v>62</v>
      </c>
      <c r="D290" s="19" t="s">
        <v>64</v>
      </c>
      <c r="E290" s="19" t="s">
        <v>233</v>
      </c>
      <c r="F290" s="19">
        <v>900</v>
      </c>
      <c r="G290" s="19">
        <v>600</v>
      </c>
      <c r="H290" s="19" t="s">
        <v>67</v>
      </c>
      <c r="I290" s="19" t="s">
        <v>244</v>
      </c>
      <c r="J290" s="19" t="s">
        <v>71</v>
      </c>
      <c r="K290" s="19" t="s">
        <v>72</v>
      </c>
      <c r="L290" s="19" t="s">
        <v>73</v>
      </c>
      <c r="M290" s="19" t="s">
        <v>76</v>
      </c>
      <c r="N290" s="19" t="s">
        <v>78</v>
      </c>
      <c r="O290" s="19" t="s">
        <v>79</v>
      </c>
      <c r="P290" s="19" t="s">
        <v>81</v>
      </c>
    </row>
    <row r="291" spans="1:16" ht="14.25" customHeight="1" x14ac:dyDescent="0.15">
      <c r="A291" s="21"/>
      <c r="B291" s="21"/>
      <c r="C291" s="44" t="s">
        <v>245</v>
      </c>
      <c r="D291" s="21"/>
      <c r="E291" s="21">
        <v>6</v>
      </c>
      <c r="F291" s="23" t="str">
        <f t="shared" ref="F291:G291" si="197">F284</f>
        <v>1900</v>
      </c>
      <c r="G291" s="23" t="str">
        <f t="shared" si="197"/>
        <v>1800</v>
      </c>
      <c r="H291" s="21">
        <v>380</v>
      </c>
      <c r="I291" s="23" t="str">
        <f t="shared" ref="I291:J291" si="198">I284</f>
        <v>1500</v>
      </c>
      <c r="J291" s="21">
        <f t="shared" si="198"/>
        <v>1000</v>
      </c>
      <c r="K291" s="21">
        <v>585</v>
      </c>
      <c r="L291" s="23" t="str">
        <f>L284</f>
        <v>1500</v>
      </c>
      <c r="M291" s="21"/>
      <c r="N291" s="21"/>
      <c r="O291" s="21">
        <f>O284</f>
        <v>2</v>
      </c>
      <c r="P291" s="21"/>
    </row>
    <row r="292" spans="1:16" ht="14.25" customHeight="1" x14ac:dyDescent="0.15">
      <c r="A292" s="19">
        <v>1</v>
      </c>
      <c r="B292" s="19">
        <v>2.1</v>
      </c>
      <c r="C292" s="19">
        <v>1.2</v>
      </c>
      <c r="D292" s="19">
        <f>B292*C292</f>
        <v>2.52</v>
      </c>
      <c r="E292" s="19">
        <v>2.5</v>
      </c>
      <c r="F292" s="19"/>
      <c r="G292" s="19"/>
      <c r="H292" s="19"/>
      <c r="I292" s="19">
        <v>1</v>
      </c>
      <c r="J292" s="19">
        <f>A292</f>
        <v>1</v>
      </c>
      <c r="K292" s="19">
        <f t="shared" ref="K292:L292" si="199">K285</f>
        <v>0</v>
      </c>
      <c r="L292" s="19">
        <f t="shared" si="199"/>
        <v>1</v>
      </c>
      <c r="M292" s="19"/>
      <c r="N292" s="19"/>
      <c r="O292" s="19"/>
      <c r="P292" s="19"/>
    </row>
    <row r="293" spans="1:16" ht="14.25" customHeight="1" x14ac:dyDescent="0.15">
      <c r="A293" s="19"/>
      <c r="B293" s="19"/>
      <c r="C293" s="19"/>
      <c r="D293" s="26" t="str">
        <f>D244</f>
        <v>7500</v>
      </c>
      <c r="E293" s="26" t="str">
        <f>E286</f>
        <v>1500</v>
      </c>
      <c r="F293" s="19">
        <v>2</v>
      </c>
      <c r="G293" s="19">
        <v>0</v>
      </c>
      <c r="H293" s="19">
        <f>B292*2</f>
        <v>4.2</v>
      </c>
      <c r="I293" s="19"/>
      <c r="J293" s="19"/>
      <c r="K293" s="19"/>
      <c r="L293" s="19"/>
      <c r="M293" s="19"/>
      <c r="N293" s="19"/>
      <c r="O293" s="19"/>
      <c r="P293" s="19"/>
    </row>
    <row r="294" spans="1:16" ht="14.25" customHeight="1" x14ac:dyDescent="0.15">
      <c r="A294" s="19"/>
      <c r="B294" s="19"/>
      <c r="C294" s="19"/>
      <c r="D294" s="19">
        <f>D292*D293</f>
        <v>18900</v>
      </c>
      <c r="E294" s="19">
        <f>E293*E291</f>
        <v>9000</v>
      </c>
      <c r="F294" s="19">
        <f t="shared" ref="F294:H294" si="200">F291*F293</f>
        <v>3800</v>
      </c>
      <c r="G294" s="19">
        <f t="shared" si="200"/>
        <v>0</v>
      </c>
      <c r="H294" s="19">
        <f t="shared" si="200"/>
        <v>1596</v>
      </c>
      <c r="I294" s="19">
        <f t="shared" ref="I294:L294" si="201">I291*I292</f>
        <v>1500</v>
      </c>
      <c r="J294" s="19">
        <f t="shared" si="201"/>
        <v>1000</v>
      </c>
      <c r="K294" s="19">
        <f t="shared" si="201"/>
        <v>0</v>
      </c>
      <c r="L294" s="19">
        <f t="shared" si="201"/>
        <v>1500</v>
      </c>
      <c r="M294" s="19">
        <f>SUM(D294:L294)</f>
        <v>37296</v>
      </c>
      <c r="N294" s="19">
        <f>M294/A292</f>
        <v>37296</v>
      </c>
      <c r="O294" s="19">
        <f>N294*O291</f>
        <v>74592</v>
      </c>
      <c r="P294" s="19">
        <f>MROUND(O294,100)</f>
        <v>74600</v>
      </c>
    </row>
    <row r="295" spans="1:16" ht="14.25" customHeight="1" x14ac:dyDescent="0.15">
      <c r="A295" s="111"/>
      <c r="B295" s="87"/>
      <c r="C295" s="87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</row>
    <row r="296" spans="1:16" ht="14.25" customHeight="1" x14ac:dyDescent="0.15">
      <c r="A296" s="109" t="str">
        <f>PRICELIST!I586</f>
        <v>CBFLX-TB-PB-1500x600+X</v>
      </c>
      <c r="B296" s="87"/>
      <c r="C296" s="87"/>
      <c r="D296" s="30"/>
      <c r="E296" s="30"/>
      <c r="F296" s="30"/>
      <c r="G296" s="19"/>
      <c r="H296" s="30"/>
      <c r="I296" s="30"/>
      <c r="J296" s="30"/>
      <c r="K296" s="30"/>
      <c r="L296" s="30"/>
      <c r="M296" s="30"/>
      <c r="N296" s="30"/>
      <c r="O296" s="30"/>
    </row>
    <row r="297" spans="1:16" ht="14.25" customHeight="1" x14ac:dyDescent="0.15">
      <c r="A297" s="19" t="s">
        <v>57</v>
      </c>
      <c r="B297" s="19" t="s">
        <v>59</v>
      </c>
      <c r="C297" s="19" t="s">
        <v>62</v>
      </c>
      <c r="D297" s="19" t="s">
        <v>64</v>
      </c>
      <c r="E297" s="19"/>
      <c r="F297" s="19">
        <v>900</v>
      </c>
      <c r="G297" s="19">
        <v>600</v>
      </c>
      <c r="H297" s="19" t="s">
        <v>67</v>
      </c>
      <c r="I297" s="19" t="s">
        <v>244</v>
      </c>
      <c r="J297" s="19" t="s">
        <v>71</v>
      </c>
      <c r="K297" s="19" t="s">
        <v>72</v>
      </c>
      <c r="L297" s="19" t="s">
        <v>73</v>
      </c>
      <c r="M297" s="19" t="s">
        <v>76</v>
      </c>
      <c r="N297" s="19" t="s">
        <v>78</v>
      </c>
      <c r="O297" s="19" t="s">
        <v>79</v>
      </c>
      <c r="P297" s="19" t="s">
        <v>81</v>
      </c>
    </row>
    <row r="298" spans="1:16" ht="14.25" customHeight="1" x14ac:dyDescent="0.15">
      <c r="A298" s="21"/>
      <c r="B298" s="21"/>
      <c r="C298" s="44" t="s">
        <v>245</v>
      </c>
      <c r="D298" s="21"/>
      <c r="E298" s="21"/>
      <c r="F298" s="21">
        <f>'MASTER DATA'!E342</f>
        <v>0</v>
      </c>
      <c r="G298" s="23" t="str">
        <f>G291</f>
        <v>1800</v>
      </c>
      <c r="H298" s="21">
        <v>380</v>
      </c>
      <c r="I298" s="23" t="str">
        <f t="shared" ref="I298:J298" si="202">I291</f>
        <v>1500</v>
      </c>
      <c r="J298" s="21">
        <f t="shared" si="202"/>
        <v>1000</v>
      </c>
      <c r="K298" s="21">
        <v>585</v>
      </c>
      <c r="L298" s="23" t="str">
        <f>L291</f>
        <v>1500</v>
      </c>
      <c r="M298" s="21"/>
      <c r="N298" s="21"/>
      <c r="O298" s="21">
        <f>O291</f>
        <v>2</v>
      </c>
      <c r="P298" s="21"/>
    </row>
    <row r="299" spans="1:16" ht="14.25" customHeight="1" x14ac:dyDescent="0.15">
      <c r="A299" s="19">
        <v>1</v>
      </c>
      <c r="B299" s="19">
        <v>1.5</v>
      </c>
      <c r="C299" s="19">
        <v>0.9</v>
      </c>
      <c r="D299" s="19">
        <f>B299*C299</f>
        <v>1.35</v>
      </c>
      <c r="E299" s="19"/>
      <c r="F299" s="19"/>
      <c r="G299" s="19"/>
      <c r="H299" s="19"/>
      <c r="I299" s="19">
        <v>1</v>
      </c>
      <c r="J299" s="19">
        <f>A299</f>
        <v>1</v>
      </c>
      <c r="K299" s="19">
        <f t="shared" ref="K299:L299" si="203">K292</f>
        <v>0</v>
      </c>
      <c r="L299" s="19">
        <f t="shared" si="203"/>
        <v>1</v>
      </c>
      <c r="M299" s="19"/>
      <c r="N299" s="19"/>
      <c r="O299" s="19"/>
      <c r="P299" s="19"/>
    </row>
    <row r="300" spans="1:16" ht="14.25" customHeight="1" x14ac:dyDescent="0.15">
      <c r="A300" s="19"/>
      <c r="B300" s="19"/>
      <c r="C300" s="19"/>
      <c r="D300" s="26" t="str">
        <f>D251</f>
        <v>2200</v>
      </c>
      <c r="E300" s="19"/>
      <c r="F300" s="19">
        <v>0</v>
      </c>
      <c r="G300" s="19">
        <v>2</v>
      </c>
      <c r="H300" s="19">
        <f>B299*2</f>
        <v>3</v>
      </c>
      <c r="I300" s="19"/>
      <c r="J300" s="19"/>
      <c r="K300" s="19"/>
      <c r="L300" s="19"/>
      <c r="M300" s="19"/>
      <c r="N300" s="19"/>
      <c r="O300" s="19"/>
      <c r="P300" s="19"/>
    </row>
    <row r="301" spans="1:16" ht="14.25" customHeight="1" x14ac:dyDescent="0.15">
      <c r="A301" s="19"/>
      <c r="B301" s="19"/>
      <c r="C301" s="19"/>
      <c r="D301" s="19">
        <f>D299*D300</f>
        <v>2970</v>
      </c>
      <c r="E301" s="19"/>
      <c r="F301" s="19">
        <f t="shared" ref="F301:H301" si="204">F298*F300</f>
        <v>0</v>
      </c>
      <c r="G301" s="19">
        <f t="shared" si="204"/>
        <v>3600</v>
      </c>
      <c r="H301" s="19">
        <f t="shared" si="204"/>
        <v>1140</v>
      </c>
      <c r="I301" s="19">
        <f t="shared" ref="I301:L301" si="205">I298*I299</f>
        <v>1500</v>
      </c>
      <c r="J301" s="19">
        <f t="shared" si="205"/>
        <v>1000</v>
      </c>
      <c r="K301" s="19">
        <f t="shared" si="205"/>
        <v>0</v>
      </c>
      <c r="L301" s="19">
        <f t="shared" si="205"/>
        <v>1500</v>
      </c>
      <c r="M301" s="19">
        <f>SUM(D301:L301)</f>
        <v>11710</v>
      </c>
      <c r="N301" s="19">
        <f>M301/A299</f>
        <v>11710</v>
      </c>
      <c r="O301" s="19">
        <f>N301*O298</f>
        <v>23420</v>
      </c>
      <c r="P301" s="19">
        <f>MROUND(O301,100)</f>
        <v>23400</v>
      </c>
    </row>
    <row r="302" spans="1:16" ht="14.25" customHeight="1" x14ac:dyDescent="0.15">
      <c r="A302" s="111"/>
      <c r="B302" s="87"/>
      <c r="C302" s="87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</row>
    <row r="303" spans="1:16" ht="14.25" customHeight="1" x14ac:dyDescent="0.15">
      <c r="A303" s="109" t="str">
        <f>PRICELIST!I587</f>
        <v>CBFLX-TB-PLM-1500x600+X</v>
      </c>
      <c r="B303" s="87"/>
      <c r="C303" s="87"/>
      <c r="D303" s="30"/>
      <c r="E303" s="30"/>
      <c r="F303" s="30"/>
      <c r="G303" s="30"/>
      <c r="H303" s="19"/>
      <c r="I303" s="19"/>
      <c r="J303" s="19"/>
      <c r="K303" s="19"/>
      <c r="L303" s="19"/>
      <c r="M303" s="19"/>
      <c r="N303" s="19"/>
      <c r="O303" s="19"/>
      <c r="P303" s="19"/>
    </row>
    <row r="304" spans="1:16" ht="14.25" customHeight="1" x14ac:dyDescent="0.15">
      <c r="A304" s="19" t="s">
        <v>57</v>
      </c>
      <c r="B304" s="19" t="s">
        <v>59</v>
      </c>
      <c r="C304" s="19" t="s">
        <v>62</v>
      </c>
      <c r="D304" s="19" t="s">
        <v>64</v>
      </c>
      <c r="E304" s="19"/>
      <c r="F304" s="19">
        <v>900</v>
      </c>
      <c r="G304" s="19">
        <v>600</v>
      </c>
      <c r="H304" s="19" t="s">
        <v>67</v>
      </c>
      <c r="I304" s="19" t="s">
        <v>244</v>
      </c>
      <c r="J304" s="19" t="s">
        <v>71</v>
      </c>
      <c r="K304" s="19" t="s">
        <v>72</v>
      </c>
      <c r="L304" s="19" t="s">
        <v>73</v>
      </c>
      <c r="M304" s="19" t="s">
        <v>76</v>
      </c>
      <c r="N304" s="19" t="s">
        <v>78</v>
      </c>
      <c r="O304" s="19" t="s">
        <v>79</v>
      </c>
      <c r="P304" s="19" t="s">
        <v>81</v>
      </c>
    </row>
    <row r="305" spans="1:16" ht="14.25" customHeight="1" x14ac:dyDescent="0.15">
      <c r="A305" s="21"/>
      <c r="B305" s="21"/>
      <c r="C305" s="44" t="s">
        <v>245</v>
      </c>
      <c r="D305" s="21"/>
      <c r="E305" s="21"/>
      <c r="F305" s="21">
        <f>'MASTER DATA'!E349</f>
        <v>0</v>
      </c>
      <c r="G305" s="23" t="str">
        <f>G298</f>
        <v>1800</v>
      </c>
      <c r="H305" s="21">
        <v>380</v>
      </c>
      <c r="I305" s="23" t="str">
        <f t="shared" ref="I305:J305" si="206">I298</f>
        <v>1500</v>
      </c>
      <c r="J305" s="21">
        <f t="shared" si="206"/>
        <v>1000</v>
      </c>
      <c r="K305" s="21">
        <v>585</v>
      </c>
      <c r="L305" s="23" t="str">
        <f>L298</f>
        <v>1500</v>
      </c>
      <c r="M305" s="21"/>
      <c r="N305" s="21"/>
      <c r="O305" s="21">
        <f>O298</f>
        <v>2</v>
      </c>
      <c r="P305" s="21"/>
    </row>
    <row r="306" spans="1:16" ht="14.25" customHeight="1" x14ac:dyDescent="0.15">
      <c r="A306" s="19">
        <v>1</v>
      </c>
      <c r="B306" s="19">
        <v>1.5</v>
      </c>
      <c r="C306" s="19">
        <v>0.9</v>
      </c>
      <c r="D306" s="19">
        <f>B306*C306</f>
        <v>1.35</v>
      </c>
      <c r="E306" s="19"/>
      <c r="F306" s="19"/>
      <c r="G306" s="19"/>
      <c r="H306" s="19"/>
      <c r="I306" s="19">
        <v>1</v>
      </c>
      <c r="J306" s="19">
        <f>A306</f>
        <v>1</v>
      </c>
      <c r="K306" s="19">
        <f t="shared" ref="K306:L306" si="207">K299</f>
        <v>0</v>
      </c>
      <c r="L306" s="19">
        <f t="shared" si="207"/>
        <v>1</v>
      </c>
      <c r="M306" s="19"/>
      <c r="N306" s="19"/>
      <c r="O306" s="19"/>
      <c r="P306" s="19"/>
    </row>
    <row r="307" spans="1:16" ht="14.25" customHeight="1" x14ac:dyDescent="0.15">
      <c r="A307" s="19"/>
      <c r="B307" s="19"/>
      <c r="C307" s="19"/>
      <c r="D307" s="26" t="str">
        <f>D258</f>
        <v>3000</v>
      </c>
      <c r="E307" s="19"/>
      <c r="F307" s="19">
        <v>0</v>
      </c>
      <c r="G307" s="19">
        <v>2</v>
      </c>
      <c r="H307" s="19">
        <f>B306*2</f>
        <v>3</v>
      </c>
      <c r="I307" s="19"/>
      <c r="J307" s="19"/>
      <c r="K307" s="19"/>
      <c r="L307" s="19"/>
      <c r="M307" s="19"/>
      <c r="N307" s="19"/>
      <c r="O307" s="19"/>
      <c r="P307" s="19"/>
    </row>
    <row r="308" spans="1:16" ht="14.25" customHeight="1" x14ac:dyDescent="0.15">
      <c r="A308" s="19"/>
      <c r="B308" s="19"/>
      <c r="C308" s="19"/>
      <c r="D308" s="19">
        <f>D306*D307</f>
        <v>4050.0000000000005</v>
      </c>
      <c r="E308" s="19"/>
      <c r="F308" s="19">
        <f t="shared" ref="F308:H308" si="208">F305*F307</f>
        <v>0</v>
      </c>
      <c r="G308" s="19">
        <f t="shared" si="208"/>
        <v>3600</v>
      </c>
      <c r="H308" s="19">
        <f t="shared" si="208"/>
        <v>1140</v>
      </c>
      <c r="I308" s="19">
        <f t="shared" ref="I308:L308" si="209">I305*I306</f>
        <v>1500</v>
      </c>
      <c r="J308" s="19">
        <f t="shared" si="209"/>
        <v>1000</v>
      </c>
      <c r="K308" s="19">
        <f t="shared" si="209"/>
        <v>0</v>
      </c>
      <c r="L308" s="19">
        <f t="shared" si="209"/>
        <v>1500</v>
      </c>
      <c r="M308" s="19">
        <f>SUM(D308:L308)</f>
        <v>12790</v>
      </c>
      <c r="N308" s="19">
        <f>M308/A306</f>
        <v>12790</v>
      </c>
      <c r="O308" s="19">
        <f>N308*O305</f>
        <v>25580</v>
      </c>
      <c r="P308" s="19">
        <f>MROUND(O308,100)</f>
        <v>25600</v>
      </c>
    </row>
    <row r="309" spans="1:16" ht="14.25" customHeight="1" x14ac:dyDescent="0.15">
      <c r="A309" s="111"/>
      <c r="B309" s="87"/>
      <c r="C309" s="87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</row>
    <row r="310" spans="1:16" ht="14.25" customHeight="1" x14ac:dyDescent="0.15">
      <c r="A310" s="109" t="str">
        <f>PRICELIST!I588</f>
        <v>CBFLX-TB-PoLM-1500x600+X</v>
      </c>
      <c r="B310" s="87"/>
      <c r="C310" s="87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</row>
    <row r="311" spans="1:16" ht="14.25" customHeight="1" x14ac:dyDescent="0.15">
      <c r="A311" s="19" t="s">
        <v>57</v>
      </c>
      <c r="B311" s="19" t="s">
        <v>59</v>
      </c>
      <c r="C311" s="19" t="s">
        <v>62</v>
      </c>
      <c r="D311" s="19" t="s">
        <v>64</v>
      </c>
      <c r="E311" s="19"/>
      <c r="F311" s="19">
        <v>900</v>
      </c>
      <c r="G311" s="19">
        <v>600</v>
      </c>
      <c r="H311" s="19" t="s">
        <v>67</v>
      </c>
      <c r="I311" s="19" t="s">
        <v>244</v>
      </c>
      <c r="J311" s="19" t="s">
        <v>71</v>
      </c>
      <c r="K311" s="19" t="s">
        <v>72</v>
      </c>
      <c r="L311" s="19" t="s">
        <v>73</v>
      </c>
      <c r="M311" s="19" t="s">
        <v>76</v>
      </c>
      <c r="N311" s="19" t="s">
        <v>78</v>
      </c>
      <c r="O311" s="19" t="s">
        <v>79</v>
      </c>
      <c r="P311" s="19" t="s">
        <v>81</v>
      </c>
    </row>
    <row r="312" spans="1:16" ht="14.25" customHeight="1" x14ac:dyDescent="0.15">
      <c r="A312" s="21"/>
      <c r="B312" s="21"/>
      <c r="C312" s="44" t="s">
        <v>245</v>
      </c>
      <c r="D312" s="21"/>
      <c r="E312" s="21"/>
      <c r="F312" s="21">
        <f>'MASTER DATA'!E356</f>
        <v>0</v>
      </c>
      <c r="G312" s="23" t="str">
        <f>G305</f>
        <v>1800</v>
      </c>
      <c r="H312" s="21">
        <v>380</v>
      </c>
      <c r="I312" s="23" t="str">
        <f t="shared" ref="I312:J312" si="210">I305</f>
        <v>1500</v>
      </c>
      <c r="J312" s="21">
        <f t="shared" si="210"/>
        <v>1000</v>
      </c>
      <c r="K312" s="21">
        <v>585</v>
      </c>
      <c r="L312" s="23" t="str">
        <f>L305</f>
        <v>1500</v>
      </c>
      <c r="M312" s="21"/>
      <c r="N312" s="21"/>
      <c r="O312" s="21">
        <f>O305</f>
        <v>2</v>
      </c>
      <c r="P312" s="21"/>
    </row>
    <row r="313" spans="1:16" ht="14.25" customHeight="1" x14ac:dyDescent="0.15">
      <c r="A313" s="19">
        <v>1</v>
      </c>
      <c r="B313" s="19">
        <v>1.5</v>
      </c>
      <c r="C313" s="19">
        <v>0.9</v>
      </c>
      <c r="D313" s="19">
        <f>B313*C313</f>
        <v>1.35</v>
      </c>
      <c r="E313" s="19"/>
      <c r="F313" s="19"/>
      <c r="G313" s="19"/>
      <c r="H313" s="19"/>
      <c r="I313" s="19">
        <v>1</v>
      </c>
      <c r="J313" s="19">
        <f>A313</f>
        <v>1</v>
      </c>
      <c r="K313" s="19">
        <f t="shared" ref="K313:L313" si="211">K306</f>
        <v>0</v>
      </c>
      <c r="L313" s="19">
        <f t="shared" si="211"/>
        <v>1</v>
      </c>
      <c r="M313" s="19"/>
      <c r="N313" s="19"/>
      <c r="O313" s="19"/>
      <c r="P313" s="19"/>
    </row>
    <row r="314" spans="1:16" ht="14.25" customHeight="1" x14ac:dyDescent="0.15">
      <c r="A314" s="19"/>
      <c r="B314" s="19"/>
      <c r="C314" s="19"/>
      <c r="D314" s="26" t="str">
        <f>D265</f>
        <v>7500</v>
      </c>
      <c r="E314" s="19"/>
      <c r="F314" s="19">
        <v>0</v>
      </c>
      <c r="G314" s="19">
        <v>2</v>
      </c>
      <c r="H314" s="19">
        <f>B313*2</f>
        <v>3</v>
      </c>
      <c r="I314" s="19"/>
      <c r="J314" s="19"/>
      <c r="K314" s="19"/>
      <c r="L314" s="19"/>
      <c r="M314" s="19"/>
      <c r="N314" s="19"/>
      <c r="O314" s="19"/>
      <c r="P314" s="19"/>
    </row>
    <row r="315" spans="1:16" ht="14.25" customHeight="1" x14ac:dyDescent="0.15">
      <c r="A315" s="19"/>
      <c r="B315" s="19"/>
      <c r="C315" s="19"/>
      <c r="D315" s="19">
        <f>D313*D314</f>
        <v>10125</v>
      </c>
      <c r="E315" s="19"/>
      <c r="F315" s="19">
        <f t="shared" ref="F315:H315" si="212">F312*F314</f>
        <v>0</v>
      </c>
      <c r="G315" s="19">
        <f t="shared" si="212"/>
        <v>3600</v>
      </c>
      <c r="H315" s="19">
        <f t="shared" si="212"/>
        <v>1140</v>
      </c>
      <c r="I315" s="19">
        <f t="shared" ref="I315:L315" si="213">I312*I313</f>
        <v>1500</v>
      </c>
      <c r="J315" s="19">
        <f t="shared" si="213"/>
        <v>1000</v>
      </c>
      <c r="K315" s="19">
        <f t="shared" si="213"/>
        <v>0</v>
      </c>
      <c r="L315" s="19">
        <f t="shared" si="213"/>
        <v>1500</v>
      </c>
      <c r="M315" s="19">
        <f>SUM(D315:L315)</f>
        <v>18865</v>
      </c>
      <c r="N315" s="19">
        <f>M315/A313</f>
        <v>18865</v>
      </c>
      <c r="O315" s="19">
        <f>N315*O312</f>
        <v>37730</v>
      </c>
      <c r="P315" s="19">
        <f>MROUND(O315,100)</f>
        <v>37700</v>
      </c>
    </row>
    <row r="316" spans="1:16" ht="14.25" customHeight="1" x14ac:dyDescent="0.15">
      <c r="A316" s="111"/>
      <c r="B316" s="87"/>
      <c r="C316" s="87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</row>
    <row r="317" spans="1:16" ht="14.25" customHeight="1" x14ac:dyDescent="0.15">
      <c r="A317" s="109" t="str">
        <f>PRICELIST!I589</f>
        <v>CBFLX-TB-LVM-1500x600+X</v>
      </c>
      <c r="B317" s="87"/>
      <c r="C317" s="87"/>
      <c r="D317" s="21"/>
      <c r="E317" s="21"/>
      <c r="F317" s="21"/>
      <c r="G317" s="19"/>
      <c r="H317" s="21"/>
      <c r="I317" s="21"/>
      <c r="J317" s="21"/>
      <c r="K317" s="21"/>
      <c r="L317" s="21"/>
      <c r="M317" s="21"/>
      <c r="N317" s="21"/>
      <c r="O317" s="21"/>
      <c r="P317" s="21"/>
    </row>
    <row r="318" spans="1:16" ht="14.25" customHeight="1" x14ac:dyDescent="0.15">
      <c r="A318" s="19" t="s">
        <v>57</v>
      </c>
      <c r="B318" s="19" t="s">
        <v>59</v>
      </c>
      <c r="C318" s="19" t="s">
        <v>62</v>
      </c>
      <c r="D318" s="19" t="s">
        <v>64</v>
      </c>
      <c r="E318" s="19"/>
      <c r="F318" s="19">
        <v>900</v>
      </c>
      <c r="G318" s="19">
        <v>600</v>
      </c>
      <c r="H318" s="19" t="s">
        <v>67</v>
      </c>
      <c r="I318" s="19" t="s">
        <v>244</v>
      </c>
      <c r="J318" s="19" t="s">
        <v>71</v>
      </c>
      <c r="K318" s="19" t="s">
        <v>72</v>
      </c>
      <c r="L318" s="19" t="s">
        <v>73</v>
      </c>
      <c r="M318" s="19" t="s">
        <v>76</v>
      </c>
      <c r="N318" s="19" t="s">
        <v>78</v>
      </c>
      <c r="O318" s="19" t="s">
        <v>79</v>
      </c>
      <c r="P318" s="19" t="s">
        <v>81</v>
      </c>
    </row>
    <row r="319" spans="1:16" ht="14.25" customHeight="1" x14ac:dyDescent="0.15">
      <c r="A319" s="21"/>
      <c r="B319" s="21"/>
      <c r="C319" s="44" t="s">
        <v>245</v>
      </c>
      <c r="D319" s="21"/>
      <c r="E319" s="21"/>
      <c r="F319" s="21">
        <f>'MASTER DATA'!E363</f>
        <v>0</v>
      </c>
      <c r="G319" s="23" t="str">
        <f>G312</f>
        <v>1800</v>
      </c>
      <c r="H319" s="21">
        <v>380</v>
      </c>
      <c r="I319" s="23" t="str">
        <f t="shared" ref="I319:J319" si="214">I312</f>
        <v>1500</v>
      </c>
      <c r="J319" s="21">
        <f t="shared" si="214"/>
        <v>1000</v>
      </c>
      <c r="K319" s="21">
        <v>585</v>
      </c>
      <c r="L319" s="23" t="str">
        <f>L312</f>
        <v>1500</v>
      </c>
      <c r="M319" s="21"/>
      <c r="N319" s="21"/>
      <c r="O319" s="21">
        <f>O312</f>
        <v>2</v>
      </c>
      <c r="P319" s="21"/>
    </row>
    <row r="320" spans="1:16" ht="14.25" customHeight="1" x14ac:dyDescent="0.15">
      <c r="A320" s="19">
        <v>1</v>
      </c>
      <c r="B320" s="19">
        <v>1.5</v>
      </c>
      <c r="C320" s="19">
        <v>0.9</v>
      </c>
      <c r="D320" s="19">
        <f>B320*C320</f>
        <v>1.35</v>
      </c>
      <c r="E320" s="19"/>
      <c r="F320" s="19"/>
      <c r="G320" s="19"/>
      <c r="H320" s="19"/>
      <c r="I320" s="19">
        <v>1</v>
      </c>
      <c r="J320" s="19">
        <f>A320</f>
        <v>1</v>
      </c>
      <c r="K320" s="19">
        <f t="shared" ref="K320:L320" si="215">K313</f>
        <v>0</v>
      </c>
      <c r="L320" s="19">
        <f t="shared" si="215"/>
        <v>1</v>
      </c>
      <c r="M320" s="19"/>
      <c r="N320" s="19"/>
      <c r="O320" s="19"/>
      <c r="P320" s="19"/>
    </row>
    <row r="321" spans="1:16" ht="14.25" customHeight="1" x14ac:dyDescent="0.15">
      <c r="A321" s="19"/>
      <c r="B321" s="19"/>
      <c r="C321" s="19"/>
      <c r="D321" s="26" t="str">
        <f>D272</f>
        <v>9500</v>
      </c>
      <c r="E321" s="19"/>
      <c r="F321" s="19">
        <v>0</v>
      </c>
      <c r="G321" s="19">
        <v>2</v>
      </c>
      <c r="H321" s="19">
        <f>B320*2</f>
        <v>3</v>
      </c>
      <c r="I321" s="19"/>
      <c r="J321" s="19"/>
      <c r="K321" s="19"/>
      <c r="L321" s="19"/>
      <c r="M321" s="19"/>
      <c r="N321" s="19"/>
      <c r="O321" s="19"/>
      <c r="P321" s="19"/>
    </row>
    <row r="322" spans="1:16" ht="14.25" customHeight="1" x14ac:dyDescent="0.15">
      <c r="A322" s="19"/>
      <c r="B322" s="19"/>
      <c r="C322" s="19"/>
      <c r="D322" s="19">
        <f>D320*D321</f>
        <v>12825</v>
      </c>
      <c r="E322" s="19"/>
      <c r="F322" s="19">
        <f t="shared" ref="F322:H322" si="216">F319*F321</f>
        <v>0</v>
      </c>
      <c r="G322" s="19">
        <f t="shared" si="216"/>
        <v>3600</v>
      </c>
      <c r="H322" s="19">
        <f t="shared" si="216"/>
        <v>1140</v>
      </c>
      <c r="I322" s="19">
        <f t="shared" ref="I322:L322" si="217">I319*I320</f>
        <v>1500</v>
      </c>
      <c r="J322" s="19">
        <f t="shared" si="217"/>
        <v>1000</v>
      </c>
      <c r="K322" s="19">
        <f t="shared" si="217"/>
        <v>0</v>
      </c>
      <c r="L322" s="19">
        <f t="shared" si="217"/>
        <v>1500</v>
      </c>
      <c r="M322" s="19">
        <f>SUM(D322:L322)</f>
        <v>21565</v>
      </c>
      <c r="N322" s="19">
        <f>M322/A320</f>
        <v>21565</v>
      </c>
      <c r="O322" s="19">
        <f>N322*O319</f>
        <v>43130</v>
      </c>
      <c r="P322" s="19">
        <f>MROUND(O322,100)</f>
        <v>43100</v>
      </c>
    </row>
    <row r="323" spans="1:16" ht="14.25" customHeight="1" x14ac:dyDescent="0.15">
      <c r="A323" s="111"/>
      <c r="B323" s="87"/>
      <c r="C323" s="87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</row>
    <row r="324" spans="1:16" ht="14.25" customHeight="1" x14ac:dyDescent="0.15">
      <c r="A324" s="109" t="str">
        <f>PRICELIST!I590</f>
        <v>CBFLX-TB-LVP-1500x600+X</v>
      </c>
      <c r="B324" s="87"/>
      <c r="C324" s="87"/>
      <c r="D324" s="19"/>
      <c r="E324" s="19"/>
      <c r="F324" s="19"/>
      <c r="G324" s="30"/>
      <c r="H324" s="19"/>
      <c r="I324" s="19"/>
      <c r="J324" s="19"/>
      <c r="K324" s="19"/>
      <c r="L324" s="19"/>
      <c r="M324" s="19"/>
      <c r="N324" s="19"/>
      <c r="O324" s="19"/>
      <c r="P324" s="19"/>
    </row>
    <row r="325" spans="1:16" ht="14.25" customHeight="1" x14ac:dyDescent="0.15">
      <c r="A325" s="19" t="s">
        <v>57</v>
      </c>
      <c r="B325" s="19" t="s">
        <v>59</v>
      </c>
      <c r="C325" s="19" t="s">
        <v>62</v>
      </c>
      <c r="D325" s="19" t="s">
        <v>64</v>
      </c>
      <c r="E325" s="19"/>
      <c r="F325" s="19">
        <v>900</v>
      </c>
      <c r="G325" s="19">
        <v>600</v>
      </c>
      <c r="H325" s="19" t="s">
        <v>67</v>
      </c>
      <c r="I325" s="19" t="s">
        <v>244</v>
      </c>
      <c r="J325" s="19" t="s">
        <v>71</v>
      </c>
      <c r="K325" s="19" t="s">
        <v>72</v>
      </c>
      <c r="L325" s="19" t="s">
        <v>73</v>
      </c>
      <c r="M325" s="19" t="s">
        <v>76</v>
      </c>
      <c r="N325" s="19" t="s">
        <v>78</v>
      </c>
      <c r="O325" s="19" t="s">
        <v>79</v>
      </c>
      <c r="P325" s="19" t="s">
        <v>81</v>
      </c>
    </row>
    <row r="326" spans="1:16" ht="14.25" customHeight="1" x14ac:dyDescent="0.15">
      <c r="A326" s="21"/>
      <c r="B326" s="21"/>
      <c r="C326" s="44" t="s">
        <v>245</v>
      </c>
      <c r="D326" s="21"/>
      <c r="E326" s="21"/>
      <c r="F326" s="21">
        <f>'MASTER DATA'!E370</f>
        <v>0</v>
      </c>
      <c r="G326" s="23" t="str">
        <f>G319</f>
        <v>1800</v>
      </c>
      <c r="H326" s="21">
        <v>380</v>
      </c>
      <c r="I326" s="23" t="str">
        <f t="shared" ref="I326:J326" si="218">I319</f>
        <v>1500</v>
      </c>
      <c r="J326" s="21">
        <f t="shared" si="218"/>
        <v>1000</v>
      </c>
      <c r="K326" s="21">
        <v>585</v>
      </c>
      <c r="L326" s="23" t="str">
        <f>L319</f>
        <v>1500</v>
      </c>
      <c r="M326" s="21"/>
      <c r="N326" s="21"/>
      <c r="O326" s="21">
        <f>O319</f>
        <v>2</v>
      </c>
      <c r="P326" s="21"/>
    </row>
    <row r="327" spans="1:16" ht="14.25" customHeight="1" x14ac:dyDescent="0.15">
      <c r="A327" s="19">
        <v>1</v>
      </c>
      <c r="B327" s="19">
        <v>1.5</v>
      </c>
      <c r="C327" s="19">
        <v>0.9</v>
      </c>
      <c r="D327" s="19">
        <f>B327*C327</f>
        <v>1.35</v>
      </c>
      <c r="E327" s="19"/>
      <c r="F327" s="19"/>
      <c r="G327" s="19"/>
      <c r="H327" s="19"/>
      <c r="I327" s="19">
        <v>1</v>
      </c>
      <c r="J327" s="19">
        <f>A327</f>
        <v>1</v>
      </c>
      <c r="K327" s="19">
        <f t="shared" ref="K327:L327" si="219">K320</f>
        <v>0</v>
      </c>
      <c r="L327" s="19">
        <f t="shared" si="219"/>
        <v>1</v>
      </c>
      <c r="M327" s="19"/>
      <c r="N327" s="19"/>
      <c r="O327" s="19"/>
      <c r="P327" s="19"/>
    </row>
    <row r="328" spans="1:16" ht="14.25" customHeight="1" x14ac:dyDescent="0.15">
      <c r="A328" s="19"/>
      <c r="B328" s="19"/>
      <c r="C328" s="19"/>
      <c r="D328" s="26" t="str">
        <f>D279</f>
        <v>10500</v>
      </c>
      <c r="E328" s="19"/>
      <c r="F328" s="19">
        <v>0</v>
      </c>
      <c r="G328" s="19">
        <v>2</v>
      </c>
      <c r="H328" s="19">
        <f>B327*2</f>
        <v>3</v>
      </c>
      <c r="I328" s="19"/>
      <c r="J328" s="19"/>
      <c r="K328" s="19"/>
      <c r="L328" s="19"/>
      <c r="M328" s="19"/>
      <c r="N328" s="19"/>
      <c r="O328" s="19"/>
      <c r="P328" s="19"/>
    </row>
    <row r="329" spans="1:16" ht="14.25" customHeight="1" x14ac:dyDescent="0.15">
      <c r="A329" s="19"/>
      <c r="B329" s="19"/>
      <c r="C329" s="19"/>
      <c r="D329" s="19">
        <f>D327*D328</f>
        <v>14175.000000000002</v>
      </c>
      <c r="E329" s="19"/>
      <c r="F329" s="19">
        <f t="shared" ref="F329:H329" si="220">F326*F328</f>
        <v>0</v>
      </c>
      <c r="G329" s="19">
        <f t="shared" si="220"/>
        <v>3600</v>
      </c>
      <c r="H329" s="19">
        <f t="shared" si="220"/>
        <v>1140</v>
      </c>
      <c r="I329" s="19">
        <f t="shared" ref="I329:L329" si="221">I326*I327</f>
        <v>1500</v>
      </c>
      <c r="J329" s="19">
        <f t="shared" si="221"/>
        <v>1000</v>
      </c>
      <c r="K329" s="19">
        <f t="shared" si="221"/>
        <v>0</v>
      </c>
      <c r="L329" s="19">
        <f t="shared" si="221"/>
        <v>1500</v>
      </c>
      <c r="M329" s="19">
        <f>SUM(D329:L329)</f>
        <v>22915</v>
      </c>
      <c r="N329" s="19">
        <f>M329/A327</f>
        <v>22915</v>
      </c>
      <c r="O329" s="19">
        <f>N329*O326</f>
        <v>45830</v>
      </c>
      <c r="P329" s="19">
        <f>MROUND(O329,100)</f>
        <v>45800</v>
      </c>
    </row>
    <row r="330" spans="1:16" ht="14.25" customHeight="1" x14ac:dyDescent="0.15">
      <c r="A330" s="111"/>
      <c r="B330" s="87"/>
      <c r="C330" s="87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</row>
    <row r="331" spans="1:16" ht="14.25" customHeight="1" x14ac:dyDescent="0.15">
      <c r="A331" s="109" t="str">
        <f>PRICELIST!I591</f>
        <v>CBFLX-TB-VNR-1500x600+X</v>
      </c>
      <c r="B331" s="87"/>
      <c r="C331" s="87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</row>
    <row r="332" spans="1:16" ht="14.25" customHeight="1" x14ac:dyDescent="0.15">
      <c r="A332" s="19" t="s">
        <v>57</v>
      </c>
      <c r="B332" s="19" t="s">
        <v>59</v>
      </c>
      <c r="C332" s="19" t="s">
        <v>62</v>
      </c>
      <c r="D332" s="19" t="s">
        <v>64</v>
      </c>
      <c r="E332" s="19"/>
      <c r="F332" s="19">
        <v>900</v>
      </c>
      <c r="G332" s="19">
        <v>600</v>
      </c>
      <c r="H332" s="19" t="s">
        <v>67</v>
      </c>
      <c r="I332" s="19" t="s">
        <v>244</v>
      </c>
      <c r="J332" s="19" t="s">
        <v>71</v>
      </c>
      <c r="K332" s="19" t="s">
        <v>72</v>
      </c>
      <c r="L332" s="19" t="s">
        <v>73</v>
      </c>
      <c r="M332" s="19" t="s">
        <v>76</v>
      </c>
      <c r="N332" s="19" t="s">
        <v>78</v>
      </c>
      <c r="O332" s="19" t="s">
        <v>79</v>
      </c>
      <c r="P332" s="19" t="s">
        <v>81</v>
      </c>
    </row>
    <row r="333" spans="1:16" ht="14.25" customHeight="1" x14ac:dyDescent="0.15">
      <c r="A333" s="21"/>
      <c r="B333" s="21"/>
      <c r="C333" s="44" t="s">
        <v>245</v>
      </c>
      <c r="D333" s="21"/>
      <c r="E333" s="21"/>
      <c r="F333" s="21">
        <f>'MASTER DATA'!E377</f>
        <v>0</v>
      </c>
      <c r="G333" s="23" t="str">
        <f>G326</f>
        <v>1800</v>
      </c>
      <c r="H333" s="21">
        <v>380</v>
      </c>
      <c r="I333" s="23" t="str">
        <f t="shared" ref="I333:J333" si="222">I326</f>
        <v>1500</v>
      </c>
      <c r="J333" s="21">
        <f t="shared" si="222"/>
        <v>1000</v>
      </c>
      <c r="K333" s="21">
        <v>585</v>
      </c>
      <c r="L333" s="23" t="str">
        <f>L326</f>
        <v>1500</v>
      </c>
      <c r="M333" s="21"/>
      <c r="N333" s="21"/>
      <c r="O333" s="21">
        <f>O326</f>
        <v>2</v>
      </c>
      <c r="P333" s="21"/>
    </row>
    <row r="334" spans="1:16" ht="14.25" customHeight="1" x14ac:dyDescent="0.15">
      <c r="A334" s="19">
        <v>1</v>
      </c>
      <c r="B334" s="19">
        <v>1.5</v>
      </c>
      <c r="C334" s="19">
        <v>0.9</v>
      </c>
      <c r="D334" s="19">
        <f>B334*C334</f>
        <v>1.35</v>
      </c>
      <c r="E334" s="19"/>
      <c r="F334" s="19"/>
      <c r="G334" s="19"/>
      <c r="H334" s="19"/>
      <c r="I334" s="19">
        <v>1</v>
      </c>
      <c r="J334" s="19">
        <f>A334</f>
        <v>1</v>
      </c>
      <c r="K334" s="19">
        <f t="shared" ref="K334:L334" si="223">K327</f>
        <v>0</v>
      </c>
      <c r="L334" s="19">
        <f t="shared" si="223"/>
        <v>1</v>
      </c>
      <c r="M334" s="19"/>
      <c r="N334" s="19"/>
      <c r="O334" s="19"/>
      <c r="P334" s="19"/>
    </row>
    <row r="335" spans="1:16" ht="14.25" customHeight="1" x14ac:dyDescent="0.15">
      <c r="A335" s="19"/>
      <c r="B335" s="19"/>
      <c r="C335" s="19"/>
      <c r="D335" s="26" t="str">
        <f>D286</f>
        <v>30000</v>
      </c>
      <c r="E335" s="19"/>
      <c r="F335" s="19">
        <v>0</v>
      </c>
      <c r="G335" s="19">
        <v>2</v>
      </c>
      <c r="H335" s="19">
        <f>B334*2</f>
        <v>3</v>
      </c>
      <c r="I335" s="19"/>
      <c r="J335" s="19"/>
      <c r="K335" s="19"/>
      <c r="L335" s="19"/>
      <c r="M335" s="19"/>
      <c r="N335" s="19"/>
      <c r="O335" s="19"/>
      <c r="P335" s="19"/>
    </row>
    <row r="336" spans="1:16" ht="14.25" customHeight="1" x14ac:dyDescent="0.15">
      <c r="A336" s="19"/>
      <c r="B336" s="19"/>
      <c r="C336" s="19"/>
      <c r="D336" s="19">
        <f>D334*D335</f>
        <v>40500</v>
      </c>
      <c r="E336" s="19"/>
      <c r="F336" s="19">
        <f t="shared" ref="F336:H336" si="224">F333*F335</f>
        <v>0</v>
      </c>
      <c r="G336" s="19">
        <f t="shared" si="224"/>
        <v>3600</v>
      </c>
      <c r="H336" s="19">
        <f t="shared" si="224"/>
        <v>1140</v>
      </c>
      <c r="I336" s="19">
        <f t="shared" ref="I336:L336" si="225">I333*I334</f>
        <v>1500</v>
      </c>
      <c r="J336" s="19">
        <f t="shared" si="225"/>
        <v>1000</v>
      </c>
      <c r="K336" s="19">
        <f t="shared" si="225"/>
        <v>0</v>
      </c>
      <c r="L336" s="19">
        <f t="shared" si="225"/>
        <v>1500</v>
      </c>
      <c r="M336" s="19">
        <f>SUM(D336:L336)</f>
        <v>49240</v>
      </c>
      <c r="N336" s="19">
        <f>M336/A334</f>
        <v>49240</v>
      </c>
      <c r="O336" s="19">
        <f>N336*O333</f>
        <v>98480</v>
      </c>
      <c r="P336" s="19">
        <f>MROUND(O336,100)</f>
        <v>98500</v>
      </c>
    </row>
    <row r="337" spans="1:16" ht="14.25" customHeight="1" x14ac:dyDescent="0.15">
      <c r="A337" s="111"/>
      <c r="B337" s="87"/>
      <c r="C337" s="87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</row>
    <row r="338" spans="1:16" ht="14.25" customHeight="1" x14ac:dyDescent="0.15">
      <c r="A338" s="109" t="str">
        <f>PRICELIST!I592</f>
        <v>CBFLX-TB-GL-1500x600+X</v>
      </c>
      <c r="B338" s="87"/>
      <c r="C338" s="87"/>
      <c r="D338" s="19"/>
      <c r="E338" s="19"/>
      <c r="F338" s="19"/>
      <c r="G338" s="30"/>
      <c r="H338" s="19"/>
      <c r="I338" s="19"/>
      <c r="J338" s="19"/>
      <c r="K338" s="19"/>
      <c r="L338" s="19"/>
      <c r="M338" s="19"/>
      <c r="N338" s="19"/>
      <c r="O338" s="19"/>
      <c r="P338" s="19"/>
    </row>
    <row r="339" spans="1:16" ht="14.25" customHeight="1" x14ac:dyDescent="0.15">
      <c r="A339" s="19" t="s">
        <v>57</v>
      </c>
      <c r="B339" s="19" t="s">
        <v>59</v>
      </c>
      <c r="C339" s="19" t="s">
        <v>62</v>
      </c>
      <c r="D339" s="19" t="s">
        <v>64</v>
      </c>
      <c r="E339" s="19"/>
      <c r="F339" s="19">
        <v>900</v>
      </c>
      <c r="G339" s="19">
        <v>600</v>
      </c>
      <c r="H339" s="19" t="s">
        <v>67</v>
      </c>
      <c r="I339" s="19" t="s">
        <v>244</v>
      </c>
      <c r="J339" s="19" t="s">
        <v>71</v>
      </c>
      <c r="K339" s="19" t="s">
        <v>72</v>
      </c>
      <c r="L339" s="19" t="s">
        <v>73</v>
      </c>
      <c r="M339" s="19" t="s">
        <v>76</v>
      </c>
      <c r="N339" s="19" t="s">
        <v>78</v>
      </c>
      <c r="O339" s="19" t="s">
        <v>79</v>
      </c>
      <c r="P339" s="19" t="s">
        <v>81</v>
      </c>
    </row>
    <row r="340" spans="1:16" ht="14.25" customHeight="1" x14ac:dyDescent="0.15">
      <c r="A340" s="21"/>
      <c r="B340" s="21"/>
      <c r="C340" s="44" t="s">
        <v>245</v>
      </c>
      <c r="D340" s="21"/>
      <c r="E340" s="21"/>
      <c r="F340" s="21">
        <f>'MASTER DATA'!E384</f>
        <v>0</v>
      </c>
      <c r="G340" s="23" t="str">
        <f>G333</f>
        <v>1800</v>
      </c>
      <c r="H340" s="21">
        <v>380</v>
      </c>
      <c r="I340" s="23" t="str">
        <f t="shared" ref="I340:J340" si="226">I333</f>
        <v>1500</v>
      </c>
      <c r="J340" s="21">
        <f t="shared" si="226"/>
        <v>1000</v>
      </c>
      <c r="K340" s="21">
        <v>585</v>
      </c>
      <c r="L340" s="23" t="str">
        <f>L333</f>
        <v>1500</v>
      </c>
      <c r="M340" s="21"/>
      <c r="N340" s="21"/>
      <c r="O340" s="21">
        <f>O333</f>
        <v>2</v>
      </c>
      <c r="P340" s="21"/>
    </row>
    <row r="341" spans="1:16" ht="14.25" customHeight="1" x14ac:dyDescent="0.15">
      <c r="A341" s="19">
        <v>1</v>
      </c>
      <c r="B341" s="19">
        <v>1.5</v>
      </c>
      <c r="C341" s="19">
        <v>0.9</v>
      </c>
      <c r="D341" s="19">
        <f>B341*C341</f>
        <v>1.35</v>
      </c>
      <c r="E341" s="19"/>
      <c r="F341" s="19"/>
      <c r="G341" s="19"/>
      <c r="H341" s="19"/>
      <c r="I341" s="19">
        <v>1</v>
      </c>
      <c r="J341" s="19">
        <f>A341</f>
        <v>1</v>
      </c>
      <c r="K341" s="19">
        <f t="shared" ref="K341:L341" si="227">K334</f>
        <v>0</v>
      </c>
      <c r="L341" s="19">
        <f t="shared" si="227"/>
        <v>1</v>
      </c>
      <c r="M341" s="19"/>
      <c r="N341" s="19"/>
      <c r="O341" s="19"/>
      <c r="P341" s="19"/>
    </row>
    <row r="342" spans="1:16" ht="14.25" customHeight="1" x14ac:dyDescent="0.15">
      <c r="A342" s="19"/>
      <c r="B342" s="19"/>
      <c r="C342" s="19"/>
      <c r="D342" s="26" t="str">
        <f>D293</f>
        <v>7500</v>
      </c>
      <c r="E342" s="19"/>
      <c r="F342" s="19">
        <v>0</v>
      </c>
      <c r="G342" s="19">
        <v>2</v>
      </c>
      <c r="H342" s="19">
        <f>B341*2</f>
        <v>3</v>
      </c>
      <c r="I342" s="19"/>
      <c r="J342" s="19"/>
      <c r="K342" s="19"/>
      <c r="L342" s="19"/>
      <c r="M342" s="19"/>
      <c r="N342" s="19"/>
      <c r="O342" s="19"/>
      <c r="P342" s="19"/>
    </row>
    <row r="343" spans="1:16" ht="14.25" customHeight="1" x14ac:dyDescent="0.15">
      <c r="A343" s="19"/>
      <c r="B343" s="19"/>
      <c r="C343" s="19"/>
      <c r="D343" s="19">
        <f>D341*D342</f>
        <v>10125</v>
      </c>
      <c r="E343" s="19"/>
      <c r="F343" s="19">
        <f t="shared" ref="F343:H343" si="228">F340*F342</f>
        <v>0</v>
      </c>
      <c r="G343" s="19">
        <f t="shared" si="228"/>
        <v>3600</v>
      </c>
      <c r="H343" s="19">
        <f t="shared" si="228"/>
        <v>1140</v>
      </c>
      <c r="I343" s="19">
        <f t="shared" ref="I343:L343" si="229">I340*I341</f>
        <v>1500</v>
      </c>
      <c r="J343" s="19">
        <f t="shared" si="229"/>
        <v>1000</v>
      </c>
      <c r="K343" s="19">
        <f t="shared" si="229"/>
        <v>0</v>
      </c>
      <c r="L343" s="19">
        <f t="shared" si="229"/>
        <v>1500</v>
      </c>
      <c r="M343" s="19">
        <f>SUM(D343:L343)</f>
        <v>18865</v>
      </c>
      <c r="N343" s="19">
        <f>M343/A341</f>
        <v>18865</v>
      </c>
      <c r="O343" s="19">
        <f>N343*O340</f>
        <v>37730</v>
      </c>
      <c r="P343" s="19">
        <f>MROUND(O343,100)</f>
        <v>37700</v>
      </c>
    </row>
    <row r="344" spans="1:16" ht="14.25" customHeight="1" x14ac:dyDescent="0.15">
      <c r="A344" s="111"/>
      <c r="B344" s="87"/>
      <c r="C344" s="87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</row>
    <row r="345" spans="1:16" ht="14.25" customHeight="1" x14ac:dyDescent="0.15">
      <c r="A345" s="109" t="str">
        <f>PRICELIST!I593</f>
        <v>CBFLX-TB-PB-1800x750+X</v>
      </c>
      <c r="B345" s="87"/>
      <c r="C345" s="87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</row>
    <row r="346" spans="1:16" ht="14.25" customHeight="1" x14ac:dyDescent="0.15">
      <c r="A346" s="19" t="s">
        <v>57</v>
      </c>
      <c r="B346" s="19" t="s">
        <v>59</v>
      </c>
      <c r="C346" s="19" t="s">
        <v>62</v>
      </c>
      <c r="D346" s="19" t="s">
        <v>64</v>
      </c>
      <c r="E346" s="19"/>
      <c r="F346" s="19">
        <v>900</v>
      </c>
      <c r="G346" s="19">
        <v>600</v>
      </c>
      <c r="H346" s="19" t="s">
        <v>67</v>
      </c>
      <c r="I346" s="19" t="s">
        <v>244</v>
      </c>
      <c r="J346" s="19" t="s">
        <v>71</v>
      </c>
      <c r="K346" s="19" t="s">
        <v>72</v>
      </c>
      <c r="L346" s="19" t="s">
        <v>73</v>
      </c>
      <c r="M346" s="19" t="s">
        <v>76</v>
      </c>
      <c r="N346" s="19" t="s">
        <v>78</v>
      </c>
      <c r="O346" s="19" t="s">
        <v>79</v>
      </c>
      <c r="P346" s="19" t="s">
        <v>81</v>
      </c>
    </row>
    <row r="347" spans="1:16" ht="14.25" customHeight="1" x14ac:dyDescent="0.15">
      <c r="A347" s="21"/>
      <c r="B347" s="21"/>
      <c r="C347" s="44" t="s">
        <v>245</v>
      </c>
      <c r="D347" s="21"/>
      <c r="E347" s="21"/>
      <c r="F347" s="23" t="str">
        <f>F277</f>
        <v>1900</v>
      </c>
      <c r="G347" s="23" t="str">
        <f>G340</f>
        <v>1800</v>
      </c>
      <c r="H347" s="21">
        <v>380</v>
      </c>
      <c r="I347" s="23" t="str">
        <f t="shared" ref="I347:J347" si="230">I340</f>
        <v>1500</v>
      </c>
      <c r="J347" s="21">
        <f t="shared" si="230"/>
        <v>1000</v>
      </c>
      <c r="K347" s="21">
        <v>585</v>
      </c>
      <c r="L347" s="23" t="str">
        <f>L340</f>
        <v>1500</v>
      </c>
      <c r="M347" s="21"/>
      <c r="N347" s="21"/>
      <c r="O347" s="21">
        <f>O340</f>
        <v>2</v>
      </c>
      <c r="P347" s="21"/>
    </row>
    <row r="348" spans="1:16" ht="14.25" customHeight="1" x14ac:dyDescent="0.15">
      <c r="A348" s="19">
        <v>1</v>
      </c>
      <c r="B348" s="19">
        <v>1.8</v>
      </c>
      <c r="C348" s="19">
        <f>0.75+0.3</f>
        <v>1.05</v>
      </c>
      <c r="D348" s="19">
        <f>B348*C348</f>
        <v>1.8900000000000001</v>
      </c>
      <c r="E348" s="19"/>
      <c r="F348" s="19"/>
      <c r="G348" s="19"/>
      <c r="H348" s="19"/>
      <c r="I348" s="19">
        <v>1</v>
      </c>
      <c r="J348" s="19">
        <f>A348</f>
        <v>1</v>
      </c>
      <c r="K348" s="19">
        <f t="shared" ref="K348:L348" si="231">K341</f>
        <v>0</v>
      </c>
      <c r="L348" s="19">
        <f t="shared" si="231"/>
        <v>1</v>
      </c>
      <c r="M348" s="19"/>
      <c r="N348" s="19"/>
      <c r="O348" s="19"/>
      <c r="P348" s="19"/>
    </row>
    <row r="349" spans="1:16" ht="14.25" customHeight="1" x14ac:dyDescent="0.15">
      <c r="A349" s="19"/>
      <c r="B349" s="19"/>
      <c r="C349" s="19"/>
      <c r="D349" s="26" t="str">
        <f>D300</f>
        <v>2200</v>
      </c>
      <c r="E349" s="19"/>
      <c r="F349" s="19">
        <v>2</v>
      </c>
      <c r="G349" s="19">
        <v>0</v>
      </c>
      <c r="H349" s="19">
        <f>B348*2</f>
        <v>3.6</v>
      </c>
      <c r="I349" s="19"/>
      <c r="J349" s="19"/>
      <c r="K349" s="19"/>
      <c r="L349" s="19"/>
      <c r="M349" s="19"/>
      <c r="N349" s="19"/>
      <c r="O349" s="19"/>
      <c r="P349" s="19"/>
    </row>
    <row r="350" spans="1:16" ht="14.25" customHeight="1" x14ac:dyDescent="0.15">
      <c r="A350" s="19"/>
      <c r="B350" s="19"/>
      <c r="C350" s="19"/>
      <c r="D350" s="19">
        <f>D348*D349</f>
        <v>4158</v>
      </c>
      <c r="E350" s="19"/>
      <c r="F350" s="19">
        <f t="shared" ref="F350:H350" si="232">F347*F349</f>
        <v>3800</v>
      </c>
      <c r="G350" s="19">
        <f t="shared" si="232"/>
        <v>0</v>
      </c>
      <c r="H350" s="19">
        <f t="shared" si="232"/>
        <v>1368</v>
      </c>
      <c r="I350" s="19">
        <f t="shared" ref="I350:L350" si="233">I347*I348</f>
        <v>1500</v>
      </c>
      <c r="J350" s="19">
        <f t="shared" si="233"/>
        <v>1000</v>
      </c>
      <c r="K350" s="19">
        <f t="shared" si="233"/>
        <v>0</v>
      </c>
      <c r="L350" s="19">
        <f t="shared" si="233"/>
        <v>1500</v>
      </c>
      <c r="M350" s="19">
        <f>SUM(D350:L350)</f>
        <v>13326</v>
      </c>
      <c r="N350" s="19">
        <f>M350/A348</f>
        <v>13326</v>
      </c>
      <c r="O350" s="19">
        <f>N350*O347</f>
        <v>26652</v>
      </c>
      <c r="P350" s="19">
        <f>MROUND(O350,100)</f>
        <v>26700</v>
      </c>
    </row>
    <row r="351" spans="1:16" ht="14.25" customHeight="1" x14ac:dyDescent="0.15">
      <c r="A351" s="111"/>
      <c r="B351" s="87"/>
      <c r="C351" s="87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</row>
    <row r="352" spans="1:16" ht="14.25" customHeight="1" x14ac:dyDescent="0.15">
      <c r="A352" s="109" t="str">
        <f>PRICELIST!I594</f>
        <v>CBFLX-TB-PLM-1800x750+X</v>
      </c>
      <c r="B352" s="87"/>
      <c r="C352" s="87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</row>
    <row r="353" spans="1:16" ht="14.25" customHeight="1" x14ac:dyDescent="0.15">
      <c r="A353" s="19" t="s">
        <v>57</v>
      </c>
      <c r="B353" s="19" t="s">
        <v>59</v>
      </c>
      <c r="C353" s="19" t="s">
        <v>62</v>
      </c>
      <c r="D353" s="19" t="s">
        <v>64</v>
      </c>
      <c r="E353" s="19"/>
      <c r="F353" s="19">
        <v>900</v>
      </c>
      <c r="G353" s="19">
        <v>600</v>
      </c>
      <c r="H353" s="19" t="s">
        <v>67</v>
      </c>
      <c r="I353" s="19" t="s">
        <v>244</v>
      </c>
      <c r="J353" s="19" t="s">
        <v>71</v>
      </c>
      <c r="K353" s="19" t="s">
        <v>72</v>
      </c>
      <c r="L353" s="19" t="s">
        <v>73</v>
      </c>
      <c r="M353" s="19" t="s">
        <v>76</v>
      </c>
      <c r="N353" s="19" t="s">
        <v>78</v>
      </c>
      <c r="O353" s="19" t="s">
        <v>79</v>
      </c>
      <c r="P353" s="19" t="s">
        <v>81</v>
      </c>
    </row>
    <row r="354" spans="1:16" ht="14.25" customHeight="1" x14ac:dyDescent="0.15">
      <c r="A354" s="21"/>
      <c r="B354" s="21"/>
      <c r="C354" s="44" t="s">
        <v>245</v>
      </c>
      <c r="D354" s="21"/>
      <c r="E354" s="21"/>
      <c r="F354" s="23" t="str">
        <f>F284</f>
        <v>1900</v>
      </c>
      <c r="G354" s="23" t="str">
        <f>G347</f>
        <v>1800</v>
      </c>
      <c r="H354" s="21">
        <v>380</v>
      </c>
      <c r="I354" s="23" t="str">
        <f t="shared" ref="I354:J354" si="234">I347</f>
        <v>1500</v>
      </c>
      <c r="J354" s="21">
        <f t="shared" si="234"/>
        <v>1000</v>
      </c>
      <c r="K354" s="21">
        <v>585</v>
      </c>
      <c r="L354" s="23" t="str">
        <f>L347</f>
        <v>1500</v>
      </c>
      <c r="M354" s="21"/>
      <c r="N354" s="21"/>
      <c r="O354" s="21">
        <f>O347</f>
        <v>2</v>
      </c>
      <c r="P354" s="21"/>
    </row>
    <row r="355" spans="1:16" ht="14.25" customHeight="1" x14ac:dyDescent="0.15">
      <c r="A355" s="19">
        <v>1</v>
      </c>
      <c r="B355" s="19">
        <v>1.8</v>
      </c>
      <c r="C355" s="19">
        <f>0.75+0.3</f>
        <v>1.05</v>
      </c>
      <c r="D355" s="19">
        <f>B355*C355</f>
        <v>1.8900000000000001</v>
      </c>
      <c r="E355" s="19"/>
      <c r="F355" s="19"/>
      <c r="G355" s="19"/>
      <c r="H355" s="19"/>
      <c r="I355" s="19">
        <v>1</v>
      </c>
      <c r="J355" s="19">
        <f>A355</f>
        <v>1</v>
      </c>
      <c r="K355" s="19">
        <f t="shared" ref="K355:L355" si="235">K348</f>
        <v>0</v>
      </c>
      <c r="L355" s="19">
        <f t="shared" si="235"/>
        <v>1</v>
      </c>
      <c r="M355" s="19"/>
      <c r="N355" s="19"/>
      <c r="O355" s="19"/>
      <c r="P355" s="19"/>
    </row>
    <row r="356" spans="1:16" ht="14.25" customHeight="1" x14ac:dyDescent="0.15">
      <c r="A356" s="19"/>
      <c r="B356" s="19"/>
      <c r="C356" s="19"/>
      <c r="D356" s="26" t="str">
        <f>D307</f>
        <v>3000</v>
      </c>
      <c r="E356" s="19"/>
      <c r="F356" s="19">
        <v>2</v>
      </c>
      <c r="G356" s="19">
        <v>0</v>
      </c>
      <c r="H356" s="19">
        <f>B355*2</f>
        <v>3.6</v>
      </c>
      <c r="I356" s="19"/>
      <c r="J356" s="19"/>
      <c r="K356" s="19"/>
      <c r="L356" s="19"/>
      <c r="M356" s="19"/>
      <c r="N356" s="19"/>
      <c r="O356" s="19"/>
      <c r="P356" s="19"/>
    </row>
    <row r="357" spans="1:16" ht="14.25" customHeight="1" x14ac:dyDescent="0.15">
      <c r="A357" s="19"/>
      <c r="B357" s="19"/>
      <c r="C357" s="19"/>
      <c r="D357" s="19">
        <f>D355*D356</f>
        <v>5670</v>
      </c>
      <c r="E357" s="19"/>
      <c r="F357" s="19">
        <f t="shared" ref="F357:H357" si="236">F354*F356</f>
        <v>3800</v>
      </c>
      <c r="G357" s="19">
        <f t="shared" si="236"/>
        <v>0</v>
      </c>
      <c r="H357" s="19">
        <f t="shared" si="236"/>
        <v>1368</v>
      </c>
      <c r="I357" s="19">
        <f t="shared" ref="I357:L357" si="237">I354*I355</f>
        <v>1500</v>
      </c>
      <c r="J357" s="19">
        <f t="shared" si="237"/>
        <v>1000</v>
      </c>
      <c r="K357" s="19">
        <f t="shared" si="237"/>
        <v>0</v>
      </c>
      <c r="L357" s="19">
        <f t="shared" si="237"/>
        <v>1500</v>
      </c>
      <c r="M357" s="19">
        <f>SUM(D357:L357)</f>
        <v>14838</v>
      </c>
      <c r="N357" s="19">
        <f>M357/A355</f>
        <v>14838</v>
      </c>
      <c r="O357" s="19">
        <f>N357*O354</f>
        <v>29676</v>
      </c>
      <c r="P357" s="19">
        <f>MROUND(O357,100)</f>
        <v>29700</v>
      </c>
    </row>
    <row r="358" spans="1:16" ht="14.25" customHeight="1" x14ac:dyDescent="0.15">
      <c r="A358" s="111"/>
      <c r="B358" s="87"/>
      <c r="C358" s="87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</row>
    <row r="359" spans="1:16" ht="14.25" customHeight="1" x14ac:dyDescent="0.15">
      <c r="A359" s="109" t="str">
        <f>PRICELIST!I595</f>
        <v>CBFLX-TB-PoLM-1800x750+X</v>
      </c>
      <c r="B359" s="87"/>
      <c r="C359" s="87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</row>
    <row r="360" spans="1:16" ht="14.25" customHeight="1" x14ac:dyDescent="0.15">
      <c r="A360" s="19" t="s">
        <v>57</v>
      </c>
      <c r="B360" s="19" t="s">
        <v>59</v>
      </c>
      <c r="C360" s="19" t="s">
        <v>62</v>
      </c>
      <c r="D360" s="19" t="s">
        <v>64</v>
      </c>
      <c r="E360" s="19"/>
      <c r="F360" s="19">
        <v>900</v>
      </c>
      <c r="G360" s="19">
        <v>600</v>
      </c>
      <c r="H360" s="19" t="s">
        <v>67</v>
      </c>
      <c r="I360" s="19" t="s">
        <v>244</v>
      </c>
      <c r="J360" s="19" t="s">
        <v>71</v>
      </c>
      <c r="K360" s="19" t="s">
        <v>72</v>
      </c>
      <c r="L360" s="19" t="s">
        <v>73</v>
      </c>
      <c r="M360" s="19" t="s">
        <v>76</v>
      </c>
      <c r="N360" s="19" t="s">
        <v>78</v>
      </c>
      <c r="O360" s="19" t="s">
        <v>79</v>
      </c>
      <c r="P360" s="19" t="s">
        <v>81</v>
      </c>
    </row>
    <row r="361" spans="1:16" ht="14.25" customHeight="1" x14ac:dyDescent="0.15">
      <c r="A361" s="21"/>
      <c r="B361" s="21"/>
      <c r="C361" s="44" t="s">
        <v>245</v>
      </c>
      <c r="D361" s="21"/>
      <c r="E361" s="21"/>
      <c r="F361" s="23" t="str">
        <f>F291</f>
        <v>1900</v>
      </c>
      <c r="G361" s="23" t="str">
        <f>G354</f>
        <v>1800</v>
      </c>
      <c r="H361" s="21">
        <v>380</v>
      </c>
      <c r="I361" s="23" t="str">
        <f t="shared" ref="I361:J361" si="238">I354</f>
        <v>1500</v>
      </c>
      <c r="J361" s="21">
        <f t="shared" si="238"/>
        <v>1000</v>
      </c>
      <c r="K361" s="21">
        <v>585</v>
      </c>
      <c r="L361" s="23" t="str">
        <f>L354</f>
        <v>1500</v>
      </c>
      <c r="M361" s="21"/>
      <c r="N361" s="21"/>
      <c r="O361" s="21">
        <f>O354</f>
        <v>2</v>
      </c>
      <c r="P361" s="21"/>
    </row>
    <row r="362" spans="1:16" ht="14.25" customHeight="1" x14ac:dyDescent="0.15">
      <c r="A362" s="19">
        <v>1</v>
      </c>
      <c r="B362" s="19">
        <v>1.8</v>
      </c>
      <c r="C362" s="19">
        <f>0.75+0.3</f>
        <v>1.05</v>
      </c>
      <c r="D362" s="19">
        <f>B362*C362</f>
        <v>1.8900000000000001</v>
      </c>
      <c r="E362" s="19"/>
      <c r="F362" s="19"/>
      <c r="G362" s="19"/>
      <c r="H362" s="19"/>
      <c r="I362" s="19">
        <v>1</v>
      </c>
      <c r="J362" s="19">
        <f>A362</f>
        <v>1</v>
      </c>
      <c r="K362" s="19">
        <f t="shared" ref="K362:L362" si="239">K355</f>
        <v>0</v>
      </c>
      <c r="L362" s="19">
        <f t="shared" si="239"/>
        <v>1</v>
      </c>
      <c r="M362" s="19"/>
      <c r="N362" s="19"/>
      <c r="O362" s="19"/>
      <c r="P362" s="19"/>
    </row>
    <row r="363" spans="1:16" ht="14.25" customHeight="1" x14ac:dyDescent="0.15">
      <c r="A363" s="19"/>
      <c r="B363" s="19"/>
      <c r="C363" s="19"/>
      <c r="D363" s="26" t="str">
        <f>D314</f>
        <v>7500</v>
      </c>
      <c r="E363" s="19"/>
      <c r="F363" s="19">
        <v>2</v>
      </c>
      <c r="G363" s="19">
        <v>0</v>
      </c>
      <c r="H363" s="19">
        <f>B362*2</f>
        <v>3.6</v>
      </c>
      <c r="I363" s="19"/>
      <c r="J363" s="19"/>
      <c r="K363" s="19"/>
      <c r="L363" s="19"/>
      <c r="M363" s="19"/>
      <c r="N363" s="19"/>
      <c r="O363" s="19"/>
      <c r="P363" s="19"/>
    </row>
    <row r="364" spans="1:16" ht="14.25" customHeight="1" x14ac:dyDescent="0.15">
      <c r="A364" s="19"/>
      <c r="B364" s="19"/>
      <c r="C364" s="19"/>
      <c r="D364" s="19">
        <f>D362*D363</f>
        <v>14175.000000000002</v>
      </c>
      <c r="E364" s="19"/>
      <c r="F364" s="19">
        <f t="shared" ref="F364:H364" si="240">F361*F363</f>
        <v>3800</v>
      </c>
      <c r="G364" s="19">
        <f t="shared" si="240"/>
        <v>0</v>
      </c>
      <c r="H364" s="19">
        <f t="shared" si="240"/>
        <v>1368</v>
      </c>
      <c r="I364" s="19">
        <f t="shared" ref="I364:L364" si="241">I361*I362</f>
        <v>1500</v>
      </c>
      <c r="J364" s="19">
        <f t="shared" si="241"/>
        <v>1000</v>
      </c>
      <c r="K364" s="19">
        <f t="shared" si="241"/>
        <v>0</v>
      </c>
      <c r="L364" s="19">
        <f t="shared" si="241"/>
        <v>1500</v>
      </c>
      <c r="M364" s="19">
        <f>SUM(D364:L364)</f>
        <v>23343</v>
      </c>
      <c r="N364" s="19">
        <f>M364/A362</f>
        <v>23343</v>
      </c>
      <c r="O364" s="19">
        <f>N364*O361</f>
        <v>46686</v>
      </c>
      <c r="P364" s="19">
        <f>MROUND(O364,100)</f>
        <v>46700</v>
      </c>
    </row>
    <row r="365" spans="1:16" ht="14.25" customHeight="1" x14ac:dyDescent="0.15">
      <c r="A365" s="111"/>
      <c r="B365" s="87"/>
      <c r="C365" s="87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</row>
    <row r="366" spans="1:16" ht="14.25" customHeight="1" x14ac:dyDescent="0.15">
      <c r="A366" s="109" t="str">
        <f>PRICELIST!I596</f>
        <v>CBFLX-TB-LVM-1800x750+X</v>
      </c>
      <c r="B366" s="87"/>
      <c r="C366" s="87"/>
      <c r="D366" s="21"/>
      <c r="E366" s="19"/>
      <c r="F366" s="19"/>
      <c r="G366" s="19"/>
      <c r="H366" s="21"/>
      <c r="I366" s="21"/>
      <c r="J366" s="21"/>
      <c r="K366" s="21"/>
      <c r="L366" s="21"/>
      <c r="M366" s="21"/>
      <c r="N366" s="21"/>
      <c r="O366" s="21"/>
      <c r="P366" s="21"/>
    </row>
    <row r="367" spans="1:16" ht="14.25" customHeight="1" x14ac:dyDescent="0.15">
      <c r="A367" s="19" t="s">
        <v>57</v>
      </c>
      <c r="B367" s="19" t="s">
        <v>59</v>
      </c>
      <c r="C367" s="19" t="s">
        <v>62</v>
      </c>
      <c r="D367" s="19" t="s">
        <v>64</v>
      </c>
      <c r="E367" s="19"/>
      <c r="F367" s="19">
        <v>900</v>
      </c>
      <c r="G367" s="19">
        <v>600</v>
      </c>
      <c r="H367" s="19" t="s">
        <v>67</v>
      </c>
      <c r="I367" s="19" t="s">
        <v>244</v>
      </c>
      <c r="J367" s="19" t="s">
        <v>71</v>
      </c>
      <c r="K367" s="19" t="s">
        <v>72</v>
      </c>
      <c r="L367" s="19" t="s">
        <v>73</v>
      </c>
      <c r="M367" s="19" t="s">
        <v>76</v>
      </c>
      <c r="N367" s="19" t="s">
        <v>78</v>
      </c>
      <c r="O367" s="19" t="s">
        <v>79</v>
      </c>
      <c r="P367" s="19" t="s">
        <v>81</v>
      </c>
    </row>
    <row r="368" spans="1:16" ht="14.25" customHeight="1" x14ac:dyDescent="0.15">
      <c r="A368" s="21"/>
      <c r="B368" s="21"/>
      <c r="C368" s="44" t="s">
        <v>245</v>
      </c>
      <c r="D368" s="21"/>
      <c r="E368" s="21"/>
      <c r="F368" s="23" t="str">
        <f t="shared" ref="F368:G368" si="242">F361</f>
        <v>1900</v>
      </c>
      <c r="G368" s="23" t="str">
        <f t="shared" si="242"/>
        <v>1800</v>
      </c>
      <c r="H368" s="21">
        <v>380</v>
      </c>
      <c r="I368" s="23" t="str">
        <f t="shared" ref="I368:J368" si="243">I361</f>
        <v>1500</v>
      </c>
      <c r="J368" s="21">
        <f t="shared" si="243"/>
        <v>1000</v>
      </c>
      <c r="K368" s="21">
        <v>585</v>
      </c>
      <c r="L368" s="23" t="str">
        <f>L361</f>
        <v>1500</v>
      </c>
      <c r="M368" s="21"/>
      <c r="N368" s="21"/>
      <c r="O368" s="21">
        <f>O361</f>
        <v>2</v>
      </c>
      <c r="P368" s="21"/>
    </row>
    <row r="369" spans="1:16" ht="14.25" customHeight="1" x14ac:dyDescent="0.15">
      <c r="A369" s="19">
        <v>1</v>
      </c>
      <c r="B369" s="19">
        <v>1.8</v>
      </c>
      <c r="C369" s="19">
        <f>0.75+0.3</f>
        <v>1.05</v>
      </c>
      <c r="D369" s="19">
        <f>B369*C369</f>
        <v>1.8900000000000001</v>
      </c>
      <c r="E369" s="19"/>
      <c r="F369" s="19"/>
      <c r="G369" s="19"/>
      <c r="H369" s="19"/>
      <c r="I369" s="19">
        <v>1</v>
      </c>
      <c r="J369" s="19">
        <f>A369</f>
        <v>1</v>
      </c>
      <c r="K369" s="19">
        <f t="shared" ref="K369:L369" si="244">K362</f>
        <v>0</v>
      </c>
      <c r="L369" s="19">
        <f t="shared" si="244"/>
        <v>1</v>
      </c>
      <c r="M369" s="19"/>
      <c r="N369" s="19"/>
      <c r="O369" s="19"/>
      <c r="P369" s="19"/>
    </row>
    <row r="370" spans="1:16" ht="14.25" customHeight="1" x14ac:dyDescent="0.15">
      <c r="A370" s="19"/>
      <c r="B370" s="19"/>
      <c r="C370" s="19"/>
      <c r="D370" s="26" t="str">
        <f>D321</f>
        <v>9500</v>
      </c>
      <c r="E370" s="19"/>
      <c r="F370" s="19">
        <v>2</v>
      </c>
      <c r="G370" s="19">
        <v>0</v>
      </c>
      <c r="H370" s="19">
        <f>B369*2</f>
        <v>3.6</v>
      </c>
      <c r="I370" s="19"/>
      <c r="J370" s="19"/>
      <c r="K370" s="19"/>
      <c r="L370" s="19"/>
      <c r="M370" s="19"/>
      <c r="N370" s="19"/>
      <c r="O370" s="19"/>
      <c r="P370" s="19"/>
    </row>
    <row r="371" spans="1:16" ht="14.25" customHeight="1" x14ac:dyDescent="0.15">
      <c r="A371" s="19"/>
      <c r="B371" s="19"/>
      <c r="C371" s="19"/>
      <c r="D371" s="19">
        <f>D369*D370</f>
        <v>17955</v>
      </c>
      <c r="E371" s="19"/>
      <c r="F371" s="19">
        <f t="shared" ref="F371:H371" si="245">F368*F370</f>
        <v>3800</v>
      </c>
      <c r="G371" s="19">
        <f t="shared" si="245"/>
        <v>0</v>
      </c>
      <c r="H371" s="19">
        <f t="shared" si="245"/>
        <v>1368</v>
      </c>
      <c r="I371" s="19">
        <f t="shared" ref="I371:L371" si="246">I368*I369</f>
        <v>1500</v>
      </c>
      <c r="J371" s="19">
        <f t="shared" si="246"/>
        <v>1000</v>
      </c>
      <c r="K371" s="19">
        <f t="shared" si="246"/>
        <v>0</v>
      </c>
      <c r="L371" s="19">
        <f t="shared" si="246"/>
        <v>1500</v>
      </c>
      <c r="M371" s="19">
        <f>SUM(D371:L371)</f>
        <v>27123</v>
      </c>
      <c r="N371" s="19">
        <f>M371/A369</f>
        <v>27123</v>
      </c>
      <c r="O371" s="19">
        <f>N371*O368</f>
        <v>54246</v>
      </c>
      <c r="P371" s="19">
        <f>MROUND(O371,100)</f>
        <v>54200</v>
      </c>
    </row>
    <row r="372" spans="1:16" ht="14.25" customHeight="1" x14ac:dyDescent="0.15">
      <c r="A372" s="111"/>
      <c r="B372" s="87"/>
      <c r="C372" s="87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</row>
    <row r="373" spans="1:16" ht="14.25" customHeight="1" x14ac:dyDescent="0.15">
      <c r="A373" s="109" t="str">
        <f>PRICELIST!I597</f>
        <v>CBFLX-TB-LVP-1800x750+X</v>
      </c>
      <c r="B373" s="87"/>
      <c r="C373" s="87"/>
      <c r="D373" s="19"/>
      <c r="E373" s="19"/>
      <c r="F373" s="19"/>
      <c r="G373" s="30"/>
      <c r="H373" s="19"/>
      <c r="I373" s="19"/>
      <c r="J373" s="19"/>
      <c r="K373" s="19"/>
      <c r="L373" s="19"/>
      <c r="M373" s="19"/>
      <c r="N373" s="19"/>
      <c r="O373" s="19"/>
      <c r="P373" s="19"/>
    </row>
    <row r="374" spans="1:16" ht="14.25" customHeight="1" x14ac:dyDescent="0.15">
      <c r="A374" s="19" t="s">
        <v>57</v>
      </c>
      <c r="B374" s="19" t="s">
        <v>59</v>
      </c>
      <c r="C374" s="19" t="s">
        <v>62</v>
      </c>
      <c r="D374" s="19" t="s">
        <v>64</v>
      </c>
      <c r="E374" s="19"/>
      <c r="F374" s="19">
        <v>900</v>
      </c>
      <c r="G374" s="19">
        <v>600</v>
      </c>
      <c r="H374" s="19" t="s">
        <v>67</v>
      </c>
      <c r="I374" s="19" t="s">
        <v>244</v>
      </c>
      <c r="J374" s="19" t="s">
        <v>71</v>
      </c>
      <c r="K374" s="19" t="s">
        <v>72</v>
      </c>
      <c r="L374" s="19" t="s">
        <v>73</v>
      </c>
      <c r="M374" s="19" t="s">
        <v>76</v>
      </c>
      <c r="N374" s="19" t="s">
        <v>78</v>
      </c>
      <c r="O374" s="19" t="s">
        <v>79</v>
      </c>
      <c r="P374" s="19" t="s">
        <v>81</v>
      </c>
    </row>
    <row r="375" spans="1:16" ht="14.25" customHeight="1" x14ac:dyDescent="0.15">
      <c r="A375" s="21"/>
      <c r="B375" s="21"/>
      <c r="C375" s="44" t="s">
        <v>245</v>
      </c>
      <c r="D375" s="21"/>
      <c r="E375" s="21"/>
      <c r="F375" s="23" t="str">
        <f t="shared" ref="F375:G375" si="247">F368</f>
        <v>1900</v>
      </c>
      <c r="G375" s="23" t="str">
        <f t="shared" si="247"/>
        <v>1800</v>
      </c>
      <c r="H375" s="21">
        <v>380</v>
      </c>
      <c r="I375" s="23" t="str">
        <f t="shared" ref="I375:J375" si="248">I368</f>
        <v>1500</v>
      </c>
      <c r="J375" s="21">
        <f t="shared" si="248"/>
        <v>1000</v>
      </c>
      <c r="K375" s="21">
        <v>585</v>
      </c>
      <c r="L375" s="23" t="str">
        <f>L368</f>
        <v>1500</v>
      </c>
      <c r="M375" s="21"/>
      <c r="N375" s="21"/>
      <c r="O375" s="21">
        <f>O368</f>
        <v>2</v>
      </c>
      <c r="P375" s="21"/>
    </row>
    <row r="376" spans="1:16" ht="14.25" customHeight="1" x14ac:dyDescent="0.15">
      <c r="A376" s="19">
        <v>1</v>
      </c>
      <c r="B376" s="19">
        <v>1.8</v>
      </c>
      <c r="C376" s="19">
        <f>0.75+0.3</f>
        <v>1.05</v>
      </c>
      <c r="D376" s="19">
        <f>B376*C376</f>
        <v>1.8900000000000001</v>
      </c>
      <c r="E376" s="19"/>
      <c r="F376" s="19"/>
      <c r="G376" s="19"/>
      <c r="H376" s="19"/>
      <c r="I376" s="19">
        <v>1</v>
      </c>
      <c r="J376" s="19">
        <f>A376</f>
        <v>1</v>
      </c>
      <c r="K376" s="19">
        <f t="shared" ref="K376:L376" si="249">K369</f>
        <v>0</v>
      </c>
      <c r="L376" s="19">
        <f t="shared" si="249"/>
        <v>1</v>
      </c>
      <c r="M376" s="19"/>
      <c r="N376" s="19"/>
      <c r="O376" s="19"/>
      <c r="P376" s="19"/>
    </row>
    <row r="377" spans="1:16" ht="14.25" customHeight="1" x14ac:dyDescent="0.15">
      <c r="A377" s="19"/>
      <c r="B377" s="19"/>
      <c r="C377" s="19"/>
      <c r="D377" s="26" t="str">
        <f>D328</f>
        <v>10500</v>
      </c>
      <c r="E377" s="19"/>
      <c r="F377" s="19">
        <v>2</v>
      </c>
      <c r="G377" s="19">
        <v>0</v>
      </c>
      <c r="H377" s="19">
        <f>B376*2</f>
        <v>3.6</v>
      </c>
      <c r="I377" s="19"/>
      <c r="J377" s="19"/>
      <c r="K377" s="19"/>
      <c r="L377" s="19"/>
      <c r="M377" s="19"/>
      <c r="N377" s="19"/>
      <c r="O377" s="19"/>
      <c r="P377" s="19"/>
    </row>
    <row r="378" spans="1:16" ht="14.25" customHeight="1" x14ac:dyDescent="0.15">
      <c r="A378" s="19"/>
      <c r="B378" s="19"/>
      <c r="C378" s="19"/>
      <c r="D378" s="19">
        <f>D376*D377</f>
        <v>19845</v>
      </c>
      <c r="E378" s="19"/>
      <c r="F378" s="19">
        <f t="shared" ref="F378:H378" si="250">F375*F377</f>
        <v>3800</v>
      </c>
      <c r="G378" s="19">
        <f t="shared" si="250"/>
        <v>0</v>
      </c>
      <c r="H378" s="19">
        <f t="shared" si="250"/>
        <v>1368</v>
      </c>
      <c r="I378" s="19">
        <f t="shared" ref="I378:L378" si="251">I375*I376</f>
        <v>1500</v>
      </c>
      <c r="J378" s="19">
        <f t="shared" si="251"/>
        <v>1000</v>
      </c>
      <c r="K378" s="19">
        <f t="shared" si="251"/>
        <v>0</v>
      </c>
      <c r="L378" s="19">
        <f t="shared" si="251"/>
        <v>1500</v>
      </c>
      <c r="M378" s="19">
        <f>SUM(D378:L378)</f>
        <v>29013</v>
      </c>
      <c r="N378" s="19">
        <f>M378/A376</f>
        <v>29013</v>
      </c>
      <c r="O378" s="19">
        <f>N378*O375</f>
        <v>58026</v>
      </c>
      <c r="P378" s="19">
        <f>MROUND(O378,100)</f>
        <v>58000</v>
      </c>
    </row>
    <row r="379" spans="1:16" ht="14.25" customHeight="1" x14ac:dyDescent="0.15">
      <c r="A379" s="111"/>
      <c r="B379" s="87"/>
      <c r="C379" s="87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</row>
    <row r="380" spans="1:16" ht="14.25" customHeight="1" x14ac:dyDescent="0.15">
      <c r="A380" s="109" t="str">
        <f>PRICELIST!I598</f>
        <v>CBFLX-TB-VNR-1800x750+X</v>
      </c>
      <c r="B380" s="87"/>
      <c r="C380" s="87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</row>
    <row r="381" spans="1:16" ht="14.25" customHeight="1" x14ac:dyDescent="0.15">
      <c r="A381" s="19" t="s">
        <v>57</v>
      </c>
      <c r="B381" s="19" t="s">
        <v>59</v>
      </c>
      <c r="C381" s="19" t="s">
        <v>62</v>
      </c>
      <c r="D381" s="19" t="s">
        <v>64</v>
      </c>
      <c r="E381" s="19"/>
      <c r="F381" s="19">
        <v>900</v>
      </c>
      <c r="G381" s="19">
        <v>600</v>
      </c>
      <c r="H381" s="19" t="s">
        <v>67</v>
      </c>
      <c r="I381" s="19" t="s">
        <v>244</v>
      </c>
      <c r="J381" s="19" t="s">
        <v>71</v>
      </c>
      <c r="K381" s="19" t="s">
        <v>72</v>
      </c>
      <c r="L381" s="19" t="s">
        <v>73</v>
      </c>
      <c r="M381" s="19" t="s">
        <v>76</v>
      </c>
      <c r="N381" s="19" t="s">
        <v>78</v>
      </c>
      <c r="O381" s="19" t="s">
        <v>79</v>
      </c>
      <c r="P381" s="19" t="s">
        <v>81</v>
      </c>
    </row>
    <row r="382" spans="1:16" ht="14.25" customHeight="1" x14ac:dyDescent="0.15">
      <c r="A382" s="21"/>
      <c r="B382" s="21"/>
      <c r="C382" s="44" t="s">
        <v>245</v>
      </c>
      <c r="D382" s="21"/>
      <c r="E382" s="21"/>
      <c r="F382" s="23" t="str">
        <f t="shared" ref="F382:G382" si="252">F375</f>
        <v>1900</v>
      </c>
      <c r="G382" s="23" t="str">
        <f t="shared" si="252"/>
        <v>1800</v>
      </c>
      <c r="H382" s="21">
        <v>380</v>
      </c>
      <c r="I382" s="23" t="str">
        <f t="shared" ref="I382:J382" si="253">I375</f>
        <v>1500</v>
      </c>
      <c r="J382" s="21">
        <f t="shared" si="253"/>
        <v>1000</v>
      </c>
      <c r="K382" s="21">
        <v>585</v>
      </c>
      <c r="L382" s="23" t="str">
        <f>L375</f>
        <v>1500</v>
      </c>
      <c r="M382" s="21"/>
      <c r="N382" s="21"/>
      <c r="O382" s="21">
        <f>O375</f>
        <v>2</v>
      </c>
      <c r="P382" s="21"/>
    </row>
    <row r="383" spans="1:16" ht="14.25" customHeight="1" x14ac:dyDescent="0.15">
      <c r="A383" s="19">
        <v>1</v>
      </c>
      <c r="B383" s="19">
        <v>1.8</v>
      </c>
      <c r="C383" s="19">
        <f>0.75+0.3</f>
        <v>1.05</v>
      </c>
      <c r="D383" s="19">
        <f>B383*C383</f>
        <v>1.8900000000000001</v>
      </c>
      <c r="E383" s="19"/>
      <c r="F383" s="19"/>
      <c r="G383" s="19"/>
      <c r="H383" s="19"/>
      <c r="I383" s="19">
        <v>1</v>
      </c>
      <c r="J383" s="19">
        <f>A383</f>
        <v>1</v>
      </c>
      <c r="K383" s="19">
        <f t="shared" ref="K383:L383" si="254">K376</f>
        <v>0</v>
      </c>
      <c r="L383" s="19">
        <f t="shared" si="254"/>
        <v>1</v>
      </c>
      <c r="M383" s="19"/>
      <c r="N383" s="19"/>
      <c r="O383" s="19"/>
      <c r="P383" s="19"/>
    </row>
    <row r="384" spans="1:16" ht="14.25" customHeight="1" x14ac:dyDescent="0.15">
      <c r="A384" s="19"/>
      <c r="B384" s="19"/>
      <c r="C384" s="19"/>
      <c r="D384" s="26" t="str">
        <f>D335</f>
        <v>30000</v>
      </c>
      <c r="E384" s="19"/>
      <c r="F384" s="19">
        <v>2</v>
      </c>
      <c r="G384" s="19">
        <v>0</v>
      </c>
      <c r="H384" s="19">
        <f>B383*2</f>
        <v>3.6</v>
      </c>
      <c r="I384" s="19"/>
      <c r="J384" s="19"/>
      <c r="K384" s="19"/>
      <c r="L384" s="19"/>
      <c r="M384" s="19"/>
      <c r="N384" s="19"/>
      <c r="O384" s="19"/>
      <c r="P384" s="19"/>
    </row>
    <row r="385" spans="1:16" ht="14.25" customHeight="1" x14ac:dyDescent="0.15">
      <c r="A385" s="19"/>
      <c r="B385" s="19"/>
      <c r="C385" s="19"/>
      <c r="D385" s="19">
        <f>D383*D384</f>
        <v>56700.000000000007</v>
      </c>
      <c r="E385" s="19"/>
      <c r="F385" s="19">
        <f t="shared" ref="F385:H385" si="255">F382*F384</f>
        <v>3800</v>
      </c>
      <c r="G385" s="19">
        <f t="shared" si="255"/>
        <v>0</v>
      </c>
      <c r="H385" s="19">
        <f t="shared" si="255"/>
        <v>1368</v>
      </c>
      <c r="I385" s="19">
        <f t="shared" ref="I385:L385" si="256">I382*I383</f>
        <v>1500</v>
      </c>
      <c r="J385" s="19">
        <f t="shared" si="256"/>
        <v>1000</v>
      </c>
      <c r="K385" s="19">
        <f t="shared" si="256"/>
        <v>0</v>
      </c>
      <c r="L385" s="19">
        <f t="shared" si="256"/>
        <v>1500</v>
      </c>
      <c r="M385" s="19">
        <f>SUM(D385:L385)</f>
        <v>65868</v>
      </c>
      <c r="N385" s="19">
        <f>M385/A383</f>
        <v>65868</v>
      </c>
      <c r="O385" s="19">
        <f>N385*O382</f>
        <v>131736</v>
      </c>
      <c r="P385" s="19">
        <f>MROUND(O385,100)</f>
        <v>131700</v>
      </c>
    </row>
    <row r="386" spans="1:16" ht="14.25" customHeight="1" x14ac:dyDescent="0.15">
      <c r="A386" s="111"/>
      <c r="B386" s="87"/>
      <c r="C386" s="87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</row>
    <row r="387" spans="1:16" ht="14.25" customHeight="1" x14ac:dyDescent="0.15">
      <c r="A387" s="109" t="str">
        <f>PRICELIST!I599</f>
        <v>CBFLX-TB-GL-1800x750+X</v>
      </c>
      <c r="B387" s="87"/>
      <c r="C387" s="87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</row>
    <row r="388" spans="1:16" ht="14.25" customHeight="1" x14ac:dyDescent="0.15">
      <c r="A388" s="19" t="s">
        <v>57</v>
      </c>
      <c r="B388" s="19" t="s">
        <v>59</v>
      </c>
      <c r="C388" s="19" t="s">
        <v>62</v>
      </c>
      <c r="D388" s="19" t="s">
        <v>64</v>
      </c>
      <c r="E388" s="19"/>
      <c r="F388" s="19">
        <v>900</v>
      </c>
      <c r="G388" s="19">
        <v>600</v>
      </c>
      <c r="H388" s="19" t="s">
        <v>67</v>
      </c>
      <c r="I388" s="19" t="s">
        <v>244</v>
      </c>
      <c r="J388" s="19" t="s">
        <v>71</v>
      </c>
      <c r="K388" s="19" t="s">
        <v>72</v>
      </c>
      <c r="L388" s="19" t="s">
        <v>73</v>
      </c>
      <c r="M388" s="19" t="s">
        <v>76</v>
      </c>
      <c r="N388" s="19" t="s">
        <v>78</v>
      </c>
      <c r="O388" s="19" t="s">
        <v>79</v>
      </c>
      <c r="P388" s="19" t="s">
        <v>81</v>
      </c>
    </row>
    <row r="389" spans="1:16" ht="14.25" customHeight="1" x14ac:dyDescent="0.15">
      <c r="A389" s="21"/>
      <c r="B389" s="21"/>
      <c r="C389" s="44" t="s">
        <v>245</v>
      </c>
      <c r="D389" s="21"/>
      <c r="E389" s="21"/>
      <c r="F389" s="23" t="str">
        <f t="shared" ref="F389:G389" si="257">F382</f>
        <v>1900</v>
      </c>
      <c r="G389" s="23" t="str">
        <f t="shared" si="257"/>
        <v>1800</v>
      </c>
      <c r="H389" s="21">
        <v>380</v>
      </c>
      <c r="I389" s="23" t="str">
        <f t="shared" ref="I389:J389" si="258">I382</f>
        <v>1500</v>
      </c>
      <c r="J389" s="21">
        <f t="shared" si="258"/>
        <v>1000</v>
      </c>
      <c r="K389" s="21">
        <v>585</v>
      </c>
      <c r="L389" s="23" t="str">
        <f>L382</f>
        <v>1500</v>
      </c>
      <c r="M389" s="21"/>
      <c r="N389" s="21"/>
      <c r="O389" s="21">
        <f>O382</f>
        <v>2</v>
      </c>
      <c r="P389" s="21"/>
    </row>
    <row r="390" spans="1:16" ht="14.25" customHeight="1" x14ac:dyDescent="0.15">
      <c r="A390" s="19">
        <v>1</v>
      </c>
      <c r="B390" s="19">
        <v>1.8</v>
      </c>
      <c r="C390" s="19">
        <f>0.75+0.3</f>
        <v>1.05</v>
      </c>
      <c r="D390" s="19">
        <f>B390*C390</f>
        <v>1.8900000000000001</v>
      </c>
      <c r="E390" s="19"/>
      <c r="F390" s="19"/>
      <c r="G390" s="19"/>
      <c r="H390" s="19"/>
      <c r="I390" s="19">
        <v>1</v>
      </c>
      <c r="J390" s="19">
        <f>A390</f>
        <v>1</v>
      </c>
      <c r="K390" s="19">
        <f t="shared" ref="K390:L390" si="259">K383</f>
        <v>0</v>
      </c>
      <c r="L390" s="19">
        <f t="shared" si="259"/>
        <v>1</v>
      </c>
      <c r="M390" s="19"/>
      <c r="N390" s="19"/>
      <c r="O390" s="19"/>
      <c r="P390" s="19"/>
    </row>
    <row r="391" spans="1:16" ht="14.25" customHeight="1" x14ac:dyDescent="0.15">
      <c r="A391" s="19"/>
      <c r="B391" s="19"/>
      <c r="C391" s="19"/>
      <c r="D391" s="26" t="str">
        <f>D342</f>
        <v>7500</v>
      </c>
      <c r="E391" s="19"/>
      <c r="F391" s="19">
        <v>2</v>
      </c>
      <c r="G391" s="19">
        <v>0</v>
      </c>
      <c r="H391" s="19">
        <f>B390*2</f>
        <v>3.6</v>
      </c>
      <c r="I391" s="19"/>
      <c r="J391" s="19"/>
      <c r="K391" s="19"/>
      <c r="L391" s="19"/>
      <c r="M391" s="19"/>
      <c r="N391" s="19"/>
      <c r="O391" s="19"/>
      <c r="P391" s="19"/>
    </row>
    <row r="392" spans="1:16" ht="14.25" customHeight="1" x14ac:dyDescent="0.15">
      <c r="A392" s="19"/>
      <c r="B392" s="19"/>
      <c r="C392" s="19"/>
      <c r="D392" s="19">
        <f>D390*D391</f>
        <v>14175.000000000002</v>
      </c>
      <c r="E392" s="19"/>
      <c r="F392" s="19">
        <f t="shared" ref="F392:H392" si="260">F389*F391</f>
        <v>3800</v>
      </c>
      <c r="G392" s="19">
        <f t="shared" si="260"/>
        <v>0</v>
      </c>
      <c r="H392" s="19">
        <f t="shared" si="260"/>
        <v>1368</v>
      </c>
      <c r="I392" s="19">
        <f t="shared" ref="I392:L392" si="261">I389*I390</f>
        <v>1500</v>
      </c>
      <c r="J392" s="19">
        <f t="shared" si="261"/>
        <v>1000</v>
      </c>
      <c r="K392" s="19">
        <f t="shared" si="261"/>
        <v>0</v>
      </c>
      <c r="L392" s="19">
        <f t="shared" si="261"/>
        <v>1500</v>
      </c>
      <c r="M392" s="19">
        <f>SUM(D392:L392)</f>
        <v>23343</v>
      </c>
      <c r="N392" s="19">
        <f>M392/A390</f>
        <v>23343</v>
      </c>
      <c r="O392" s="19">
        <f>N392*O389</f>
        <v>46686</v>
      </c>
      <c r="P392" s="19">
        <f>MROUND(O392,100)</f>
        <v>46700</v>
      </c>
    </row>
    <row r="393" spans="1:16" ht="14.25" customHeight="1" x14ac:dyDescent="0.15">
      <c r="A393" s="111"/>
      <c r="B393" s="87"/>
      <c r="C393" s="87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</row>
    <row r="394" spans="1:16" ht="14.25" customHeight="1" x14ac:dyDescent="0.15">
      <c r="A394" s="109" t="str">
        <f>PRICELIST!I600</f>
        <v>CBFLX-TB-PB-2100x900+X</v>
      </c>
      <c r="B394" s="87"/>
      <c r="C394" s="87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</row>
    <row r="395" spans="1:16" ht="14.25" customHeight="1" x14ac:dyDescent="0.15">
      <c r="A395" s="19" t="s">
        <v>57</v>
      </c>
      <c r="B395" s="19" t="s">
        <v>59</v>
      </c>
      <c r="C395" s="19" t="s">
        <v>62</v>
      </c>
      <c r="D395" s="19" t="s">
        <v>64</v>
      </c>
      <c r="E395" s="19"/>
      <c r="F395" s="19">
        <v>900</v>
      </c>
      <c r="G395" s="19">
        <v>600</v>
      </c>
      <c r="H395" s="19" t="s">
        <v>67</v>
      </c>
      <c r="I395" s="19" t="s">
        <v>244</v>
      </c>
      <c r="J395" s="19" t="s">
        <v>71</v>
      </c>
      <c r="K395" s="19" t="s">
        <v>72</v>
      </c>
      <c r="L395" s="19" t="s">
        <v>73</v>
      </c>
      <c r="M395" s="19" t="s">
        <v>76</v>
      </c>
      <c r="N395" s="19" t="s">
        <v>78</v>
      </c>
      <c r="O395" s="19" t="s">
        <v>79</v>
      </c>
      <c r="P395" s="19" t="s">
        <v>81</v>
      </c>
    </row>
    <row r="396" spans="1:16" ht="14.25" customHeight="1" x14ac:dyDescent="0.15">
      <c r="A396" s="21"/>
      <c r="B396" s="21"/>
      <c r="C396" s="44" t="s">
        <v>245</v>
      </c>
      <c r="D396" s="21"/>
      <c r="E396" s="21"/>
      <c r="F396" s="23" t="str">
        <f t="shared" ref="F396:G396" si="262">F389</f>
        <v>1900</v>
      </c>
      <c r="G396" s="23" t="str">
        <f t="shared" si="262"/>
        <v>1800</v>
      </c>
      <c r="H396" s="21">
        <v>380</v>
      </c>
      <c r="I396" s="23" t="str">
        <f t="shared" ref="I396:J396" si="263">I389</f>
        <v>1500</v>
      </c>
      <c r="J396" s="21">
        <f t="shared" si="263"/>
        <v>1000</v>
      </c>
      <c r="K396" s="21">
        <v>585</v>
      </c>
      <c r="L396" s="23" t="str">
        <f>L389</f>
        <v>1500</v>
      </c>
      <c r="M396" s="21"/>
      <c r="N396" s="21"/>
      <c r="O396" s="21">
        <f>O389</f>
        <v>2</v>
      </c>
      <c r="P396" s="21"/>
    </row>
    <row r="397" spans="1:16" ht="14.25" customHeight="1" x14ac:dyDescent="0.15">
      <c r="A397" s="19">
        <v>1</v>
      </c>
      <c r="B397" s="19">
        <v>2.1</v>
      </c>
      <c r="C397" s="19">
        <v>1.2</v>
      </c>
      <c r="D397" s="19">
        <f>B397*C397</f>
        <v>2.52</v>
      </c>
      <c r="E397" s="19"/>
      <c r="F397" s="19"/>
      <c r="G397" s="19"/>
      <c r="H397" s="19"/>
      <c r="I397" s="19">
        <v>1</v>
      </c>
      <c r="J397" s="19">
        <f>A397</f>
        <v>1</v>
      </c>
      <c r="K397" s="19">
        <f t="shared" ref="K397:L397" si="264">K390</f>
        <v>0</v>
      </c>
      <c r="L397" s="19">
        <f t="shared" si="264"/>
        <v>1</v>
      </c>
      <c r="M397" s="19"/>
      <c r="N397" s="19"/>
      <c r="O397" s="19"/>
      <c r="P397" s="19"/>
    </row>
    <row r="398" spans="1:16" ht="14.25" customHeight="1" x14ac:dyDescent="0.15">
      <c r="A398" s="19"/>
      <c r="B398" s="19"/>
      <c r="C398" s="19"/>
      <c r="D398" s="26" t="str">
        <f>D349</f>
        <v>2200</v>
      </c>
      <c r="E398" s="19"/>
      <c r="F398" s="19">
        <v>2</v>
      </c>
      <c r="G398" s="19">
        <v>0</v>
      </c>
      <c r="H398" s="19">
        <f>B397*2</f>
        <v>4.2</v>
      </c>
      <c r="I398" s="19"/>
      <c r="J398" s="19"/>
      <c r="K398" s="19"/>
      <c r="L398" s="19"/>
      <c r="M398" s="19"/>
      <c r="N398" s="19"/>
      <c r="O398" s="19"/>
      <c r="P398" s="19"/>
    </row>
    <row r="399" spans="1:16" ht="14.25" customHeight="1" x14ac:dyDescent="0.15">
      <c r="A399" s="19"/>
      <c r="B399" s="19"/>
      <c r="C399" s="19"/>
      <c r="D399" s="19">
        <f>D397*D398</f>
        <v>5544</v>
      </c>
      <c r="E399" s="19"/>
      <c r="F399" s="19">
        <f t="shared" ref="F399:H399" si="265">F396*F398</f>
        <v>3800</v>
      </c>
      <c r="G399" s="19">
        <f t="shared" si="265"/>
        <v>0</v>
      </c>
      <c r="H399" s="19">
        <f t="shared" si="265"/>
        <v>1596</v>
      </c>
      <c r="I399" s="19">
        <f t="shared" ref="I399:L399" si="266">I396*I397</f>
        <v>1500</v>
      </c>
      <c r="J399" s="19">
        <f t="shared" si="266"/>
        <v>1000</v>
      </c>
      <c r="K399" s="19">
        <f t="shared" si="266"/>
        <v>0</v>
      </c>
      <c r="L399" s="19">
        <f t="shared" si="266"/>
        <v>1500</v>
      </c>
      <c r="M399" s="19">
        <f>SUM(D399:L399)</f>
        <v>14940</v>
      </c>
      <c r="N399" s="19">
        <f>M399/A397</f>
        <v>14940</v>
      </c>
      <c r="O399" s="19">
        <f>N399*O396</f>
        <v>29880</v>
      </c>
      <c r="P399" s="19">
        <f>MROUND(O399,100)</f>
        <v>29900</v>
      </c>
    </row>
    <row r="400" spans="1:16" ht="14.25" customHeight="1" x14ac:dyDescent="0.15">
      <c r="A400" s="111"/>
      <c r="B400" s="87"/>
      <c r="C400" s="87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</row>
    <row r="401" spans="1:16" ht="14.25" customHeight="1" x14ac:dyDescent="0.15">
      <c r="A401" s="109" t="str">
        <f>PRICELIST!I601</f>
        <v>CBFLX-TB-PLM-2100x900+X</v>
      </c>
      <c r="B401" s="87"/>
      <c r="C401" s="87"/>
      <c r="D401" s="30"/>
      <c r="E401" s="30"/>
      <c r="F401" s="30"/>
      <c r="G401" s="19"/>
      <c r="H401" s="19"/>
      <c r="I401" s="19"/>
      <c r="J401" s="19"/>
      <c r="K401" s="19"/>
      <c r="L401" s="19"/>
      <c r="M401" s="19"/>
      <c r="N401" s="19"/>
      <c r="O401" s="19"/>
      <c r="P401" s="19"/>
    </row>
    <row r="402" spans="1:16" ht="14.25" customHeight="1" x14ac:dyDescent="0.15">
      <c r="A402" s="19" t="s">
        <v>57</v>
      </c>
      <c r="B402" s="19" t="s">
        <v>59</v>
      </c>
      <c r="C402" s="19" t="s">
        <v>62</v>
      </c>
      <c r="D402" s="19" t="s">
        <v>64</v>
      </c>
      <c r="E402" s="19"/>
      <c r="F402" s="19">
        <v>900</v>
      </c>
      <c r="G402" s="19">
        <v>600</v>
      </c>
      <c r="H402" s="19" t="s">
        <v>67</v>
      </c>
      <c r="I402" s="19" t="s">
        <v>244</v>
      </c>
      <c r="J402" s="19" t="s">
        <v>71</v>
      </c>
      <c r="K402" s="19" t="s">
        <v>72</v>
      </c>
      <c r="L402" s="19" t="s">
        <v>73</v>
      </c>
      <c r="M402" s="19" t="s">
        <v>76</v>
      </c>
      <c r="N402" s="19" t="s">
        <v>78</v>
      </c>
      <c r="O402" s="19" t="s">
        <v>79</v>
      </c>
      <c r="P402" s="19" t="s">
        <v>81</v>
      </c>
    </row>
    <row r="403" spans="1:16" ht="14.25" customHeight="1" x14ac:dyDescent="0.15">
      <c r="A403" s="21"/>
      <c r="B403" s="21"/>
      <c r="C403" s="44" t="s">
        <v>245</v>
      </c>
      <c r="D403" s="21"/>
      <c r="E403" s="21"/>
      <c r="F403" s="23" t="str">
        <f t="shared" ref="F403:G403" si="267">F396</f>
        <v>1900</v>
      </c>
      <c r="G403" s="23" t="str">
        <f t="shared" si="267"/>
        <v>1800</v>
      </c>
      <c r="H403" s="21">
        <v>380</v>
      </c>
      <c r="I403" s="23" t="str">
        <f t="shared" ref="I403:J403" si="268">I396</f>
        <v>1500</v>
      </c>
      <c r="J403" s="21">
        <f t="shared" si="268"/>
        <v>1000</v>
      </c>
      <c r="K403" s="21">
        <v>585</v>
      </c>
      <c r="L403" s="23" t="str">
        <f>L396</f>
        <v>1500</v>
      </c>
      <c r="M403" s="21"/>
      <c r="N403" s="21"/>
      <c r="O403" s="21">
        <f>O396</f>
        <v>2</v>
      </c>
      <c r="P403" s="21"/>
    </row>
    <row r="404" spans="1:16" ht="14.25" customHeight="1" x14ac:dyDescent="0.15">
      <c r="A404" s="19">
        <v>1</v>
      </c>
      <c r="B404" s="19">
        <v>2.1</v>
      </c>
      <c r="C404" s="19">
        <v>1.2</v>
      </c>
      <c r="D404" s="19">
        <f>B404*C404</f>
        <v>2.52</v>
      </c>
      <c r="E404" s="19"/>
      <c r="F404" s="19"/>
      <c r="G404" s="19"/>
      <c r="H404" s="19"/>
      <c r="I404" s="19">
        <v>1</v>
      </c>
      <c r="J404" s="19">
        <f>A404</f>
        <v>1</v>
      </c>
      <c r="K404" s="19">
        <f t="shared" ref="K404:L404" si="269">K397</f>
        <v>0</v>
      </c>
      <c r="L404" s="19">
        <f t="shared" si="269"/>
        <v>1</v>
      </c>
      <c r="M404" s="19"/>
      <c r="N404" s="19"/>
      <c r="O404" s="19"/>
      <c r="P404" s="19"/>
    </row>
    <row r="405" spans="1:16" ht="14.25" customHeight="1" x14ac:dyDescent="0.15">
      <c r="A405" s="19"/>
      <c r="B405" s="19"/>
      <c r="C405" s="19"/>
      <c r="D405" s="26" t="str">
        <f>D356</f>
        <v>3000</v>
      </c>
      <c r="E405" s="19"/>
      <c r="F405" s="19">
        <v>2</v>
      </c>
      <c r="G405" s="19">
        <v>0</v>
      </c>
      <c r="H405" s="19">
        <f>B404*2</f>
        <v>4.2</v>
      </c>
      <c r="I405" s="19"/>
      <c r="J405" s="19"/>
      <c r="K405" s="19"/>
      <c r="L405" s="19"/>
      <c r="M405" s="19"/>
      <c r="N405" s="19"/>
      <c r="O405" s="19"/>
      <c r="P405" s="19"/>
    </row>
    <row r="406" spans="1:16" ht="14.25" customHeight="1" x14ac:dyDescent="0.15">
      <c r="A406" s="19"/>
      <c r="B406" s="19"/>
      <c r="C406" s="19"/>
      <c r="D406" s="19">
        <f>D404*D405</f>
        <v>7560</v>
      </c>
      <c r="E406" s="19"/>
      <c r="F406" s="19">
        <f t="shared" ref="F406:H406" si="270">F403*F405</f>
        <v>3800</v>
      </c>
      <c r="G406" s="19">
        <f t="shared" si="270"/>
        <v>0</v>
      </c>
      <c r="H406" s="19">
        <f t="shared" si="270"/>
        <v>1596</v>
      </c>
      <c r="I406" s="19">
        <f t="shared" ref="I406:L406" si="271">I403*I404</f>
        <v>1500</v>
      </c>
      <c r="J406" s="19">
        <f t="shared" si="271"/>
        <v>1000</v>
      </c>
      <c r="K406" s="19">
        <f t="shared" si="271"/>
        <v>0</v>
      </c>
      <c r="L406" s="19">
        <f t="shared" si="271"/>
        <v>1500</v>
      </c>
      <c r="M406" s="19">
        <f>SUM(D406:L406)</f>
        <v>16956</v>
      </c>
      <c r="N406" s="19">
        <f>M406/A404</f>
        <v>16956</v>
      </c>
      <c r="O406" s="19">
        <f>N406*O403</f>
        <v>33912</v>
      </c>
      <c r="P406" s="19">
        <f>MROUND(O406,100)</f>
        <v>33900</v>
      </c>
    </row>
    <row r="407" spans="1:16" ht="14.25" customHeight="1" x14ac:dyDescent="0.15">
      <c r="A407" s="111"/>
      <c r="B407" s="87"/>
      <c r="C407" s="87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</row>
    <row r="408" spans="1:16" ht="14.25" customHeight="1" x14ac:dyDescent="0.15">
      <c r="A408" s="109" t="str">
        <f>PRICELIST!I602</f>
        <v>CBFLX-TB-PoLM-2100x900+X</v>
      </c>
      <c r="B408" s="87"/>
      <c r="C408" s="87"/>
      <c r="D408" s="19"/>
      <c r="E408" s="19"/>
      <c r="F408" s="19"/>
      <c r="G408" s="30"/>
      <c r="H408" s="19"/>
      <c r="I408" s="19"/>
      <c r="J408" s="19"/>
      <c r="K408" s="19"/>
      <c r="L408" s="19"/>
      <c r="M408" s="19"/>
      <c r="N408" s="19"/>
      <c r="O408" s="19"/>
      <c r="P408" s="19"/>
    </row>
    <row r="409" spans="1:16" ht="14.25" customHeight="1" x14ac:dyDescent="0.15">
      <c r="A409" s="19" t="s">
        <v>57</v>
      </c>
      <c r="B409" s="19" t="s">
        <v>59</v>
      </c>
      <c r="C409" s="19" t="s">
        <v>62</v>
      </c>
      <c r="D409" s="19" t="s">
        <v>64</v>
      </c>
      <c r="E409" s="19"/>
      <c r="F409" s="19">
        <v>900</v>
      </c>
      <c r="G409" s="19">
        <v>600</v>
      </c>
      <c r="H409" s="19" t="s">
        <v>67</v>
      </c>
      <c r="I409" s="19" t="s">
        <v>244</v>
      </c>
      <c r="J409" s="19" t="s">
        <v>71</v>
      </c>
      <c r="K409" s="19" t="s">
        <v>72</v>
      </c>
      <c r="L409" s="19" t="s">
        <v>73</v>
      </c>
      <c r="M409" s="19" t="s">
        <v>76</v>
      </c>
      <c r="N409" s="19" t="s">
        <v>78</v>
      </c>
      <c r="O409" s="19" t="s">
        <v>79</v>
      </c>
      <c r="P409" s="19" t="s">
        <v>81</v>
      </c>
    </row>
    <row r="410" spans="1:16" ht="14.25" customHeight="1" x14ac:dyDescent="0.15">
      <c r="A410" s="21"/>
      <c r="B410" s="21"/>
      <c r="C410" s="44" t="s">
        <v>245</v>
      </c>
      <c r="D410" s="21"/>
      <c r="E410" s="21"/>
      <c r="F410" s="23" t="str">
        <f t="shared" ref="F410:G410" si="272">F403</f>
        <v>1900</v>
      </c>
      <c r="G410" s="23" t="str">
        <f t="shared" si="272"/>
        <v>1800</v>
      </c>
      <c r="H410" s="21">
        <v>380</v>
      </c>
      <c r="I410" s="23" t="str">
        <f t="shared" ref="I410:J410" si="273">I403</f>
        <v>1500</v>
      </c>
      <c r="J410" s="21">
        <f t="shared" si="273"/>
        <v>1000</v>
      </c>
      <c r="K410" s="21">
        <v>585</v>
      </c>
      <c r="L410" s="23" t="str">
        <f>L403</f>
        <v>1500</v>
      </c>
      <c r="M410" s="21"/>
      <c r="N410" s="21"/>
      <c r="O410" s="21">
        <f>O403</f>
        <v>2</v>
      </c>
      <c r="P410" s="21"/>
    </row>
    <row r="411" spans="1:16" ht="14.25" customHeight="1" x14ac:dyDescent="0.15">
      <c r="A411" s="19">
        <v>1</v>
      </c>
      <c r="B411" s="19">
        <v>2.1</v>
      </c>
      <c r="C411" s="19">
        <v>1.2</v>
      </c>
      <c r="D411" s="19">
        <f>B411*C411</f>
        <v>2.52</v>
      </c>
      <c r="E411" s="19"/>
      <c r="F411" s="19"/>
      <c r="G411" s="19"/>
      <c r="H411" s="19"/>
      <c r="I411" s="19">
        <v>1</v>
      </c>
      <c r="J411" s="19">
        <f>A411</f>
        <v>1</v>
      </c>
      <c r="K411" s="19">
        <f t="shared" ref="K411:L411" si="274">K404</f>
        <v>0</v>
      </c>
      <c r="L411" s="19">
        <f t="shared" si="274"/>
        <v>1</v>
      </c>
      <c r="M411" s="19"/>
      <c r="N411" s="19"/>
      <c r="O411" s="19"/>
      <c r="P411" s="19"/>
    </row>
    <row r="412" spans="1:16" ht="14.25" customHeight="1" x14ac:dyDescent="0.15">
      <c r="A412" s="19"/>
      <c r="B412" s="19"/>
      <c r="C412" s="19"/>
      <c r="D412" s="26" t="str">
        <f>D363</f>
        <v>7500</v>
      </c>
      <c r="E412" s="19"/>
      <c r="F412" s="19">
        <v>2</v>
      </c>
      <c r="G412" s="19">
        <v>0</v>
      </c>
      <c r="H412" s="19">
        <f>B411*2</f>
        <v>4.2</v>
      </c>
      <c r="I412" s="19"/>
      <c r="J412" s="19"/>
      <c r="K412" s="19"/>
      <c r="L412" s="19"/>
      <c r="M412" s="19"/>
      <c r="N412" s="19"/>
      <c r="O412" s="19"/>
      <c r="P412" s="19"/>
    </row>
    <row r="413" spans="1:16" ht="14.25" customHeight="1" x14ac:dyDescent="0.15">
      <c r="A413" s="19"/>
      <c r="B413" s="19"/>
      <c r="C413" s="19"/>
      <c r="D413" s="19">
        <f>D411*D412</f>
        <v>18900</v>
      </c>
      <c r="E413" s="19"/>
      <c r="F413" s="19">
        <f t="shared" ref="F413:H413" si="275">F410*F412</f>
        <v>3800</v>
      </c>
      <c r="G413" s="19">
        <f t="shared" si="275"/>
        <v>0</v>
      </c>
      <c r="H413" s="19">
        <f t="shared" si="275"/>
        <v>1596</v>
      </c>
      <c r="I413" s="19">
        <f t="shared" ref="I413:L413" si="276">I410*I411</f>
        <v>1500</v>
      </c>
      <c r="J413" s="19">
        <f t="shared" si="276"/>
        <v>1000</v>
      </c>
      <c r="K413" s="19">
        <f t="shared" si="276"/>
        <v>0</v>
      </c>
      <c r="L413" s="19">
        <f t="shared" si="276"/>
        <v>1500</v>
      </c>
      <c r="M413" s="19">
        <f>SUM(D413:L413)</f>
        <v>28296</v>
      </c>
      <c r="N413" s="19">
        <f>M413/A411</f>
        <v>28296</v>
      </c>
      <c r="O413" s="19">
        <f>N413*O410</f>
        <v>56592</v>
      </c>
      <c r="P413" s="19">
        <f>MROUND(O413,100)</f>
        <v>56600</v>
      </c>
    </row>
    <row r="414" spans="1:16" ht="14.25" customHeight="1" x14ac:dyDescent="0.15">
      <c r="A414" s="111"/>
      <c r="B414" s="87"/>
      <c r="C414" s="87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</row>
    <row r="415" spans="1:16" ht="14.25" customHeight="1" x14ac:dyDescent="0.15">
      <c r="A415" s="109" t="str">
        <f>PRICELIST!I603</f>
        <v>CBFLX-TB-LVM-2100x900+X</v>
      </c>
      <c r="B415" s="87"/>
      <c r="C415" s="87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</row>
    <row r="416" spans="1:16" ht="14.25" customHeight="1" x14ac:dyDescent="0.15">
      <c r="A416" s="19" t="s">
        <v>57</v>
      </c>
      <c r="B416" s="19" t="s">
        <v>59</v>
      </c>
      <c r="C416" s="19" t="s">
        <v>62</v>
      </c>
      <c r="D416" s="19" t="s">
        <v>64</v>
      </c>
      <c r="E416" s="19"/>
      <c r="F416" s="19">
        <v>900</v>
      </c>
      <c r="G416" s="19">
        <v>600</v>
      </c>
      <c r="H416" s="19" t="s">
        <v>67</v>
      </c>
      <c r="I416" s="19" t="s">
        <v>244</v>
      </c>
      <c r="J416" s="19" t="s">
        <v>71</v>
      </c>
      <c r="K416" s="19" t="s">
        <v>72</v>
      </c>
      <c r="L416" s="19" t="s">
        <v>73</v>
      </c>
      <c r="M416" s="19" t="s">
        <v>76</v>
      </c>
      <c r="N416" s="19" t="s">
        <v>78</v>
      </c>
      <c r="O416" s="19" t="s">
        <v>79</v>
      </c>
      <c r="P416" s="19" t="s">
        <v>81</v>
      </c>
    </row>
    <row r="417" spans="1:16" ht="14.25" customHeight="1" x14ac:dyDescent="0.15">
      <c r="A417" s="21"/>
      <c r="B417" s="21"/>
      <c r="C417" s="44" t="s">
        <v>245</v>
      </c>
      <c r="D417" s="21"/>
      <c r="E417" s="21"/>
      <c r="F417" s="23" t="str">
        <f t="shared" ref="F417:G417" si="277">F410</f>
        <v>1900</v>
      </c>
      <c r="G417" s="23" t="str">
        <f t="shared" si="277"/>
        <v>1800</v>
      </c>
      <c r="H417" s="21">
        <v>380</v>
      </c>
      <c r="I417" s="23" t="str">
        <f t="shared" ref="I417:J417" si="278">I410</f>
        <v>1500</v>
      </c>
      <c r="J417" s="21">
        <f t="shared" si="278"/>
        <v>1000</v>
      </c>
      <c r="K417" s="21">
        <v>585</v>
      </c>
      <c r="L417" s="23" t="str">
        <f>L410</f>
        <v>1500</v>
      </c>
      <c r="M417" s="21"/>
      <c r="N417" s="21"/>
      <c r="O417" s="21">
        <f>O410</f>
        <v>2</v>
      </c>
      <c r="P417" s="21"/>
    </row>
    <row r="418" spans="1:16" ht="14.25" customHeight="1" x14ac:dyDescent="0.15">
      <c r="A418" s="19">
        <v>1</v>
      </c>
      <c r="B418" s="19">
        <v>2.1</v>
      </c>
      <c r="C418" s="19">
        <v>1.2</v>
      </c>
      <c r="D418" s="19">
        <f>B418*C418</f>
        <v>2.52</v>
      </c>
      <c r="E418" s="19"/>
      <c r="F418" s="19"/>
      <c r="G418" s="19"/>
      <c r="H418" s="19"/>
      <c r="I418" s="19">
        <v>1</v>
      </c>
      <c r="J418" s="19">
        <f>A418</f>
        <v>1</v>
      </c>
      <c r="K418" s="19">
        <f t="shared" ref="K418:L418" si="279">K411</f>
        <v>0</v>
      </c>
      <c r="L418" s="19">
        <f t="shared" si="279"/>
        <v>1</v>
      </c>
      <c r="M418" s="19"/>
      <c r="N418" s="19"/>
      <c r="O418" s="19"/>
      <c r="P418" s="19"/>
    </row>
    <row r="419" spans="1:16" ht="14.25" customHeight="1" x14ac:dyDescent="0.15">
      <c r="A419" s="19"/>
      <c r="B419" s="19"/>
      <c r="C419" s="19"/>
      <c r="D419" s="26" t="str">
        <f>D370</f>
        <v>9500</v>
      </c>
      <c r="E419" s="19"/>
      <c r="F419" s="19">
        <v>2</v>
      </c>
      <c r="G419" s="19">
        <v>0</v>
      </c>
      <c r="H419" s="19">
        <f>B418*2</f>
        <v>4.2</v>
      </c>
      <c r="I419" s="19"/>
      <c r="J419" s="19"/>
      <c r="K419" s="19"/>
      <c r="L419" s="19"/>
      <c r="M419" s="19"/>
      <c r="N419" s="19"/>
      <c r="O419" s="19"/>
      <c r="P419" s="19"/>
    </row>
    <row r="420" spans="1:16" ht="14.25" customHeight="1" x14ac:dyDescent="0.15">
      <c r="A420" s="19"/>
      <c r="B420" s="19"/>
      <c r="C420" s="19"/>
      <c r="D420" s="19">
        <f>D418*D419</f>
        <v>23940</v>
      </c>
      <c r="E420" s="19"/>
      <c r="F420" s="19">
        <f t="shared" ref="F420:H420" si="280">F417*F419</f>
        <v>3800</v>
      </c>
      <c r="G420" s="19">
        <f t="shared" si="280"/>
        <v>0</v>
      </c>
      <c r="H420" s="19">
        <f t="shared" si="280"/>
        <v>1596</v>
      </c>
      <c r="I420" s="19">
        <f t="shared" ref="I420:L420" si="281">I417*I418</f>
        <v>1500</v>
      </c>
      <c r="J420" s="19">
        <f t="shared" si="281"/>
        <v>1000</v>
      </c>
      <c r="K420" s="19">
        <f t="shared" si="281"/>
        <v>0</v>
      </c>
      <c r="L420" s="19">
        <f t="shared" si="281"/>
        <v>1500</v>
      </c>
      <c r="M420" s="19">
        <f>SUM(D420:L420)</f>
        <v>33336</v>
      </c>
      <c r="N420" s="19">
        <f>M420/A418</f>
        <v>33336</v>
      </c>
      <c r="O420" s="19">
        <f>N420*O417</f>
        <v>66672</v>
      </c>
      <c r="P420" s="19">
        <f>MROUND(O420,100)</f>
        <v>66700</v>
      </c>
    </row>
    <row r="421" spans="1:16" ht="14.25" customHeight="1" x14ac:dyDescent="0.15">
      <c r="A421" s="111"/>
      <c r="B421" s="87"/>
      <c r="C421" s="87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</row>
    <row r="422" spans="1:16" ht="14.25" customHeight="1" x14ac:dyDescent="0.15">
      <c r="A422" s="109" t="str">
        <f>PRICELIST!I604</f>
        <v>CBFLX-TB-LVP-2100x900+X</v>
      </c>
      <c r="B422" s="87"/>
      <c r="C422" s="87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</row>
    <row r="423" spans="1:16" ht="14.25" customHeight="1" x14ac:dyDescent="0.15">
      <c r="A423" s="19" t="s">
        <v>57</v>
      </c>
      <c r="B423" s="19" t="s">
        <v>59</v>
      </c>
      <c r="C423" s="19" t="s">
        <v>62</v>
      </c>
      <c r="D423" s="19" t="s">
        <v>64</v>
      </c>
      <c r="E423" s="19"/>
      <c r="F423" s="19">
        <v>900</v>
      </c>
      <c r="G423" s="19">
        <v>600</v>
      </c>
      <c r="H423" s="19" t="s">
        <v>67</v>
      </c>
      <c r="I423" s="19" t="s">
        <v>244</v>
      </c>
      <c r="J423" s="19" t="s">
        <v>71</v>
      </c>
      <c r="K423" s="19" t="s">
        <v>72</v>
      </c>
      <c r="L423" s="19" t="s">
        <v>73</v>
      </c>
      <c r="M423" s="19" t="s">
        <v>76</v>
      </c>
      <c r="N423" s="19" t="s">
        <v>78</v>
      </c>
      <c r="O423" s="19" t="s">
        <v>79</v>
      </c>
      <c r="P423" s="19" t="s">
        <v>81</v>
      </c>
    </row>
    <row r="424" spans="1:16" ht="14.25" customHeight="1" x14ac:dyDescent="0.15">
      <c r="A424" s="21"/>
      <c r="B424" s="21"/>
      <c r="C424" s="44" t="s">
        <v>245</v>
      </c>
      <c r="D424" s="21"/>
      <c r="E424" s="21"/>
      <c r="F424" s="23" t="str">
        <f t="shared" ref="F424:G424" si="282">F417</f>
        <v>1900</v>
      </c>
      <c r="G424" s="23" t="str">
        <f t="shared" si="282"/>
        <v>1800</v>
      </c>
      <c r="H424" s="21">
        <v>380</v>
      </c>
      <c r="I424" s="23" t="str">
        <f t="shared" ref="I424:J424" si="283">I417</f>
        <v>1500</v>
      </c>
      <c r="J424" s="21">
        <f t="shared" si="283"/>
        <v>1000</v>
      </c>
      <c r="K424" s="21">
        <v>585</v>
      </c>
      <c r="L424" s="23" t="str">
        <f>L417</f>
        <v>1500</v>
      </c>
      <c r="M424" s="21"/>
      <c r="N424" s="21"/>
      <c r="O424" s="21">
        <f>O417</f>
        <v>2</v>
      </c>
      <c r="P424" s="21"/>
    </row>
    <row r="425" spans="1:16" ht="14.25" customHeight="1" x14ac:dyDescent="0.15">
      <c r="A425" s="19">
        <v>1</v>
      </c>
      <c r="B425" s="19">
        <v>2.1</v>
      </c>
      <c r="C425" s="19">
        <v>1.2</v>
      </c>
      <c r="D425" s="19">
        <f>B425*C425</f>
        <v>2.52</v>
      </c>
      <c r="E425" s="19"/>
      <c r="F425" s="19"/>
      <c r="G425" s="19"/>
      <c r="H425" s="19"/>
      <c r="I425" s="19">
        <v>1</v>
      </c>
      <c r="J425" s="19">
        <f>A425</f>
        <v>1</v>
      </c>
      <c r="K425" s="19">
        <f t="shared" ref="K425:L425" si="284">K418</f>
        <v>0</v>
      </c>
      <c r="L425" s="19">
        <f t="shared" si="284"/>
        <v>1</v>
      </c>
      <c r="M425" s="19"/>
      <c r="N425" s="19"/>
      <c r="O425" s="19"/>
      <c r="P425" s="19"/>
    </row>
    <row r="426" spans="1:16" ht="14.25" customHeight="1" x14ac:dyDescent="0.15">
      <c r="A426" s="19"/>
      <c r="B426" s="19"/>
      <c r="C426" s="19"/>
      <c r="D426" s="26" t="str">
        <f>D377</f>
        <v>10500</v>
      </c>
      <c r="E426" s="19"/>
      <c r="F426" s="19">
        <v>2</v>
      </c>
      <c r="G426" s="19">
        <v>0</v>
      </c>
      <c r="H426" s="19">
        <f>B425*2</f>
        <v>4.2</v>
      </c>
      <c r="I426" s="19"/>
      <c r="J426" s="19"/>
      <c r="K426" s="19"/>
      <c r="L426" s="19"/>
      <c r="M426" s="19"/>
      <c r="N426" s="19"/>
      <c r="O426" s="19"/>
      <c r="P426" s="19"/>
    </row>
    <row r="427" spans="1:16" ht="14.25" customHeight="1" x14ac:dyDescent="0.15">
      <c r="A427" s="19"/>
      <c r="B427" s="19"/>
      <c r="C427" s="19"/>
      <c r="D427" s="19">
        <f>D425*D426</f>
        <v>26460</v>
      </c>
      <c r="E427" s="19"/>
      <c r="F427" s="19">
        <f t="shared" ref="F427:H427" si="285">F424*F426</f>
        <v>3800</v>
      </c>
      <c r="G427" s="19">
        <f t="shared" si="285"/>
        <v>0</v>
      </c>
      <c r="H427" s="19">
        <f t="shared" si="285"/>
        <v>1596</v>
      </c>
      <c r="I427" s="19">
        <f t="shared" ref="I427:L427" si="286">I424*I425</f>
        <v>1500</v>
      </c>
      <c r="J427" s="19">
        <f t="shared" si="286"/>
        <v>1000</v>
      </c>
      <c r="K427" s="19">
        <f t="shared" si="286"/>
        <v>0</v>
      </c>
      <c r="L427" s="19">
        <f t="shared" si="286"/>
        <v>1500</v>
      </c>
      <c r="M427" s="19">
        <f>SUM(D427:L427)</f>
        <v>35856</v>
      </c>
      <c r="N427" s="19">
        <f>M427/A425</f>
        <v>35856</v>
      </c>
      <c r="O427" s="19">
        <f>N427*O424</f>
        <v>71712</v>
      </c>
      <c r="P427" s="19">
        <f>MROUND(O427,100)</f>
        <v>71700</v>
      </c>
    </row>
    <row r="428" spans="1:16" ht="14.25" customHeight="1" x14ac:dyDescent="0.15">
      <c r="A428" s="111"/>
      <c r="B428" s="87"/>
      <c r="C428" s="87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</row>
    <row r="429" spans="1:16" ht="14.25" customHeight="1" x14ac:dyDescent="0.15">
      <c r="A429" s="109" t="str">
        <f>PRICELIST!I605</f>
        <v>CBFLX-TB-VNR-2100x900+X</v>
      </c>
      <c r="B429" s="87"/>
      <c r="C429" s="87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</row>
    <row r="430" spans="1:16" ht="14.25" customHeight="1" x14ac:dyDescent="0.15">
      <c r="A430" s="19" t="s">
        <v>57</v>
      </c>
      <c r="B430" s="19" t="s">
        <v>59</v>
      </c>
      <c r="C430" s="19" t="s">
        <v>62</v>
      </c>
      <c r="D430" s="19" t="s">
        <v>64</v>
      </c>
      <c r="E430" s="19"/>
      <c r="F430" s="19">
        <v>900</v>
      </c>
      <c r="G430" s="19">
        <v>600</v>
      </c>
      <c r="H430" s="19" t="s">
        <v>67</v>
      </c>
      <c r="I430" s="19" t="s">
        <v>244</v>
      </c>
      <c r="J430" s="19" t="s">
        <v>71</v>
      </c>
      <c r="K430" s="19" t="s">
        <v>72</v>
      </c>
      <c r="L430" s="19" t="s">
        <v>73</v>
      </c>
      <c r="M430" s="19" t="s">
        <v>76</v>
      </c>
      <c r="N430" s="19" t="s">
        <v>78</v>
      </c>
      <c r="O430" s="19" t="s">
        <v>79</v>
      </c>
      <c r="P430" s="19" t="s">
        <v>81</v>
      </c>
    </row>
    <row r="431" spans="1:16" ht="14.25" customHeight="1" x14ac:dyDescent="0.15">
      <c r="A431" s="21"/>
      <c r="B431" s="21"/>
      <c r="C431" s="44" t="s">
        <v>245</v>
      </c>
      <c r="D431" s="21"/>
      <c r="E431" s="21"/>
      <c r="F431" s="23" t="str">
        <f t="shared" ref="F431:G431" si="287">F424</f>
        <v>1900</v>
      </c>
      <c r="G431" s="23" t="str">
        <f t="shared" si="287"/>
        <v>1800</v>
      </c>
      <c r="H431" s="21">
        <v>380</v>
      </c>
      <c r="I431" s="23" t="str">
        <f t="shared" ref="I431:J431" si="288">I424</f>
        <v>1500</v>
      </c>
      <c r="J431" s="21">
        <f t="shared" si="288"/>
        <v>1000</v>
      </c>
      <c r="K431" s="21">
        <v>585</v>
      </c>
      <c r="L431" s="23" t="str">
        <f>L424</f>
        <v>1500</v>
      </c>
      <c r="M431" s="21"/>
      <c r="N431" s="21"/>
      <c r="O431" s="21">
        <f>O424</f>
        <v>2</v>
      </c>
      <c r="P431" s="21"/>
    </row>
    <row r="432" spans="1:16" ht="14.25" customHeight="1" x14ac:dyDescent="0.15">
      <c r="A432" s="19">
        <v>1</v>
      </c>
      <c r="B432" s="19">
        <v>2.1</v>
      </c>
      <c r="C432" s="19">
        <v>1.2</v>
      </c>
      <c r="D432" s="19">
        <f>B432*C432</f>
        <v>2.52</v>
      </c>
      <c r="E432" s="19"/>
      <c r="F432" s="19"/>
      <c r="G432" s="19"/>
      <c r="H432" s="19"/>
      <c r="I432" s="19">
        <v>1</v>
      </c>
      <c r="J432" s="19">
        <f>A432</f>
        <v>1</v>
      </c>
      <c r="K432" s="19">
        <f t="shared" ref="K432:L432" si="289">K425</f>
        <v>0</v>
      </c>
      <c r="L432" s="19">
        <f t="shared" si="289"/>
        <v>1</v>
      </c>
      <c r="M432" s="19"/>
      <c r="N432" s="19"/>
      <c r="O432" s="19"/>
      <c r="P432" s="19"/>
    </row>
    <row r="433" spans="1:16" ht="14.25" customHeight="1" x14ac:dyDescent="0.15">
      <c r="A433" s="19"/>
      <c r="B433" s="19"/>
      <c r="C433" s="19"/>
      <c r="D433" s="26" t="str">
        <f>D384</f>
        <v>30000</v>
      </c>
      <c r="E433" s="19"/>
      <c r="F433" s="19">
        <v>2</v>
      </c>
      <c r="G433" s="19">
        <v>0</v>
      </c>
      <c r="H433" s="19">
        <f>B432*2</f>
        <v>4.2</v>
      </c>
      <c r="I433" s="19"/>
      <c r="J433" s="19"/>
      <c r="K433" s="19"/>
      <c r="L433" s="19"/>
      <c r="M433" s="19"/>
      <c r="N433" s="19"/>
      <c r="O433" s="19"/>
      <c r="P433" s="19"/>
    </row>
    <row r="434" spans="1:16" ht="14.25" customHeight="1" x14ac:dyDescent="0.15">
      <c r="A434" s="19"/>
      <c r="B434" s="19"/>
      <c r="C434" s="19"/>
      <c r="D434" s="19">
        <f>D432*D433</f>
        <v>75600</v>
      </c>
      <c r="E434" s="19"/>
      <c r="F434" s="19">
        <f t="shared" ref="F434:H434" si="290">F431*F433</f>
        <v>3800</v>
      </c>
      <c r="G434" s="19">
        <f t="shared" si="290"/>
        <v>0</v>
      </c>
      <c r="H434" s="19">
        <f t="shared" si="290"/>
        <v>1596</v>
      </c>
      <c r="I434" s="19">
        <f t="shared" ref="I434:L434" si="291">I431*I432</f>
        <v>1500</v>
      </c>
      <c r="J434" s="19">
        <f t="shared" si="291"/>
        <v>1000</v>
      </c>
      <c r="K434" s="19">
        <f t="shared" si="291"/>
        <v>0</v>
      </c>
      <c r="L434" s="19">
        <f t="shared" si="291"/>
        <v>1500</v>
      </c>
      <c r="M434" s="19">
        <f>SUM(D434:L434)</f>
        <v>84996</v>
      </c>
      <c r="N434" s="19">
        <f>M434/A432</f>
        <v>84996</v>
      </c>
      <c r="O434" s="19">
        <f>N434*O431</f>
        <v>169992</v>
      </c>
      <c r="P434" s="19">
        <f>MROUND(O434,100)</f>
        <v>170000</v>
      </c>
    </row>
    <row r="435" spans="1:16" ht="14.25" customHeight="1" x14ac:dyDescent="0.15">
      <c r="A435" s="111"/>
      <c r="B435" s="87"/>
      <c r="C435" s="87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</row>
    <row r="436" spans="1:16" ht="20" x14ac:dyDescent="0.15">
      <c r="A436" s="109" t="str">
        <f>PRICELIST!I606</f>
        <v>CBFLX-TB-GL-2100x900+X</v>
      </c>
      <c r="B436" s="87"/>
      <c r="C436" s="87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</row>
    <row r="437" spans="1:16" ht="14.25" customHeight="1" x14ac:dyDescent="0.15">
      <c r="A437" s="19" t="s">
        <v>57</v>
      </c>
      <c r="B437" s="19" t="s">
        <v>59</v>
      </c>
      <c r="C437" s="19" t="s">
        <v>62</v>
      </c>
      <c r="D437" s="19" t="s">
        <v>64</v>
      </c>
      <c r="E437" s="19"/>
      <c r="F437" s="19">
        <v>900</v>
      </c>
      <c r="G437" s="19">
        <v>600</v>
      </c>
      <c r="H437" s="19" t="s">
        <v>67</v>
      </c>
      <c r="I437" s="19" t="s">
        <v>244</v>
      </c>
      <c r="J437" s="19" t="s">
        <v>71</v>
      </c>
      <c r="K437" s="19" t="s">
        <v>72</v>
      </c>
      <c r="L437" s="19" t="s">
        <v>73</v>
      </c>
      <c r="M437" s="19" t="s">
        <v>76</v>
      </c>
      <c r="N437" s="19" t="s">
        <v>78</v>
      </c>
      <c r="O437" s="19" t="s">
        <v>79</v>
      </c>
      <c r="P437" s="19" t="s">
        <v>81</v>
      </c>
    </row>
    <row r="438" spans="1:16" ht="14.25" customHeight="1" x14ac:dyDescent="0.15">
      <c r="A438" s="21"/>
      <c r="B438" s="21"/>
      <c r="C438" s="44" t="s">
        <v>245</v>
      </c>
      <c r="D438" s="21"/>
      <c r="E438" s="21"/>
      <c r="F438" s="23" t="str">
        <f t="shared" ref="F438:G438" si="292">F431</f>
        <v>1900</v>
      </c>
      <c r="G438" s="23" t="str">
        <f t="shared" si="292"/>
        <v>1800</v>
      </c>
      <c r="H438" s="21">
        <v>380</v>
      </c>
      <c r="I438" s="23" t="str">
        <f t="shared" ref="I438:J438" si="293">I431</f>
        <v>1500</v>
      </c>
      <c r="J438" s="21">
        <f t="shared" si="293"/>
        <v>1000</v>
      </c>
      <c r="K438" s="21">
        <v>585</v>
      </c>
      <c r="L438" s="23" t="str">
        <f>L431</f>
        <v>1500</v>
      </c>
      <c r="M438" s="21"/>
      <c r="N438" s="21"/>
      <c r="O438" s="21">
        <f>O431</f>
        <v>2</v>
      </c>
      <c r="P438" s="21"/>
    </row>
    <row r="439" spans="1:16" ht="14.25" customHeight="1" x14ac:dyDescent="0.15">
      <c r="A439" s="19">
        <v>1</v>
      </c>
      <c r="B439" s="19">
        <v>2.1</v>
      </c>
      <c r="C439" s="19">
        <v>1.2</v>
      </c>
      <c r="D439" s="19">
        <f>B439*C439</f>
        <v>2.52</v>
      </c>
      <c r="E439" s="19"/>
      <c r="F439" s="19"/>
      <c r="G439" s="19"/>
      <c r="H439" s="19"/>
      <c r="I439" s="19">
        <v>1</v>
      </c>
      <c r="J439" s="19">
        <f>A439</f>
        <v>1</v>
      </c>
      <c r="K439" s="19">
        <f t="shared" ref="K439:L439" si="294">K432</f>
        <v>0</v>
      </c>
      <c r="L439" s="19">
        <f t="shared" si="294"/>
        <v>1</v>
      </c>
      <c r="M439" s="19"/>
      <c r="N439" s="19"/>
      <c r="O439" s="19"/>
      <c r="P439" s="19"/>
    </row>
    <row r="440" spans="1:16" ht="14.25" customHeight="1" x14ac:dyDescent="0.15">
      <c r="A440" s="19"/>
      <c r="B440" s="19"/>
      <c r="C440" s="19"/>
      <c r="D440" s="26" t="str">
        <f>D391</f>
        <v>7500</v>
      </c>
      <c r="E440" s="19"/>
      <c r="F440" s="19">
        <v>2</v>
      </c>
      <c r="G440" s="19">
        <v>0</v>
      </c>
      <c r="H440" s="19">
        <f>B439*2</f>
        <v>4.2</v>
      </c>
      <c r="I440" s="19"/>
      <c r="J440" s="19"/>
      <c r="K440" s="19"/>
      <c r="L440" s="19"/>
      <c r="M440" s="19"/>
      <c r="N440" s="19"/>
      <c r="O440" s="19"/>
      <c r="P440" s="19"/>
    </row>
    <row r="441" spans="1:16" ht="14.25" customHeight="1" x14ac:dyDescent="0.15">
      <c r="A441" s="19"/>
      <c r="B441" s="19"/>
      <c r="C441" s="19"/>
      <c r="D441" s="19">
        <f>D439*D440</f>
        <v>18900</v>
      </c>
      <c r="E441" s="19"/>
      <c r="F441" s="19">
        <f t="shared" ref="F441:H441" si="295">F438*F440</f>
        <v>3800</v>
      </c>
      <c r="G441" s="19">
        <f t="shared" si="295"/>
        <v>0</v>
      </c>
      <c r="H441" s="19">
        <f t="shared" si="295"/>
        <v>1596</v>
      </c>
      <c r="I441" s="19">
        <f t="shared" ref="I441:L441" si="296">I438*I439</f>
        <v>1500</v>
      </c>
      <c r="J441" s="19">
        <f t="shared" si="296"/>
        <v>1000</v>
      </c>
      <c r="K441" s="19">
        <f t="shared" si="296"/>
        <v>0</v>
      </c>
      <c r="L441" s="19">
        <f t="shared" si="296"/>
        <v>1500</v>
      </c>
      <c r="M441" s="19">
        <f>SUM(D441:L441)</f>
        <v>28296</v>
      </c>
      <c r="N441" s="19">
        <f>M441/A439</f>
        <v>28296</v>
      </c>
      <c r="O441" s="19">
        <f>N441*O438</f>
        <v>56592</v>
      </c>
      <c r="P441" s="19">
        <f>MROUND(O441,100)</f>
        <v>56600</v>
      </c>
    </row>
    <row r="442" spans="1:16" ht="33" customHeight="1" x14ac:dyDescent="0.3">
      <c r="A442" s="114" t="s">
        <v>249</v>
      </c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</row>
    <row r="443" spans="1:16" ht="14.25" customHeight="1" x14ac:dyDescent="0.15">
      <c r="A443" s="109" t="str">
        <f>PRICELIST!I607</f>
        <v>CBSTK-RST-PB-1500x600+1800</v>
      </c>
      <c r="B443" s="87"/>
      <c r="C443" s="87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</row>
    <row r="444" spans="1:16" ht="14.25" customHeight="1" x14ac:dyDescent="0.15">
      <c r="A444" s="19" t="s">
        <v>57</v>
      </c>
      <c r="B444" s="19" t="s">
        <v>59</v>
      </c>
      <c r="C444" s="19" t="s">
        <v>62</v>
      </c>
      <c r="D444" s="19" t="s">
        <v>64</v>
      </c>
      <c r="E444" s="19" t="s">
        <v>233</v>
      </c>
      <c r="F444" s="19">
        <v>900</v>
      </c>
      <c r="G444" s="19">
        <v>600</v>
      </c>
      <c r="H444" s="19" t="s">
        <v>67</v>
      </c>
      <c r="I444" s="19" t="s">
        <v>244</v>
      </c>
      <c r="J444" s="19" t="s">
        <v>71</v>
      </c>
      <c r="K444" s="19" t="s">
        <v>72</v>
      </c>
      <c r="L444" s="19" t="s">
        <v>73</v>
      </c>
      <c r="M444" s="19" t="s">
        <v>76</v>
      </c>
      <c r="N444" s="19" t="s">
        <v>78</v>
      </c>
      <c r="O444" s="19" t="s">
        <v>79</v>
      </c>
      <c r="P444" s="19" t="s">
        <v>81</v>
      </c>
    </row>
    <row r="445" spans="1:16" ht="14.25" customHeight="1" x14ac:dyDescent="0.15">
      <c r="A445" s="21"/>
      <c r="B445" s="21"/>
      <c r="C445" s="44" t="s">
        <v>245</v>
      </c>
      <c r="D445" s="21"/>
      <c r="E445" s="21">
        <v>6</v>
      </c>
      <c r="F445" s="23" t="str">
        <f>'MASTER DATA'!E7</f>
        <v>4000</v>
      </c>
      <c r="G445" s="23" t="str">
        <f>'MASTER DATA'!E6</f>
        <v>3800</v>
      </c>
      <c r="H445" s="21">
        <v>380</v>
      </c>
      <c r="I445" s="23" t="str">
        <f t="shared" ref="I445:J445" si="297">I438</f>
        <v>1500</v>
      </c>
      <c r="J445" s="21">
        <f t="shared" si="297"/>
        <v>1000</v>
      </c>
      <c r="K445" s="21">
        <v>585</v>
      </c>
      <c r="L445" s="23" t="str">
        <f>L438</f>
        <v>1500</v>
      </c>
      <c r="M445" s="21"/>
      <c r="N445" s="21"/>
      <c r="O445" s="21">
        <f>O438</f>
        <v>2</v>
      </c>
      <c r="P445" s="21"/>
    </row>
    <row r="446" spans="1:16" ht="14.25" customHeight="1" x14ac:dyDescent="0.15">
      <c r="A446" s="19">
        <v>1</v>
      </c>
      <c r="B446" s="19">
        <v>1.5</v>
      </c>
      <c r="C446" s="19">
        <v>0.9</v>
      </c>
      <c r="D446" s="19">
        <f>B446*C446</f>
        <v>1.35</v>
      </c>
      <c r="E446" s="19">
        <v>2.5</v>
      </c>
      <c r="F446" s="19"/>
      <c r="G446" s="19"/>
      <c r="H446" s="19"/>
      <c r="I446" s="19">
        <v>1</v>
      </c>
      <c r="J446" s="19">
        <f>A446</f>
        <v>1</v>
      </c>
      <c r="K446" s="19">
        <f t="shared" ref="K446:L446" si="298">K439</f>
        <v>0</v>
      </c>
      <c r="L446" s="19">
        <f t="shared" si="298"/>
        <v>1</v>
      </c>
      <c r="M446" s="19"/>
      <c r="N446" s="19"/>
      <c r="O446" s="19"/>
      <c r="P446" s="19"/>
    </row>
    <row r="447" spans="1:16" ht="14.25" customHeight="1" x14ac:dyDescent="0.15">
      <c r="A447" s="19"/>
      <c r="B447" s="19"/>
      <c r="C447" s="19"/>
      <c r="D447" s="26" t="str">
        <f>D398</f>
        <v>2200</v>
      </c>
      <c r="E447" s="26" t="str">
        <f>E265</f>
        <v>1000</v>
      </c>
      <c r="F447" s="19">
        <v>0</v>
      </c>
      <c r="G447" s="19">
        <v>1</v>
      </c>
      <c r="H447" s="19">
        <f>B446*2</f>
        <v>3</v>
      </c>
      <c r="I447" s="19"/>
      <c r="J447" s="19"/>
      <c r="K447" s="19"/>
      <c r="L447" s="19"/>
      <c r="M447" s="19"/>
      <c r="N447" s="19"/>
      <c r="O447" s="19"/>
      <c r="P447" s="19"/>
    </row>
    <row r="448" spans="1:16" ht="14.25" customHeight="1" x14ac:dyDescent="0.15">
      <c r="A448" s="19"/>
      <c r="B448" s="19"/>
      <c r="C448" s="19"/>
      <c r="D448" s="19">
        <f>D446*D447</f>
        <v>2970</v>
      </c>
      <c r="E448" s="19">
        <f>E447*E445</f>
        <v>6000</v>
      </c>
      <c r="F448" s="19">
        <f t="shared" ref="F448:H448" si="299">F445*F447</f>
        <v>0</v>
      </c>
      <c r="G448" s="19">
        <f t="shared" si="299"/>
        <v>3800</v>
      </c>
      <c r="H448" s="19">
        <f t="shared" si="299"/>
        <v>1140</v>
      </c>
      <c r="I448" s="19">
        <f t="shared" ref="I448:L448" si="300">I445*I446</f>
        <v>1500</v>
      </c>
      <c r="J448" s="19">
        <f t="shared" si="300"/>
        <v>1000</v>
      </c>
      <c r="K448" s="19">
        <f t="shared" si="300"/>
        <v>0</v>
      </c>
      <c r="L448" s="19">
        <f t="shared" si="300"/>
        <v>1500</v>
      </c>
      <c r="M448" s="19">
        <f>SUM(D448:L448)</f>
        <v>17910</v>
      </c>
      <c r="N448" s="19">
        <f>M448/A446</f>
        <v>17910</v>
      </c>
      <c r="O448" s="19">
        <f>N448*O445</f>
        <v>35820</v>
      </c>
      <c r="P448" s="19">
        <f>MROUND(O448,100)</f>
        <v>35800</v>
      </c>
    </row>
    <row r="449" spans="1:16" ht="14.25" customHeight="1" x14ac:dyDescent="0.15">
      <c r="A449" s="111"/>
      <c r="B449" s="87"/>
      <c r="C449" s="87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</row>
    <row r="450" spans="1:16" ht="14.25" customHeight="1" x14ac:dyDescent="0.15">
      <c r="A450" s="109" t="str">
        <f>PRICELIST!I608</f>
        <v>CBSTK-RST-PLM-1500x600+1800</v>
      </c>
      <c r="B450" s="87"/>
      <c r="C450" s="87"/>
      <c r="D450" s="30"/>
      <c r="E450" s="30"/>
      <c r="F450" s="30"/>
      <c r="G450" s="30"/>
      <c r="H450" s="19"/>
      <c r="I450" s="19"/>
      <c r="J450" s="19"/>
      <c r="K450" s="19"/>
      <c r="L450" s="19"/>
      <c r="M450" s="19"/>
      <c r="N450" s="19"/>
      <c r="O450" s="19"/>
      <c r="P450" s="19"/>
    </row>
    <row r="451" spans="1:16" ht="14.25" customHeight="1" x14ac:dyDescent="0.15">
      <c r="A451" s="19" t="s">
        <v>57</v>
      </c>
      <c r="B451" s="19" t="s">
        <v>59</v>
      </c>
      <c r="C451" s="19" t="s">
        <v>62</v>
      </c>
      <c r="D451" s="19" t="s">
        <v>64</v>
      </c>
      <c r="E451" s="19" t="s">
        <v>233</v>
      </c>
      <c r="F451" s="19">
        <v>900</v>
      </c>
      <c r="G451" s="19">
        <v>600</v>
      </c>
      <c r="H451" s="19" t="s">
        <v>67</v>
      </c>
      <c r="I451" s="19" t="s">
        <v>244</v>
      </c>
      <c r="J451" s="19" t="s">
        <v>71</v>
      </c>
      <c r="K451" s="19" t="s">
        <v>72</v>
      </c>
      <c r="L451" s="19" t="s">
        <v>73</v>
      </c>
      <c r="M451" s="19" t="s">
        <v>76</v>
      </c>
      <c r="N451" s="19" t="s">
        <v>78</v>
      </c>
      <c r="O451" s="19" t="s">
        <v>79</v>
      </c>
      <c r="P451" s="19" t="s">
        <v>81</v>
      </c>
    </row>
    <row r="452" spans="1:16" ht="14.25" customHeight="1" x14ac:dyDescent="0.15">
      <c r="A452" s="21"/>
      <c r="B452" s="21"/>
      <c r="C452" s="44" t="s">
        <v>245</v>
      </c>
      <c r="D452" s="21"/>
      <c r="E452" s="21">
        <v>6</v>
      </c>
      <c r="F452" s="23" t="str">
        <f t="shared" ref="F452:G452" si="301">F445</f>
        <v>4000</v>
      </c>
      <c r="G452" s="23" t="str">
        <f t="shared" si="301"/>
        <v>3800</v>
      </c>
      <c r="H452" s="21">
        <v>380</v>
      </c>
      <c r="I452" s="23" t="str">
        <f t="shared" ref="I452:J452" si="302">I445</f>
        <v>1500</v>
      </c>
      <c r="J452" s="21">
        <f t="shared" si="302"/>
        <v>1000</v>
      </c>
      <c r="K452" s="21">
        <v>585</v>
      </c>
      <c r="L452" s="23" t="str">
        <f>L445</f>
        <v>1500</v>
      </c>
      <c r="M452" s="21"/>
      <c r="N452" s="21"/>
      <c r="O452" s="21">
        <f>O445</f>
        <v>2</v>
      </c>
      <c r="P452" s="21"/>
    </row>
    <row r="453" spans="1:16" ht="14.25" customHeight="1" x14ac:dyDescent="0.15">
      <c r="A453" s="19">
        <v>1</v>
      </c>
      <c r="B453" s="19">
        <v>1.5</v>
      </c>
      <c r="C453" s="19">
        <v>0.9</v>
      </c>
      <c r="D453" s="19">
        <f>B453*C453</f>
        <v>1.35</v>
      </c>
      <c r="E453" s="19">
        <v>2.5</v>
      </c>
      <c r="F453" s="19"/>
      <c r="G453" s="19"/>
      <c r="H453" s="19"/>
      <c r="I453" s="19">
        <v>1</v>
      </c>
      <c r="J453" s="19">
        <f>A453</f>
        <v>1</v>
      </c>
      <c r="K453" s="19">
        <f t="shared" ref="K453:L453" si="303">K446</f>
        <v>0</v>
      </c>
      <c r="L453" s="19">
        <f t="shared" si="303"/>
        <v>1</v>
      </c>
      <c r="M453" s="19"/>
      <c r="N453" s="19"/>
      <c r="O453" s="19"/>
      <c r="P453" s="19"/>
    </row>
    <row r="454" spans="1:16" ht="14.25" customHeight="1" x14ac:dyDescent="0.15">
      <c r="A454" s="19"/>
      <c r="B454" s="19"/>
      <c r="C454" s="19"/>
      <c r="D454" s="26" t="str">
        <f>D405</f>
        <v>3000</v>
      </c>
      <c r="E454" s="26" t="str">
        <f>E447</f>
        <v>1000</v>
      </c>
      <c r="F454" s="19">
        <v>0</v>
      </c>
      <c r="G454" s="19">
        <v>1</v>
      </c>
      <c r="H454" s="19">
        <f>B453*2</f>
        <v>3</v>
      </c>
      <c r="I454" s="19"/>
      <c r="J454" s="19"/>
      <c r="K454" s="19"/>
      <c r="L454" s="19"/>
      <c r="M454" s="19"/>
      <c r="N454" s="19"/>
      <c r="O454" s="19"/>
      <c r="P454" s="19"/>
    </row>
    <row r="455" spans="1:16" ht="14.25" customHeight="1" x14ac:dyDescent="0.15">
      <c r="A455" s="19"/>
      <c r="B455" s="19"/>
      <c r="C455" s="19"/>
      <c r="D455" s="19">
        <f>D453*D454</f>
        <v>4050.0000000000005</v>
      </c>
      <c r="E455" s="19">
        <f>E454*E452</f>
        <v>6000</v>
      </c>
      <c r="F455" s="19">
        <f t="shared" ref="F455:H455" si="304">F452*F454</f>
        <v>0</v>
      </c>
      <c r="G455" s="19">
        <f t="shared" si="304"/>
        <v>3800</v>
      </c>
      <c r="H455" s="19">
        <f t="shared" si="304"/>
        <v>1140</v>
      </c>
      <c r="I455" s="19">
        <f t="shared" ref="I455:L455" si="305">I452*I453</f>
        <v>1500</v>
      </c>
      <c r="J455" s="19">
        <f t="shared" si="305"/>
        <v>1000</v>
      </c>
      <c r="K455" s="19">
        <f t="shared" si="305"/>
        <v>0</v>
      </c>
      <c r="L455" s="19">
        <f t="shared" si="305"/>
        <v>1500</v>
      </c>
      <c r="M455" s="19">
        <f>SUM(D455:L455)</f>
        <v>18990</v>
      </c>
      <c r="N455" s="19">
        <f>M455/A453</f>
        <v>18990</v>
      </c>
      <c r="O455" s="19">
        <f>N455*O452</f>
        <v>37980</v>
      </c>
      <c r="P455" s="19">
        <f>MROUND(O455,100)</f>
        <v>38000</v>
      </c>
    </row>
    <row r="456" spans="1:16" ht="14.25" customHeight="1" x14ac:dyDescent="0.15">
      <c r="A456" s="111"/>
      <c r="B456" s="87"/>
      <c r="C456" s="87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</row>
    <row r="457" spans="1:16" ht="14.25" customHeight="1" x14ac:dyDescent="0.15">
      <c r="A457" s="109" t="str">
        <f>PRICELIST!I609</f>
        <v>CBSTK-RST-PoLM-1500x600+1800</v>
      </c>
      <c r="B457" s="87"/>
      <c r="C457" s="87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</row>
    <row r="458" spans="1:16" ht="14.25" customHeight="1" x14ac:dyDescent="0.15">
      <c r="A458" s="19" t="s">
        <v>57</v>
      </c>
      <c r="B458" s="19" t="s">
        <v>59</v>
      </c>
      <c r="C458" s="19" t="s">
        <v>62</v>
      </c>
      <c r="D458" s="19" t="s">
        <v>64</v>
      </c>
      <c r="E458" s="19" t="s">
        <v>233</v>
      </c>
      <c r="F458" s="19">
        <v>900</v>
      </c>
      <c r="G458" s="19">
        <v>600</v>
      </c>
      <c r="H458" s="19" t="s">
        <v>67</v>
      </c>
      <c r="I458" s="19" t="s">
        <v>244</v>
      </c>
      <c r="J458" s="19" t="s">
        <v>71</v>
      </c>
      <c r="K458" s="19" t="s">
        <v>72</v>
      </c>
      <c r="L458" s="19" t="s">
        <v>73</v>
      </c>
      <c r="M458" s="19" t="s">
        <v>76</v>
      </c>
      <c r="N458" s="19" t="s">
        <v>78</v>
      </c>
      <c r="O458" s="19" t="s">
        <v>79</v>
      </c>
      <c r="P458" s="19" t="s">
        <v>81</v>
      </c>
    </row>
    <row r="459" spans="1:16" ht="14.25" customHeight="1" x14ac:dyDescent="0.15">
      <c r="A459" s="21"/>
      <c r="B459" s="21"/>
      <c r="C459" s="44" t="s">
        <v>245</v>
      </c>
      <c r="D459" s="21"/>
      <c r="E459" s="21">
        <v>6</v>
      </c>
      <c r="F459" s="23" t="str">
        <f t="shared" ref="F459:G459" si="306">F452</f>
        <v>4000</v>
      </c>
      <c r="G459" s="23" t="str">
        <f t="shared" si="306"/>
        <v>3800</v>
      </c>
      <c r="H459" s="21">
        <v>380</v>
      </c>
      <c r="I459" s="23" t="str">
        <f t="shared" ref="I459:J459" si="307">I452</f>
        <v>1500</v>
      </c>
      <c r="J459" s="21">
        <f t="shared" si="307"/>
        <v>1000</v>
      </c>
      <c r="K459" s="21">
        <v>585</v>
      </c>
      <c r="L459" s="23" t="str">
        <f>L452</f>
        <v>1500</v>
      </c>
      <c r="M459" s="21"/>
      <c r="N459" s="21"/>
      <c r="O459" s="21">
        <f>O452</f>
        <v>2</v>
      </c>
      <c r="P459" s="21"/>
    </row>
    <row r="460" spans="1:16" ht="14.25" customHeight="1" x14ac:dyDescent="0.15">
      <c r="A460" s="19">
        <v>1</v>
      </c>
      <c r="B460" s="19">
        <v>1.5</v>
      </c>
      <c r="C460" s="19">
        <v>0.9</v>
      </c>
      <c r="D460" s="19">
        <f>B460*C460</f>
        <v>1.35</v>
      </c>
      <c r="E460" s="19">
        <v>2.5</v>
      </c>
      <c r="F460" s="19"/>
      <c r="G460" s="19"/>
      <c r="H460" s="19"/>
      <c r="I460" s="19">
        <v>1</v>
      </c>
      <c r="J460" s="19">
        <f>A460</f>
        <v>1</v>
      </c>
      <c r="K460" s="19">
        <f t="shared" ref="K460:L460" si="308">K453</f>
        <v>0</v>
      </c>
      <c r="L460" s="19">
        <f t="shared" si="308"/>
        <v>1</v>
      </c>
      <c r="M460" s="19"/>
      <c r="N460" s="19"/>
      <c r="O460" s="19"/>
      <c r="P460" s="19"/>
    </row>
    <row r="461" spans="1:16" ht="14.25" customHeight="1" x14ac:dyDescent="0.15">
      <c r="A461" s="19"/>
      <c r="B461" s="19"/>
      <c r="C461" s="19"/>
      <c r="D461" s="26" t="str">
        <f>D412</f>
        <v>7500</v>
      </c>
      <c r="E461" s="26" t="str">
        <f>E454</f>
        <v>1000</v>
      </c>
      <c r="F461" s="19">
        <v>0</v>
      </c>
      <c r="G461" s="19">
        <v>1</v>
      </c>
      <c r="H461" s="19">
        <f>B460*2</f>
        <v>3</v>
      </c>
      <c r="I461" s="19"/>
      <c r="J461" s="19"/>
      <c r="K461" s="19"/>
      <c r="L461" s="19"/>
      <c r="M461" s="19"/>
      <c r="N461" s="19"/>
      <c r="O461" s="19"/>
      <c r="P461" s="19"/>
    </row>
    <row r="462" spans="1:16" ht="14.25" customHeight="1" x14ac:dyDescent="0.15">
      <c r="A462" s="19"/>
      <c r="B462" s="19"/>
      <c r="C462" s="19"/>
      <c r="D462" s="19">
        <f>D460*D461</f>
        <v>10125</v>
      </c>
      <c r="E462" s="19">
        <f>E461*E459</f>
        <v>6000</v>
      </c>
      <c r="F462" s="19">
        <f t="shared" ref="F462:H462" si="309">F459*F461</f>
        <v>0</v>
      </c>
      <c r="G462" s="19">
        <f t="shared" si="309"/>
        <v>3800</v>
      </c>
      <c r="H462" s="19">
        <f t="shared" si="309"/>
        <v>1140</v>
      </c>
      <c r="I462" s="19">
        <f t="shared" ref="I462:L462" si="310">I459*I460</f>
        <v>1500</v>
      </c>
      <c r="J462" s="19">
        <f t="shared" si="310"/>
        <v>1000</v>
      </c>
      <c r="K462" s="19">
        <f t="shared" si="310"/>
        <v>0</v>
      </c>
      <c r="L462" s="19">
        <f t="shared" si="310"/>
        <v>1500</v>
      </c>
      <c r="M462" s="19">
        <f>SUM(D462:L462)</f>
        <v>25065</v>
      </c>
      <c r="N462" s="19">
        <f>M462/A460</f>
        <v>25065</v>
      </c>
      <c r="O462" s="19">
        <f>N462*O459</f>
        <v>50130</v>
      </c>
      <c r="P462" s="19">
        <f>MROUND(O462,100)</f>
        <v>50100</v>
      </c>
    </row>
    <row r="463" spans="1:16" ht="14.25" customHeight="1" x14ac:dyDescent="0.15">
      <c r="A463" s="111"/>
      <c r="B463" s="87"/>
      <c r="C463" s="87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</row>
    <row r="464" spans="1:16" ht="14.25" customHeight="1" x14ac:dyDescent="0.15">
      <c r="A464" s="109" t="str">
        <f>PRICELIST!I610</f>
        <v>CBSTK-RST-LVM-1500x600+1800</v>
      </c>
      <c r="B464" s="87"/>
      <c r="C464" s="87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</row>
    <row r="465" spans="1:16" ht="14.25" customHeight="1" x14ac:dyDescent="0.15">
      <c r="A465" s="19" t="s">
        <v>57</v>
      </c>
      <c r="B465" s="19" t="s">
        <v>59</v>
      </c>
      <c r="C465" s="19" t="s">
        <v>62</v>
      </c>
      <c r="D465" s="19" t="s">
        <v>64</v>
      </c>
      <c r="E465" s="19" t="s">
        <v>233</v>
      </c>
      <c r="F465" s="19">
        <v>900</v>
      </c>
      <c r="G465" s="19">
        <v>600</v>
      </c>
      <c r="H465" s="19" t="s">
        <v>67</v>
      </c>
      <c r="I465" s="19" t="s">
        <v>244</v>
      </c>
      <c r="J465" s="19" t="s">
        <v>71</v>
      </c>
      <c r="K465" s="19" t="s">
        <v>72</v>
      </c>
      <c r="L465" s="19" t="s">
        <v>73</v>
      </c>
      <c r="M465" s="19" t="s">
        <v>76</v>
      </c>
      <c r="N465" s="19" t="s">
        <v>78</v>
      </c>
      <c r="O465" s="19" t="s">
        <v>79</v>
      </c>
      <c r="P465" s="19" t="s">
        <v>81</v>
      </c>
    </row>
    <row r="466" spans="1:16" ht="14.25" customHeight="1" x14ac:dyDescent="0.15">
      <c r="A466" s="21"/>
      <c r="B466" s="21"/>
      <c r="C466" s="44" t="s">
        <v>245</v>
      </c>
      <c r="D466" s="21"/>
      <c r="E466" s="21">
        <v>6</v>
      </c>
      <c r="F466" s="23" t="str">
        <f t="shared" ref="F466:G466" si="311">F459</f>
        <v>4000</v>
      </c>
      <c r="G466" s="23" t="str">
        <f t="shared" si="311"/>
        <v>3800</v>
      </c>
      <c r="H466" s="21">
        <v>380</v>
      </c>
      <c r="I466" s="23" t="str">
        <f t="shared" ref="I466:J466" si="312">I459</f>
        <v>1500</v>
      </c>
      <c r="J466" s="21">
        <f t="shared" si="312"/>
        <v>1000</v>
      </c>
      <c r="K466" s="21">
        <v>585</v>
      </c>
      <c r="L466" s="23" t="str">
        <f>L459</f>
        <v>1500</v>
      </c>
      <c r="M466" s="21"/>
      <c r="N466" s="21"/>
      <c r="O466" s="21">
        <f>O459</f>
        <v>2</v>
      </c>
      <c r="P466" s="21"/>
    </row>
    <row r="467" spans="1:16" ht="14.25" customHeight="1" x14ac:dyDescent="0.15">
      <c r="A467" s="19">
        <v>1</v>
      </c>
      <c r="B467" s="19">
        <v>1.5</v>
      </c>
      <c r="C467" s="19">
        <v>0.9</v>
      </c>
      <c r="D467" s="19">
        <f>B467*C467</f>
        <v>1.35</v>
      </c>
      <c r="E467" s="19">
        <v>2.5</v>
      </c>
      <c r="F467" s="19"/>
      <c r="G467" s="19"/>
      <c r="H467" s="19"/>
      <c r="I467" s="19">
        <v>1</v>
      </c>
      <c r="J467" s="19">
        <f>A467</f>
        <v>1</v>
      </c>
      <c r="K467" s="19">
        <f t="shared" ref="K467:L467" si="313">K460</f>
        <v>0</v>
      </c>
      <c r="L467" s="19">
        <f t="shared" si="313"/>
        <v>1</v>
      </c>
      <c r="M467" s="19"/>
      <c r="N467" s="19"/>
      <c r="O467" s="19"/>
      <c r="P467" s="19"/>
    </row>
    <row r="468" spans="1:16" ht="14.25" customHeight="1" x14ac:dyDescent="0.15">
      <c r="A468" s="19"/>
      <c r="B468" s="19"/>
      <c r="C468" s="19"/>
      <c r="D468" s="26" t="str">
        <f>D419</f>
        <v>9500</v>
      </c>
      <c r="E468" s="26" t="str">
        <f>E181</f>
        <v>1500</v>
      </c>
      <c r="F468" s="19">
        <v>0</v>
      </c>
      <c r="G468" s="19">
        <v>1</v>
      </c>
      <c r="H468" s="19">
        <f>B467*2</f>
        <v>3</v>
      </c>
      <c r="I468" s="19"/>
      <c r="J468" s="19"/>
      <c r="K468" s="19"/>
      <c r="L468" s="19"/>
      <c r="M468" s="19"/>
      <c r="N468" s="19"/>
      <c r="O468" s="19"/>
      <c r="P468" s="19"/>
    </row>
    <row r="469" spans="1:16" ht="14.25" customHeight="1" x14ac:dyDescent="0.15">
      <c r="A469" s="19"/>
      <c r="B469" s="19"/>
      <c r="C469" s="19"/>
      <c r="D469" s="19">
        <f>D467*D468</f>
        <v>12825</v>
      </c>
      <c r="E469" s="19">
        <f>E468*E466</f>
        <v>9000</v>
      </c>
      <c r="F469" s="19">
        <f t="shared" ref="F469:H469" si="314">F466*F468</f>
        <v>0</v>
      </c>
      <c r="G469" s="19">
        <f t="shared" si="314"/>
        <v>3800</v>
      </c>
      <c r="H469" s="19">
        <f t="shared" si="314"/>
        <v>1140</v>
      </c>
      <c r="I469" s="19">
        <f t="shared" ref="I469:L469" si="315">I466*I467</f>
        <v>1500</v>
      </c>
      <c r="J469" s="19">
        <f t="shared" si="315"/>
        <v>1000</v>
      </c>
      <c r="K469" s="19">
        <f t="shared" si="315"/>
        <v>0</v>
      </c>
      <c r="L469" s="19">
        <f t="shared" si="315"/>
        <v>1500</v>
      </c>
      <c r="M469" s="19">
        <f>SUM(D469:L469)</f>
        <v>30765</v>
      </c>
      <c r="N469" s="19">
        <f>M469/A467</f>
        <v>30765</v>
      </c>
      <c r="O469" s="19">
        <f>N469*O466</f>
        <v>61530</v>
      </c>
      <c r="P469" s="19">
        <f>MROUND(O469,100)</f>
        <v>61500</v>
      </c>
    </row>
    <row r="470" spans="1:16" ht="14.25" customHeight="1" x14ac:dyDescent="0.15">
      <c r="A470" s="111"/>
      <c r="B470" s="87"/>
      <c r="C470" s="87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</row>
    <row r="471" spans="1:16" ht="14.25" customHeight="1" x14ac:dyDescent="0.15">
      <c r="A471" s="109" t="str">
        <f>PRICELIST!I611</f>
        <v>CBSTK-RST-LVP-1500x600+1800</v>
      </c>
      <c r="B471" s="87"/>
      <c r="C471" s="87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</row>
    <row r="472" spans="1:16" ht="14.25" customHeight="1" x14ac:dyDescent="0.15">
      <c r="A472" s="19" t="s">
        <v>57</v>
      </c>
      <c r="B472" s="19" t="s">
        <v>59</v>
      </c>
      <c r="C472" s="19" t="s">
        <v>62</v>
      </c>
      <c r="D472" s="19" t="s">
        <v>64</v>
      </c>
      <c r="E472" s="19" t="s">
        <v>233</v>
      </c>
      <c r="F472" s="19">
        <v>900</v>
      </c>
      <c r="G472" s="19">
        <v>600</v>
      </c>
      <c r="H472" s="19" t="s">
        <v>67</v>
      </c>
      <c r="I472" s="19" t="s">
        <v>244</v>
      </c>
      <c r="J472" s="19" t="s">
        <v>71</v>
      </c>
      <c r="K472" s="19" t="s">
        <v>72</v>
      </c>
      <c r="L472" s="19" t="s">
        <v>73</v>
      </c>
      <c r="M472" s="19" t="s">
        <v>76</v>
      </c>
      <c r="N472" s="19" t="s">
        <v>78</v>
      </c>
      <c r="O472" s="19" t="s">
        <v>79</v>
      </c>
      <c r="P472" s="19" t="s">
        <v>81</v>
      </c>
    </row>
    <row r="473" spans="1:16" ht="14.25" customHeight="1" x14ac:dyDescent="0.15">
      <c r="A473" s="21"/>
      <c r="B473" s="21"/>
      <c r="C473" s="44" t="s">
        <v>245</v>
      </c>
      <c r="D473" s="21"/>
      <c r="E473" s="21">
        <v>6</v>
      </c>
      <c r="F473" s="23" t="str">
        <f t="shared" ref="F473:G473" si="316">F466</f>
        <v>4000</v>
      </c>
      <c r="G473" s="23" t="str">
        <f t="shared" si="316"/>
        <v>3800</v>
      </c>
      <c r="H473" s="21">
        <v>380</v>
      </c>
      <c r="I473" s="23" t="str">
        <f t="shared" ref="I473:J473" si="317">I466</f>
        <v>1500</v>
      </c>
      <c r="J473" s="21">
        <f t="shared" si="317"/>
        <v>1000</v>
      </c>
      <c r="K473" s="21">
        <v>585</v>
      </c>
      <c r="L473" s="23" t="str">
        <f>L466</f>
        <v>1500</v>
      </c>
      <c r="M473" s="21"/>
      <c r="N473" s="21"/>
      <c r="O473" s="21">
        <f>O466</f>
        <v>2</v>
      </c>
      <c r="P473" s="21"/>
    </row>
    <row r="474" spans="1:16" ht="14.25" customHeight="1" x14ac:dyDescent="0.15">
      <c r="A474" s="19">
        <v>1</v>
      </c>
      <c r="B474" s="19">
        <v>1.5</v>
      </c>
      <c r="C474" s="19">
        <v>0.9</v>
      </c>
      <c r="D474" s="19">
        <f>B474*C474</f>
        <v>1.35</v>
      </c>
      <c r="E474" s="19">
        <v>2.5</v>
      </c>
      <c r="F474" s="19"/>
      <c r="G474" s="19"/>
      <c r="H474" s="19"/>
      <c r="I474" s="19">
        <v>1</v>
      </c>
      <c r="J474" s="19">
        <f>A474</f>
        <v>1</v>
      </c>
      <c r="K474" s="19">
        <f t="shared" ref="K474:L474" si="318">K467</f>
        <v>0</v>
      </c>
      <c r="L474" s="19">
        <f t="shared" si="318"/>
        <v>1</v>
      </c>
      <c r="M474" s="19"/>
      <c r="N474" s="19"/>
      <c r="O474" s="19"/>
      <c r="P474" s="19"/>
    </row>
    <row r="475" spans="1:16" ht="14.25" customHeight="1" x14ac:dyDescent="0.15">
      <c r="A475" s="19"/>
      <c r="B475" s="19"/>
      <c r="C475" s="19"/>
      <c r="D475" s="26" t="str">
        <f>D426</f>
        <v>10500</v>
      </c>
      <c r="E475" s="26" t="str">
        <f>E468</f>
        <v>1500</v>
      </c>
      <c r="F475" s="19">
        <v>0</v>
      </c>
      <c r="G475" s="19">
        <v>1</v>
      </c>
      <c r="H475" s="19">
        <f>B474*2</f>
        <v>3</v>
      </c>
      <c r="I475" s="19"/>
      <c r="J475" s="19"/>
      <c r="K475" s="19"/>
      <c r="L475" s="19"/>
      <c r="M475" s="19"/>
      <c r="N475" s="19"/>
      <c r="O475" s="19"/>
      <c r="P475" s="19"/>
    </row>
    <row r="476" spans="1:16" ht="14.25" customHeight="1" x14ac:dyDescent="0.15">
      <c r="A476" s="19"/>
      <c r="B476" s="19"/>
      <c r="C476" s="19"/>
      <c r="D476" s="19">
        <f>D474*D475</f>
        <v>14175.000000000002</v>
      </c>
      <c r="E476" s="19">
        <f>E475*E473</f>
        <v>9000</v>
      </c>
      <c r="F476" s="19">
        <f t="shared" ref="F476:H476" si="319">F473*F475</f>
        <v>0</v>
      </c>
      <c r="G476" s="19">
        <f t="shared" si="319"/>
        <v>3800</v>
      </c>
      <c r="H476" s="19">
        <f t="shared" si="319"/>
        <v>1140</v>
      </c>
      <c r="I476" s="19">
        <f t="shared" ref="I476:L476" si="320">I473*I474</f>
        <v>1500</v>
      </c>
      <c r="J476" s="19">
        <f t="shared" si="320"/>
        <v>1000</v>
      </c>
      <c r="K476" s="19">
        <f t="shared" si="320"/>
        <v>0</v>
      </c>
      <c r="L476" s="19">
        <f t="shared" si="320"/>
        <v>1500</v>
      </c>
      <c r="M476" s="19">
        <f>SUM(D476:L476)</f>
        <v>32115</v>
      </c>
      <c r="N476" s="19">
        <f>M476/A474</f>
        <v>32115</v>
      </c>
      <c r="O476" s="19">
        <f>N476*O473</f>
        <v>64230</v>
      </c>
      <c r="P476" s="19">
        <f>MROUND(O476,100)</f>
        <v>64200</v>
      </c>
    </row>
    <row r="477" spans="1:16" ht="14.25" customHeight="1" x14ac:dyDescent="0.15">
      <c r="A477" s="111"/>
      <c r="B477" s="87"/>
      <c r="C477" s="87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</row>
    <row r="478" spans="1:16" ht="14.25" customHeight="1" x14ac:dyDescent="0.15">
      <c r="A478" s="109" t="str">
        <f>PRICELIST!I612</f>
        <v>CBSTK-RST-VNR-1500x600+1800</v>
      </c>
      <c r="B478" s="87"/>
      <c r="C478" s="87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</row>
    <row r="479" spans="1:16" ht="14.25" customHeight="1" x14ac:dyDescent="0.15">
      <c r="A479" s="19" t="s">
        <v>57</v>
      </c>
      <c r="B479" s="19" t="s">
        <v>59</v>
      </c>
      <c r="C479" s="19" t="s">
        <v>62</v>
      </c>
      <c r="D479" s="19" t="s">
        <v>64</v>
      </c>
      <c r="E479" s="19" t="s">
        <v>233</v>
      </c>
      <c r="F479" s="19">
        <v>900</v>
      </c>
      <c r="G479" s="19">
        <v>600</v>
      </c>
      <c r="H479" s="19" t="s">
        <v>67</v>
      </c>
      <c r="I479" s="19" t="s">
        <v>244</v>
      </c>
      <c r="J479" s="19" t="s">
        <v>71</v>
      </c>
      <c r="K479" s="19" t="s">
        <v>72</v>
      </c>
      <c r="L479" s="19" t="s">
        <v>73</v>
      </c>
      <c r="M479" s="19" t="s">
        <v>76</v>
      </c>
      <c r="N479" s="19" t="s">
        <v>78</v>
      </c>
      <c r="O479" s="19" t="s">
        <v>79</v>
      </c>
      <c r="P479" s="19" t="s">
        <v>81</v>
      </c>
    </row>
    <row r="480" spans="1:16" ht="14.25" customHeight="1" x14ac:dyDescent="0.15">
      <c r="A480" s="21"/>
      <c r="B480" s="21"/>
      <c r="C480" s="44" t="s">
        <v>245</v>
      </c>
      <c r="D480" s="21"/>
      <c r="E480" s="21">
        <v>6</v>
      </c>
      <c r="F480" s="23" t="str">
        <f t="shared" ref="F480:G480" si="321">F473</f>
        <v>4000</v>
      </c>
      <c r="G480" s="23" t="str">
        <f t="shared" si="321"/>
        <v>3800</v>
      </c>
      <c r="H480" s="21">
        <v>380</v>
      </c>
      <c r="I480" s="23" t="str">
        <f t="shared" ref="I480:J480" si="322">I473</f>
        <v>1500</v>
      </c>
      <c r="J480" s="21">
        <f t="shared" si="322"/>
        <v>1000</v>
      </c>
      <c r="K480" s="21">
        <v>585</v>
      </c>
      <c r="L480" s="23" t="str">
        <f>L473</f>
        <v>1500</v>
      </c>
      <c r="M480" s="21"/>
      <c r="N480" s="21"/>
      <c r="O480" s="21">
        <f>O473</f>
        <v>2</v>
      </c>
      <c r="P480" s="21"/>
    </row>
    <row r="481" spans="1:16" ht="14.25" customHeight="1" x14ac:dyDescent="0.15">
      <c r="A481" s="19">
        <v>1</v>
      </c>
      <c r="B481" s="19">
        <v>1.5</v>
      </c>
      <c r="C481" s="19">
        <v>0.9</v>
      </c>
      <c r="D481" s="19">
        <f>B481*C481</f>
        <v>1.35</v>
      </c>
      <c r="E481" s="19">
        <v>2.5</v>
      </c>
      <c r="F481" s="19"/>
      <c r="G481" s="19"/>
      <c r="H481" s="19"/>
      <c r="I481" s="19">
        <v>1</v>
      </c>
      <c r="J481" s="19">
        <f>A481</f>
        <v>1</v>
      </c>
      <c r="K481" s="19">
        <f t="shared" ref="K481:L481" si="323">K474</f>
        <v>0</v>
      </c>
      <c r="L481" s="19">
        <f t="shared" si="323"/>
        <v>1</v>
      </c>
      <c r="M481" s="19"/>
      <c r="N481" s="19"/>
      <c r="O481" s="19"/>
      <c r="P481" s="19"/>
    </row>
    <row r="482" spans="1:16" ht="14.25" customHeight="1" x14ac:dyDescent="0.15">
      <c r="A482" s="19"/>
      <c r="B482" s="19"/>
      <c r="C482" s="19"/>
      <c r="D482" s="26" t="str">
        <f>D433</f>
        <v>30000</v>
      </c>
      <c r="E482" s="26" t="str">
        <f>E475</f>
        <v>1500</v>
      </c>
      <c r="F482" s="19">
        <v>0</v>
      </c>
      <c r="G482" s="19">
        <v>1</v>
      </c>
      <c r="H482" s="19">
        <f>B481*2</f>
        <v>3</v>
      </c>
      <c r="I482" s="19"/>
      <c r="J482" s="19"/>
      <c r="K482" s="19"/>
      <c r="L482" s="19"/>
      <c r="M482" s="19"/>
      <c r="N482" s="19"/>
      <c r="O482" s="19"/>
      <c r="P482" s="19"/>
    </row>
    <row r="483" spans="1:16" ht="14.25" customHeight="1" x14ac:dyDescent="0.15">
      <c r="A483" s="19"/>
      <c r="B483" s="19"/>
      <c r="C483" s="19"/>
      <c r="D483" s="19">
        <f>D481*D482</f>
        <v>40500</v>
      </c>
      <c r="E483" s="19">
        <f>E482*E480</f>
        <v>9000</v>
      </c>
      <c r="F483" s="19">
        <f t="shared" ref="F483:H483" si="324">F480*F482</f>
        <v>0</v>
      </c>
      <c r="G483" s="19">
        <f t="shared" si="324"/>
        <v>3800</v>
      </c>
      <c r="H483" s="19">
        <f t="shared" si="324"/>
        <v>1140</v>
      </c>
      <c r="I483" s="19">
        <f t="shared" ref="I483:L483" si="325">I480*I481</f>
        <v>1500</v>
      </c>
      <c r="J483" s="19">
        <f t="shared" si="325"/>
        <v>1000</v>
      </c>
      <c r="K483" s="19">
        <f t="shared" si="325"/>
        <v>0</v>
      </c>
      <c r="L483" s="19">
        <f t="shared" si="325"/>
        <v>1500</v>
      </c>
      <c r="M483" s="19">
        <f>SUM(D483:L483)</f>
        <v>58440</v>
      </c>
      <c r="N483" s="19">
        <f>M483/A481</f>
        <v>58440</v>
      </c>
      <c r="O483" s="19">
        <f>N483*O480</f>
        <v>116880</v>
      </c>
      <c r="P483" s="19">
        <f>MROUND(O483,100)</f>
        <v>116900</v>
      </c>
    </row>
    <row r="484" spans="1:16" ht="14.25" customHeight="1" x14ac:dyDescent="0.15">
      <c r="A484" s="111"/>
      <c r="B484" s="87"/>
      <c r="C484" s="87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</row>
    <row r="485" spans="1:16" ht="14.25" customHeight="1" x14ac:dyDescent="0.15">
      <c r="A485" s="109" t="str">
        <f>PRICELIST!I613</f>
        <v>CBSTK-RST-GL-1500x600+1800</v>
      </c>
      <c r="B485" s="87"/>
      <c r="C485" s="87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</row>
    <row r="486" spans="1:16" ht="14.25" customHeight="1" x14ac:dyDescent="0.15">
      <c r="A486" s="19" t="s">
        <v>57</v>
      </c>
      <c r="B486" s="19" t="s">
        <v>59</v>
      </c>
      <c r="C486" s="19" t="s">
        <v>62</v>
      </c>
      <c r="D486" s="19" t="s">
        <v>64</v>
      </c>
      <c r="E486" s="19" t="s">
        <v>233</v>
      </c>
      <c r="F486" s="19">
        <v>900</v>
      </c>
      <c r="G486" s="19">
        <v>600</v>
      </c>
      <c r="H486" s="19" t="s">
        <v>67</v>
      </c>
      <c r="I486" s="19" t="s">
        <v>244</v>
      </c>
      <c r="J486" s="19" t="s">
        <v>71</v>
      </c>
      <c r="K486" s="19" t="s">
        <v>72</v>
      </c>
      <c r="L486" s="19" t="s">
        <v>73</v>
      </c>
      <c r="M486" s="19" t="s">
        <v>76</v>
      </c>
      <c r="N486" s="19" t="s">
        <v>78</v>
      </c>
      <c r="O486" s="19" t="s">
        <v>79</v>
      </c>
      <c r="P486" s="19" t="s">
        <v>81</v>
      </c>
    </row>
    <row r="487" spans="1:16" ht="14.25" customHeight="1" x14ac:dyDescent="0.15">
      <c r="A487" s="21"/>
      <c r="B487" s="21"/>
      <c r="C487" s="44" t="s">
        <v>245</v>
      </c>
      <c r="D487" s="21"/>
      <c r="E487" s="21">
        <v>6</v>
      </c>
      <c r="F487" s="23" t="str">
        <f t="shared" ref="F487:G487" si="326">F480</f>
        <v>4000</v>
      </c>
      <c r="G487" s="23" t="str">
        <f t="shared" si="326"/>
        <v>3800</v>
      </c>
      <c r="H487" s="21">
        <v>380</v>
      </c>
      <c r="I487" s="23" t="str">
        <f t="shared" ref="I487:J487" si="327">I480</f>
        <v>1500</v>
      </c>
      <c r="J487" s="21">
        <f t="shared" si="327"/>
        <v>1000</v>
      </c>
      <c r="K487" s="21">
        <v>585</v>
      </c>
      <c r="L487" s="23" t="str">
        <f>L480</f>
        <v>1500</v>
      </c>
      <c r="M487" s="21"/>
      <c r="N487" s="21"/>
      <c r="O487" s="21">
        <f>O480</f>
        <v>2</v>
      </c>
      <c r="P487" s="21"/>
    </row>
    <row r="488" spans="1:16" ht="14.25" customHeight="1" x14ac:dyDescent="0.15">
      <c r="A488" s="19">
        <v>1</v>
      </c>
      <c r="B488" s="19">
        <v>1.5</v>
      </c>
      <c r="C488" s="19">
        <v>0.9</v>
      </c>
      <c r="D488" s="19">
        <f>B488*C488</f>
        <v>1.35</v>
      </c>
      <c r="E488" s="19">
        <v>2.5</v>
      </c>
      <c r="F488" s="19"/>
      <c r="G488" s="19"/>
      <c r="H488" s="19"/>
      <c r="I488" s="19">
        <v>1</v>
      </c>
      <c r="J488" s="19">
        <f>A488</f>
        <v>1</v>
      </c>
      <c r="K488" s="19">
        <f t="shared" ref="K488:L488" si="328">K481</f>
        <v>0</v>
      </c>
      <c r="L488" s="19">
        <f t="shared" si="328"/>
        <v>1</v>
      </c>
      <c r="M488" s="19"/>
      <c r="N488" s="19"/>
      <c r="O488" s="19"/>
      <c r="P488" s="19"/>
    </row>
    <row r="489" spans="1:16" ht="14.25" customHeight="1" x14ac:dyDescent="0.15">
      <c r="A489" s="19"/>
      <c r="B489" s="19"/>
      <c r="C489" s="19"/>
      <c r="D489" s="26" t="str">
        <f>D440</f>
        <v>7500</v>
      </c>
      <c r="E489" s="26" t="str">
        <f>E482</f>
        <v>1500</v>
      </c>
      <c r="F489" s="19">
        <v>0</v>
      </c>
      <c r="G489" s="19">
        <v>1</v>
      </c>
      <c r="H489" s="19">
        <f>B488*2</f>
        <v>3</v>
      </c>
      <c r="I489" s="19"/>
      <c r="J489" s="19"/>
      <c r="K489" s="19"/>
      <c r="L489" s="19"/>
      <c r="M489" s="19"/>
      <c r="N489" s="19"/>
      <c r="O489" s="19"/>
      <c r="P489" s="19"/>
    </row>
    <row r="490" spans="1:16" ht="14.25" customHeight="1" x14ac:dyDescent="0.15">
      <c r="A490" s="19"/>
      <c r="B490" s="19"/>
      <c r="C490" s="19"/>
      <c r="D490" s="19">
        <f>D488*D489</f>
        <v>10125</v>
      </c>
      <c r="E490" s="19">
        <f>E489*E487</f>
        <v>9000</v>
      </c>
      <c r="F490" s="19">
        <f t="shared" ref="F490:H490" si="329">F487*F489</f>
        <v>0</v>
      </c>
      <c r="G490" s="19">
        <f t="shared" si="329"/>
        <v>3800</v>
      </c>
      <c r="H490" s="19">
        <f t="shared" si="329"/>
        <v>1140</v>
      </c>
      <c r="I490" s="19">
        <f t="shared" ref="I490:L490" si="330">I487*I488</f>
        <v>1500</v>
      </c>
      <c r="J490" s="19">
        <f t="shared" si="330"/>
        <v>1000</v>
      </c>
      <c r="K490" s="19">
        <f t="shared" si="330"/>
        <v>0</v>
      </c>
      <c r="L490" s="19">
        <f t="shared" si="330"/>
        <v>1500</v>
      </c>
      <c r="M490" s="19">
        <f>SUM(D490:L490)</f>
        <v>28065</v>
      </c>
      <c r="N490" s="19">
        <f>M490/A488</f>
        <v>28065</v>
      </c>
      <c r="O490" s="19">
        <f>N490*O487</f>
        <v>56130</v>
      </c>
      <c r="P490" s="19">
        <f>MROUND(O490,100)</f>
        <v>56100</v>
      </c>
    </row>
    <row r="491" spans="1:16" ht="14.25" customHeight="1" x14ac:dyDescent="0.15">
      <c r="A491" s="111"/>
      <c r="B491" s="87"/>
      <c r="C491" s="87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</row>
    <row r="492" spans="1:16" ht="14.25" customHeight="1" x14ac:dyDescent="0.15">
      <c r="A492" s="109" t="str">
        <f>PRICELIST!I614</f>
        <v>CBSTK-RST-PB-1800x750+1800</v>
      </c>
      <c r="B492" s="87"/>
      <c r="C492" s="87"/>
      <c r="D492" s="30"/>
      <c r="E492" s="30"/>
      <c r="F492" s="30"/>
      <c r="G492" s="30"/>
      <c r="H492" s="19"/>
      <c r="I492" s="19"/>
      <c r="J492" s="19"/>
      <c r="K492" s="19"/>
      <c r="L492" s="19"/>
      <c r="M492" s="19"/>
      <c r="N492" s="19"/>
      <c r="O492" s="19"/>
      <c r="P492" s="19"/>
    </row>
    <row r="493" spans="1:16" ht="14.25" customHeight="1" x14ac:dyDescent="0.15">
      <c r="A493" s="19" t="s">
        <v>57</v>
      </c>
      <c r="B493" s="19" t="s">
        <v>59</v>
      </c>
      <c r="C493" s="19" t="s">
        <v>62</v>
      </c>
      <c r="D493" s="19" t="s">
        <v>64</v>
      </c>
      <c r="E493" s="19" t="s">
        <v>233</v>
      </c>
      <c r="F493" s="19">
        <v>900</v>
      </c>
      <c r="G493" s="19">
        <v>600</v>
      </c>
      <c r="H493" s="19" t="s">
        <v>67</v>
      </c>
      <c r="I493" s="19" t="s">
        <v>244</v>
      </c>
      <c r="J493" s="19" t="s">
        <v>71</v>
      </c>
      <c r="K493" s="19" t="s">
        <v>72</v>
      </c>
      <c r="L493" s="19" t="s">
        <v>73</v>
      </c>
      <c r="M493" s="19" t="s">
        <v>76</v>
      </c>
      <c r="N493" s="19" t="s">
        <v>78</v>
      </c>
      <c r="O493" s="19" t="s">
        <v>79</v>
      </c>
      <c r="P493" s="19" t="s">
        <v>81</v>
      </c>
    </row>
    <row r="494" spans="1:16" ht="14.25" customHeight="1" x14ac:dyDescent="0.15">
      <c r="A494" s="21"/>
      <c r="B494" s="21"/>
      <c r="C494" s="44" t="s">
        <v>245</v>
      </c>
      <c r="D494" s="21"/>
      <c r="E494" s="21">
        <v>6</v>
      </c>
      <c r="F494" s="23" t="str">
        <f t="shared" ref="F494:G494" si="331">F487</f>
        <v>4000</v>
      </c>
      <c r="G494" s="23" t="str">
        <f t="shared" si="331"/>
        <v>3800</v>
      </c>
      <c r="H494" s="21">
        <v>380</v>
      </c>
      <c r="I494" s="23" t="str">
        <f t="shared" ref="I494:J494" si="332">I487</f>
        <v>1500</v>
      </c>
      <c r="J494" s="21">
        <f t="shared" si="332"/>
        <v>1000</v>
      </c>
      <c r="K494" s="21">
        <v>585</v>
      </c>
      <c r="L494" s="23" t="str">
        <f>L487</f>
        <v>1500</v>
      </c>
      <c r="M494" s="21"/>
      <c r="N494" s="21"/>
      <c r="O494" s="21">
        <f>O487</f>
        <v>2</v>
      </c>
      <c r="P494" s="21"/>
    </row>
    <row r="495" spans="1:16" ht="14.25" customHeight="1" x14ac:dyDescent="0.15">
      <c r="A495" s="19">
        <v>1</v>
      </c>
      <c r="B495" s="19">
        <v>1.8</v>
      </c>
      <c r="C495" s="19">
        <f>0.75+0.3</f>
        <v>1.05</v>
      </c>
      <c r="D495" s="19">
        <f>B495*C495</f>
        <v>1.8900000000000001</v>
      </c>
      <c r="E495" s="19">
        <v>2.5</v>
      </c>
      <c r="F495" s="19"/>
      <c r="G495" s="19"/>
      <c r="H495" s="19"/>
      <c r="I495" s="19">
        <v>1</v>
      </c>
      <c r="J495" s="19">
        <f>A495</f>
        <v>1</v>
      </c>
      <c r="K495" s="19">
        <f t="shared" ref="K495:L495" si="333">K488</f>
        <v>0</v>
      </c>
      <c r="L495" s="19">
        <f t="shared" si="333"/>
        <v>1</v>
      </c>
      <c r="M495" s="19"/>
      <c r="N495" s="19"/>
      <c r="O495" s="19"/>
      <c r="P495" s="19"/>
    </row>
    <row r="496" spans="1:16" ht="14.25" customHeight="1" x14ac:dyDescent="0.15">
      <c r="A496" s="19"/>
      <c r="B496" s="19"/>
      <c r="C496" s="19"/>
      <c r="D496" s="26" t="str">
        <f t="shared" ref="D496:E496" si="334">D447</f>
        <v>2200</v>
      </c>
      <c r="E496" s="26" t="str">
        <f t="shared" si="334"/>
        <v>1000</v>
      </c>
      <c r="F496" s="19">
        <v>1</v>
      </c>
      <c r="G496" s="19">
        <v>0</v>
      </c>
      <c r="H496" s="19">
        <f>B495*2</f>
        <v>3.6</v>
      </c>
      <c r="I496" s="19"/>
      <c r="J496" s="19"/>
      <c r="K496" s="19"/>
      <c r="L496" s="19"/>
      <c r="M496" s="19"/>
      <c r="N496" s="19"/>
      <c r="O496" s="19"/>
      <c r="P496" s="19"/>
    </row>
    <row r="497" spans="1:16" ht="14.25" customHeight="1" x14ac:dyDescent="0.15">
      <c r="A497" s="19"/>
      <c r="B497" s="19"/>
      <c r="C497" s="19"/>
      <c r="D497" s="19">
        <f>D495*D496</f>
        <v>4158</v>
      </c>
      <c r="E497" s="19">
        <f>E496*E494</f>
        <v>6000</v>
      </c>
      <c r="F497" s="19">
        <f t="shared" ref="F497:H497" si="335">F494*F496</f>
        <v>4000</v>
      </c>
      <c r="G497" s="19">
        <f t="shared" si="335"/>
        <v>0</v>
      </c>
      <c r="H497" s="19">
        <f t="shared" si="335"/>
        <v>1368</v>
      </c>
      <c r="I497" s="19">
        <f t="shared" ref="I497:L497" si="336">I494*I495</f>
        <v>1500</v>
      </c>
      <c r="J497" s="19">
        <f t="shared" si="336"/>
        <v>1000</v>
      </c>
      <c r="K497" s="19">
        <f t="shared" si="336"/>
        <v>0</v>
      </c>
      <c r="L497" s="19">
        <f t="shared" si="336"/>
        <v>1500</v>
      </c>
      <c r="M497" s="19">
        <f>SUM(D497:L497)</f>
        <v>19526</v>
      </c>
      <c r="N497" s="19">
        <f>M497/A495</f>
        <v>19526</v>
      </c>
      <c r="O497" s="19">
        <f>N497*O494</f>
        <v>39052</v>
      </c>
      <c r="P497" s="19">
        <f>MROUND(O497,100)</f>
        <v>39100</v>
      </c>
    </row>
    <row r="498" spans="1:16" ht="14.25" customHeight="1" x14ac:dyDescent="0.15">
      <c r="A498" s="111"/>
      <c r="B498" s="87"/>
      <c r="C498" s="87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</row>
    <row r="499" spans="1:16" ht="14.25" customHeight="1" x14ac:dyDescent="0.15">
      <c r="A499" s="109" t="str">
        <f>PRICELIST!I615</f>
        <v>CBSTK-RST-PLM-1800x750+1800</v>
      </c>
      <c r="B499" s="87"/>
      <c r="C499" s="87"/>
      <c r="D499" s="30"/>
      <c r="E499" s="30"/>
      <c r="F499" s="30"/>
      <c r="G499" s="30"/>
      <c r="H499" s="19"/>
      <c r="I499" s="19"/>
      <c r="J499" s="19"/>
      <c r="K499" s="19"/>
      <c r="L499" s="19"/>
      <c r="M499" s="19"/>
      <c r="N499" s="19"/>
      <c r="O499" s="19"/>
      <c r="P499" s="19"/>
    </row>
    <row r="500" spans="1:16" ht="14.25" customHeight="1" x14ac:dyDescent="0.15">
      <c r="A500" s="19" t="s">
        <v>57</v>
      </c>
      <c r="B500" s="19" t="s">
        <v>59</v>
      </c>
      <c r="C500" s="19" t="s">
        <v>62</v>
      </c>
      <c r="D500" s="19" t="s">
        <v>64</v>
      </c>
      <c r="E500" s="19" t="s">
        <v>233</v>
      </c>
      <c r="F500" s="19">
        <v>900</v>
      </c>
      <c r="G500" s="19">
        <v>600</v>
      </c>
      <c r="H500" s="19" t="s">
        <v>67</v>
      </c>
      <c r="I500" s="19" t="s">
        <v>244</v>
      </c>
      <c r="J500" s="19" t="s">
        <v>71</v>
      </c>
      <c r="K500" s="19" t="s">
        <v>72</v>
      </c>
      <c r="L500" s="19" t="s">
        <v>73</v>
      </c>
      <c r="M500" s="19" t="s">
        <v>76</v>
      </c>
      <c r="N500" s="19" t="s">
        <v>78</v>
      </c>
      <c r="O500" s="19" t="s">
        <v>79</v>
      </c>
      <c r="P500" s="19" t="s">
        <v>81</v>
      </c>
    </row>
    <row r="501" spans="1:16" ht="14.25" customHeight="1" x14ac:dyDescent="0.15">
      <c r="A501" s="21"/>
      <c r="B501" s="21"/>
      <c r="C501" s="44" t="s">
        <v>245</v>
      </c>
      <c r="D501" s="21"/>
      <c r="E501" s="21">
        <v>6</v>
      </c>
      <c r="F501" s="23" t="str">
        <f t="shared" ref="F501:G501" si="337">F494</f>
        <v>4000</v>
      </c>
      <c r="G501" s="23" t="str">
        <f t="shared" si="337"/>
        <v>3800</v>
      </c>
      <c r="H501" s="21">
        <v>380</v>
      </c>
      <c r="I501" s="23" t="str">
        <f t="shared" ref="I501:J501" si="338">I494</f>
        <v>1500</v>
      </c>
      <c r="J501" s="21">
        <f t="shared" si="338"/>
        <v>1000</v>
      </c>
      <c r="K501" s="21">
        <v>585</v>
      </c>
      <c r="L501" s="23" t="str">
        <f>L494</f>
        <v>1500</v>
      </c>
      <c r="M501" s="21"/>
      <c r="N501" s="21"/>
      <c r="O501" s="21">
        <f>O494</f>
        <v>2</v>
      </c>
      <c r="P501" s="21"/>
    </row>
    <row r="502" spans="1:16" ht="14.25" customHeight="1" x14ac:dyDescent="0.15">
      <c r="A502" s="19">
        <v>1</v>
      </c>
      <c r="B502" s="19">
        <v>1.8</v>
      </c>
      <c r="C502" s="19">
        <f>0.75+0.3</f>
        <v>1.05</v>
      </c>
      <c r="D502" s="19">
        <f>B502*C502</f>
        <v>1.8900000000000001</v>
      </c>
      <c r="E502" s="19">
        <v>2.5</v>
      </c>
      <c r="F502" s="19"/>
      <c r="G502" s="19"/>
      <c r="H502" s="19"/>
      <c r="I502" s="19">
        <v>1</v>
      </c>
      <c r="J502" s="19">
        <f>A502</f>
        <v>1</v>
      </c>
      <c r="K502" s="19">
        <f t="shared" ref="K502:L502" si="339">K495</f>
        <v>0</v>
      </c>
      <c r="L502" s="19">
        <f t="shared" si="339"/>
        <v>1</v>
      </c>
      <c r="M502" s="19"/>
      <c r="N502" s="19"/>
      <c r="O502" s="19"/>
      <c r="P502" s="19"/>
    </row>
    <row r="503" spans="1:16" ht="14.25" customHeight="1" x14ac:dyDescent="0.15">
      <c r="A503" s="19"/>
      <c r="B503" s="19"/>
      <c r="C503" s="19"/>
      <c r="D503" s="26" t="str">
        <f>D454</f>
        <v>3000</v>
      </c>
      <c r="E503" s="26" t="str">
        <f>E496</f>
        <v>1000</v>
      </c>
      <c r="F503" s="19">
        <v>1</v>
      </c>
      <c r="G503" s="19">
        <v>0</v>
      </c>
      <c r="H503" s="19">
        <f>B502*2</f>
        <v>3.6</v>
      </c>
      <c r="I503" s="19"/>
      <c r="J503" s="19"/>
      <c r="K503" s="19"/>
      <c r="L503" s="19"/>
      <c r="M503" s="19"/>
      <c r="N503" s="19"/>
      <c r="O503" s="19"/>
      <c r="P503" s="19"/>
    </row>
    <row r="504" spans="1:16" ht="14.25" customHeight="1" x14ac:dyDescent="0.15">
      <c r="A504" s="19"/>
      <c r="B504" s="19"/>
      <c r="C504" s="19"/>
      <c r="D504" s="19">
        <f>D502*D503</f>
        <v>5670</v>
      </c>
      <c r="E504" s="19">
        <f>E503*E501</f>
        <v>6000</v>
      </c>
      <c r="F504" s="19">
        <f t="shared" ref="F504:H504" si="340">F501*F503</f>
        <v>4000</v>
      </c>
      <c r="G504" s="19">
        <f t="shared" si="340"/>
        <v>0</v>
      </c>
      <c r="H504" s="19">
        <f t="shared" si="340"/>
        <v>1368</v>
      </c>
      <c r="I504" s="19">
        <f t="shared" ref="I504:L504" si="341">I501*I502</f>
        <v>1500</v>
      </c>
      <c r="J504" s="19">
        <f t="shared" si="341"/>
        <v>1000</v>
      </c>
      <c r="K504" s="19">
        <f t="shared" si="341"/>
        <v>0</v>
      </c>
      <c r="L504" s="19">
        <f t="shared" si="341"/>
        <v>1500</v>
      </c>
      <c r="M504" s="19">
        <f>SUM(D504:L504)</f>
        <v>21038</v>
      </c>
      <c r="N504" s="19">
        <f>M504/A502</f>
        <v>21038</v>
      </c>
      <c r="O504" s="19">
        <f>N504*O501</f>
        <v>42076</v>
      </c>
      <c r="P504" s="19">
        <f>MROUND(O504,100)</f>
        <v>42100</v>
      </c>
    </row>
    <row r="505" spans="1:16" ht="14.25" customHeight="1" x14ac:dyDescent="0.15">
      <c r="A505" s="111"/>
      <c r="B505" s="87"/>
      <c r="C505" s="87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</row>
    <row r="506" spans="1:16" ht="14.25" customHeight="1" x14ac:dyDescent="0.15">
      <c r="A506" s="109" t="str">
        <f>PRICELIST!I616</f>
        <v>CBSTK-RST-PoLM-1800x750+1800</v>
      </c>
      <c r="B506" s="87"/>
      <c r="C506" s="87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</row>
    <row r="507" spans="1:16" ht="14.25" customHeight="1" x14ac:dyDescent="0.15">
      <c r="A507" s="19" t="s">
        <v>57</v>
      </c>
      <c r="B507" s="19" t="s">
        <v>59</v>
      </c>
      <c r="C507" s="19" t="s">
        <v>62</v>
      </c>
      <c r="D507" s="19" t="s">
        <v>64</v>
      </c>
      <c r="E507" s="19" t="s">
        <v>233</v>
      </c>
      <c r="F507" s="19">
        <v>900</v>
      </c>
      <c r="G507" s="19">
        <v>600</v>
      </c>
      <c r="H507" s="19" t="s">
        <v>67</v>
      </c>
      <c r="I507" s="19" t="s">
        <v>244</v>
      </c>
      <c r="J507" s="19" t="s">
        <v>71</v>
      </c>
      <c r="K507" s="19" t="s">
        <v>72</v>
      </c>
      <c r="L507" s="19" t="s">
        <v>73</v>
      </c>
      <c r="M507" s="19" t="s">
        <v>76</v>
      </c>
      <c r="N507" s="19" t="s">
        <v>78</v>
      </c>
      <c r="O507" s="19" t="s">
        <v>79</v>
      </c>
      <c r="P507" s="19" t="s">
        <v>81</v>
      </c>
    </row>
    <row r="508" spans="1:16" ht="14.25" customHeight="1" x14ac:dyDescent="0.15">
      <c r="A508" s="21"/>
      <c r="B508" s="21"/>
      <c r="C508" s="44" t="s">
        <v>245</v>
      </c>
      <c r="D508" s="21"/>
      <c r="E508" s="21">
        <v>6</v>
      </c>
      <c r="F508" s="23" t="str">
        <f t="shared" ref="F508:G508" si="342">F501</f>
        <v>4000</v>
      </c>
      <c r="G508" s="23" t="str">
        <f t="shared" si="342"/>
        <v>3800</v>
      </c>
      <c r="H508" s="21">
        <v>380</v>
      </c>
      <c r="I508" s="23" t="str">
        <f t="shared" ref="I508:J508" si="343">I501</f>
        <v>1500</v>
      </c>
      <c r="J508" s="21">
        <f t="shared" si="343"/>
        <v>1000</v>
      </c>
      <c r="K508" s="21">
        <v>585</v>
      </c>
      <c r="L508" s="23" t="str">
        <f>L501</f>
        <v>1500</v>
      </c>
      <c r="M508" s="21"/>
      <c r="N508" s="21"/>
      <c r="O508" s="21">
        <f>O501</f>
        <v>2</v>
      </c>
      <c r="P508" s="21"/>
    </row>
    <row r="509" spans="1:16" ht="14.25" customHeight="1" x14ac:dyDescent="0.15">
      <c r="A509" s="19">
        <v>1</v>
      </c>
      <c r="B509" s="19">
        <v>1.8</v>
      </c>
      <c r="C509" s="19">
        <f>0.75+0.3</f>
        <v>1.05</v>
      </c>
      <c r="D509" s="19">
        <f>B509*C509</f>
        <v>1.8900000000000001</v>
      </c>
      <c r="E509" s="19">
        <v>2.5</v>
      </c>
      <c r="F509" s="19"/>
      <c r="G509" s="19"/>
      <c r="H509" s="19"/>
      <c r="I509" s="19">
        <v>1</v>
      </c>
      <c r="J509" s="19">
        <f>A509</f>
        <v>1</v>
      </c>
      <c r="K509" s="19">
        <f t="shared" ref="K509:L509" si="344">K502</f>
        <v>0</v>
      </c>
      <c r="L509" s="19">
        <f t="shared" si="344"/>
        <v>1</v>
      </c>
      <c r="M509" s="19"/>
      <c r="N509" s="19"/>
      <c r="O509" s="19"/>
      <c r="P509" s="19"/>
    </row>
    <row r="510" spans="1:16" ht="14.25" customHeight="1" x14ac:dyDescent="0.15">
      <c r="A510" s="19"/>
      <c r="B510" s="19"/>
      <c r="C510" s="19"/>
      <c r="D510" s="26" t="str">
        <f>D461</f>
        <v>7500</v>
      </c>
      <c r="E510" s="26" t="str">
        <f>E503</f>
        <v>1000</v>
      </c>
      <c r="F510" s="19">
        <v>1</v>
      </c>
      <c r="G510" s="19">
        <v>0</v>
      </c>
      <c r="H510" s="19">
        <f>B509*2</f>
        <v>3.6</v>
      </c>
      <c r="I510" s="19"/>
      <c r="J510" s="19"/>
      <c r="K510" s="19"/>
      <c r="L510" s="19"/>
      <c r="M510" s="19"/>
      <c r="N510" s="19"/>
      <c r="O510" s="19"/>
      <c r="P510" s="19"/>
    </row>
    <row r="511" spans="1:16" ht="14.25" customHeight="1" x14ac:dyDescent="0.15">
      <c r="A511" s="19"/>
      <c r="B511" s="19"/>
      <c r="C511" s="19"/>
      <c r="D511" s="19">
        <f>D509*D510</f>
        <v>14175.000000000002</v>
      </c>
      <c r="E511" s="19">
        <f>E510*E508</f>
        <v>6000</v>
      </c>
      <c r="F511" s="19">
        <f t="shared" ref="F511:H511" si="345">F508*F510</f>
        <v>4000</v>
      </c>
      <c r="G511" s="19">
        <f t="shared" si="345"/>
        <v>0</v>
      </c>
      <c r="H511" s="19">
        <f t="shared" si="345"/>
        <v>1368</v>
      </c>
      <c r="I511" s="19">
        <f t="shared" ref="I511:L511" si="346">I508*I509</f>
        <v>1500</v>
      </c>
      <c r="J511" s="19">
        <f t="shared" si="346"/>
        <v>1000</v>
      </c>
      <c r="K511" s="19">
        <f t="shared" si="346"/>
        <v>0</v>
      </c>
      <c r="L511" s="19">
        <f t="shared" si="346"/>
        <v>1500</v>
      </c>
      <c r="M511" s="19">
        <f>SUM(D511:L511)</f>
        <v>29543</v>
      </c>
      <c r="N511" s="19">
        <f>M511/A509</f>
        <v>29543</v>
      </c>
      <c r="O511" s="19">
        <f>N511*O508</f>
        <v>59086</v>
      </c>
      <c r="P511" s="19">
        <f>MROUND(O511,100)</f>
        <v>59100</v>
      </c>
    </row>
    <row r="512" spans="1:16" ht="14.25" customHeight="1" x14ac:dyDescent="0.15">
      <c r="A512" s="111"/>
      <c r="B512" s="87"/>
      <c r="C512" s="87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</row>
    <row r="513" spans="1:16" ht="14.25" customHeight="1" x14ac:dyDescent="0.15">
      <c r="A513" s="109" t="str">
        <f>PRICELIST!I617</f>
        <v>CBSTK-RST-LVM-1800x750+1800</v>
      </c>
      <c r="B513" s="87"/>
      <c r="C513" s="87"/>
      <c r="D513" s="21"/>
      <c r="E513" s="21"/>
      <c r="F513" s="21"/>
      <c r="G513" s="21"/>
      <c r="H513" s="19"/>
      <c r="I513" s="19"/>
      <c r="J513" s="19"/>
      <c r="K513" s="19"/>
      <c r="L513" s="19"/>
      <c r="M513" s="19"/>
      <c r="N513" s="19"/>
      <c r="O513" s="19"/>
      <c r="P513" s="19"/>
    </row>
    <row r="514" spans="1:16" ht="14.25" customHeight="1" x14ac:dyDescent="0.15">
      <c r="A514" s="19" t="s">
        <v>57</v>
      </c>
      <c r="B514" s="19" t="s">
        <v>59</v>
      </c>
      <c r="C514" s="19" t="s">
        <v>62</v>
      </c>
      <c r="D514" s="19" t="s">
        <v>64</v>
      </c>
      <c r="E514" s="19" t="s">
        <v>233</v>
      </c>
      <c r="F514" s="19">
        <v>900</v>
      </c>
      <c r="G514" s="19">
        <v>600</v>
      </c>
      <c r="H514" s="19" t="s">
        <v>67</v>
      </c>
      <c r="I514" s="19" t="s">
        <v>244</v>
      </c>
      <c r="J514" s="19" t="s">
        <v>71</v>
      </c>
      <c r="K514" s="19" t="s">
        <v>72</v>
      </c>
      <c r="L514" s="19" t="s">
        <v>73</v>
      </c>
      <c r="M514" s="19" t="s">
        <v>76</v>
      </c>
      <c r="N514" s="19" t="s">
        <v>78</v>
      </c>
      <c r="O514" s="19" t="s">
        <v>79</v>
      </c>
      <c r="P514" s="19" t="s">
        <v>81</v>
      </c>
    </row>
    <row r="515" spans="1:16" ht="14.25" customHeight="1" x14ac:dyDescent="0.15">
      <c r="A515" s="21"/>
      <c r="B515" s="21"/>
      <c r="C515" s="44" t="s">
        <v>245</v>
      </c>
      <c r="D515" s="21"/>
      <c r="E515" s="21">
        <v>6</v>
      </c>
      <c r="F515" s="23" t="str">
        <f t="shared" ref="F515:G515" si="347">F508</f>
        <v>4000</v>
      </c>
      <c r="G515" s="23" t="str">
        <f t="shared" si="347"/>
        <v>3800</v>
      </c>
      <c r="H515" s="21">
        <v>380</v>
      </c>
      <c r="I515" s="23" t="str">
        <f t="shared" ref="I515:J515" si="348">I508</f>
        <v>1500</v>
      </c>
      <c r="J515" s="21">
        <f t="shared" si="348"/>
        <v>1000</v>
      </c>
      <c r="K515" s="21">
        <v>585</v>
      </c>
      <c r="L515" s="23" t="str">
        <f>L508</f>
        <v>1500</v>
      </c>
      <c r="M515" s="21"/>
      <c r="N515" s="21"/>
      <c r="O515" s="21">
        <f>O508</f>
        <v>2</v>
      </c>
      <c r="P515" s="21"/>
    </row>
    <row r="516" spans="1:16" ht="14.25" customHeight="1" x14ac:dyDescent="0.15">
      <c r="A516" s="19">
        <v>1</v>
      </c>
      <c r="B516" s="19">
        <v>1.8</v>
      </c>
      <c r="C516" s="19">
        <f>0.75+0.3</f>
        <v>1.05</v>
      </c>
      <c r="D516" s="19">
        <f>B516*C516</f>
        <v>1.8900000000000001</v>
      </c>
      <c r="E516" s="19">
        <v>2.5</v>
      </c>
      <c r="F516" s="19"/>
      <c r="G516" s="19"/>
      <c r="H516" s="19"/>
      <c r="I516" s="19">
        <v>1</v>
      </c>
      <c r="J516" s="19">
        <f>A516</f>
        <v>1</v>
      </c>
      <c r="K516" s="19">
        <f t="shared" ref="K516:L516" si="349">K509</f>
        <v>0</v>
      </c>
      <c r="L516" s="19">
        <f t="shared" si="349"/>
        <v>1</v>
      </c>
      <c r="M516" s="19"/>
      <c r="N516" s="19"/>
      <c r="O516" s="19"/>
      <c r="P516" s="19"/>
    </row>
    <row r="517" spans="1:16" ht="14.25" customHeight="1" x14ac:dyDescent="0.15">
      <c r="A517" s="19"/>
      <c r="B517" s="19"/>
      <c r="C517" s="19"/>
      <c r="D517" s="26" t="str">
        <f>D468</f>
        <v>9500</v>
      </c>
      <c r="E517" s="26" t="str">
        <f>E475</f>
        <v>1500</v>
      </c>
      <c r="F517" s="19">
        <v>1</v>
      </c>
      <c r="G517" s="19">
        <v>0</v>
      </c>
      <c r="H517" s="19">
        <f>B516*2</f>
        <v>3.6</v>
      </c>
      <c r="I517" s="19"/>
      <c r="J517" s="19"/>
      <c r="K517" s="19"/>
      <c r="L517" s="19"/>
      <c r="M517" s="19"/>
      <c r="N517" s="19"/>
      <c r="O517" s="19"/>
      <c r="P517" s="19"/>
    </row>
    <row r="518" spans="1:16" ht="14.25" customHeight="1" x14ac:dyDescent="0.15">
      <c r="A518" s="19"/>
      <c r="B518" s="19"/>
      <c r="C518" s="19"/>
      <c r="D518" s="19">
        <f>D516*D517</f>
        <v>17955</v>
      </c>
      <c r="E518" s="19">
        <f>E517*E515</f>
        <v>9000</v>
      </c>
      <c r="F518" s="19">
        <f t="shared" ref="F518:H518" si="350">F515*F517</f>
        <v>4000</v>
      </c>
      <c r="G518" s="19">
        <f t="shared" si="350"/>
        <v>0</v>
      </c>
      <c r="H518" s="19">
        <f t="shared" si="350"/>
        <v>1368</v>
      </c>
      <c r="I518" s="19">
        <f t="shared" ref="I518:L518" si="351">I515*I516</f>
        <v>1500</v>
      </c>
      <c r="J518" s="19">
        <f t="shared" si="351"/>
        <v>1000</v>
      </c>
      <c r="K518" s="19">
        <f t="shared" si="351"/>
        <v>0</v>
      </c>
      <c r="L518" s="19">
        <f t="shared" si="351"/>
        <v>1500</v>
      </c>
      <c r="M518" s="19">
        <f>SUM(D518:L518)</f>
        <v>36323</v>
      </c>
      <c r="N518" s="19">
        <f>M518/A516</f>
        <v>36323</v>
      </c>
      <c r="O518" s="19">
        <f>N518*O515</f>
        <v>72646</v>
      </c>
      <c r="P518" s="19">
        <f>MROUND(O518,100)</f>
        <v>72600</v>
      </c>
    </row>
    <row r="519" spans="1:16" ht="14.25" customHeight="1" x14ac:dyDescent="0.15">
      <c r="A519" s="111"/>
      <c r="B519" s="87"/>
      <c r="C519" s="87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</row>
    <row r="520" spans="1:16" ht="14.25" customHeight="1" x14ac:dyDescent="0.15">
      <c r="A520" s="109" t="str">
        <f>PRICELIST!I618</f>
        <v>CBSTK-RST-LVP-1800x750+1800</v>
      </c>
      <c r="B520" s="87"/>
      <c r="C520" s="87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</row>
    <row r="521" spans="1:16" ht="14.25" customHeight="1" x14ac:dyDescent="0.15">
      <c r="A521" s="19" t="s">
        <v>57</v>
      </c>
      <c r="B521" s="19" t="s">
        <v>59</v>
      </c>
      <c r="C521" s="19" t="s">
        <v>62</v>
      </c>
      <c r="D521" s="19" t="s">
        <v>64</v>
      </c>
      <c r="E521" s="19" t="s">
        <v>233</v>
      </c>
      <c r="F521" s="19">
        <v>900</v>
      </c>
      <c r="G521" s="19">
        <v>600</v>
      </c>
      <c r="H521" s="19" t="s">
        <v>67</v>
      </c>
      <c r="I521" s="19" t="s">
        <v>244</v>
      </c>
      <c r="J521" s="19" t="s">
        <v>71</v>
      </c>
      <c r="K521" s="19" t="s">
        <v>72</v>
      </c>
      <c r="L521" s="19" t="s">
        <v>73</v>
      </c>
      <c r="M521" s="19" t="s">
        <v>76</v>
      </c>
      <c r="N521" s="19" t="s">
        <v>78</v>
      </c>
      <c r="O521" s="19" t="s">
        <v>79</v>
      </c>
      <c r="P521" s="19" t="s">
        <v>81</v>
      </c>
    </row>
    <row r="522" spans="1:16" ht="14.25" customHeight="1" x14ac:dyDescent="0.15">
      <c r="A522" s="21"/>
      <c r="B522" s="21"/>
      <c r="C522" s="44" t="s">
        <v>245</v>
      </c>
      <c r="D522" s="21"/>
      <c r="E522" s="21">
        <v>6</v>
      </c>
      <c r="F522" s="23" t="str">
        <f t="shared" ref="F522:G522" si="352">F515</f>
        <v>4000</v>
      </c>
      <c r="G522" s="23" t="str">
        <f t="shared" si="352"/>
        <v>3800</v>
      </c>
      <c r="H522" s="21">
        <v>380</v>
      </c>
      <c r="I522" s="23" t="str">
        <f t="shared" ref="I522:J522" si="353">I515</f>
        <v>1500</v>
      </c>
      <c r="J522" s="21">
        <f t="shared" si="353"/>
        <v>1000</v>
      </c>
      <c r="K522" s="21">
        <v>585</v>
      </c>
      <c r="L522" s="23" t="str">
        <f>L515</f>
        <v>1500</v>
      </c>
      <c r="M522" s="21"/>
      <c r="N522" s="21"/>
      <c r="O522" s="21">
        <f>O515</f>
        <v>2</v>
      </c>
      <c r="P522" s="21"/>
    </row>
    <row r="523" spans="1:16" ht="14.25" customHeight="1" x14ac:dyDescent="0.15">
      <c r="A523" s="19">
        <v>1</v>
      </c>
      <c r="B523" s="19">
        <v>1.8</v>
      </c>
      <c r="C523" s="19">
        <f>0.75+0.3</f>
        <v>1.05</v>
      </c>
      <c r="D523" s="19">
        <f>B523*C523</f>
        <v>1.8900000000000001</v>
      </c>
      <c r="E523" s="19">
        <v>2.5</v>
      </c>
      <c r="F523" s="19"/>
      <c r="G523" s="19"/>
      <c r="H523" s="19"/>
      <c r="I523" s="19">
        <v>1</v>
      </c>
      <c r="J523" s="19">
        <f>A523</f>
        <v>1</v>
      </c>
      <c r="K523" s="19">
        <f t="shared" ref="K523:L523" si="354">K516</f>
        <v>0</v>
      </c>
      <c r="L523" s="19">
        <f t="shared" si="354"/>
        <v>1</v>
      </c>
      <c r="M523" s="19"/>
      <c r="N523" s="19"/>
      <c r="O523" s="19"/>
      <c r="P523" s="19"/>
    </row>
    <row r="524" spans="1:16" ht="14.25" customHeight="1" x14ac:dyDescent="0.15">
      <c r="A524" s="19"/>
      <c r="B524" s="19"/>
      <c r="C524" s="19"/>
      <c r="D524" s="26" t="str">
        <f>D475</f>
        <v>10500</v>
      </c>
      <c r="E524" s="26" t="str">
        <f>E517</f>
        <v>1500</v>
      </c>
      <c r="F524" s="19">
        <v>1</v>
      </c>
      <c r="G524" s="19">
        <v>0</v>
      </c>
      <c r="H524" s="19">
        <f>B523*2</f>
        <v>3.6</v>
      </c>
      <c r="I524" s="19"/>
      <c r="J524" s="19"/>
      <c r="K524" s="19"/>
      <c r="L524" s="19"/>
      <c r="M524" s="19"/>
      <c r="N524" s="19"/>
      <c r="O524" s="19"/>
      <c r="P524" s="19"/>
    </row>
    <row r="525" spans="1:16" ht="14.25" customHeight="1" x14ac:dyDescent="0.15">
      <c r="A525" s="19"/>
      <c r="B525" s="19"/>
      <c r="C525" s="19"/>
      <c r="D525" s="19">
        <f>D523*D524</f>
        <v>19845</v>
      </c>
      <c r="E525" s="19">
        <f>E524*E522</f>
        <v>9000</v>
      </c>
      <c r="F525" s="19">
        <f t="shared" ref="F525:H525" si="355">F522*F524</f>
        <v>4000</v>
      </c>
      <c r="G525" s="19">
        <f t="shared" si="355"/>
        <v>0</v>
      </c>
      <c r="H525" s="19">
        <f t="shared" si="355"/>
        <v>1368</v>
      </c>
      <c r="I525" s="19">
        <f t="shared" ref="I525:L525" si="356">I522*I523</f>
        <v>1500</v>
      </c>
      <c r="J525" s="19">
        <f t="shared" si="356"/>
        <v>1000</v>
      </c>
      <c r="K525" s="19">
        <f t="shared" si="356"/>
        <v>0</v>
      </c>
      <c r="L525" s="19">
        <f t="shared" si="356"/>
        <v>1500</v>
      </c>
      <c r="M525" s="19">
        <f>SUM(D525:L525)</f>
        <v>38213</v>
      </c>
      <c r="N525" s="19">
        <f>M525/A523</f>
        <v>38213</v>
      </c>
      <c r="O525" s="19">
        <f>N525*O522</f>
        <v>76426</v>
      </c>
      <c r="P525" s="19">
        <f>MROUND(O525,100)</f>
        <v>76400</v>
      </c>
    </row>
    <row r="526" spans="1:16" ht="14.25" customHeight="1" x14ac:dyDescent="0.15">
      <c r="A526" s="111"/>
      <c r="B526" s="87"/>
      <c r="C526" s="87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</row>
    <row r="527" spans="1:16" ht="14.25" customHeight="1" x14ac:dyDescent="0.15">
      <c r="A527" s="109" t="str">
        <f>PRICELIST!I619</f>
        <v>CBSTK-RST-VNR-1800x750+1800</v>
      </c>
      <c r="B527" s="87"/>
      <c r="C527" s="87"/>
      <c r="D527" s="19"/>
      <c r="E527" s="19"/>
      <c r="F527" s="30"/>
      <c r="G527" s="30"/>
      <c r="H527" s="21"/>
      <c r="I527" s="21"/>
      <c r="J527" s="21"/>
      <c r="K527" s="21"/>
      <c r="L527" s="21"/>
      <c r="M527" s="21"/>
      <c r="N527" s="21"/>
      <c r="O527" s="21"/>
      <c r="P527" s="21"/>
    </row>
    <row r="528" spans="1:16" ht="14.25" customHeight="1" x14ac:dyDescent="0.15">
      <c r="A528" s="19" t="s">
        <v>57</v>
      </c>
      <c r="B528" s="19" t="s">
        <v>59</v>
      </c>
      <c r="C528" s="19" t="s">
        <v>62</v>
      </c>
      <c r="D528" s="19" t="s">
        <v>64</v>
      </c>
      <c r="E528" s="19" t="s">
        <v>233</v>
      </c>
      <c r="F528" s="19">
        <v>900</v>
      </c>
      <c r="G528" s="19">
        <v>600</v>
      </c>
      <c r="H528" s="19" t="s">
        <v>67</v>
      </c>
      <c r="I528" s="19" t="s">
        <v>244</v>
      </c>
      <c r="J528" s="19" t="s">
        <v>71</v>
      </c>
      <c r="K528" s="19" t="s">
        <v>72</v>
      </c>
      <c r="L528" s="19" t="s">
        <v>73</v>
      </c>
      <c r="M528" s="19" t="s">
        <v>76</v>
      </c>
      <c r="N528" s="19" t="s">
        <v>78</v>
      </c>
      <c r="O528" s="19" t="s">
        <v>79</v>
      </c>
      <c r="P528" s="19" t="s">
        <v>81</v>
      </c>
    </row>
    <row r="529" spans="1:16" ht="14.25" customHeight="1" x14ac:dyDescent="0.15">
      <c r="A529" s="21"/>
      <c r="B529" s="21"/>
      <c r="C529" s="44" t="s">
        <v>245</v>
      </c>
      <c r="D529" s="21"/>
      <c r="E529" s="21">
        <v>6</v>
      </c>
      <c r="F529" s="23" t="str">
        <f t="shared" ref="F529:G529" si="357">F522</f>
        <v>4000</v>
      </c>
      <c r="G529" s="23" t="str">
        <f t="shared" si="357"/>
        <v>3800</v>
      </c>
      <c r="H529" s="21">
        <v>380</v>
      </c>
      <c r="I529" s="23" t="str">
        <f t="shared" ref="I529:J529" si="358">I522</f>
        <v>1500</v>
      </c>
      <c r="J529" s="21">
        <f t="shared" si="358"/>
        <v>1000</v>
      </c>
      <c r="K529" s="21">
        <v>585</v>
      </c>
      <c r="L529" s="23" t="str">
        <f>L522</f>
        <v>1500</v>
      </c>
      <c r="M529" s="21"/>
      <c r="N529" s="21"/>
      <c r="O529" s="21">
        <f>O522</f>
        <v>2</v>
      </c>
      <c r="P529" s="21"/>
    </row>
    <row r="530" spans="1:16" ht="14.25" customHeight="1" x14ac:dyDescent="0.15">
      <c r="A530" s="19">
        <v>1</v>
      </c>
      <c r="B530" s="19">
        <v>1.8</v>
      </c>
      <c r="C530" s="19">
        <f>0.75+0.3</f>
        <v>1.05</v>
      </c>
      <c r="D530" s="19">
        <f>B530*C530</f>
        <v>1.8900000000000001</v>
      </c>
      <c r="E530" s="19">
        <v>2.5</v>
      </c>
      <c r="F530" s="19"/>
      <c r="G530" s="19"/>
      <c r="H530" s="19"/>
      <c r="I530" s="19">
        <v>1</v>
      </c>
      <c r="J530" s="19">
        <f>A530</f>
        <v>1</v>
      </c>
      <c r="K530" s="19">
        <f t="shared" ref="K530:L530" si="359">K523</f>
        <v>0</v>
      </c>
      <c r="L530" s="19">
        <f t="shared" si="359"/>
        <v>1</v>
      </c>
      <c r="M530" s="19"/>
      <c r="N530" s="19"/>
      <c r="O530" s="19"/>
      <c r="P530" s="19"/>
    </row>
    <row r="531" spans="1:16" ht="14.25" customHeight="1" x14ac:dyDescent="0.15">
      <c r="A531" s="19"/>
      <c r="B531" s="19"/>
      <c r="C531" s="19"/>
      <c r="D531" s="26" t="str">
        <f>D482</f>
        <v>30000</v>
      </c>
      <c r="E531" s="26" t="str">
        <f>E524</f>
        <v>1500</v>
      </c>
      <c r="F531" s="19">
        <v>1</v>
      </c>
      <c r="G531" s="19">
        <v>0</v>
      </c>
      <c r="H531" s="19">
        <f>B530*2</f>
        <v>3.6</v>
      </c>
      <c r="I531" s="19"/>
      <c r="J531" s="19"/>
      <c r="K531" s="19"/>
      <c r="L531" s="19"/>
      <c r="M531" s="19"/>
      <c r="N531" s="19"/>
      <c r="O531" s="19"/>
      <c r="P531" s="19"/>
    </row>
    <row r="532" spans="1:16" ht="14.25" customHeight="1" x14ac:dyDescent="0.15">
      <c r="A532" s="19"/>
      <c r="B532" s="19"/>
      <c r="C532" s="19"/>
      <c r="D532" s="19">
        <f>D530*D531</f>
        <v>56700.000000000007</v>
      </c>
      <c r="E532" s="19">
        <f>E531*E529</f>
        <v>9000</v>
      </c>
      <c r="F532" s="19">
        <f t="shared" ref="F532:H532" si="360">F529*F531</f>
        <v>4000</v>
      </c>
      <c r="G532" s="19">
        <f t="shared" si="360"/>
        <v>0</v>
      </c>
      <c r="H532" s="19">
        <f t="shared" si="360"/>
        <v>1368</v>
      </c>
      <c r="I532" s="19">
        <f t="shared" ref="I532:L532" si="361">I529*I530</f>
        <v>1500</v>
      </c>
      <c r="J532" s="19">
        <f t="shared" si="361"/>
        <v>1000</v>
      </c>
      <c r="K532" s="19">
        <f t="shared" si="361"/>
        <v>0</v>
      </c>
      <c r="L532" s="19">
        <f t="shared" si="361"/>
        <v>1500</v>
      </c>
      <c r="M532" s="19">
        <f>SUM(D532:L532)</f>
        <v>75068</v>
      </c>
      <c r="N532" s="19">
        <f>M532/A530</f>
        <v>75068</v>
      </c>
      <c r="O532" s="19">
        <f>N532*O529</f>
        <v>150136</v>
      </c>
      <c r="P532" s="19">
        <f>MROUND(O532,100)</f>
        <v>150100</v>
      </c>
    </row>
    <row r="533" spans="1:16" ht="14.25" customHeight="1" x14ac:dyDescent="0.15">
      <c r="A533" s="111"/>
      <c r="B533" s="87"/>
      <c r="C533" s="87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</row>
    <row r="534" spans="1:16" ht="14.25" customHeight="1" x14ac:dyDescent="0.15">
      <c r="A534" s="109" t="str">
        <f>PRICELIST!I620</f>
        <v>CBSTK-RST-GL-1800x750+1800</v>
      </c>
      <c r="B534" s="87"/>
      <c r="C534" s="87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</row>
    <row r="535" spans="1:16" ht="14.25" customHeight="1" x14ac:dyDescent="0.15">
      <c r="A535" s="19" t="s">
        <v>57</v>
      </c>
      <c r="B535" s="19" t="s">
        <v>59</v>
      </c>
      <c r="C535" s="19" t="s">
        <v>62</v>
      </c>
      <c r="D535" s="19" t="s">
        <v>64</v>
      </c>
      <c r="E535" s="19" t="s">
        <v>233</v>
      </c>
      <c r="F535" s="19">
        <v>900</v>
      </c>
      <c r="G535" s="19">
        <v>600</v>
      </c>
      <c r="H535" s="19" t="s">
        <v>67</v>
      </c>
      <c r="I535" s="19" t="s">
        <v>244</v>
      </c>
      <c r="J535" s="19" t="s">
        <v>71</v>
      </c>
      <c r="K535" s="19" t="s">
        <v>72</v>
      </c>
      <c r="L535" s="19" t="s">
        <v>73</v>
      </c>
      <c r="M535" s="19" t="s">
        <v>76</v>
      </c>
      <c r="N535" s="19" t="s">
        <v>78</v>
      </c>
      <c r="O535" s="19" t="s">
        <v>79</v>
      </c>
      <c r="P535" s="19" t="s">
        <v>81</v>
      </c>
    </row>
    <row r="536" spans="1:16" ht="14.25" customHeight="1" x14ac:dyDescent="0.15">
      <c r="A536" s="21"/>
      <c r="B536" s="21"/>
      <c r="C536" s="44" t="s">
        <v>245</v>
      </c>
      <c r="D536" s="21"/>
      <c r="E536" s="21">
        <v>6</v>
      </c>
      <c r="F536" s="23" t="str">
        <f t="shared" ref="F536:G536" si="362">F529</f>
        <v>4000</v>
      </c>
      <c r="G536" s="23" t="str">
        <f t="shared" si="362"/>
        <v>3800</v>
      </c>
      <c r="H536" s="21">
        <v>380</v>
      </c>
      <c r="I536" s="23" t="str">
        <f t="shared" ref="I536:J536" si="363">I529</f>
        <v>1500</v>
      </c>
      <c r="J536" s="21">
        <f t="shared" si="363"/>
        <v>1000</v>
      </c>
      <c r="K536" s="21">
        <v>585</v>
      </c>
      <c r="L536" s="23" t="str">
        <f>L529</f>
        <v>1500</v>
      </c>
      <c r="M536" s="21"/>
      <c r="N536" s="21"/>
      <c r="O536" s="21">
        <f>O529</f>
        <v>2</v>
      </c>
      <c r="P536" s="21"/>
    </row>
    <row r="537" spans="1:16" ht="14.25" customHeight="1" x14ac:dyDescent="0.15">
      <c r="A537" s="19">
        <v>1</v>
      </c>
      <c r="B537" s="19">
        <v>1.8</v>
      </c>
      <c r="C537" s="19">
        <f>0.75+0.3</f>
        <v>1.05</v>
      </c>
      <c r="D537" s="19">
        <f>B537*C537</f>
        <v>1.8900000000000001</v>
      </c>
      <c r="E537" s="19">
        <v>2.5</v>
      </c>
      <c r="F537" s="19"/>
      <c r="G537" s="19"/>
      <c r="H537" s="19"/>
      <c r="I537" s="19">
        <v>1</v>
      </c>
      <c r="J537" s="19">
        <f>A537</f>
        <v>1</v>
      </c>
      <c r="K537" s="19">
        <f t="shared" ref="K537:L537" si="364">K530</f>
        <v>0</v>
      </c>
      <c r="L537" s="19">
        <f t="shared" si="364"/>
        <v>1</v>
      </c>
      <c r="M537" s="19"/>
      <c r="N537" s="19"/>
      <c r="O537" s="19"/>
      <c r="P537" s="19"/>
    </row>
    <row r="538" spans="1:16" ht="14.25" customHeight="1" x14ac:dyDescent="0.15">
      <c r="A538" s="19"/>
      <c r="B538" s="19"/>
      <c r="C538" s="19"/>
      <c r="D538" s="26" t="str">
        <f>D489</f>
        <v>7500</v>
      </c>
      <c r="E538" s="26" t="str">
        <f>E531</f>
        <v>1500</v>
      </c>
      <c r="F538" s="19">
        <v>1</v>
      </c>
      <c r="G538" s="19">
        <v>0</v>
      </c>
      <c r="H538" s="19">
        <f>B537*2</f>
        <v>3.6</v>
      </c>
      <c r="I538" s="19"/>
      <c r="J538" s="19"/>
      <c r="K538" s="19"/>
      <c r="L538" s="19"/>
      <c r="M538" s="19"/>
      <c r="N538" s="19"/>
      <c r="O538" s="19"/>
      <c r="P538" s="19"/>
    </row>
    <row r="539" spans="1:16" ht="14.25" customHeight="1" x14ac:dyDescent="0.15">
      <c r="A539" s="19"/>
      <c r="B539" s="19"/>
      <c r="C539" s="19"/>
      <c r="D539" s="19">
        <f>D537*D538</f>
        <v>14175.000000000002</v>
      </c>
      <c r="E539" s="19">
        <f>E538*E536</f>
        <v>9000</v>
      </c>
      <c r="F539" s="19">
        <f t="shared" ref="F539:H539" si="365">F536*F538</f>
        <v>4000</v>
      </c>
      <c r="G539" s="19">
        <f t="shared" si="365"/>
        <v>0</v>
      </c>
      <c r="H539" s="19">
        <f t="shared" si="365"/>
        <v>1368</v>
      </c>
      <c r="I539" s="19">
        <f t="shared" ref="I539:L539" si="366">I536*I537</f>
        <v>1500</v>
      </c>
      <c r="J539" s="19">
        <f t="shared" si="366"/>
        <v>1000</v>
      </c>
      <c r="K539" s="19">
        <f t="shared" si="366"/>
        <v>0</v>
      </c>
      <c r="L539" s="19">
        <f t="shared" si="366"/>
        <v>1500</v>
      </c>
      <c r="M539" s="19">
        <f>SUM(D539:L539)</f>
        <v>32543</v>
      </c>
      <c r="N539" s="19">
        <f>M539/A537</f>
        <v>32543</v>
      </c>
      <c r="O539" s="19">
        <f>N539*O536</f>
        <v>65086</v>
      </c>
      <c r="P539" s="19">
        <f>MROUND(O539,100)</f>
        <v>65100</v>
      </c>
    </row>
    <row r="540" spans="1:16" ht="14.25" customHeight="1" x14ac:dyDescent="0.15">
      <c r="A540" s="111"/>
      <c r="B540" s="87"/>
      <c r="C540" s="87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</row>
    <row r="541" spans="1:16" ht="14.25" customHeight="1" x14ac:dyDescent="0.15">
      <c r="A541" s="109" t="str">
        <f>PRICELIST!I621</f>
        <v>CBSTK-RST-PB-2100x900+1800</v>
      </c>
      <c r="B541" s="87"/>
      <c r="C541" s="87"/>
      <c r="D541" s="30"/>
      <c r="E541" s="30"/>
      <c r="F541" s="21"/>
      <c r="G541" s="21"/>
      <c r="H541" s="19"/>
      <c r="I541" s="19"/>
      <c r="J541" s="19"/>
      <c r="K541" s="19"/>
      <c r="L541" s="19"/>
      <c r="M541" s="19"/>
      <c r="N541" s="19"/>
      <c r="O541" s="19"/>
      <c r="P541" s="19"/>
    </row>
    <row r="542" spans="1:16" ht="14.25" customHeight="1" x14ac:dyDescent="0.15">
      <c r="A542" s="19" t="s">
        <v>57</v>
      </c>
      <c r="B542" s="19" t="s">
        <v>59</v>
      </c>
      <c r="C542" s="19" t="s">
        <v>62</v>
      </c>
      <c r="D542" s="19" t="s">
        <v>64</v>
      </c>
      <c r="E542" s="19" t="s">
        <v>233</v>
      </c>
      <c r="F542" s="19">
        <v>900</v>
      </c>
      <c r="G542" s="19">
        <v>600</v>
      </c>
      <c r="H542" s="19" t="s">
        <v>67</v>
      </c>
      <c r="I542" s="19" t="s">
        <v>244</v>
      </c>
      <c r="J542" s="19" t="s">
        <v>71</v>
      </c>
      <c r="K542" s="19" t="s">
        <v>72</v>
      </c>
      <c r="L542" s="19" t="s">
        <v>73</v>
      </c>
      <c r="M542" s="19" t="s">
        <v>76</v>
      </c>
      <c r="N542" s="19" t="s">
        <v>78</v>
      </c>
      <c r="O542" s="19" t="s">
        <v>79</v>
      </c>
      <c r="P542" s="19" t="s">
        <v>81</v>
      </c>
    </row>
    <row r="543" spans="1:16" ht="14.25" customHeight="1" x14ac:dyDescent="0.15">
      <c r="A543" s="21"/>
      <c r="B543" s="21"/>
      <c r="C543" s="44" t="s">
        <v>245</v>
      </c>
      <c r="D543" s="21"/>
      <c r="E543" s="21">
        <v>6</v>
      </c>
      <c r="F543" s="23" t="str">
        <f t="shared" ref="F543:G543" si="367">F536</f>
        <v>4000</v>
      </c>
      <c r="G543" s="23" t="str">
        <f t="shared" si="367"/>
        <v>3800</v>
      </c>
      <c r="H543" s="21">
        <v>380</v>
      </c>
      <c r="I543" s="23" t="str">
        <f t="shared" ref="I543:J543" si="368">I536</f>
        <v>1500</v>
      </c>
      <c r="J543" s="21">
        <f t="shared" si="368"/>
        <v>1000</v>
      </c>
      <c r="K543" s="21">
        <v>585</v>
      </c>
      <c r="L543" s="23" t="str">
        <f>L536</f>
        <v>1500</v>
      </c>
      <c r="M543" s="21"/>
      <c r="N543" s="21"/>
      <c r="O543" s="21">
        <f>O536</f>
        <v>2</v>
      </c>
      <c r="P543" s="21"/>
    </row>
    <row r="544" spans="1:16" ht="14.25" customHeight="1" x14ac:dyDescent="0.15">
      <c r="A544" s="19">
        <v>1</v>
      </c>
      <c r="B544" s="19">
        <v>2.1</v>
      </c>
      <c r="C544" s="19">
        <v>1.2</v>
      </c>
      <c r="D544" s="19">
        <f>B544*C544</f>
        <v>2.52</v>
      </c>
      <c r="E544" s="19">
        <v>2.5</v>
      </c>
      <c r="F544" s="19"/>
      <c r="G544" s="19"/>
      <c r="H544" s="19"/>
      <c r="I544" s="19">
        <v>1</v>
      </c>
      <c r="J544" s="19">
        <f>A544</f>
        <v>1</v>
      </c>
      <c r="K544" s="19">
        <f t="shared" ref="K544:L544" si="369">K537</f>
        <v>0</v>
      </c>
      <c r="L544" s="19">
        <f t="shared" si="369"/>
        <v>1</v>
      </c>
      <c r="M544" s="19"/>
      <c r="N544" s="19"/>
      <c r="O544" s="19"/>
      <c r="P544" s="19"/>
    </row>
    <row r="545" spans="1:16" ht="14.25" customHeight="1" x14ac:dyDescent="0.15">
      <c r="A545" s="19"/>
      <c r="B545" s="19"/>
      <c r="C545" s="19"/>
      <c r="D545" s="26" t="str">
        <f t="shared" ref="D545:E545" si="370">D496</f>
        <v>2200</v>
      </c>
      <c r="E545" s="26" t="str">
        <f t="shared" si="370"/>
        <v>1000</v>
      </c>
      <c r="F545" s="19">
        <v>1</v>
      </c>
      <c r="G545" s="19">
        <v>0</v>
      </c>
      <c r="H545" s="19">
        <f>B544*2</f>
        <v>4.2</v>
      </c>
      <c r="I545" s="19"/>
      <c r="J545" s="19"/>
      <c r="K545" s="19"/>
      <c r="L545" s="19"/>
      <c r="M545" s="19"/>
      <c r="N545" s="19"/>
      <c r="O545" s="19"/>
      <c r="P545" s="19"/>
    </row>
    <row r="546" spans="1:16" ht="14.25" customHeight="1" x14ac:dyDescent="0.15">
      <c r="A546" s="19"/>
      <c r="B546" s="19"/>
      <c r="C546" s="19"/>
      <c r="D546" s="19">
        <f>D544*D545</f>
        <v>5544</v>
      </c>
      <c r="E546" s="19">
        <f>E545*E543</f>
        <v>6000</v>
      </c>
      <c r="F546" s="19">
        <f t="shared" ref="F546:H546" si="371">F543*F545</f>
        <v>4000</v>
      </c>
      <c r="G546" s="19">
        <f t="shared" si="371"/>
        <v>0</v>
      </c>
      <c r="H546" s="19">
        <f t="shared" si="371"/>
        <v>1596</v>
      </c>
      <c r="I546" s="19">
        <f t="shared" ref="I546:L546" si="372">I543*I544</f>
        <v>1500</v>
      </c>
      <c r="J546" s="19">
        <f t="shared" si="372"/>
        <v>1000</v>
      </c>
      <c r="K546" s="19">
        <f t="shared" si="372"/>
        <v>0</v>
      </c>
      <c r="L546" s="19">
        <f t="shared" si="372"/>
        <v>1500</v>
      </c>
      <c r="M546" s="19">
        <f>SUM(D546:L546)</f>
        <v>21140</v>
      </c>
      <c r="N546" s="19">
        <f>M546/A544</f>
        <v>21140</v>
      </c>
      <c r="O546" s="19">
        <f>N546*O543</f>
        <v>42280</v>
      </c>
      <c r="P546" s="19">
        <f>MROUND(O546,100)</f>
        <v>42300</v>
      </c>
    </row>
    <row r="547" spans="1:16" ht="14.25" customHeight="1" x14ac:dyDescent="0.15">
      <c r="A547" s="111"/>
      <c r="B547" s="87"/>
      <c r="C547" s="87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</row>
    <row r="548" spans="1:16" ht="14.25" customHeight="1" x14ac:dyDescent="0.15">
      <c r="A548" s="109" t="str">
        <f>PRICELIST!I622</f>
        <v>CBSTK-RST-PLM-2100x900+1800</v>
      </c>
      <c r="B548" s="87"/>
      <c r="C548" s="87"/>
      <c r="D548" s="30"/>
      <c r="E548" s="30"/>
      <c r="F548" s="30"/>
      <c r="G548" s="30"/>
      <c r="H548" s="19"/>
      <c r="I548" s="19"/>
      <c r="J548" s="19"/>
      <c r="K548" s="19"/>
      <c r="L548" s="19"/>
      <c r="M548" s="19"/>
      <c r="N548" s="19"/>
      <c r="O548" s="19"/>
      <c r="P548" s="19"/>
    </row>
    <row r="549" spans="1:16" ht="14.25" customHeight="1" x14ac:dyDescent="0.15">
      <c r="A549" s="19" t="s">
        <v>57</v>
      </c>
      <c r="B549" s="19" t="s">
        <v>59</v>
      </c>
      <c r="C549" s="19" t="s">
        <v>62</v>
      </c>
      <c r="D549" s="19" t="s">
        <v>64</v>
      </c>
      <c r="E549" s="19" t="s">
        <v>233</v>
      </c>
      <c r="F549" s="19">
        <v>900</v>
      </c>
      <c r="G549" s="19">
        <v>600</v>
      </c>
      <c r="H549" s="19" t="s">
        <v>67</v>
      </c>
      <c r="I549" s="19" t="s">
        <v>244</v>
      </c>
      <c r="J549" s="19" t="s">
        <v>71</v>
      </c>
      <c r="K549" s="19" t="s">
        <v>72</v>
      </c>
      <c r="L549" s="19" t="s">
        <v>73</v>
      </c>
      <c r="M549" s="19" t="s">
        <v>76</v>
      </c>
      <c r="N549" s="19" t="s">
        <v>78</v>
      </c>
      <c r="O549" s="19" t="s">
        <v>79</v>
      </c>
      <c r="P549" s="19" t="s">
        <v>81</v>
      </c>
    </row>
    <row r="550" spans="1:16" ht="14.25" customHeight="1" x14ac:dyDescent="0.15">
      <c r="A550" s="21"/>
      <c r="B550" s="21"/>
      <c r="C550" s="44" t="s">
        <v>245</v>
      </c>
      <c r="D550" s="21"/>
      <c r="E550" s="21">
        <v>6</v>
      </c>
      <c r="F550" s="23" t="str">
        <f t="shared" ref="F550:G550" si="373">F543</f>
        <v>4000</v>
      </c>
      <c r="G550" s="23" t="str">
        <f t="shared" si="373"/>
        <v>3800</v>
      </c>
      <c r="H550" s="21">
        <v>380</v>
      </c>
      <c r="I550" s="23" t="str">
        <f t="shared" ref="I550:J550" si="374">I543</f>
        <v>1500</v>
      </c>
      <c r="J550" s="21">
        <f t="shared" si="374"/>
        <v>1000</v>
      </c>
      <c r="K550" s="21">
        <v>585</v>
      </c>
      <c r="L550" s="23" t="str">
        <f>L543</f>
        <v>1500</v>
      </c>
      <c r="M550" s="21"/>
      <c r="N550" s="21"/>
      <c r="O550" s="21">
        <f>O543</f>
        <v>2</v>
      </c>
      <c r="P550" s="21"/>
    </row>
    <row r="551" spans="1:16" ht="14.25" customHeight="1" x14ac:dyDescent="0.15">
      <c r="A551" s="19">
        <v>1</v>
      </c>
      <c r="B551" s="19">
        <v>2.1</v>
      </c>
      <c r="C551" s="19">
        <v>1.2</v>
      </c>
      <c r="D551" s="19">
        <f>B551*C551</f>
        <v>2.52</v>
      </c>
      <c r="E551" s="19">
        <v>2.5</v>
      </c>
      <c r="F551" s="19"/>
      <c r="G551" s="19"/>
      <c r="H551" s="19"/>
      <c r="I551" s="19">
        <v>1</v>
      </c>
      <c r="J551" s="19">
        <f>A551</f>
        <v>1</v>
      </c>
      <c r="K551" s="19">
        <f t="shared" ref="K551:L551" si="375">K544</f>
        <v>0</v>
      </c>
      <c r="L551" s="19">
        <f t="shared" si="375"/>
        <v>1</v>
      </c>
      <c r="M551" s="19"/>
      <c r="N551" s="19"/>
      <c r="O551" s="19"/>
      <c r="P551" s="19"/>
    </row>
    <row r="552" spans="1:16" ht="14.25" customHeight="1" x14ac:dyDescent="0.15">
      <c r="A552" s="19"/>
      <c r="B552" s="19"/>
      <c r="C552" s="19"/>
      <c r="D552" s="26" t="str">
        <f>D503</f>
        <v>3000</v>
      </c>
      <c r="E552" s="26" t="str">
        <f>E545</f>
        <v>1000</v>
      </c>
      <c r="F552" s="19">
        <v>1</v>
      </c>
      <c r="G552" s="19">
        <v>0</v>
      </c>
      <c r="H552" s="19">
        <f>B551*2</f>
        <v>4.2</v>
      </c>
      <c r="I552" s="19"/>
      <c r="J552" s="19"/>
      <c r="K552" s="19"/>
      <c r="L552" s="19"/>
      <c r="M552" s="19"/>
      <c r="N552" s="19"/>
      <c r="O552" s="19"/>
      <c r="P552" s="19"/>
    </row>
    <row r="553" spans="1:16" ht="14.25" customHeight="1" x14ac:dyDescent="0.15">
      <c r="A553" s="19"/>
      <c r="B553" s="19"/>
      <c r="C553" s="19"/>
      <c r="D553" s="19">
        <f>D551*D552</f>
        <v>7560</v>
      </c>
      <c r="E553" s="19">
        <f>E552*E550</f>
        <v>6000</v>
      </c>
      <c r="F553" s="19">
        <f t="shared" ref="F553:H553" si="376">F550*F552</f>
        <v>4000</v>
      </c>
      <c r="G553" s="19">
        <f t="shared" si="376"/>
        <v>0</v>
      </c>
      <c r="H553" s="19">
        <f t="shared" si="376"/>
        <v>1596</v>
      </c>
      <c r="I553" s="19">
        <f t="shared" ref="I553:L553" si="377">I550*I551</f>
        <v>1500</v>
      </c>
      <c r="J553" s="19">
        <f t="shared" si="377"/>
        <v>1000</v>
      </c>
      <c r="K553" s="19">
        <f t="shared" si="377"/>
        <v>0</v>
      </c>
      <c r="L553" s="19">
        <f t="shared" si="377"/>
        <v>1500</v>
      </c>
      <c r="M553" s="19">
        <f>SUM(D553:L553)</f>
        <v>23156</v>
      </c>
      <c r="N553" s="19">
        <f>M553/A551</f>
        <v>23156</v>
      </c>
      <c r="O553" s="19">
        <f>N553*O550</f>
        <v>46312</v>
      </c>
      <c r="P553" s="19">
        <f>MROUND(O553,100)</f>
        <v>46300</v>
      </c>
    </row>
    <row r="554" spans="1:16" ht="14.25" customHeight="1" x14ac:dyDescent="0.15">
      <c r="A554" s="111"/>
      <c r="B554" s="87"/>
      <c r="C554" s="87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</row>
    <row r="555" spans="1:16" ht="14.25" customHeight="1" x14ac:dyDescent="0.15">
      <c r="A555" s="109" t="str">
        <f>PRICELIST!I623</f>
        <v>CBSTK-RST-PoLM-2100x900+1800</v>
      </c>
      <c r="B555" s="87"/>
      <c r="C555" s="87"/>
      <c r="D555" s="19"/>
      <c r="E555" s="19"/>
      <c r="F555" s="30"/>
      <c r="G555" s="30"/>
      <c r="H555" s="19"/>
      <c r="I555" s="19"/>
      <c r="J555" s="19"/>
      <c r="K555" s="19"/>
      <c r="L555" s="19"/>
      <c r="M555" s="19"/>
      <c r="N555" s="19"/>
      <c r="O555" s="19"/>
      <c r="P555" s="19"/>
    </row>
    <row r="556" spans="1:16" ht="14.25" customHeight="1" x14ac:dyDescent="0.15">
      <c r="A556" s="19" t="s">
        <v>57</v>
      </c>
      <c r="B556" s="19" t="s">
        <v>59</v>
      </c>
      <c r="C556" s="19" t="s">
        <v>62</v>
      </c>
      <c r="D556" s="19" t="s">
        <v>64</v>
      </c>
      <c r="E556" s="19" t="s">
        <v>233</v>
      </c>
      <c r="F556" s="19">
        <v>900</v>
      </c>
      <c r="G556" s="19">
        <v>600</v>
      </c>
      <c r="H556" s="19" t="s">
        <v>67</v>
      </c>
      <c r="I556" s="19" t="s">
        <v>244</v>
      </c>
      <c r="J556" s="19" t="s">
        <v>71</v>
      </c>
      <c r="K556" s="19" t="s">
        <v>72</v>
      </c>
      <c r="L556" s="19" t="s">
        <v>73</v>
      </c>
      <c r="M556" s="19" t="s">
        <v>76</v>
      </c>
      <c r="N556" s="19" t="s">
        <v>78</v>
      </c>
      <c r="O556" s="19" t="s">
        <v>79</v>
      </c>
      <c r="P556" s="19" t="s">
        <v>81</v>
      </c>
    </row>
    <row r="557" spans="1:16" ht="14.25" customHeight="1" x14ac:dyDescent="0.15">
      <c r="A557" s="21"/>
      <c r="B557" s="21"/>
      <c r="C557" s="44" t="s">
        <v>245</v>
      </c>
      <c r="D557" s="21"/>
      <c r="E557" s="21">
        <v>6</v>
      </c>
      <c r="F557" s="23" t="str">
        <f t="shared" ref="F557:G557" si="378">F550</f>
        <v>4000</v>
      </c>
      <c r="G557" s="23" t="str">
        <f t="shared" si="378"/>
        <v>3800</v>
      </c>
      <c r="H557" s="21">
        <v>380</v>
      </c>
      <c r="I557" s="23" t="str">
        <f t="shared" ref="I557:J557" si="379">I550</f>
        <v>1500</v>
      </c>
      <c r="J557" s="21">
        <f t="shared" si="379"/>
        <v>1000</v>
      </c>
      <c r="K557" s="21">
        <v>585</v>
      </c>
      <c r="L557" s="23" t="str">
        <f>L550</f>
        <v>1500</v>
      </c>
      <c r="M557" s="21"/>
      <c r="N557" s="21"/>
      <c r="O557" s="21">
        <f>O550</f>
        <v>2</v>
      </c>
      <c r="P557" s="21"/>
    </row>
    <row r="558" spans="1:16" ht="14.25" customHeight="1" x14ac:dyDescent="0.15">
      <c r="A558" s="19">
        <v>1</v>
      </c>
      <c r="B558" s="19">
        <v>2.1</v>
      </c>
      <c r="C558" s="19">
        <v>1.2</v>
      </c>
      <c r="D558" s="19">
        <f>B558*C558</f>
        <v>2.52</v>
      </c>
      <c r="E558" s="19">
        <v>2.5</v>
      </c>
      <c r="F558" s="19"/>
      <c r="G558" s="19"/>
      <c r="H558" s="19"/>
      <c r="I558" s="19">
        <v>1</v>
      </c>
      <c r="J558" s="19">
        <f>A558</f>
        <v>1</v>
      </c>
      <c r="K558" s="19">
        <f t="shared" ref="K558:L558" si="380">K551</f>
        <v>0</v>
      </c>
      <c r="L558" s="19">
        <f t="shared" si="380"/>
        <v>1</v>
      </c>
      <c r="M558" s="19"/>
      <c r="N558" s="19"/>
      <c r="O558" s="19"/>
      <c r="P558" s="19"/>
    </row>
    <row r="559" spans="1:16" ht="14.25" customHeight="1" x14ac:dyDescent="0.15">
      <c r="A559" s="19"/>
      <c r="B559" s="19"/>
      <c r="C559" s="19"/>
      <c r="D559" s="26" t="str">
        <f>D510</f>
        <v>7500</v>
      </c>
      <c r="E559" s="26" t="str">
        <f>E552</f>
        <v>1000</v>
      </c>
      <c r="F559" s="19">
        <v>1</v>
      </c>
      <c r="G559" s="19">
        <v>0</v>
      </c>
      <c r="H559" s="19">
        <f>B558*2</f>
        <v>4.2</v>
      </c>
      <c r="I559" s="19"/>
      <c r="J559" s="19"/>
      <c r="K559" s="19"/>
      <c r="L559" s="19"/>
      <c r="M559" s="19"/>
      <c r="N559" s="19"/>
      <c r="O559" s="19"/>
      <c r="P559" s="19"/>
    </row>
    <row r="560" spans="1:16" ht="14.25" customHeight="1" x14ac:dyDescent="0.15">
      <c r="A560" s="19"/>
      <c r="B560" s="19"/>
      <c r="C560" s="19"/>
      <c r="D560" s="19">
        <f>D558*D559</f>
        <v>18900</v>
      </c>
      <c r="E560" s="19">
        <f>E559*E557</f>
        <v>6000</v>
      </c>
      <c r="F560" s="19">
        <f t="shared" ref="F560:H560" si="381">F557*F559</f>
        <v>4000</v>
      </c>
      <c r="G560" s="19">
        <f t="shared" si="381"/>
        <v>0</v>
      </c>
      <c r="H560" s="19">
        <f t="shared" si="381"/>
        <v>1596</v>
      </c>
      <c r="I560" s="19">
        <f t="shared" ref="I560:L560" si="382">I557*I558</f>
        <v>1500</v>
      </c>
      <c r="J560" s="19">
        <f t="shared" si="382"/>
        <v>1000</v>
      </c>
      <c r="K560" s="19">
        <f t="shared" si="382"/>
        <v>0</v>
      </c>
      <c r="L560" s="19">
        <f t="shared" si="382"/>
        <v>1500</v>
      </c>
      <c r="M560" s="19">
        <f>SUM(D560:L560)</f>
        <v>34496</v>
      </c>
      <c r="N560" s="19">
        <f>M560/A558</f>
        <v>34496</v>
      </c>
      <c r="O560" s="19">
        <f>N560*O557</f>
        <v>68992</v>
      </c>
      <c r="P560" s="19">
        <f>MROUND(O560,100)</f>
        <v>69000</v>
      </c>
    </row>
    <row r="561" spans="1:16" ht="14.25" customHeight="1" x14ac:dyDescent="0.15">
      <c r="A561" s="111"/>
      <c r="B561" s="87"/>
      <c r="C561" s="87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</row>
    <row r="562" spans="1:16" ht="14.25" customHeight="1" x14ac:dyDescent="0.15">
      <c r="A562" s="109" t="str">
        <f>PRICELIST!I624</f>
        <v>CBSTK-RST-LVM-2100x900+1800</v>
      </c>
      <c r="B562" s="87"/>
      <c r="C562" s="87"/>
      <c r="D562" s="21"/>
      <c r="E562" s="21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</row>
    <row r="563" spans="1:16" ht="14.25" customHeight="1" x14ac:dyDescent="0.15">
      <c r="A563" s="19" t="s">
        <v>57</v>
      </c>
      <c r="B563" s="19" t="s">
        <v>59</v>
      </c>
      <c r="C563" s="19" t="s">
        <v>62</v>
      </c>
      <c r="D563" s="19" t="s">
        <v>64</v>
      </c>
      <c r="E563" s="19" t="s">
        <v>233</v>
      </c>
      <c r="F563" s="19">
        <v>900</v>
      </c>
      <c r="G563" s="19">
        <v>600</v>
      </c>
      <c r="H563" s="19" t="s">
        <v>67</v>
      </c>
      <c r="I563" s="19" t="s">
        <v>244</v>
      </c>
      <c r="J563" s="19" t="s">
        <v>71</v>
      </c>
      <c r="K563" s="19" t="s">
        <v>72</v>
      </c>
      <c r="L563" s="19" t="s">
        <v>73</v>
      </c>
      <c r="M563" s="19" t="s">
        <v>76</v>
      </c>
      <c r="N563" s="19" t="s">
        <v>78</v>
      </c>
      <c r="O563" s="19" t="s">
        <v>79</v>
      </c>
      <c r="P563" s="19" t="s">
        <v>81</v>
      </c>
    </row>
    <row r="564" spans="1:16" ht="14.25" customHeight="1" x14ac:dyDescent="0.15">
      <c r="A564" s="21"/>
      <c r="B564" s="21"/>
      <c r="C564" s="44" t="s">
        <v>245</v>
      </c>
      <c r="D564" s="21"/>
      <c r="E564" s="21">
        <v>6</v>
      </c>
      <c r="F564" s="23" t="str">
        <f t="shared" ref="F564:G564" si="383">F557</f>
        <v>4000</v>
      </c>
      <c r="G564" s="23" t="str">
        <f t="shared" si="383"/>
        <v>3800</v>
      </c>
      <c r="H564" s="21">
        <v>380</v>
      </c>
      <c r="I564" s="23" t="str">
        <f t="shared" ref="I564:J564" si="384">I557</f>
        <v>1500</v>
      </c>
      <c r="J564" s="21">
        <f t="shared" si="384"/>
        <v>1000</v>
      </c>
      <c r="K564" s="21">
        <v>585</v>
      </c>
      <c r="L564" s="23" t="str">
        <f>L557</f>
        <v>1500</v>
      </c>
      <c r="M564" s="21"/>
      <c r="N564" s="21"/>
      <c r="O564" s="21">
        <f>O557</f>
        <v>2</v>
      </c>
      <c r="P564" s="21"/>
    </row>
    <row r="565" spans="1:16" ht="14.25" customHeight="1" x14ac:dyDescent="0.15">
      <c r="A565" s="19">
        <v>1</v>
      </c>
      <c r="B565" s="19">
        <v>2.1</v>
      </c>
      <c r="C565" s="19">
        <v>1.2</v>
      </c>
      <c r="D565" s="19">
        <f>B565*C565</f>
        <v>2.52</v>
      </c>
      <c r="E565" s="19">
        <v>2.5</v>
      </c>
      <c r="F565" s="19"/>
      <c r="G565" s="19"/>
      <c r="H565" s="19"/>
      <c r="I565" s="19">
        <v>1</v>
      </c>
      <c r="J565" s="19">
        <f>A565</f>
        <v>1</v>
      </c>
      <c r="K565" s="19">
        <f t="shared" ref="K565:L565" si="385">K558</f>
        <v>0</v>
      </c>
      <c r="L565" s="19">
        <f t="shared" si="385"/>
        <v>1</v>
      </c>
      <c r="M565" s="19"/>
      <c r="N565" s="19"/>
      <c r="O565" s="19"/>
      <c r="P565" s="19"/>
    </row>
    <row r="566" spans="1:16" ht="14.25" customHeight="1" x14ac:dyDescent="0.15">
      <c r="A566" s="19"/>
      <c r="B566" s="19"/>
      <c r="C566" s="19"/>
      <c r="D566" s="26" t="str">
        <f>D517</f>
        <v>9500</v>
      </c>
      <c r="E566" s="26" t="str">
        <f>E524</f>
        <v>1500</v>
      </c>
      <c r="F566" s="19">
        <v>1</v>
      </c>
      <c r="G566" s="19">
        <v>0</v>
      </c>
      <c r="H566" s="19">
        <f>B565*2</f>
        <v>4.2</v>
      </c>
      <c r="I566" s="19"/>
      <c r="J566" s="19"/>
      <c r="K566" s="19"/>
      <c r="L566" s="19"/>
      <c r="M566" s="19"/>
      <c r="N566" s="19"/>
      <c r="O566" s="19"/>
      <c r="P566" s="19"/>
    </row>
    <row r="567" spans="1:16" ht="14.25" customHeight="1" x14ac:dyDescent="0.15">
      <c r="A567" s="19"/>
      <c r="B567" s="19"/>
      <c r="C567" s="19"/>
      <c r="D567" s="19">
        <f>D565*D566</f>
        <v>23940</v>
      </c>
      <c r="E567" s="19">
        <f>E566*E564</f>
        <v>9000</v>
      </c>
      <c r="F567" s="19">
        <f t="shared" ref="F567:H567" si="386">F564*F566</f>
        <v>4000</v>
      </c>
      <c r="G567" s="19">
        <f t="shared" si="386"/>
        <v>0</v>
      </c>
      <c r="H567" s="19">
        <f t="shared" si="386"/>
        <v>1596</v>
      </c>
      <c r="I567" s="19">
        <f t="shared" ref="I567:L567" si="387">I564*I565</f>
        <v>1500</v>
      </c>
      <c r="J567" s="19">
        <f t="shared" si="387"/>
        <v>1000</v>
      </c>
      <c r="K567" s="19">
        <f t="shared" si="387"/>
        <v>0</v>
      </c>
      <c r="L567" s="19">
        <f t="shared" si="387"/>
        <v>1500</v>
      </c>
      <c r="M567" s="19">
        <f>SUM(D567:L567)</f>
        <v>42536</v>
      </c>
      <c r="N567" s="19">
        <f>M567/A565</f>
        <v>42536</v>
      </c>
      <c r="O567" s="19">
        <f>N567*O564</f>
        <v>85072</v>
      </c>
      <c r="P567" s="19">
        <f>MROUND(O567,100)</f>
        <v>85100</v>
      </c>
    </row>
    <row r="568" spans="1:16" ht="14.25" customHeight="1" x14ac:dyDescent="0.15">
      <c r="A568" s="111"/>
      <c r="B568" s="87"/>
      <c r="C568" s="87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</row>
    <row r="569" spans="1:16" ht="14.25" customHeight="1" x14ac:dyDescent="0.15">
      <c r="A569" s="109" t="str">
        <f>PRICELIST!I625</f>
        <v>CBSTK-RST-LVP-2100x900+1800</v>
      </c>
      <c r="B569" s="87"/>
      <c r="C569" s="87"/>
      <c r="D569" s="19"/>
      <c r="E569" s="19"/>
      <c r="F569" s="21"/>
      <c r="G569" s="21"/>
      <c r="H569" s="19"/>
      <c r="I569" s="19"/>
      <c r="J569" s="19"/>
      <c r="K569" s="19"/>
      <c r="L569" s="19"/>
      <c r="M569" s="19"/>
      <c r="N569" s="19"/>
      <c r="O569" s="19"/>
      <c r="P569" s="19"/>
    </row>
    <row r="570" spans="1:16" ht="14.25" customHeight="1" x14ac:dyDescent="0.15">
      <c r="A570" s="19" t="s">
        <v>57</v>
      </c>
      <c r="B570" s="19" t="s">
        <v>59</v>
      </c>
      <c r="C570" s="19" t="s">
        <v>62</v>
      </c>
      <c r="D570" s="19" t="s">
        <v>64</v>
      </c>
      <c r="E570" s="19" t="s">
        <v>233</v>
      </c>
      <c r="F570" s="19">
        <v>900</v>
      </c>
      <c r="G570" s="19">
        <v>600</v>
      </c>
      <c r="H570" s="19" t="s">
        <v>67</v>
      </c>
      <c r="I570" s="19" t="s">
        <v>244</v>
      </c>
      <c r="J570" s="19" t="s">
        <v>71</v>
      </c>
      <c r="K570" s="19" t="s">
        <v>72</v>
      </c>
      <c r="L570" s="19" t="s">
        <v>73</v>
      </c>
      <c r="M570" s="19" t="s">
        <v>76</v>
      </c>
      <c r="N570" s="19" t="s">
        <v>78</v>
      </c>
      <c r="O570" s="19" t="s">
        <v>79</v>
      </c>
      <c r="P570" s="19" t="s">
        <v>81</v>
      </c>
    </row>
    <row r="571" spans="1:16" ht="14.25" customHeight="1" x14ac:dyDescent="0.15">
      <c r="A571" s="21"/>
      <c r="B571" s="21"/>
      <c r="C571" s="44" t="s">
        <v>245</v>
      </c>
      <c r="D571" s="21"/>
      <c r="E571" s="21">
        <v>6</v>
      </c>
      <c r="F571" s="23" t="str">
        <f t="shared" ref="F571:G571" si="388">F564</f>
        <v>4000</v>
      </c>
      <c r="G571" s="23" t="str">
        <f t="shared" si="388"/>
        <v>3800</v>
      </c>
      <c r="H571" s="21">
        <v>380</v>
      </c>
      <c r="I571" s="23" t="str">
        <f t="shared" ref="I571:J571" si="389">I564</f>
        <v>1500</v>
      </c>
      <c r="J571" s="21">
        <f t="shared" si="389"/>
        <v>1000</v>
      </c>
      <c r="K571" s="21">
        <v>585</v>
      </c>
      <c r="L571" s="23" t="str">
        <f>L564</f>
        <v>1500</v>
      </c>
      <c r="M571" s="21"/>
      <c r="N571" s="21"/>
      <c r="O571" s="21">
        <f>O564</f>
        <v>2</v>
      </c>
      <c r="P571" s="21"/>
    </row>
    <row r="572" spans="1:16" ht="14.25" customHeight="1" x14ac:dyDescent="0.15">
      <c r="A572" s="19">
        <v>1</v>
      </c>
      <c r="B572" s="19">
        <v>2.1</v>
      </c>
      <c r="C572" s="19">
        <v>1.2</v>
      </c>
      <c r="D572" s="19">
        <f>B572*C572</f>
        <v>2.52</v>
      </c>
      <c r="E572" s="19">
        <v>2.5</v>
      </c>
      <c r="F572" s="19"/>
      <c r="G572" s="19"/>
      <c r="H572" s="19"/>
      <c r="I572" s="19">
        <v>1</v>
      </c>
      <c r="J572" s="19">
        <f>A572</f>
        <v>1</v>
      </c>
      <c r="K572" s="19">
        <f t="shared" ref="K572:L572" si="390">K565</f>
        <v>0</v>
      </c>
      <c r="L572" s="19">
        <f t="shared" si="390"/>
        <v>1</v>
      </c>
      <c r="M572" s="19"/>
      <c r="N572" s="19"/>
      <c r="O572" s="19"/>
      <c r="P572" s="19"/>
    </row>
    <row r="573" spans="1:16" ht="14.25" customHeight="1" x14ac:dyDescent="0.15">
      <c r="A573" s="19"/>
      <c r="B573" s="19"/>
      <c r="C573" s="19"/>
      <c r="D573" s="26" t="str">
        <f>D524</f>
        <v>10500</v>
      </c>
      <c r="E573" s="26" t="str">
        <f>E566</f>
        <v>1500</v>
      </c>
      <c r="F573" s="19">
        <v>1</v>
      </c>
      <c r="G573" s="19">
        <v>0</v>
      </c>
      <c r="H573" s="19">
        <f>B572*2</f>
        <v>4.2</v>
      </c>
      <c r="I573" s="19"/>
      <c r="J573" s="19"/>
      <c r="K573" s="19"/>
      <c r="L573" s="19"/>
      <c r="M573" s="19"/>
      <c r="N573" s="19"/>
      <c r="O573" s="19"/>
      <c r="P573" s="19"/>
    </row>
    <row r="574" spans="1:16" ht="14.25" customHeight="1" x14ac:dyDescent="0.15">
      <c r="A574" s="19"/>
      <c r="B574" s="19"/>
      <c r="C574" s="19"/>
      <c r="D574" s="19">
        <f>D572*D573</f>
        <v>26460</v>
      </c>
      <c r="E574" s="19">
        <f>E573*E571</f>
        <v>9000</v>
      </c>
      <c r="F574" s="19">
        <f t="shared" ref="F574:H574" si="391">F571*F573</f>
        <v>4000</v>
      </c>
      <c r="G574" s="19">
        <f t="shared" si="391"/>
        <v>0</v>
      </c>
      <c r="H574" s="19">
        <f t="shared" si="391"/>
        <v>1596</v>
      </c>
      <c r="I574" s="19">
        <f t="shared" ref="I574:L574" si="392">I571*I572</f>
        <v>1500</v>
      </c>
      <c r="J574" s="19">
        <f t="shared" si="392"/>
        <v>1000</v>
      </c>
      <c r="K574" s="19">
        <f t="shared" si="392"/>
        <v>0</v>
      </c>
      <c r="L574" s="19">
        <f t="shared" si="392"/>
        <v>1500</v>
      </c>
      <c r="M574" s="19">
        <f>SUM(D574:L574)</f>
        <v>45056</v>
      </c>
      <c r="N574" s="19">
        <f>M574/A572</f>
        <v>45056</v>
      </c>
      <c r="O574" s="19">
        <f>N574*O571</f>
        <v>90112</v>
      </c>
      <c r="P574" s="19">
        <f>MROUND(O574,100)</f>
        <v>90100</v>
      </c>
    </row>
    <row r="575" spans="1:16" ht="14.25" customHeight="1" x14ac:dyDescent="0.15">
      <c r="A575" s="111"/>
      <c r="B575" s="87"/>
      <c r="C575" s="87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</row>
    <row r="576" spans="1:16" ht="14.25" customHeight="1" x14ac:dyDescent="0.15">
      <c r="A576" s="109" t="str">
        <f>PRICELIST!I626</f>
        <v>CBSTK-RST-VNR-2100x900+1800</v>
      </c>
      <c r="B576" s="87"/>
      <c r="C576" s="87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</row>
    <row r="577" spans="1:16" ht="14.25" customHeight="1" x14ac:dyDescent="0.15">
      <c r="A577" s="19" t="s">
        <v>57</v>
      </c>
      <c r="B577" s="19" t="s">
        <v>59</v>
      </c>
      <c r="C577" s="19" t="s">
        <v>62</v>
      </c>
      <c r="D577" s="19" t="s">
        <v>64</v>
      </c>
      <c r="E577" s="19" t="s">
        <v>233</v>
      </c>
      <c r="F577" s="19">
        <v>900</v>
      </c>
      <c r="G577" s="19">
        <v>600</v>
      </c>
      <c r="H577" s="19" t="s">
        <v>67</v>
      </c>
      <c r="I577" s="19" t="s">
        <v>244</v>
      </c>
      <c r="J577" s="19" t="s">
        <v>71</v>
      </c>
      <c r="K577" s="19" t="s">
        <v>72</v>
      </c>
      <c r="L577" s="19" t="s">
        <v>73</v>
      </c>
      <c r="M577" s="19" t="s">
        <v>76</v>
      </c>
      <c r="N577" s="19" t="s">
        <v>78</v>
      </c>
      <c r="O577" s="19" t="s">
        <v>79</v>
      </c>
      <c r="P577" s="19" t="s">
        <v>81</v>
      </c>
    </row>
    <row r="578" spans="1:16" ht="14.25" customHeight="1" x14ac:dyDescent="0.15">
      <c r="A578" s="21"/>
      <c r="B578" s="21"/>
      <c r="C578" s="44" t="s">
        <v>245</v>
      </c>
      <c r="D578" s="21"/>
      <c r="E578" s="21">
        <v>6</v>
      </c>
      <c r="F578" s="23" t="str">
        <f t="shared" ref="F578:G578" si="393">F571</f>
        <v>4000</v>
      </c>
      <c r="G578" s="23" t="str">
        <f t="shared" si="393"/>
        <v>3800</v>
      </c>
      <c r="H578" s="21">
        <v>380</v>
      </c>
      <c r="I578" s="23" t="str">
        <f t="shared" ref="I578:J578" si="394">I571</f>
        <v>1500</v>
      </c>
      <c r="J578" s="21">
        <f t="shared" si="394"/>
        <v>1000</v>
      </c>
      <c r="K578" s="21">
        <v>585</v>
      </c>
      <c r="L578" s="23" t="str">
        <f>L571</f>
        <v>1500</v>
      </c>
      <c r="M578" s="21"/>
      <c r="N578" s="21"/>
      <c r="O578" s="21">
        <f>O571</f>
        <v>2</v>
      </c>
      <c r="P578" s="21"/>
    </row>
    <row r="579" spans="1:16" ht="14.25" customHeight="1" x14ac:dyDescent="0.15">
      <c r="A579" s="19">
        <v>1</v>
      </c>
      <c r="B579" s="19">
        <v>2.1</v>
      </c>
      <c r="C579" s="19">
        <v>1.2</v>
      </c>
      <c r="D579" s="19">
        <f>B579*C579</f>
        <v>2.52</v>
      </c>
      <c r="E579" s="19">
        <v>2.5</v>
      </c>
      <c r="F579" s="19"/>
      <c r="G579" s="19"/>
      <c r="H579" s="19"/>
      <c r="I579" s="19">
        <v>1</v>
      </c>
      <c r="J579" s="19">
        <f>A579</f>
        <v>1</v>
      </c>
      <c r="K579" s="19">
        <f t="shared" ref="K579:L579" si="395">K572</f>
        <v>0</v>
      </c>
      <c r="L579" s="19">
        <f t="shared" si="395"/>
        <v>1</v>
      </c>
      <c r="M579" s="19"/>
      <c r="N579" s="19"/>
      <c r="O579" s="19"/>
      <c r="P579" s="19"/>
    </row>
    <row r="580" spans="1:16" ht="14.25" customHeight="1" x14ac:dyDescent="0.15">
      <c r="A580" s="19"/>
      <c r="B580" s="19"/>
      <c r="C580" s="19"/>
      <c r="D580" s="26" t="str">
        <f>D531</f>
        <v>30000</v>
      </c>
      <c r="E580" s="26" t="str">
        <f>E573</f>
        <v>1500</v>
      </c>
      <c r="F580" s="19">
        <v>1</v>
      </c>
      <c r="G580" s="19">
        <v>0</v>
      </c>
      <c r="H580" s="19">
        <f>B579*2</f>
        <v>4.2</v>
      </c>
      <c r="I580" s="19"/>
      <c r="J580" s="19"/>
      <c r="K580" s="19"/>
      <c r="L580" s="19"/>
      <c r="M580" s="19"/>
      <c r="N580" s="19"/>
      <c r="O580" s="19"/>
      <c r="P580" s="19"/>
    </row>
    <row r="581" spans="1:16" ht="14.25" customHeight="1" x14ac:dyDescent="0.15">
      <c r="A581" s="19"/>
      <c r="B581" s="19"/>
      <c r="C581" s="19"/>
      <c r="D581" s="19">
        <f>D579*D580</f>
        <v>75600</v>
      </c>
      <c r="E581" s="19">
        <f>E580*E578</f>
        <v>9000</v>
      </c>
      <c r="F581" s="19">
        <f t="shared" ref="F581:H581" si="396">F578*F580</f>
        <v>4000</v>
      </c>
      <c r="G581" s="19">
        <f t="shared" si="396"/>
        <v>0</v>
      </c>
      <c r="H581" s="19">
        <f t="shared" si="396"/>
        <v>1596</v>
      </c>
      <c r="I581" s="19">
        <f t="shared" ref="I581:L581" si="397">I578*I579</f>
        <v>1500</v>
      </c>
      <c r="J581" s="19">
        <f t="shared" si="397"/>
        <v>1000</v>
      </c>
      <c r="K581" s="19">
        <f t="shared" si="397"/>
        <v>0</v>
      </c>
      <c r="L581" s="19">
        <f t="shared" si="397"/>
        <v>1500</v>
      </c>
      <c r="M581" s="19">
        <f>SUM(D581:L581)</f>
        <v>94196</v>
      </c>
      <c r="N581" s="19">
        <f>M581/A579</f>
        <v>94196</v>
      </c>
      <c r="O581" s="19">
        <f>N581*O578</f>
        <v>188392</v>
      </c>
      <c r="P581" s="19">
        <f>MROUND(O581,100)</f>
        <v>188400</v>
      </c>
    </row>
    <row r="582" spans="1:16" ht="14.25" customHeight="1" x14ac:dyDescent="0.15">
      <c r="A582" s="111"/>
      <c r="B582" s="87"/>
      <c r="C582" s="87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</row>
    <row r="583" spans="1:16" ht="14.25" customHeight="1" x14ac:dyDescent="0.15">
      <c r="A583" s="109" t="str">
        <f>PRICELIST!I627</f>
        <v>CBSTK-RST-GL-2100x900+1800</v>
      </c>
      <c r="B583" s="87"/>
      <c r="C583" s="87"/>
      <c r="D583" s="19"/>
      <c r="E583" s="19"/>
      <c r="F583" s="30"/>
      <c r="G583" s="30"/>
      <c r="H583" s="19"/>
      <c r="I583" s="19"/>
      <c r="J583" s="19"/>
      <c r="K583" s="19"/>
      <c r="L583" s="19"/>
      <c r="M583" s="19"/>
      <c r="N583" s="19"/>
      <c r="O583" s="19"/>
      <c r="P583" s="19"/>
    </row>
    <row r="584" spans="1:16" ht="14.25" customHeight="1" x14ac:dyDescent="0.15">
      <c r="A584" s="19" t="s">
        <v>57</v>
      </c>
      <c r="B584" s="19" t="s">
        <v>59</v>
      </c>
      <c r="C584" s="19" t="s">
        <v>62</v>
      </c>
      <c r="D584" s="19" t="s">
        <v>64</v>
      </c>
      <c r="E584" s="19" t="s">
        <v>233</v>
      </c>
      <c r="F584" s="19">
        <v>900</v>
      </c>
      <c r="G584" s="19">
        <v>600</v>
      </c>
      <c r="H584" s="19" t="s">
        <v>67</v>
      </c>
      <c r="I584" s="19" t="s">
        <v>244</v>
      </c>
      <c r="J584" s="19" t="s">
        <v>71</v>
      </c>
      <c r="K584" s="19" t="s">
        <v>72</v>
      </c>
      <c r="L584" s="19" t="s">
        <v>73</v>
      </c>
      <c r="M584" s="19" t="s">
        <v>76</v>
      </c>
      <c r="N584" s="19" t="s">
        <v>78</v>
      </c>
      <c r="O584" s="19" t="s">
        <v>79</v>
      </c>
      <c r="P584" s="19" t="s">
        <v>81</v>
      </c>
    </row>
    <row r="585" spans="1:16" ht="14.25" customHeight="1" x14ac:dyDescent="0.15">
      <c r="A585" s="21"/>
      <c r="B585" s="21"/>
      <c r="C585" s="44" t="s">
        <v>245</v>
      </c>
      <c r="D585" s="21"/>
      <c r="E585" s="21">
        <v>6</v>
      </c>
      <c r="F585" s="23" t="str">
        <f t="shared" ref="F585:G585" si="398">F578</f>
        <v>4000</v>
      </c>
      <c r="G585" s="23" t="str">
        <f t="shared" si="398"/>
        <v>3800</v>
      </c>
      <c r="H585" s="21">
        <v>380</v>
      </c>
      <c r="I585" s="23" t="str">
        <f t="shared" ref="I585:J585" si="399">I578</f>
        <v>1500</v>
      </c>
      <c r="J585" s="21">
        <f t="shared" si="399"/>
        <v>1000</v>
      </c>
      <c r="K585" s="21">
        <v>585</v>
      </c>
      <c r="L585" s="23" t="str">
        <f>L578</f>
        <v>1500</v>
      </c>
      <c r="M585" s="21"/>
      <c r="N585" s="21"/>
      <c r="O585" s="21">
        <f>O578</f>
        <v>2</v>
      </c>
      <c r="P585" s="21"/>
    </row>
    <row r="586" spans="1:16" ht="14.25" customHeight="1" x14ac:dyDescent="0.15">
      <c r="A586" s="19">
        <v>1</v>
      </c>
      <c r="B586" s="19">
        <v>2.1</v>
      </c>
      <c r="C586" s="19">
        <v>1.2</v>
      </c>
      <c r="D586" s="19">
        <f>B586*C586</f>
        <v>2.52</v>
      </c>
      <c r="E586" s="19">
        <v>2.5</v>
      </c>
      <c r="F586" s="19"/>
      <c r="G586" s="19"/>
      <c r="H586" s="19"/>
      <c r="I586" s="19">
        <v>1</v>
      </c>
      <c r="J586" s="19">
        <f>A586</f>
        <v>1</v>
      </c>
      <c r="K586" s="19">
        <f t="shared" ref="K586:L586" si="400">K579</f>
        <v>0</v>
      </c>
      <c r="L586" s="19">
        <f t="shared" si="400"/>
        <v>1</v>
      </c>
      <c r="M586" s="19"/>
      <c r="N586" s="19"/>
      <c r="O586" s="19"/>
      <c r="P586" s="19"/>
    </row>
    <row r="587" spans="1:16" ht="14.25" customHeight="1" x14ac:dyDescent="0.15">
      <c r="A587" s="19"/>
      <c r="B587" s="19"/>
      <c r="C587" s="19"/>
      <c r="D587" s="26" t="str">
        <f>D538</f>
        <v>7500</v>
      </c>
      <c r="E587" s="26" t="str">
        <f>E580</f>
        <v>1500</v>
      </c>
      <c r="F587" s="19">
        <v>1</v>
      </c>
      <c r="G587" s="19">
        <v>0</v>
      </c>
      <c r="H587" s="19">
        <f>B586*2</f>
        <v>4.2</v>
      </c>
      <c r="I587" s="19"/>
      <c r="J587" s="19"/>
      <c r="K587" s="19"/>
      <c r="L587" s="19"/>
      <c r="M587" s="19"/>
      <c r="N587" s="19"/>
      <c r="O587" s="19"/>
      <c r="P587" s="19"/>
    </row>
    <row r="588" spans="1:16" ht="14.25" customHeight="1" x14ac:dyDescent="0.15">
      <c r="A588" s="19"/>
      <c r="B588" s="19"/>
      <c r="C588" s="19"/>
      <c r="D588" s="19">
        <f>D586*D587</f>
        <v>18900</v>
      </c>
      <c r="E588" s="19">
        <f>E587*E585</f>
        <v>9000</v>
      </c>
      <c r="F588" s="19">
        <f t="shared" ref="F588:H588" si="401">F585*F587</f>
        <v>4000</v>
      </c>
      <c r="G588" s="19">
        <f t="shared" si="401"/>
        <v>0</v>
      </c>
      <c r="H588" s="19">
        <f t="shared" si="401"/>
        <v>1596</v>
      </c>
      <c r="I588" s="19">
        <f t="shared" ref="I588:L588" si="402">I585*I586</f>
        <v>1500</v>
      </c>
      <c r="J588" s="19">
        <f t="shared" si="402"/>
        <v>1000</v>
      </c>
      <c r="K588" s="19">
        <f t="shared" si="402"/>
        <v>0</v>
      </c>
      <c r="L588" s="19">
        <f t="shared" si="402"/>
        <v>1500</v>
      </c>
      <c r="M588" s="19">
        <f>SUM(D588:L588)</f>
        <v>37496</v>
      </c>
      <c r="N588" s="19">
        <f>M588/A586</f>
        <v>37496</v>
      </c>
      <c r="O588" s="19">
        <f>N588*O585</f>
        <v>74992</v>
      </c>
      <c r="P588" s="19">
        <f>MROUND(O588,100)</f>
        <v>75000</v>
      </c>
    </row>
    <row r="589" spans="1:16" ht="14.25" customHeight="1" x14ac:dyDescent="0.15">
      <c r="A589" s="111"/>
      <c r="B589" s="87"/>
      <c r="C589" s="87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</row>
    <row r="590" spans="1:16" ht="14.25" customHeight="1" x14ac:dyDescent="0.15">
      <c r="A590" s="109" t="str">
        <f>PRICELIST!I628</f>
        <v>CBSTK-FR-PB-1500x600+900</v>
      </c>
      <c r="B590" s="87"/>
      <c r="C590" s="87"/>
      <c r="D590" s="30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</row>
    <row r="591" spans="1:16" ht="14.25" customHeight="1" x14ac:dyDescent="0.15">
      <c r="A591" s="19" t="s">
        <v>57</v>
      </c>
      <c r="B591" s="19" t="s">
        <v>59</v>
      </c>
      <c r="C591" s="19" t="s">
        <v>62</v>
      </c>
      <c r="D591" s="19" t="s">
        <v>64</v>
      </c>
      <c r="E591" s="19" t="s">
        <v>233</v>
      </c>
      <c r="F591" s="19">
        <v>900</v>
      </c>
      <c r="G591" s="19">
        <v>600</v>
      </c>
      <c r="H591" s="19" t="s">
        <v>67</v>
      </c>
      <c r="I591" s="19" t="s">
        <v>244</v>
      </c>
      <c r="J591" s="19" t="s">
        <v>71</v>
      </c>
      <c r="K591" s="19" t="s">
        <v>72</v>
      </c>
      <c r="L591" s="19" t="s">
        <v>73</v>
      </c>
      <c r="M591" s="19" t="s">
        <v>76</v>
      </c>
      <c r="N591" s="19" t="s">
        <v>78</v>
      </c>
      <c r="O591" s="19" t="s">
        <v>79</v>
      </c>
      <c r="P591" s="19" t="s">
        <v>81</v>
      </c>
    </row>
    <row r="592" spans="1:16" ht="14.25" customHeight="1" x14ac:dyDescent="0.15">
      <c r="A592" s="21"/>
      <c r="B592" s="21"/>
      <c r="C592" s="44" t="s">
        <v>245</v>
      </c>
      <c r="D592" s="21"/>
      <c r="E592" s="21">
        <v>3</v>
      </c>
      <c r="F592" s="23" t="str">
        <f t="shared" ref="F592:G592" si="403">F585</f>
        <v>4000</v>
      </c>
      <c r="G592" s="23" t="str">
        <f t="shared" si="403"/>
        <v>3800</v>
      </c>
      <c r="H592" s="21">
        <v>380</v>
      </c>
      <c r="I592" s="23" t="str">
        <f t="shared" ref="I592:J592" si="404">I585</f>
        <v>1500</v>
      </c>
      <c r="J592" s="21">
        <f t="shared" si="404"/>
        <v>1000</v>
      </c>
      <c r="K592" s="21">
        <v>585</v>
      </c>
      <c r="L592" s="23" t="str">
        <f>L585</f>
        <v>1500</v>
      </c>
      <c r="M592" s="21"/>
      <c r="N592" s="21"/>
      <c r="O592" s="21">
        <f>O585</f>
        <v>2</v>
      </c>
      <c r="P592" s="21"/>
    </row>
    <row r="593" spans="1:16" ht="14.25" customHeight="1" x14ac:dyDescent="0.15">
      <c r="A593" s="19">
        <v>1</v>
      </c>
      <c r="B593" s="19">
        <v>1.5</v>
      </c>
      <c r="C593" s="19">
        <v>0.9</v>
      </c>
      <c r="D593" s="19">
        <f>B593*C593</f>
        <v>1.35</v>
      </c>
      <c r="E593" s="19">
        <v>2.5</v>
      </c>
      <c r="F593" s="19"/>
      <c r="G593" s="19"/>
      <c r="H593" s="19"/>
      <c r="I593" s="19">
        <v>1</v>
      </c>
      <c r="J593" s="19">
        <f>A593</f>
        <v>1</v>
      </c>
      <c r="K593" s="19">
        <f t="shared" ref="K593:L593" si="405">K586</f>
        <v>0</v>
      </c>
      <c r="L593" s="19">
        <f t="shared" si="405"/>
        <v>1</v>
      </c>
      <c r="M593" s="19"/>
      <c r="N593" s="19"/>
      <c r="O593" s="19"/>
      <c r="P593" s="19"/>
    </row>
    <row r="594" spans="1:16" ht="14.25" customHeight="1" x14ac:dyDescent="0.15">
      <c r="A594" s="19"/>
      <c r="B594" s="19"/>
      <c r="C594" s="19"/>
      <c r="D594" s="26" t="str">
        <f t="shared" ref="D594:E594" si="406">D545</f>
        <v>2200</v>
      </c>
      <c r="E594" s="26" t="str">
        <f t="shared" si="406"/>
        <v>1000</v>
      </c>
      <c r="F594" s="19">
        <v>0</v>
      </c>
      <c r="G594" s="19">
        <v>2</v>
      </c>
      <c r="H594" s="19">
        <f>B593*2</f>
        <v>3</v>
      </c>
      <c r="I594" s="19"/>
      <c r="J594" s="19"/>
      <c r="K594" s="19"/>
      <c r="L594" s="19"/>
      <c r="M594" s="19"/>
      <c r="N594" s="19"/>
      <c r="O594" s="19"/>
      <c r="P594" s="19"/>
    </row>
    <row r="595" spans="1:16" ht="14.25" customHeight="1" x14ac:dyDescent="0.15">
      <c r="A595" s="19"/>
      <c r="B595" s="19"/>
      <c r="C595" s="19"/>
      <c r="D595" s="19">
        <f>D593*D594</f>
        <v>2970</v>
      </c>
      <c r="E595" s="19">
        <f>E594*E592</f>
        <v>3000</v>
      </c>
      <c r="F595" s="19">
        <f t="shared" ref="F595:H595" si="407">F592*F594</f>
        <v>0</v>
      </c>
      <c r="G595" s="19">
        <f t="shared" si="407"/>
        <v>7600</v>
      </c>
      <c r="H595" s="19">
        <f t="shared" si="407"/>
        <v>1140</v>
      </c>
      <c r="I595" s="19">
        <f t="shared" ref="I595:L595" si="408">I592*I593</f>
        <v>1500</v>
      </c>
      <c r="J595" s="19">
        <f t="shared" si="408"/>
        <v>1000</v>
      </c>
      <c r="K595" s="19">
        <f t="shared" si="408"/>
        <v>0</v>
      </c>
      <c r="L595" s="19">
        <f t="shared" si="408"/>
        <v>1500</v>
      </c>
      <c r="M595" s="19">
        <f>SUM(D595:L595)</f>
        <v>18710</v>
      </c>
      <c r="N595" s="19">
        <f>M595/A593</f>
        <v>18710</v>
      </c>
      <c r="O595" s="19">
        <f>N595*O592</f>
        <v>37420</v>
      </c>
      <c r="P595" s="19">
        <f>MROUND(O595,100)</f>
        <v>37400</v>
      </c>
    </row>
    <row r="596" spans="1:16" ht="14.25" customHeight="1" x14ac:dyDescent="0.15">
      <c r="A596" s="111"/>
      <c r="B596" s="87"/>
      <c r="C596" s="87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</row>
    <row r="597" spans="1:16" ht="14.25" customHeight="1" x14ac:dyDescent="0.15">
      <c r="A597" s="109" t="str">
        <f>PRICELIST!I629</f>
        <v>CBSTK-FR-PLM-1500x600+900</v>
      </c>
      <c r="B597" s="87"/>
      <c r="C597" s="87"/>
      <c r="D597" s="30"/>
      <c r="E597" s="30"/>
      <c r="F597" s="21"/>
      <c r="G597" s="21"/>
      <c r="H597" s="19"/>
      <c r="I597" s="19"/>
      <c r="J597" s="19"/>
      <c r="K597" s="19"/>
      <c r="L597" s="19"/>
      <c r="M597" s="19"/>
      <c r="N597" s="19"/>
      <c r="O597" s="19"/>
      <c r="P597" s="19"/>
    </row>
    <row r="598" spans="1:16" ht="14.25" customHeight="1" x14ac:dyDescent="0.15">
      <c r="A598" s="19" t="s">
        <v>57</v>
      </c>
      <c r="B598" s="19" t="s">
        <v>59</v>
      </c>
      <c r="C598" s="19" t="s">
        <v>62</v>
      </c>
      <c r="D598" s="19" t="s">
        <v>64</v>
      </c>
      <c r="E598" s="19" t="s">
        <v>233</v>
      </c>
      <c r="F598" s="19">
        <v>900</v>
      </c>
      <c r="G598" s="19">
        <v>600</v>
      </c>
      <c r="H598" s="19" t="s">
        <v>67</v>
      </c>
      <c r="I598" s="19" t="s">
        <v>244</v>
      </c>
      <c r="J598" s="19" t="s">
        <v>71</v>
      </c>
      <c r="K598" s="19" t="s">
        <v>72</v>
      </c>
      <c r="L598" s="19" t="s">
        <v>73</v>
      </c>
      <c r="M598" s="19" t="s">
        <v>76</v>
      </c>
      <c r="N598" s="19" t="s">
        <v>78</v>
      </c>
      <c r="O598" s="19" t="s">
        <v>79</v>
      </c>
      <c r="P598" s="19" t="s">
        <v>81</v>
      </c>
    </row>
    <row r="599" spans="1:16" ht="14.25" customHeight="1" x14ac:dyDescent="0.15">
      <c r="A599" s="21"/>
      <c r="B599" s="21"/>
      <c r="C599" s="44" t="s">
        <v>245</v>
      </c>
      <c r="D599" s="21"/>
      <c r="E599" s="21">
        <v>3</v>
      </c>
      <c r="F599" s="23" t="str">
        <f t="shared" ref="F599:G599" si="409">F592</f>
        <v>4000</v>
      </c>
      <c r="G599" s="23" t="str">
        <f t="shared" si="409"/>
        <v>3800</v>
      </c>
      <c r="H599" s="21">
        <v>380</v>
      </c>
      <c r="I599" s="23" t="str">
        <f t="shared" ref="I599:J599" si="410">I592</f>
        <v>1500</v>
      </c>
      <c r="J599" s="21">
        <f t="shared" si="410"/>
        <v>1000</v>
      </c>
      <c r="K599" s="21">
        <v>585</v>
      </c>
      <c r="L599" s="23" t="str">
        <f>L592</f>
        <v>1500</v>
      </c>
      <c r="M599" s="21"/>
      <c r="N599" s="21"/>
      <c r="O599" s="21">
        <f>O592</f>
        <v>2</v>
      </c>
      <c r="P599" s="21"/>
    </row>
    <row r="600" spans="1:16" ht="14.25" customHeight="1" x14ac:dyDescent="0.15">
      <c r="A600" s="19">
        <v>1</v>
      </c>
      <c r="B600" s="19">
        <v>1.5</v>
      </c>
      <c r="C600" s="19">
        <v>0.9</v>
      </c>
      <c r="D600" s="19">
        <f>B600*C600</f>
        <v>1.35</v>
      </c>
      <c r="E600" s="19">
        <v>2.5</v>
      </c>
      <c r="F600" s="19"/>
      <c r="G600" s="19"/>
      <c r="H600" s="19"/>
      <c r="I600" s="19">
        <v>1</v>
      </c>
      <c r="J600" s="19">
        <f>A600</f>
        <v>1</v>
      </c>
      <c r="K600" s="19">
        <f t="shared" ref="K600:L600" si="411">K593</f>
        <v>0</v>
      </c>
      <c r="L600" s="19">
        <f t="shared" si="411"/>
        <v>1</v>
      </c>
      <c r="M600" s="19"/>
      <c r="N600" s="19"/>
      <c r="O600" s="19"/>
      <c r="P600" s="19"/>
    </row>
    <row r="601" spans="1:16" ht="14.25" customHeight="1" x14ac:dyDescent="0.15">
      <c r="A601" s="19"/>
      <c r="B601" s="19"/>
      <c r="C601" s="19"/>
      <c r="D601" s="26" t="str">
        <f>D552</f>
        <v>3000</v>
      </c>
      <c r="E601" s="26" t="str">
        <f>E594</f>
        <v>1000</v>
      </c>
      <c r="F601" s="19">
        <v>0</v>
      </c>
      <c r="G601" s="19">
        <v>2</v>
      </c>
      <c r="H601" s="19">
        <f>B600*2</f>
        <v>3</v>
      </c>
      <c r="I601" s="19"/>
      <c r="J601" s="19"/>
      <c r="K601" s="19"/>
      <c r="L601" s="19"/>
      <c r="M601" s="19"/>
      <c r="N601" s="19"/>
      <c r="O601" s="19"/>
      <c r="P601" s="19"/>
    </row>
    <row r="602" spans="1:16" ht="14.25" customHeight="1" x14ac:dyDescent="0.15">
      <c r="A602" s="19"/>
      <c r="B602" s="19"/>
      <c r="C602" s="19"/>
      <c r="D602" s="19">
        <f>D600*D601</f>
        <v>4050.0000000000005</v>
      </c>
      <c r="E602" s="19">
        <f>E601*E599</f>
        <v>3000</v>
      </c>
      <c r="F602" s="19">
        <f t="shared" ref="F602:H602" si="412">F599*F601</f>
        <v>0</v>
      </c>
      <c r="G602" s="19">
        <f t="shared" si="412"/>
        <v>7600</v>
      </c>
      <c r="H602" s="19">
        <f t="shared" si="412"/>
        <v>1140</v>
      </c>
      <c r="I602" s="19">
        <f t="shared" ref="I602:L602" si="413">I599*I600</f>
        <v>1500</v>
      </c>
      <c r="J602" s="19">
        <f t="shared" si="413"/>
        <v>1000</v>
      </c>
      <c r="K602" s="19">
        <f t="shared" si="413"/>
        <v>0</v>
      </c>
      <c r="L602" s="19">
        <f t="shared" si="413"/>
        <v>1500</v>
      </c>
      <c r="M602" s="19">
        <f>SUM(D602:L602)</f>
        <v>19790</v>
      </c>
      <c r="N602" s="19">
        <f>M602/A600</f>
        <v>19790</v>
      </c>
      <c r="O602" s="19">
        <f>N602*O599</f>
        <v>39580</v>
      </c>
      <c r="P602" s="19">
        <f>MROUND(O602,100)</f>
        <v>39600</v>
      </c>
    </row>
    <row r="603" spans="1:16" ht="14.25" customHeight="1" x14ac:dyDescent="0.15">
      <c r="A603" s="111"/>
      <c r="B603" s="87"/>
      <c r="C603" s="87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</row>
    <row r="604" spans="1:16" ht="14.25" customHeight="1" x14ac:dyDescent="0.15">
      <c r="A604" s="109" t="str">
        <f>PRICELIST!I630</f>
        <v>CBSTK-FR-PoLM-1500x600+900</v>
      </c>
      <c r="B604" s="87"/>
      <c r="C604" s="87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</row>
    <row r="605" spans="1:16" ht="14.25" customHeight="1" x14ac:dyDescent="0.15">
      <c r="A605" s="19" t="s">
        <v>57</v>
      </c>
      <c r="B605" s="19" t="s">
        <v>59</v>
      </c>
      <c r="C605" s="19" t="s">
        <v>62</v>
      </c>
      <c r="D605" s="19" t="s">
        <v>64</v>
      </c>
      <c r="E605" s="19" t="s">
        <v>233</v>
      </c>
      <c r="F605" s="19">
        <v>900</v>
      </c>
      <c r="G605" s="19">
        <v>600</v>
      </c>
      <c r="H605" s="19" t="s">
        <v>67</v>
      </c>
      <c r="I605" s="19" t="s">
        <v>244</v>
      </c>
      <c r="J605" s="19" t="s">
        <v>71</v>
      </c>
      <c r="K605" s="19" t="s">
        <v>72</v>
      </c>
      <c r="L605" s="19" t="s">
        <v>73</v>
      </c>
      <c r="M605" s="19" t="s">
        <v>76</v>
      </c>
      <c r="N605" s="19" t="s">
        <v>78</v>
      </c>
      <c r="O605" s="19" t="s">
        <v>79</v>
      </c>
      <c r="P605" s="19" t="s">
        <v>81</v>
      </c>
    </row>
    <row r="606" spans="1:16" ht="14.25" customHeight="1" x14ac:dyDescent="0.15">
      <c r="A606" s="21"/>
      <c r="B606" s="21"/>
      <c r="C606" s="44" t="s">
        <v>245</v>
      </c>
      <c r="D606" s="21"/>
      <c r="E606" s="21">
        <v>3</v>
      </c>
      <c r="F606" s="23" t="str">
        <f t="shared" ref="F606:G606" si="414">F599</f>
        <v>4000</v>
      </c>
      <c r="G606" s="23" t="str">
        <f t="shared" si="414"/>
        <v>3800</v>
      </c>
      <c r="H606" s="21">
        <v>380</v>
      </c>
      <c r="I606" s="23" t="str">
        <f t="shared" ref="I606:J606" si="415">I599</f>
        <v>1500</v>
      </c>
      <c r="J606" s="21">
        <f t="shared" si="415"/>
        <v>1000</v>
      </c>
      <c r="K606" s="21">
        <v>585</v>
      </c>
      <c r="L606" s="23" t="str">
        <f>L599</f>
        <v>1500</v>
      </c>
      <c r="M606" s="21"/>
      <c r="N606" s="21"/>
      <c r="O606" s="21">
        <f>O599</f>
        <v>2</v>
      </c>
      <c r="P606" s="21"/>
    </row>
    <row r="607" spans="1:16" ht="14.25" customHeight="1" x14ac:dyDescent="0.15">
      <c r="A607" s="19">
        <v>1</v>
      </c>
      <c r="B607" s="19">
        <v>1.5</v>
      </c>
      <c r="C607" s="19">
        <v>0.9</v>
      </c>
      <c r="D607" s="19">
        <f>B607*C607</f>
        <v>1.35</v>
      </c>
      <c r="E607" s="19">
        <v>2.5</v>
      </c>
      <c r="F607" s="19"/>
      <c r="G607" s="19"/>
      <c r="H607" s="19"/>
      <c r="I607" s="19">
        <v>1</v>
      </c>
      <c r="J607" s="19">
        <f>A607</f>
        <v>1</v>
      </c>
      <c r="K607" s="19">
        <f t="shared" ref="K607:L607" si="416">K600</f>
        <v>0</v>
      </c>
      <c r="L607" s="19">
        <f t="shared" si="416"/>
        <v>1</v>
      </c>
      <c r="M607" s="19"/>
      <c r="N607" s="19"/>
      <c r="O607" s="19"/>
      <c r="P607" s="19"/>
    </row>
    <row r="608" spans="1:16" ht="14.25" customHeight="1" x14ac:dyDescent="0.15">
      <c r="A608" s="19"/>
      <c r="B608" s="19"/>
      <c r="C608" s="19"/>
      <c r="D608" s="26" t="str">
        <f>D559</f>
        <v>7500</v>
      </c>
      <c r="E608" s="26" t="str">
        <f>E601</f>
        <v>1000</v>
      </c>
      <c r="F608" s="19">
        <v>0</v>
      </c>
      <c r="G608" s="19">
        <v>2</v>
      </c>
      <c r="H608" s="19">
        <f>B607*2</f>
        <v>3</v>
      </c>
      <c r="I608" s="19"/>
      <c r="J608" s="19"/>
      <c r="K608" s="19"/>
      <c r="L608" s="19"/>
      <c r="M608" s="19"/>
      <c r="N608" s="19"/>
      <c r="O608" s="19"/>
      <c r="P608" s="19"/>
    </row>
    <row r="609" spans="1:16" ht="14.25" customHeight="1" x14ac:dyDescent="0.15">
      <c r="A609" s="19"/>
      <c r="B609" s="19"/>
      <c r="C609" s="19"/>
      <c r="D609" s="19">
        <f>D607*D608</f>
        <v>10125</v>
      </c>
      <c r="E609" s="19">
        <f>E608*E606</f>
        <v>3000</v>
      </c>
      <c r="F609" s="19">
        <f t="shared" ref="F609:H609" si="417">F606*F608</f>
        <v>0</v>
      </c>
      <c r="G609" s="19">
        <f t="shared" si="417"/>
        <v>7600</v>
      </c>
      <c r="H609" s="19">
        <f t="shared" si="417"/>
        <v>1140</v>
      </c>
      <c r="I609" s="19">
        <f t="shared" ref="I609:L609" si="418">I606*I607</f>
        <v>1500</v>
      </c>
      <c r="J609" s="19">
        <f t="shared" si="418"/>
        <v>1000</v>
      </c>
      <c r="K609" s="19">
        <f t="shared" si="418"/>
        <v>0</v>
      </c>
      <c r="L609" s="19">
        <f t="shared" si="418"/>
        <v>1500</v>
      </c>
      <c r="M609" s="19">
        <f>SUM(D609:L609)</f>
        <v>25865</v>
      </c>
      <c r="N609" s="19">
        <f>M609/A607</f>
        <v>25865</v>
      </c>
      <c r="O609" s="19">
        <f>N609*O606</f>
        <v>51730</v>
      </c>
      <c r="P609" s="19">
        <f>MROUND(O609,100)</f>
        <v>51700</v>
      </c>
    </row>
    <row r="610" spans="1:16" ht="14.25" customHeight="1" x14ac:dyDescent="0.15">
      <c r="A610" s="111"/>
      <c r="B610" s="87"/>
      <c r="C610" s="87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</row>
    <row r="611" spans="1:16" ht="14.25" customHeight="1" x14ac:dyDescent="0.15">
      <c r="A611" s="109" t="str">
        <f>PRICELIST!I631</f>
        <v>CBSTK-FR-LVM-1500x600+900</v>
      </c>
      <c r="B611" s="87"/>
      <c r="C611" s="87"/>
      <c r="D611" s="21"/>
      <c r="E611" s="21"/>
      <c r="F611" s="21"/>
      <c r="G611" s="30"/>
      <c r="H611" s="19"/>
      <c r="I611" s="19"/>
      <c r="J611" s="19"/>
      <c r="K611" s="19"/>
      <c r="L611" s="19"/>
      <c r="M611" s="19"/>
      <c r="N611" s="19"/>
      <c r="O611" s="19"/>
      <c r="P611" s="19"/>
    </row>
    <row r="612" spans="1:16" ht="14.25" customHeight="1" x14ac:dyDescent="0.15">
      <c r="A612" s="19" t="s">
        <v>57</v>
      </c>
      <c r="B612" s="19" t="s">
        <v>59</v>
      </c>
      <c r="C612" s="19" t="s">
        <v>62</v>
      </c>
      <c r="D612" s="19" t="s">
        <v>64</v>
      </c>
      <c r="E612" s="19" t="s">
        <v>233</v>
      </c>
      <c r="F612" s="19">
        <v>900</v>
      </c>
      <c r="G612" s="19">
        <v>600</v>
      </c>
      <c r="H612" s="19" t="s">
        <v>67</v>
      </c>
      <c r="I612" s="19" t="s">
        <v>244</v>
      </c>
      <c r="J612" s="19" t="s">
        <v>71</v>
      </c>
      <c r="K612" s="19" t="s">
        <v>72</v>
      </c>
      <c r="L612" s="19" t="s">
        <v>73</v>
      </c>
      <c r="M612" s="19" t="s">
        <v>76</v>
      </c>
      <c r="N612" s="19" t="s">
        <v>78</v>
      </c>
      <c r="O612" s="19" t="s">
        <v>79</v>
      </c>
      <c r="P612" s="19" t="s">
        <v>81</v>
      </c>
    </row>
    <row r="613" spans="1:16" ht="14.25" customHeight="1" x14ac:dyDescent="0.15">
      <c r="A613" s="21"/>
      <c r="B613" s="21"/>
      <c r="C613" s="44" t="s">
        <v>245</v>
      </c>
      <c r="D613" s="21"/>
      <c r="E613" s="21">
        <v>3</v>
      </c>
      <c r="F613" s="23" t="str">
        <f t="shared" ref="F613:G613" si="419">F606</f>
        <v>4000</v>
      </c>
      <c r="G613" s="23" t="str">
        <f t="shared" si="419"/>
        <v>3800</v>
      </c>
      <c r="H613" s="21">
        <v>380</v>
      </c>
      <c r="I613" s="23" t="str">
        <f t="shared" ref="I613:J613" si="420">I606</f>
        <v>1500</v>
      </c>
      <c r="J613" s="21">
        <f t="shared" si="420"/>
        <v>1000</v>
      </c>
      <c r="K613" s="21">
        <v>585</v>
      </c>
      <c r="L613" s="23" t="str">
        <f>L606</f>
        <v>1500</v>
      </c>
      <c r="M613" s="21"/>
      <c r="N613" s="21"/>
      <c r="O613" s="21">
        <f>O606</f>
        <v>2</v>
      </c>
      <c r="P613" s="21"/>
    </row>
    <row r="614" spans="1:16" ht="14.25" customHeight="1" x14ac:dyDescent="0.15">
      <c r="A614" s="19">
        <v>1</v>
      </c>
      <c r="B614" s="19">
        <v>1.5</v>
      </c>
      <c r="C614" s="19">
        <f>0.6+0.3</f>
        <v>0.89999999999999991</v>
      </c>
      <c r="D614" s="19">
        <f>B614*C614</f>
        <v>1.3499999999999999</v>
      </c>
      <c r="E614" s="19">
        <v>2.5</v>
      </c>
      <c r="F614" s="19"/>
      <c r="G614" s="19"/>
      <c r="H614" s="19"/>
      <c r="I614" s="19">
        <v>1</v>
      </c>
      <c r="J614" s="19">
        <f>A614</f>
        <v>1</v>
      </c>
      <c r="K614" s="19">
        <f t="shared" ref="K614:L614" si="421">K607</f>
        <v>0</v>
      </c>
      <c r="L614" s="19">
        <f t="shared" si="421"/>
        <v>1</v>
      </c>
      <c r="M614" s="19"/>
      <c r="N614" s="19"/>
      <c r="O614" s="19"/>
      <c r="P614" s="19"/>
    </row>
    <row r="615" spans="1:16" ht="14.25" customHeight="1" x14ac:dyDescent="0.15">
      <c r="A615" s="19"/>
      <c r="B615" s="19"/>
      <c r="C615" s="19"/>
      <c r="D615" s="26" t="str">
        <f>D566</f>
        <v>9500</v>
      </c>
      <c r="E615" s="26" t="str">
        <f>E573</f>
        <v>1500</v>
      </c>
      <c r="F615" s="19">
        <v>0</v>
      </c>
      <c r="G615" s="19">
        <v>2</v>
      </c>
      <c r="H615" s="19">
        <f>B614*2</f>
        <v>3</v>
      </c>
      <c r="I615" s="19"/>
      <c r="J615" s="19"/>
      <c r="K615" s="19"/>
      <c r="L615" s="19"/>
      <c r="M615" s="19"/>
      <c r="N615" s="19"/>
      <c r="O615" s="19"/>
      <c r="P615" s="19"/>
    </row>
    <row r="616" spans="1:16" ht="14.25" customHeight="1" x14ac:dyDescent="0.15">
      <c r="A616" s="19"/>
      <c r="B616" s="19"/>
      <c r="C616" s="19"/>
      <c r="D616" s="19">
        <f>D614*D615</f>
        <v>12824.999999999998</v>
      </c>
      <c r="E616" s="19">
        <f>E615*E613</f>
        <v>4500</v>
      </c>
      <c r="F616" s="19">
        <f t="shared" ref="F616:H616" si="422">F613*F615</f>
        <v>0</v>
      </c>
      <c r="G616" s="19">
        <f t="shared" si="422"/>
        <v>7600</v>
      </c>
      <c r="H616" s="19">
        <f t="shared" si="422"/>
        <v>1140</v>
      </c>
      <c r="I616" s="19">
        <f t="shared" ref="I616:L616" si="423">I613*I614</f>
        <v>1500</v>
      </c>
      <c r="J616" s="19">
        <f t="shared" si="423"/>
        <v>1000</v>
      </c>
      <c r="K616" s="19">
        <f t="shared" si="423"/>
        <v>0</v>
      </c>
      <c r="L616" s="19">
        <f t="shared" si="423"/>
        <v>1500</v>
      </c>
      <c r="M616" s="19">
        <f>SUM(D616:L616)</f>
        <v>30065</v>
      </c>
      <c r="N616" s="19">
        <f>M616/A614</f>
        <v>30065</v>
      </c>
      <c r="O616" s="19">
        <f>N616*O613</f>
        <v>60130</v>
      </c>
      <c r="P616" s="19">
        <f>MROUND(O616,100)</f>
        <v>60100</v>
      </c>
    </row>
    <row r="617" spans="1:16" ht="14.25" customHeight="1" x14ac:dyDescent="0.15">
      <c r="A617" s="111"/>
      <c r="B617" s="87"/>
      <c r="C617" s="87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</row>
    <row r="618" spans="1:16" ht="14.25" customHeight="1" x14ac:dyDescent="0.15">
      <c r="A618" s="109" t="str">
        <f>PRICELIST!I632</f>
        <v>CBSTK-FR-LVP-1500x600+900</v>
      </c>
      <c r="B618" s="87"/>
      <c r="C618" s="87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</row>
    <row r="619" spans="1:16" ht="14.25" customHeight="1" x14ac:dyDescent="0.15">
      <c r="A619" s="19" t="s">
        <v>57</v>
      </c>
      <c r="B619" s="19" t="s">
        <v>59</v>
      </c>
      <c r="C619" s="19" t="s">
        <v>62</v>
      </c>
      <c r="D619" s="19" t="s">
        <v>64</v>
      </c>
      <c r="E619" s="19" t="s">
        <v>233</v>
      </c>
      <c r="F619" s="19">
        <v>900</v>
      </c>
      <c r="G619" s="19">
        <v>600</v>
      </c>
      <c r="H619" s="19" t="s">
        <v>67</v>
      </c>
      <c r="I619" s="19" t="s">
        <v>244</v>
      </c>
      <c r="J619" s="19" t="s">
        <v>71</v>
      </c>
      <c r="K619" s="19" t="s">
        <v>72</v>
      </c>
      <c r="L619" s="19" t="s">
        <v>73</v>
      </c>
      <c r="M619" s="19" t="s">
        <v>76</v>
      </c>
      <c r="N619" s="19" t="s">
        <v>78</v>
      </c>
      <c r="O619" s="19" t="s">
        <v>79</v>
      </c>
      <c r="P619" s="19" t="s">
        <v>81</v>
      </c>
    </row>
    <row r="620" spans="1:16" ht="14.25" customHeight="1" x14ac:dyDescent="0.15">
      <c r="A620" s="21"/>
      <c r="B620" s="21"/>
      <c r="C620" s="44" t="s">
        <v>245</v>
      </c>
      <c r="D620" s="21"/>
      <c r="E620" s="21">
        <v>3</v>
      </c>
      <c r="F620" s="23" t="str">
        <f t="shared" ref="F620:G620" si="424">F613</f>
        <v>4000</v>
      </c>
      <c r="G620" s="23" t="str">
        <f t="shared" si="424"/>
        <v>3800</v>
      </c>
      <c r="H620" s="21">
        <v>380</v>
      </c>
      <c r="I620" s="23" t="str">
        <f t="shared" ref="I620:J620" si="425">I613</f>
        <v>1500</v>
      </c>
      <c r="J620" s="21">
        <f t="shared" si="425"/>
        <v>1000</v>
      </c>
      <c r="K620" s="21">
        <v>585</v>
      </c>
      <c r="L620" s="23" t="str">
        <f>L613</f>
        <v>1500</v>
      </c>
      <c r="M620" s="21"/>
      <c r="N620" s="21"/>
      <c r="O620" s="21">
        <f>O613</f>
        <v>2</v>
      </c>
      <c r="P620" s="21"/>
    </row>
    <row r="621" spans="1:16" ht="14.25" customHeight="1" x14ac:dyDescent="0.15">
      <c r="A621" s="19">
        <v>1</v>
      </c>
      <c r="B621" s="19">
        <v>1.5</v>
      </c>
      <c r="C621" s="19">
        <f>0.6+0.3</f>
        <v>0.89999999999999991</v>
      </c>
      <c r="D621" s="19">
        <f>B621*C621</f>
        <v>1.3499999999999999</v>
      </c>
      <c r="E621" s="19">
        <v>2.5</v>
      </c>
      <c r="F621" s="19"/>
      <c r="G621" s="19"/>
      <c r="H621" s="19"/>
      <c r="I621" s="19">
        <v>1</v>
      </c>
      <c r="J621" s="19">
        <f>A621</f>
        <v>1</v>
      </c>
      <c r="K621" s="19">
        <f t="shared" ref="K621:L621" si="426">K614</f>
        <v>0</v>
      </c>
      <c r="L621" s="19">
        <f t="shared" si="426"/>
        <v>1</v>
      </c>
      <c r="M621" s="19"/>
      <c r="N621" s="19"/>
      <c r="O621" s="19"/>
      <c r="P621" s="19"/>
    </row>
    <row r="622" spans="1:16" ht="14.25" customHeight="1" x14ac:dyDescent="0.15">
      <c r="A622" s="19"/>
      <c r="B622" s="19"/>
      <c r="C622" s="19"/>
      <c r="D622" s="26" t="str">
        <f>D573</f>
        <v>10500</v>
      </c>
      <c r="E622" s="26" t="str">
        <f>E615</f>
        <v>1500</v>
      </c>
      <c r="F622" s="19">
        <v>0</v>
      </c>
      <c r="G622" s="19">
        <v>2</v>
      </c>
      <c r="H622" s="19">
        <f>B621*2</f>
        <v>3</v>
      </c>
      <c r="I622" s="19"/>
      <c r="J622" s="19"/>
      <c r="K622" s="19"/>
      <c r="L622" s="19"/>
      <c r="M622" s="19"/>
      <c r="N622" s="19"/>
      <c r="O622" s="19"/>
      <c r="P622" s="19"/>
    </row>
    <row r="623" spans="1:16" ht="14.25" customHeight="1" x14ac:dyDescent="0.15">
      <c r="A623" s="19"/>
      <c r="B623" s="19"/>
      <c r="C623" s="19"/>
      <c r="D623" s="19">
        <f>D621*D622</f>
        <v>14174.999999999998</v>
      </c>
      <c r="E623" s="19">
        <f>E622*E620</f>
        <v>4500</v>
      </c>
      <c r="F623" s="19">
        <f t="shared" ref="F623:H623" si="427">F620*F622</f>
        <v>0</v>
      </c>
      <c r="G623" s="19">
        <f t="shared" si="427"/>
        <v>7600</v>
      </c>
      <c r="H623" s="19">
        <f t="shared" si="427"/>
        <v>1140</v>
      </c>
      <c r="I623" s="19">
        <f t="shared" ref="I623:L623" si="428">I620*I621</f>
        <v>1500</v>
      </c>
      <c r="J623" s="19">
        <f t="shared" si="428"/>
        <v>1000</v>
      </c>
      <c r="K623" s="19">
        <f t="shared" si="428"/>
        <v>0</v>
      </c>
      <c r="L623" s="19">
        <f t="shared" si="428"/>
        <v>1500</v>
      </c>
      <c r="M623" s="19">
        <f>SUM(D623:L623)</f>
        <v>31415</v>
      </c>
      <c r="N623" s="19">
        <f>M623/A621</f>
        <v>31415</v>
      </c>
      <c r="O623" s="19">
        <f>N623*O620</f>
        <v>62830</v>
      </c>
      <c r="P623" s="19">
        <f>MROUND(O623,100)</f>
        <v>62800</v>
      </c>
    </row>
    <row r="624" spans="1:16" ht="14.25" customHeight="1" x14ac:dyDescent="0.15">
      <c r="A624" s="111"/>
      <c r="B624" s="87"/>
      <c r="C624" s="87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</row>
    <row r="625" spans="1:16" ht="14.25" customHeight="1" x14ac:dyDescent="0.15">
      <c r="A625" s="109" t="str">
        <f>PRICELIST!I633</f>
        <v>CBSTK-FR-VNR-1500x600+900</v>
      </c>
      <c r="B625" s="87"/>
      <c r="C625" s="87"/>
      <c r="D625" s="19"/>
      <c r="E625" s="19"/>
      <c r="F625" s="19"/>
      <c r="G625" s="30"/>
      <c r="H625" s="19"/>
      <c r="I625" s="19"/>
      <c r="J625" s="19"/>
      <c r="K625" s="19"/>
      <c r="L625" s="19"/>
      <c r="M625" s="19"/>
      <c r="N625" s="19"/>
      <c r="O625" s="19"/>
      <c r="P625" s="19"/>
    </row>
    <row r="626" spans="1:16" ht="14.25" customHeight="1" x14ac:dyDescent="0.15">
      <c r="A626" s="19" t="s">
        <v>57</v>
      </c>
      <c r="B626" s="19" t="s">
        <v>59</v>
      </c>
      <c r="C626" s="19" t="s">
        <v>62</v>
      </c>
      <c r="D626" s="19" t="s">
        <v>64</v>
      </c>
      <c r="E626" s="19" t="s">
        <v>233</v>
      </c>
      <c r="F626" s="19">
        <v>900</v>
      </c>
      <c r="G626" s="19">
        <v>600</v>
      </c>
      <c r="H626" s="19" t="s">
        <v>67</v>
      </c>
      <c r="I626" s="19" t="s">
        <v>244</v>
      </c>
      <c r="J626" s="19" t="s">
        <v>71</v>
      </c>
      <c r="K626" s="19" t="s">
        <v>72</v>
      </c>
      <c r="L626" s="19" t="s">
        <v>73</v>
      </c>
      <c r="M626" s="19" t="s">
        <v>76</v>
      </c>
      <c r="N626" s="19" t="s">
        <v>78</v>
      </c>
      <c r="O626" s="19" t="s">
        <v>79</v>
      </c>
      <c r="P626" s="19" t="s">
        <v>81</v>
      </c>
    </row>
    <row r="627" spans="1:16" ht="14.25" customHeight="1" x14ac:dyDescent="0.15">
      <c r="A627" s="21"/>
      <c r="B627" s="21"/>
      <c r="C627" s="44" t="s">
        <v>245</v>
      </c>
      <c r="D627" s="21"/>
      <c r="E627" s="21">
        <v>3</v>
      </c>
      <c r="F627" s="23" t="str">
        <f t="shared" ref="F627:G627" si="429">F620</f>
        <v>4000</v>
      </c>
      <c r="G627" s="23" t="str">
        <f t="shared" si="429"/>
        <v>3800</v>
      </c>
      <c r="H627" s="21">
        <v>380</v>
      </c>
      <c r="I627" s="23" t="str">
        <f t="shared" ref="I627:J627" si="430">I620</f>
        <v>1500</v>
      </c>
      <c r="J627" s="21">
        <f t="shared" si="430"/>
        <v>1000</v>
      </c>
      <c r="K627" s="21">
        <v>585</v>
      </c>
      <c r="L627" s="23" t="str">
        <f>L620</f>
        <v>1500</v>
      </c>
      <c r="M627" s="21"/>
      <c r="N627" s="21"/>
      <c r="O627" s="21">
        <f>O620</f>
        <v>2</v>
      </c>
      <c r="P627" s="21"/>
    </row>
    <row r="628" spans="1:16" ht="14.25" customHeight="1" x14ac:dyDescent="0.15">
      <c r="A628" s="19">
        <v>1</v>
      </c>
      <c r="B628" s="19">
        <v>1.5</v>
      </c>
      <c r="C628" s="19">
        <f>0.6+0.3</f>
        <v>0.89999999999999991</v>
      </c>
      <c r="D628" s="19">
        <f>B628*C628</f>
        <v>1.3499999999999999</v>
      </c>
      <c r="E628" s="19">
        <v>2.5</v>
      </c>
      <c r="F628" s="19"/>
      <c r="G628" s="19"/>
      <c r="H628" s="19"/>
      <c r="I628" s="19">
        <v>1</v>
      </c>
      <c r="J628" s="19">
        <f>A628</f>
        <v>1</v>
      </c>
      <c r="K628" s="19">
        <f t="shared" ref="K628:L628" si="431">K621</f>
        <v>0</v>
      </c>
      <c r="L628" s="19">
        <f t="shared" si="431"/>
        <v>1</v>
      </c>
      <c r="M628" s="19"/>
      <c r="N628" s="19"/>
      <c r="O628" s="19"/>
      <c r="P628" s="19"/>
    </row>
    <row r="629" spans="1:16" ht="14.25" customHeight="1" x14ac:dyDescent="0.15">
      <c r="A629" s="19"/>
      <c r="B629" s="19"/>
      <c r="C629" s="19"/>
      <c r="D629" s="26" t="str">
        <f>D580</f>
        <v>30000</v>
      </c>
      <c r="E629" s="26" t="str">
        <f>E622</f>
        <v>1500</v>
      </c>
      <c r="F629" s="19">
        <v>0</v>
      </c>
      <c r="G629" s="19">
        <v>2</v>
      </c>
      <c r="H629" s="19">
        <f>B628*2</f>
        <v>3</v>
      </c>
      <c r="I629" s="19"/>
      <c r="J629" s="19"/>
      <c r="K629" s="19"/>
      <c r="L629" s="19"/>
      <c r="M629" s="19"/>
      <c r="N629" s="19"/>
      <c r="O629" s="19"/>
      <c r="P629" s="19"/>
    </row>
    <row r="630" spans="1:16" ht="14.25" customHeight="1" x14ac:dyDescent="0.15">
      <c r="A630" s="19"/>
      <c r="B630" s="19"/>
      <c r="C630" s="19"/>
      <c r="D630" s="19">
        <f>D628*D629</f>
        <v>40499.999999999993</v>
      </c>
      <c r="E630" s="19">
        <f>E629*E627</f>
        <v>4500</v>
      </c>
      <c r="F630" s="19">
        <f t="shared" ref="F630:H630" si="432">F627*F629</f>
        <v>0</v>
      </c>
      <c r="G630" s="19">
        <f t="shared" si="432"/>
        <v>7600</v>
      </c>
      <c r="H630" s="19">
        <f t="shared" si="432"/>
        <v>1140</v>
      </c>
      <c r="I630" s="19">
        <f t="shared" ref="I630:L630" si="433">I627*I628</f>
        <v>1500</v>
      </c>
      <c r="J630" s="19">
        <f t="shared" si="433"/>
        <v>1000</v>
      </c>
      <c r="K630" s="19">
        <f t="shared" si="433"/>
        <v>0</v>
      </c>
      <c r="L630" s="19">
        <f t="shared" si="433"/>
        <v>1500</v>
      </c>
      <c r="M630" s="19">
        <f>SUM(D630:L630)</f>
        <v>57739.999999999993</v>
      </c>
      <c r="N630" s="19">
        <f>M630/A628</f>
        <v>57739.999999999993</v>
      </c>
      <c r="O630" s="19">
        <f>N630*O627</f>
        <v>115479.99999999999</v>
      </c>
      <c r="P630" s="19">
        <f>MROUND(O630,100)</f>
        <v>115500</v>
      </c>
    </row>
    <row r="631" spans="1:16" ht="14.25" customHeight="1" x14ac:dyDescent="0.15">
      <c r="A631" s="111"/>
      <c r="B631" s="87"/>
      <c r="C631" s="87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</row>
    <row r="632" spans="1:16" ht="14.25" customHeight="1" x14ac:dyDescent="0.15">
      <c r="A632" s="109" t="str">
        <f>PRICELIST!I634</f>
        <v>CBSTK-FR-GL-1500x600+900</v>
      </c>
      <c r="B632" s="87"/>
      <c r="C632" s="87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</row>
    <row r="633" spans="1:16" ht="14.25" customHeight="1" x14ac:dyDescent="0.15">
      <c r="A633" s="19" t="s">
        <v>57</v>
      </c>
      <c r="B633" s="19" t="s">
        <v>59</v>
      </c>
      <c r="C633" s="19" t="s">
        <v>62</v>
      </c>
      <c r="D633" s="19" t="s">
        <v>64</v>
      </c>
      <c r="E633" s="19" t="s">
        <v>233</v>
      </c>
      <c r="F633" s="19">
        <v>900</v>
      </c>
      <c r="G633" s="19">
        <v>600</v>
      </c>
      <c r="H633" s="19" t="s">
        <v>67</v>
      </c>
      <c r="I633" s="19" t="s">
        <v>244</v>
      </c>
      <c r="J633" s="19" t="s">
        <v>71</v>
      </c>
      <c r="K633" s="19" t="s">
        <v>72</v>
      </c>
      <c r="L633" s="19" t="s">
        <v>73</v>
      </c>
      <c r="M633" s="19" t="s">
        <v>76</v>
      </c>
      <c r="N633" s="19" t="s">
        <v>78</v>
      </c>
      <c r="O633" s="19" t="s">
        <v>79</v>
      </c>
      <c r="P633" s="19" t="s">
        <v>81</v>
      </c>
    </row>
    <row r="634" spans="1:16" ht="14.25" customHeight="1" x14ac:dyDescent="0.15">
      <c r="A634" s="21"/>
      <c r="B634" s="21"/>
      <c r="C634" s="44" t="s">
        <v>245</v>
      </c>
      <c r="D634" s="21"/>
      <c r="E634" s="21">
        <v>3</v>
      </c>
      <c r="F634" s="23" t="str">
        <f t="shared" ref="F634:G634" si="434">F627</f>
        <v>4000</v>
      </c>
      <c r="G634" s="23" t="str">
        <f t="shared" si="434"/>
        <v>3800</v>
      </c>
      <c r="H634" s="21">
        <v>380</v>
      </c>
      <c r="I634" s="23" t="str">
        <f t="shared" ref="I634:J634" si="435">I627</f>
        <v>1500</v>
      </c>
      <c r="J634" s="21">
        <f t="shared" si="435"/>
        <v>1000</v>
      </c>
      <c r="K634" s="21">
        <v>585</v>
      </c>
      <c r="L634" s="23" t="str">
        <f>L627</f>
        <v>1500</v>
      </c>
      <c r="M634" s="21"/>
      <c r="N634" s="21"/>
      <c r="O634" s="21">
        <f>O627</f>
        <v>2</v>
      </c>
      <c r="P634" s="21"/>
    </row>
    <row r="635" spans="1:16" ht="14.25" customHeight="1" x14ac:dyDescent="0.15">
      <c r="A635" s="19">
        <v>1</v>
      </c>
      <c r="B635" s="19">
        <v>1.5</v>
      </c>
      <c r="C635" s="19">
        <f>0.6+0.3</f>
        <v>0.89999999999999991</v>
      </c>
      <c r="D635" s="19">
        <f>B635*C635</f>
        <v>1.3499999999999999</v>
      </c>
      <c r="E635" s="19">
        <v>2.5</v>
      </c>
      <c r="F635" s="19"/>
      <c r="G635" s="19"/>
      <c r="H635" s="19"/>
      <c r="I635" s="19">
        <v>1</v>
      </c>
      <c r="J635" s="19">
        <f>A635</f>
        <v>1</v>
      </c>
      <c r="K635" s="19">
        <f t="shared" ref="K635:L635" si="436">K628</f>
        <v>0</v>
      </c>
      <c r="L635" s="19">
        <f t="shared" si="436"/>
        <v>1</v>
      </c>
      <c r="M635" s="19"/>
      <c r="N635" s="19"/>
      <c r="O635" s="19"/>
      <c r="P635" s="19"/>
    </row>
    <row r="636" spans="1:16" ht="14.25" customHeight="1" x14ac:dyDescent="0.15">
      <c r="A636" s="19"/>
      <c r="B636" s="19"/>
      <c r="C636" s="19"/>
      <c r="D636" s="26" t="str">
        <f>D587</f>
        <v>7500</v>
      </c>
      <c r="E636" s="26" t="str">
        <f>E629</f>
        <v>1500</v>
      </c>
      <c r="F636" s="19">
        <v>0</v>
      </c>
      <c r="G636" s="19">
        <v>2</v>
      </c>
      <c r="H636" s="19">
        <f>B635*2</f>
        <v>3</v>
      </c>
      <c r="I636" s="19"/>
      <c r="J636" s="19"/>
      <c r="K636" s="19"/>
      <c r="L636" s="19"/>
      <c r="M636" s="19"/>
      <c r="N636" s="19"/>
      <c r="O636" s="19"/>
      <c r="P636" s="19"/>
    </row>
    <row r="637" spans="1:16" ht="14.25" customHeight="1" x14ac:dyDescent="0.15">
      <c r="A637" s="19"/>
      <c r="B637" s="19"/>
      <c r="C637" s="19"/>
      <c r="D637" s="19">
        <f>D635*D636</f>
        <v>10124.999999999998</v>
      </c>
      <c r="E637" s="19">
        <f>E636*E634</f>
        <v>4500</v>
      </c>
      <c r="F637" s="19">
        <f t="shared" ref="F637:H637" si="437">F634*F636</f>
        <v>0</v>
      </c>
      <c r="G637" s="19">
        <f t="shared" si="437"/>
        <v>7600</v>
      </c>
      <c r="H637" s="19">
        <f t="shared" si="437"/>
        <v>1140</v>
      </c>
      <c r="I637" s="19">
        <f t="shared" ref="I637:L637" si="438">I634*I635</f>
        <v>1500</v>
      </c>
      <c r="J637" s="19">
        <f t="shared" si="438"/>
        <v>1000</v>
      </c>
      <c r="K637" s="19">
        <f t="shared" si="438"/>
        <v>0</v>
      </c>
      <c r="L637" s="19">
        <f t="shared" si="438"/>
        <v>1500</v>
      </c>
      <c r="M637" s="19">
        <f>SUM(D637:L637)</f>
        <v>27365</v>
      </c>
      <c r="N637" s="19">
        <f>M637/A635</f>
        <v>27365</v>
      </c>
      <c r="O637" s="19">
        <f>N637*O634</f>
        <v>54730</v>
      </c>
      <c r="P637" s="19">
        <f>MROUND(O637,100)</f>
        <v>54700</v>
      </c>
    </row>
    <row r="638" spans="1:16" ht="14.25" customHeight="1" x14ac:dyDescent="0.15">
      <c r="A638" s="111"/>
      <c r="B638" s="87"/>
      <c r="C638" s="87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</row>
    <row r="639" spans="1:16" ht="14.25" customHeight="1" x14ac:dyDescent="0.15">
      <c r="A639" s="109" t="str">
        <f>PRICELIST!I635</f>
        <v>CBSTK-FR-PB-1800x750+1350</v>
      </c>
      <c r="B639" s="87"/>
      <c r="C639" s="87"/>
      <c r="D639" s="30"/>
      <c r="E639" s="30"/>
      <c r="F639" s="30"/>
      <c r="G639" s="30"/>
      <c r="H639" s="19"/>
      <c r="I639" s="19"/>
      <c r="J639" s="19"/>
      <c r="K639" s="19"/>
      <c r="L639" s="19"/>
      <c r="M639" s="19"/>
      <c r="N639" s="19"/>
      <c r="O639" s="19"/>
      <c r="P639" s="19"/>
    </row>
    <row r="640" spans="1:16" ht="14.25" customHeight="1" x14ac:dyDescent="0.15">
      <c r="A640" s="19" t="s">
        <v>57</v>
      </c>
      <c r="B640" s="19" t="s">
        <v>59</v>
      </c>
      <c r="C640" s="19" t="s">
        <v>62</v>
      </c>
      <c r="D640" s="19" t="s">
        <v>64</v>
      </c>
      <c r="E640" s="19" t="s">
        <v>233</v>
      </c>
      <c r="F640" s="19">
        <v>900</v>
      </c>
      <c r="G640" s="19">
        <v>600</v>
      </c>
      <c r="H640" s="19" t="s">
        <v>67</v>
      </c>
      <c r="I640" s="19" t="s">
        <v>244</v>
      </c>
      <c r="J640" s="19" t="s">
        <v>71</v>
      </c>
      <c r="K640" s="19" t="s">
        <v>72</v>
      </c>
      <c r="L640" s="19" t="s">
        <v>73</v>
      </c>
      <c r="M640" s="19" t="s">
        <v>76</v>
      </c>
      <c r="N640" s="19" t="s">
        <v>78</v>
      </c>
      <c r="O640" s="19" t="s">
        <v>79</v>
      </c>
      <c r="P640" s="19" t="s">
        <v>81</v>
      </c>
    </row>
    <row r="641" spans="1:16" ht="14.25" customHeight="1" x14ac:dyDescent="0.15">
      <c r="A641" s="21"/>
      <c r="B641" s="21"/>
      <c r="C641" s="44" t="s">
        <v>245</v>
      </c>
      <c r="D641" s="21"/>
      <c r="E641" s="21">
        <v>4.5</v>
      </c>
      <c r="F641" s="23" t="str">
        <f t="shared" ref="F641:G641" si="439">F634</f>
        <v>4000</v>
      </c>
      <c r="G641" s="23" t="str">
        <f t="shared" si="439"/>
        <v>3800</v>
      </c>
      <c r="H641" s="21">
        <v>380</v>
      </c>
      <c r="I641" s="23" t="str">
        <f t="shared" ref="I641:J641" si="440">I634</f>
        <v>1500</v>
      </c>
      <c r="J641" s="21">
        <f t="shared" si="440"/>
        <v>1000</v>
      </c>
      <c r="K641" s="21">
        <v>585</v>
      </c>
      <c r="L641" s="23" t="str">
        <f>L634</f>
        <v>1500</v>
      </c>
      <c r="M641" s="21"/>
      <c r="N641" s="21"/>
      <c r="O641" s="21">
        <f>O634</f>
        <v>2</v>
      </c>
      <c r="P641" s="21"/>
    </row>
    <row r="642" spans="1:16" ht="14.25" customHeight="1" x14ac:dyDescent="0.15">
      <c r="A642" s="19">
        <v>1</v>
      </c>
      <c r="B642" s="19">
        <v>1.8</v>
      </c>
      <c r="C642" s="19">
        <f>0.75+0.3</f>
        <v>1.05</v>
      </c>
      <c r="D642" s="19">
        <f>B642*C642</f>
        <v>1.8900000000000001</v>
      </c>
      <c r="E642" s="19">
        <v>2.5</v>
      </c>
      <c r="F642" s="19"/>
      <c r="G642" s="19"/>
      <c r="H642" s="19"/>
      <c r="I642" s="19">
        <v>1</v>
      </c>
      <c r="J642" s="19">
        <f>A642</f>
        <v>1</v>
      </c>
      <c r="K642" s="19">
        <f t="shared" ref="K642:L642" si="441">K635</f>
        <v>0</v>
      </c>
      <c r="L642" s="19">
        <f t="shared" si="441"/>
        <v>1</v>
      </c>
      <c r="M642" s="19"/>
      <c r="N642" s="19"/>
      <c r="O642" s="19"/>
      <c r="P642" s="19"/>
    </row>
    <row r="643" spans="1:16" ht="14.25" customHeight="1" x14ac:dyDescent="0.15">
      <c r="A643" s="19"/>
      <c r="B643" s="19"/>
      <c r="C643" s="19"/>
      <c r="D643" s="26" t="str">
        <f t="shared" ref="D643:E643" si="442">D594</f>
        <v>2200</v>
      </c>
      <c r="E643" s="26" t="str">
        <f t="shared" si="442"/>
        <v>1000</v>
      </c>
      <c r="F643" s="19">
        <v>2</v>
      </c>
      <c r="G643" s="19">
        <v>0</v>
      </c>
      <c r="H643" s="19">
        <f>B642*2</f>
        <v>3.6</v>
      </c>
      <c r="I643" s="19"/>
      <c r="J643" s="19"/>
      <c r="K643" s="19"/>
      <c r="L643" s="19"/>
      <c r="M643" s="19"/>
      <c r="N643" s="19"/>
      <c r="O643" s="19"/>
      <c r="P643" s="19"/>
    </row>
    <row r="644" spans="1:16" ht="14.25" customHeight="1" x14ac:dyDescent="0.15">
      <c r="A644" s="19"/>
      <c r="B644" s="19"/>
      <c r="C644" s="19"/>
      <c r="D644" s="19">
        <f>D642*D643</f>
        <v>4158</v>
      </c>
      <c r="E644" s="19">
        <f>E643*E641</f>
        <v>4500</v>
      </c>
      <c r="F644" s="19">
        <f t="shared" ref="F644:H644" si="443">F641*F643</f>
        <v>8000</v>
      </c>
      <c r="G644" s="19">
        <f t="shared" si="443"/>
        <v>0</v>
      </c>
      <c r="H644" s="19">
        <f t="shared" si="443"/>
        <v>1368</v>
      </c>
      <c r="I644" s="19">
        <f t="shared" ref="I644:L644" si="444">I641*I642</f>
        <v>1500</v>
      </c>
      <c r="J644" s="19">
        <f t="shared" si="444"/>
        <v>1000</v>
      </c>
      <c r="K644" s="19">
        <f t="shared" si="444"/>
        <v>0</v>
      </c>
      <c r="L644" s="19">
        <f t="shared" si="444"/>
        <v>1500</v>
      </c>
      <c r="M644" s="19">
        <f>SUM(D644:L644)</f>
        <v>22026</v>
      </c>
      <c r="N644" s="19">
        <f>M644/A642</f>
        <v>22026</v>
      </c>
      <c r="O644" s="19">
        <f>N644*O641</f>
        <v>44052</v>
      </c>
      <c r="P644" s="19">
        <f>MROUND(O644,100)</f>
        <v>44100</v>
      </c>
    </row>
    <row r="645" spans="1:16" ht="14.25" customHeight="1" x14ac:dyDescent="0.15">
      <c r="A645" s="111"/>
      <c r="B645" s="87"/>
      <c r="C645" s="87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</row>
    <row r="646" spans="1:16" ht="14.25" customHeight="1" x14ac:dyDescent="0.15">
      <c r="A646" s="109" t="str">
        <f>PRICELIST!I636</f>
        <v>CBSTK-FR-PLM-1800x750+1350</v>
      </c>
      <c r="B646" s="87"/>
      <c r="C646" s="87"/>
      <c r="D646" s="30"/>
      <c r="E646" s="30"/>
      <c r="F646" s="30"/>
      <c r="G646" s="30"/>
      <c r="H646" s="19"/>
      <c r="I646" s="19"/>
      <c r="J646" s="19"/>
      <c r="K646" s="19"/>
      <c r="L646" s="19"/>
      <c r="M646" s="19"/>
      <c r="N646" s="19"/>
      <c r="O646" s="19"/>
      <c r="P646" s="19"/>
    </row>
    <row r="647" spans="1:16" ht="14.25" customHeight="1" x14ac:dyDescent="0.15">
      <c r="A647" s="19" t="s">
        <v>57</v>
      </c>
      <c r="B647" s="19" t="s">
        <v>59</v>
      </c>
      <c r="C647" s="19" t="s">
        <v>62</v>
      </c>
      <c r="D647" s="19" t="s">
        <v>64</v>
      </c>
      <c r="E647" s="19" t="s">
        <v>233</v>
      </c>
      <c r="F647" s="19">
        <v>900</v>
      </c>
      <c r="G647" s="19">
        <v>600</v>
      </c>
      <c r="H647" s="19" t="s">
        <v>67</v>
      </c>
      <c r="I647" s="19" t="s">
        <v>244</v>
      </c>
      <c r="J647" s="19" t="s">
        <v>71</v>
      </c>
      <c r="K647" s="19" t="s">
        <v>72</v>
      </c>
      <c r="L647" s="19" t="s">
        <v>73</v>
      </c>
      <c r="M647" s="19" t="s">
        <v>76</v>
      </c>
      <c r="N647" s="19" t="s">
        <v>78</v>
      </c>
      <c r="O647" s="19" t="s">
        <v>79</v>
      </c>
      <c r="P647" s="19" t="s">
        <v>81</v>
      </c>
    </row>
    <row r="648" spans="1:16" ht="14.25" customHeight="1" x14ac:dyDescent="0.15">
      <c r="A648" s="21"/>
      <c r="B648" s="21"/>
      <c r="C648" s="44" t="s">
        <v>245</v>
      </c>
      <c r="D648" s="21"/>
      <c r="E648" s="21">
        <v>4.5</v>
      </c>
      <c r="F648" s="23" t="str">
        <f t="shared" ref="F648:G648" si="445">F641</f>
        <v>4000</v>
      </c>
      <c r="G648" s="23" t="str">
        <f t="shared" si="445"/>
        <v>3800</v>
      </c>
      <c r="H648" s="21">
        <v>380</v>
      </c>
      <c r="I648" s="23" t="str">
        <f t="shared" ref="I648:J648" si="446">I641</f>
        <v>1500</v>
      </c>
      <c r="J648" s="21">
        <f t="shared" si="446"/>
        <v>1000</v>
      </c>
      <c r="K648" s="21">
        <v>585</v>
      </c>
      <c r="L648" s="23" t="str">
        <f>L641</f>
        <v>1500</v>
      </c>
      <c r="M648" s="21"/>
      <c r="N648" s="21"/>
      <c r="O648" s="21">
        <f>O641</f>
        <v>2</v>
      </c>
      <c r="P648" s="21"/>
    </row>
    <row r="649" spans="1:16" ht="14.25" customHeight="1" x14ac:dyDescent="0.15">
      <c r="A649" s="19">
        <v>1</v>
      </c>
      <c r="B649" s="19">
        <v>1.8</v>
      </c>
      <c r="C649" s="19">
        <f>0.75+0.3</f>
        <v>1.05</v>
      </c>
      <c r="D649" s="19">
        <f>B649*C649</f>
        <v>1.8900000000000001</v>
      </c>
      <c r="E649" s="19">
        <v>2.5</v>
      </c>
      <c r="F649" s="19"/>
      <c r="G649" s="19"/>
      <c r="H649" s="19"/>
      <c r="I649" s="19">
        <v>1</v>
      </c>
      <c r="J649" s="19">
        <f>A649</f>
        <v>1</v>
      </c>
      <c r="K649" s="19">
        <f t="shared" ref="K649:L649" si="447">K642</f>
        <v>0</v>
      </c>
      <c r="L649" s="19">
        <f t="shared" si="447"/>
        <v>1</v>
      </c>
      <c r="M649" s="19"/>
      <c r="N649" s="19"/>
      <c r="O649" s="19"/>
      <c r="P649" s="19"/>
    </row>
    <row r="650" spans="1:16" ht="14.25" customHeight="1" x14ac:dyDescent="0.15">
      <c r="A650" s="19"/>
      <c r="B650" s="19"/>
      <c r="C650" s="19"/>
      <c r="D650" s="26" t="str">
        <f>D601</f>
        <v>3000</v>
      </c>
      <c r="E650" s="26" t="str">
        <f>E643</f>
        <v>1000</v>
      </c>
      <c r="F650" s="19">
        <v>2</v>
      </c>
      <c r="G650" s="19">
        <v>0</v>
      </c>
      <c r="H650" s="19">
        <f>B649*2</f>
        <v>3.6</v>
      </c>
      <c r="I650" s="19"/>
      <c r="J650" s="19"/>
      <c r="K650" s="19"/>
      <c r="L650" s="19"/>
      <c r="M650" s="19"/>
      <c r="N650" s="19"/>
      <c r="O650" s="19"/>
      <c r="P650" s="19"/>
    </row>
    <row r="651" spans="1:16" ht="14.25" customHeight="1" x14ac:dyDescent="0.15">
      <c r="A651" s="19"/>
      <c r="B651" s="19"/>
      <c r="C651" s="19"/>
      <c r="D651" s="19">
        <f>D649*D650</f>
        <v>5670</v>
      </c>
      <c r="E651" s="19">
        <f>E650*E648</f>
        <v>4500</v>
      </c>
      <c r="F651" s="19">
        <f t="shared" ref="F651:H651" si="448">F648*F650</f>
        <v>8000</v>
      </c>
      <c r="G651" s="19">
        <f t="shared" si="448"/>
        <v>0</v>
      </c>
      <c r="H651" s="19">
        <f t="shared" si="448"/>
        <v>1368</v>
      </c>
      <c r="I651" s="19">
        <f t="shared" ref="I651:L651" si="449">I648*I649</f>
        <v>1500</v>
      </c>
      <c r="J651" s="19">
        <f t="shared" si="449"/>
        <v>1000</v>
      </c>
      <c r="K651" s="19">
        <f t="shared" si="449"/>
        <v>0</v>
      </c>
      <c r="L651" s="19">
        <f t="shared" si="449"/>
        <v>1500</v>
      </c>
      <c r="M651" s="19">
        <f>SUM(D651:L651)</f>
        <v>23538</v>
      </c>
      <c r="N651" s="19">
        <f>M651/A649</f>
        <v>23538</v>
      </c>
      <c r="O651" s="19">
        <f>N651*O648</f>
        <v>47076</v>
      </c>
      <c r="P651" s="19">
        <f>MROUND(O651,100)</f>
        <v>47100</v>
      </c>
    </row>
    <row r="652" spans="1:16" ht="14.25" customHeight="1" x14ac:dyDescent="0.15">
      <c r="A652" s="111"/>
      <c r="B652" s="87"/>
      <c r="C652" s="87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</row>
    <row r="653" spans="1:16" ht="14.25" customHeight="1" x14ac:dyDescent="0.15">
      <c r="A653" s="109" t="str">
        <f>PRICELIST!I637</f>
        <v>CBSTK-FR-PoLM-1800x750+1350</v>
      </c>
      <c r="B653" s="87"/>
      <c r="C653" s="87"/>
      <c r="D653" s="19"/>
      <c r="E653" s="19"/>
      <c r="F653" s="19"/>
      <c r="G653" s="19"/>
      <c r="H653" s="21"/>
      <c r="I653" s="21"/>
      <c r="J653" s="21"/>
      <c r="K653" s="21"/>
      <c r="L653" s="21"/>
      <c r="M653" s="21"/>
      <c r="N653" s="21"/>
      <c r="O653" s="21"/>
      <c r="P653" s="21"/>
    </row>
    <row r="654" spans="1:16" ht="14.25" customHeight="1" x14ac:dyDescent="0.15">
      <c r="A654" s="19" t="s">
        <v>57</v>
      </c>
      <c r="B654" s="19" t="s">
        <v>59</v>
      </c>
      <c r="C654" s="19" t="s">
        <v>62</v>
      </c>
      <c r="D654" s="19" t="s">
        <v>64</v>
      </c>
      <c r="E654" s="19" t="s">
        <v>233</v>
      </c>
      <c r="F654" s="19">
        <v>900</v>
      </c>
      <c r="G654" s="19">
        <v>600</v>
      </c>
      <c r="H654" s="19" t="s">
        <v>67</v>
      </c>
      <c r="I654" s="19" t="s">
        <v>244</v>
      </c>
      <c r="J654" s="19" t="s">
        <v>71</v>
      </c>
      <c r="K654" s="19" t="s">
        <v>72</v>
      </c>
      <c r="L654" s="19" t="s">
        <v>73</v>
      </c>
      <c r="M654" s="19" t="s">
        <v>76</v>
      </c>
      <c r="N654" s="19" t="s">
        <v>78</v>
      </c>
      <c r="O654" s="19" t="s">
        <v>79</v>
      </c>
      <c r="P654" s="19" t="s">
        <v>81</v>
      </c>
    </row>
    <row r="655" spans="1:16" ht="14.25" customHeight="1" x14ac:dyDescent="0.15">
      <c r="A655" s="21"/>
      <c r="B655" s="21"/>
      <c r="C655" s="44" t="s">
        <v>245</v>
      </c>
      <c r="D655" s="21"/>
      <c r="E655" s="21">
        <v>4.5</v>
      </c>
      <c r="F655" s="23" t="str">
        <f t="shared" ref="F655:G655" si="450">F648</f>
        <v>4000</v>
      </c>
      <c r="G655" s="23" t="str">
        <f t="shared" si="450"/>
        <v>3800</v>
      </c>
      <c r="H655" s="21">
        <v>380</v>
      </c>
      <c r="I655" s="23" t="str">
        <f t="shared" ref="I655:J655" si="451">I648</f>
        <v>1500</v>
      </c>
      <c r="J655" s="21">
        <f t="shared" si="451"/>
        <v>1000</v>
      </c>
      <c r="K655" s="21">
        <v>585</v>
      </c>
      <c r="L655" s="23" t="str">
        <f>L648</f>
        <v>1500</v>
      </c>
      <c r="M655" s="21"/>
      <c r="N655" s="21"/>
      <c r="O655" s="21">
        <f>O648</f>
        <v>2</v>
      </c>
      <c r="P655" s="21"/>
    </row>
    <row r="656" spans="1:16" ht="14.25" customHeight="1" x14ac:dyDescent="0.15">
      <c r="A656" s="19">
        <v>1</v>
      </c>
      <c r="B656" s="19">
        <v>1.8</v>
      </c>
      <c r="C656" s="19">
        <f>0.75+0.3</f>
        <v>1.05</v>
      </c>
      <c r="D656" s="19">
        <f>B656*C656</f>
        <v>1.8900000000000001</v>
      </c>
      <c r="E656" s="19">
        <v>2.5</v>
      </c>
      <c r="F656" s="19"/>
      <c r="G656" s="19"/>
      <c r="H656" s="19"/>
      <c r="I656" s="19">
        <v>1</v>
      </c>
      <c r="J656" s="19">
        <f>A656</f>
        <v>1</v>
      </c>
      <c r="K656" s="19">
        <f t="shared" ref="K656:L656" si="452">K649</f>
        <v>0</v>
      </c>
      <c r="L656" s="19">
        <f t="shared" si="452"/>
        <v>1</v>
      </c>
      <c r="M656" s="19"/>
      <c r="N656" s="19"/>
      <c r="O656" s="19"/>
      <c r="P656" s="19"/>
    </row>
    <row r="657" spans="1:16" ht="14.25" customHeight="1" x14ac:dyDescent="0.15">
      <c r="A657" s="19"/>
      <c r="B657" s="19"/>
      <c r="C657" s="19"/>
      <c r="D657" s="26" t="str">
        <f>D608</f>
        <v>7500</v>
      </c>
      <c r="E657" s="26" t="str">
        <f>E650</f>
        <v>1000</v>
      </c>
      <c r="F657" s="19">
        <v>2</v>
      </c>
      <c r="G657" s="19">
        <v>0</v>
      </c>
      <c r="H657" s="19">
        <f>B656*2</f>
        <v>3.6</v>
      </c>
      <c r="I657" s="19"/>
      <c r="J657" s="19"/>
      <c r="K657" s="19"/>
      <c r="L657" s="19"/>
      <c r="M657" s="19"/>
      <c r="N657" s="19"/>
      <c r="O657" s="19"/>
      <c r="P657" s="19"/>
    </row>
    <row r="658" spans="1:16" ht="14.25" customHeight="1" x14ac:dyDescent="0.15">
      <c r="A658" s="19"/>
      <c r="B658" s="19"/>
      <c r="C658" s="19"/>
      <c r="D658" s="19">
        <f>D656*D657</f>
        <v>14175.000000000002</v>
      </c>
      <c r="E658" s="19">
        <f>E657*E655</f>
        <v>4500</v>
      </c>
      <c r="F658" s="19">
        <f t="shared" ref="F658:H658" si="453">F655*F657</f>
        <v>8000</v>
      </c>
      <c r="G658" s="19">
        <f t="shared" si="453"/>
        <v>0</v>
      </c>
      <c r="H658" s="19">
        <f t="shared" si="453"/>
        <v>1368</v>
      </c>
      <c r="I658" s="19">
        <f t="shared" ref="I658:L658" si="454">I655*I656</f>
        <v>1500</v>
      </c>
      <c r="J658" s="19">
        <f t="shared" si="454"/>
        <v>1000</v>
      </c>
      <c r="K658" s="19">
        <f t="shared" si="454"/>
        <v>0</v>
      </c>
      <c r="L658" s="19">
        <f t="shared" si="454"/>
        <v>1500</v>
      </c>
      <c r="M658" s="19">
        <f>SUM(D658:L658)</f>
        <v>32043</v>
      </c>
      <c r="N658" s="19">
        <f>M658/A656</f>
        <v>32043</v>
      </c>
      <c r="O658" s="19">
        <f>N658*O655</f>
        <v>64086</v>
      </c>
      <c r="P658" s="19">
        <f>MROUND(O658,100)</f>
        <v>64100</v>
      </c>
    </row>
    <row r="659" spans="1:16" ht="14.25" customHeight="1" x14ac:dyDescent="0.15">
      <c r="A659" s="111"/>
      <c r="B659" s="87"/>
      <c r="C659" s="87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</row>
    <row r="660" spans="1:16" ht="14.25" customHeight="1" x14ac:dyDescent="0.15">
      <c r="A660" s="109" t="str">
        <f>PRICELIST!I638</f>
        <v>CBSTK-FR-LVM-1800x750+1350</v>
      </c>
      <c r="B660" s="87"/>
      <c r="C660" s="87"/>
      <c r="D660" s="21"/>
      <c r="E660" s="21"/>
      <c r="F660" s="21"/>
      <c r="G660" s="30"/>
      <c r="H660" s="19"/>
      <c r="I660" s="19"/>
      <c r="J660" s="19"/>
      <c r="K660" s="19"/>
      <c r="L660" s="19"/>
      <c r="M660" s="19"/>
      <c r="N660" s="19"/>
      <c r="O660" s="19"/>
      <c r="P660" s="19"/>
    </row>
    <row r="661" spans="1:16" ht="14.25" customHeight="1" x14ac:dyDescent="0.15">
      <c r="A661" s="19" t="s">
        <v>57</v>
      </c>
      <c r="B661" s="19" t="s">
        <v>59</v>
      </c>
      <c r="C661" s="19" t="s">
        <v>62</v>
      </c>
      <c r="D661" s="19" t="s">
        <v>64</v>
      </c>
      <c r="E661" s="19" t="s">
        <v>233</v>
      </c>
      <c r="F661" s="19">
        <v>900</v>
      </c>
      <c r="G661" s="19">
        <v>600</v>
      </c>
      <c r="H661" s="19" t="s">
        <v>67</v>
      </c>
      <c r="I661" s="19" t="s">
        <v>244</v>
      </c>
      <c r="J661" s="19" t="s">
        <v>71</v>
      </c>
      <c r="K661" s="19" t="s">
        <v>72</v>
      </c>
      <c r="L661" s="19" t="s">
        <v>73</v>
      </c>
      <c r="M661" s="19" t="s">
        <v>76</v>
      </c>
      <c r="N661" s="19" t="s">
        <v>78</v>
      </c>
      <c r="O661" s="19" t="s">
        <v>79</v>
      </c>
      <c r="P661" s="19" t="s">
        <v>81</v>
      </c>
    </row>
    <row r="662" spans="1:16" ht="14.25" customHeight="1" x14ac:dyDescent="0.15">
      <c r="A662" s="21"/>
      <c r="B662" s="21"/>
      <c r="C662" s="44" t="s">
        <v>245</v>
      </c>
      <c r="D662" s="21"/>
      <c r="E662" s="21">
        <v>4.5</v>
      </c>
      <c r="F662" s="23" t="str">
        <f t="shared" ref="F662:G662" si="455">F655</f>
        <v>4000</v>
      </c>
      <c r="G662" s="23" t="str">
        <f t="shared" si="455"/>
        <v>3800</v>
      </c>
      <c r="H662" s="21">
        <v>380</v>
      </c>
      <c r="I662" s="23" t="str">
        <f t="shared" ref="I662:J662" si="456">I655</f>
        <v>1500</v>
      </c>
      <c r="J662" s="21">
        <f t="shared" si="456"/>
        <v>1000</v>
      </c>
      <c r="K662" s="21">
        <v>585</v>
      </c>
      <c r="L662" s="23" t="str">
        <f>L655</f>
        <v>1500</v>
      </c>
      <c r="M662" s="21"/>
      <c r="N662" s="21"/>
      <c r="O662" s="21">
        <f>O655</f>
        <v>2</v>
      </c>
      <c r="P662" s="21"/>
    </row>
    <row r="663" spans="1:16" ht="14.25" customHeight="1" x14ac:dyDescent="0.15">
      <c r="A663" s="19">
        <v>1</v>
      </c>
      <c r="B663" s="19">
        <v>1.8</v>
      </c>
      <c r="C663" s="19">
        <f>0.75+0.3</f>
        <v>1.05</v>
      </c>
      <c r="D663" s="19">
        <f>B663*C663</f>
        <v>1.8900000000000001</v>
      </c>
      <c r="E663" s="19">
        <v>2.5</v>
      </c>
      <c r="F663" s="19"/>
      <c r="G663" s="19"/>
      <c r="H663" s="19"/>
      <c r="I663" s="19">
        <v>1</v>
      </c>
      <c r="J663" s="19">
        <f>A663</f>
        <v>1</v>
      </c>
      <c r="K663" s="19">
        <f t="shared" ref="K663:L663" si="457">K656</f>
        <v>0</v>
      </c>
      <c r="L663" s="19">
        <f t="shared" si="457"/>
        <v>1</v>
      </c>
      <c r="M663" s="19"/>
      <c r="N663" s="19"/>
      <c r="O663" s="19"/>
      <c r="P663" s="19"/>
    </row>
    <row r="664" spans="1:16" ht="14.25" customHeight="1" x14ac:dyDescent="0.15">
      <c r="A664" s="19"/>
      <c r="B664" s="19"/>
      <c r="C664" s="19"/>
      <c r="D664" s="26" t="str">
        <f>D615</f>
        <v>9500</v>
      </c>
      <c r="E664" s="26" t="str">
        <f>E622</f>
        <v>1500</v>
      </c>
      <c r="F664" s="19">
        <v>2</v>
      </c>
      <c r="G664" s="19">
        <v>0</v>
      </c>
      <c r="H664" s="19">
        <f>B663*2</f>
        <v>3.6</v>
      </c>
      <c r="I664" s="19"/>
      <c r="J664" s="19"/>
      <c r="K664" s="19"/>
      <c r="L664" s="19"/>
      <c r="M664" s="19"/>
      <c r="N664" s="19"/>
      <c r="O664" s="19"/>
      <c r="P664" s="19"/>
    </row>
    <row r="665" spans="1:16" ht="14.25" customHeight="1" x14ac:dyDescent="0.15">
      <c r="A665" s="19"/>
      <c r="B665" s="19"/>
      <c r="C665" s="19"/>
      <c r="D665" s="19">
        <f>D663*D664</f>
        <v>17955</v>
      </c>
      <c r="E665" s="19">
        <f>E664*E662</f>
        <v>6750</v>
      </c>
      <c r="F665" s="19">
        <f t="shared" ref="F665:H665" si="458">F662*F664</f>
        <v>8000</v>
      </c>
      <c r="G665" s="19">
        <f t="shared" si="458"/>
        <v>0</v>
      </c>
      <c r="H665" s="19">
        <f t="shared" si="458"/>
        <v>1368</v>
      </c>
      <c r="I665" s="19">
        <f t="shared" ref="I665:L665" si="459">I662*I663</f>
        <v>1500</v>
      </c>
      <c r="J665" s="19">
        <f t="shared" si="459"/>
        <v>1000</v>
      </c>
      <c r="K665" s="19">
        <f t="shared" si="459"/>
        <v>0</v>
      </c>
      <c r="L665" s="19">
        <f t="shared" si="459"/>
        <v>1500</v>
      </c>
      <c r="M665" s="19">
        <f>SUM(D665:L665)</f>
        <v>38073</v>
      </c>
      <c r="N665" s="19">
        <f>M665/A663</f>
        <v>38073</v>
      </c>
      <c r="O665" s="19">
        <f>N665*O662</f>
        <v>76146</v>
      </c>
      <c r="P665" s="19">
        <f>MROUND(O665,100)</f>
        <v>76100</v>
      </c>
    </row>
    <row r="666" spans="1:16" ht="14.25" customHeight="1" x14ac:dyDescent="0.15">
      <c r="A666" s="111"/>
      <c r="B666" s="87"/>
      <c r="C666" s="87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</row>
    <row r="667" spans="1:16" ht="14.25" customHeight="1" x14ac:dyDescent="0.15">
      <c r="A667" s="109" t="str">
        <f>PRICELIST!I639</f>
        <v>CBSTK-FR-LVP-1800x750+1350</v>
      </c>
      <c r="B667" s="87"/>
      <c r="C667" s="87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</row>
    <row r="668" spans="1:16" ht="14.25" customHeight="1" x14ac:dyDescent="0.15">
      <c r="A668" s="19" t="s">
        <v>57</v>
      </c>
      <c r="B668" s="19" t="s">
        <v>59</v>
      </c>
      <c r="C668" s="19" t="s">
        <v>62</v>
      </c>
      <c r="D668" s="19" t="s">
        <v>64</v>
      </c>
      <c r="E668" s="19" t="s">
        <v>233</v>
      </c>
      <c r="F668" s="19">
        <v>900</v>
      </c>
      <c r="G668" s="19">
        <v>600</v>
      </c>
      <c r="H668" s="19" t="s">
        <v>67</v>
      </c>
      <c r="I668" s="19" t="s">
        <v>244</v>
      </c>
      <c r="J668" s="19" t="s">
        <v>71</v>
      </c>
      <c r="K668" s="19" t="s">
        <v>72</v>
      </c>
      <c r="L668" s="19" t="s">
        <v>73</v>
      </c>
      <c r="M668" s="19" t="s">
        <v>76</v>
      </c>
      <c r="N668" s="19" t="s">
        <v>78</v>
      </c>
      <c r="O668" s="19" t="s">
        <v>79</v>
      </c>
      <c r="P668" s="19" t="s">
        <v>81</v>
      </c>
    </row>
    <row r="669" spans="1:16" ht="14.25" customHeight="1" x14ac:dyDescent="0.15">
      <c r="A669" s="21"/>
      <c r="B669" s="21"/>
      <c r="C669" s="44" t="s">
        <v>245</v>
      </c>
      <c r="D669" s="21"/>
      <c r="E669" s="21">
        <v>4.5</v>
      </c>
      <c r="F669" s="23" t="str">
        <f t="shared" ref="F669:G669" si="460">F662</f>
        <v>4000</v>
      </c>
      <c r="G669" s="23" t="str">
        <f t="shared" si="460"/>
        <v>3800</v>
      </c>
      <c r="H669" s="21">
        <v>380</v>
      </c>
      <c r="I669" s="23" t="str">
        <f t="shared" ref="I669:J669" si="461">I662</f>
        <v>1500</v>
      </c>
      <c r="J669" s="21">
        <f t="shared" si="461"/>
        <v>1000</v>
      </c>
      <c r="K669" s="21">
        <v>585</v>
      </c>
      <c r="L669" s="23" t="str">
        <f>L662</f>
        <v>1500</v>
      </c>
      <c r="M669" s="21"/>
      <c r="N669" s="21"/>
      <c r="O669" s="21">
        <f>O662</f>
        <v>2</v>
      </c>
      <c r="P669" s="21"/>
    </row>
    <row r="670" spans="1:16" ht="14.25" customHeight="1" x14ac:dyDescent="0.15">
      <c r="A670" s="19">
        <v>1</v>
      </c>
      <c r="B670" s="19">
        <v>1.8</v>
      </c>
      <c r="C670" s="19">
        <f>0.75+0.3</f>
        <v>1.05</v>
      </c>
      <c r="D670" s="19">
        <f>B670*C670</f>
        <v>1.8900000000000001</v>
      </c>
      <c r="E670" s="19">
        <v>2.5</v>
      </c>
      <c r="F670" s="19"/>
      <c r="G670" s="19"/>
      <c r="H670" s="19"/>
      <c r="I670" s="19">
        <v>1</v>
      </c>
      <c r="J670" s="19">
        <f>A670</f>
        <v>1</v>
      </c>
      <c r="K670" s="19">
        <f t="shared" ref="K670:L670" si="462">K663</f>
        <v>0</v>
      </c>
      <c r="L670" s="19">
        <f t="shared" si="462"/>
        <v>1</v>
      </c>
      <c r="M670" s="19"/>
      <c r="N670" s="19"/>
      <c r="O670" s="19"/>
      <c r="P670" s="19"/>
    </row>
    <row r="671" spans="1:16" ht="14.25" customHeight="1" x14ac:dyDescent="0.15">
      <c r="A671" s="19"/>
      <c r="B671" s="19"/>
      <c r="C671" s="19"/>
      <c r="D671" s="26" t="str">
        <f>D622</f>
        <v>10500</v>
      </c>
      <c r="E671" s="26" t="str">
        <f>E664</f>
        <v>1500</v>
      </c>
      <c r="F671" s="19">
        <v>2</v>
      </c>
      <c r="G671" s="19">
        <v>0</v>
      </c>
      <c r="H671" s="19">
        <f>B670*2</f>
        <v>3.6</v>
      </c>
      <c r="I671" s="19"/>
      <c r="J671" s="19"/>
      <c r="K671" s="19"/>
      <c r="L671" s="19"/>
      <c r="M671" s="19"/>
      <c r="N671" s="19"/>
      <c r="O671" s="19"/>
      <c r="P671" s="19"/>
    </row>
    <row r="672" spans="1:16" ht="14.25" customHeight="1" x14ac:dyDescent="0.15">
      <c r="A672" s="19"/>
      <c r="B672" s="19"/>
      <c r="C672" s="19"/>
      <c r="D672" s="19">
        <f>D670*D671</f>
        <v>19845</v>
      </c>
      <c r="E672" s="19">
        <f>E671*E669</f>
        <v>6750</v>
      </c>
      <c r="F672" s="19">
        <f t="shared" ref="F672:H672" si="463">F669*F671</f>
        <v>8000</v>
      </c>
      <c r="G672" s="19">
        <f t="shared" si="463"/>
        <v>0</v>
      </c>
      <c r="H672" s="19">
        <f t="shared" si="463"/>
        <v>1368</v>
      </c>
      <c r="I672" s="19">
        <f t="shared" ref="I672:L672" si="464">I669*I670</f>
        <v>1500</v>
      </c>
      <c r="J672" s="19">
        <f t="shared" si="464"/>
        <v>1000</v>
      </c>
      <c r="K672" s="19">
        <f t="shared" si="464"/>
        <v>0</v>
      </c>
      <c r="L672" s="19">
        <f t="shared" si="464"/>
        <v>1500</v>
      </c>
      <c r="M672" s="19">
        <f>SUM(D672:L672)</f>
        <v>39963</v>
      </c>
      <c r="N672" s="19">
        <f>M672/A670</f>
        <v>39963</v>
      </c>
      <c r="O672" s="19">
        <f>N672*O669</f>
        <v>79926</v>
      </c>
      <c r="P672" s="19">
        <f>MROUND(O672,100)</f>
        <v>79900</v>
      </c>
    </row>
    <row r="673" spans="1:16" ht="14.25" customHeight="1" x14ac:dyDescent="0.15">
      <c r="A673" s="111"/>
      <c r="B673" s="87"/>
      <c r="C673" s="87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</row>
    <row r="674" spans="1:16" ht="14.25" customHeight="1" x14ac:dyDescent="0.15">
      <c r="A674" s="109" t="str">
        <f>PRICELIST!I640</f>
        <v>CBSTK-FR-VNR-1800x750+1350</v>
      </c>
      <c r="B674" s="87"/>
      <c r="C674" s="87"/>
      <c r="D674" s="19"/>
      <c r="E674" s="19"/>
      <c r="F674" s="19"/>
      <c r="G674" s="30"/>
      <c r="H674" s="19"/>
      <c r="I674" s="19"/>
      <c r="J674" s="19"/>
      <c r="K674" s="19"/>
      <c r="L674" s="19"/>
      <c r="M674" s="19"/>
      <c r="N674" s="19"/>
      <c r="O674" s="19"/>
      <c r="P674" s="19"/>
    </row>
    <row r="675" spans="1:16" ht="14.25" customHeight="1" x14ac:dyDescent="0.15">
      <c r="A675" s="19" t="s">
        <v>57</v>
      </c>
      <c r="B675" s="19" t="s">
        <v>59</v>
      </c>
      <c r="C675" s="19" t="s">
        <v>62</v>
      </c>
      <c r="D675" s="19" t="s">
        <v>64</v>
      </c>
      <c r="E675" s="19" t="s">
        <v>233</v>
      </c>
      <c r="F675" s="19">
        <v>900</v>
      </c>
      <c r="G675" s="19">
        <v>600</v>
      </c>
      <c r="H675" s="19" t="s">
        <v>67</v>
      </c>
      <c r="I675" s="19" t="s">
        <v>244</v>
      </c>
      <c r="J675" s="19" t="s">
        <v>71</v>
      </c>
      <c r="K675" s="19" t="s">
        <v>72</v>
      </c>
      <c r="L675" s="19" t="s">
        <v>73</v>
      </c>
      <c r="M675" s="19" t="s">
        <v>76</v>
      </c>
      <c r="N675" s="19" t="s">
        <v>78</v>
      </c>
      <c r="O675" s="19" t="s">
        <v>79</v>
      </c>
      <c r="P675" s="19" t="s">
        <v>81</v>
      </c>
    </row>
    <row r="676" spans="1:16" ht="14.25" customHeight="1" x14ac:dyDescent="0.15">
      <c r="A676" s="21"/>
      <c r="B676" s="21"/>
      <c r="C676" s="44" t="s">
        <v>245</v>
      </c>
      <c r="D676" s="21"/>
      <c r="E676" s="21">
        <v>4.5</v>
      </c>
      <c r="F676" s="23" t="str">
        <f t="shared" ref="F676:G676" si="465">F669</f>
        <v>4000</v>
      </c>
      <c r="G676" s="23" t="str">
        <f t="shared" si="465"/>
        <v>3800</v>
      </c>
      <c r="H676" s="21">
        <v>380</v>
      </c>
      <c r="I676" s="23" t="str">
        <f t="shared" ref="I676:J676" si="466">I669</f>
        <v>1500</v>
      </c>
      <c r="J676" s="21">
        <f t="shared" si="466"/>
        <v>1000</v>
      </c>
      <c r="K676" s="21">
        <v>585</v>
      </c>
      <c r="L676" s="23" t="str">
        <f>L669</f>
        <v>1500</v>
      </c>
      <c r="M676" s="21"/>
      <c r="N676" s="21"/>
      <c r="O676" s="21">
        <f>O669</f>
        <v>2</v>
      </c>
      <c r="P676" s="21"/>
    </row>
    <row r="677" spans="1:16" ht="14.25" customHeight="1" x14ac:dyDescent="0.15">
      <c r="A677" s="19">
        <v>1</v>
      </c>
      <c r="B677" s="19">
        <v>1.8</v>
      </c>
      <c r="C677" s="19">
        <f>0.75+0.3</f>
        <v>1.05</v>
      </c>
      <c r="D677" s="19">
        <f>B677*C677</f>
        <v>1.8900000000000001</v>
      </c>
      <c r="E677" s="19">
        <v>2.5</v>
      </c>
      <c r="F677" s="19"/>
      <c r="G677" s="19"/>
      <c r="H677" s="19"/>
      <c r="I677" s="19">
        <v>1</v>
      </c>
      <c r="J677" s="19">
        <f>A677</f>
        <v>1</v>
      </c>
      <c r="K677" s="19">
        <f t="shared" ref="K677:L677" si="467">K670</f>
        <v>0</v>
      </c>
      <c r="L677" s="19">
        <f t="shared" si="467"/>
        <v>1</v>
      </c>
      <c r="M677" s="19"/>
      <c r="N677" s="19"/>
      <c r="O677" s="19"/>
      <c r="P677" s="19"/>
    </row>
    <row r="678" spans="1:16" ht="14.25" customHeight="1" x14ac:dyDescent="0.15">
      <c r="A678" s="19"/>
      <c r="B678" s="19"/>
      <c r="C678" s="19"/>
      <c r="D678" s="26" t="str">
        <f>D629</f>
        <v>30000</v>
      </c>
      <c r="E678" s="26" t="str">
        <f>E671</f>
        <v>1500</v>
      </c>
      <c r="F678" s="19">
        <v>2</v>
      </c>
      <c r="G678" s="19">
        <v>0</v>
      </c>
      <c r="H678" s="19">
        <f>B677*2</f>
        <v>3.6</v>
      </c>
      <c r="I678" s="19"/>
      <c r="J678" s="19"/>
      <c r="K678" s="19"/>
      <c r="L678" s="19"/>
      <c r="M678" s="19"/>
      <c r="N678" s="19"/>
      <c r="O678" s="19"/>
      <c r="P678" s="19"/>
    </row>
    <row r="679" spans="1:16" ht="14.25" customHeight="1" x14ac:dyDescent="0.15">
      <c r="A679" s="19"/>
      <c r="B679" s="19"/>
      <c r="C679" s="19"/>
      <c r="D679" s="19">
        <f>D677*D678</f>
        <v>56700.000000000007</v>
      </c>
      <c r="E679" s="19">
        <f>E678*E676</f>
        <v>6750</v>
      </c>
      <c r="F679" s="19">
        <f t="shared" ref="F679:H679" si="468">F676*F678</f>
        <v>8000</v>
      </c>
      <c r="G679" s="19">
        <f t="shared" si="468"/>
        <v>0</v>
      </c>
      <c r="H679" s="19">
        <f t="shared" si="468"/>
        <v>1368</v>
      </c>
      <c r="I679" s="19">
        <f t="shared" ref="I679:L679" si="469">I676*I677</f>
        <v>1500</v>
      </c>
      <c r="J679" s="19">
        <f t="shared" si="469"/>
        <v>1000</v>
      </c>
      <c r="K679" s="19">
        <f t="shared" si="469"/>
        <v>0</v>
      </c>
      <c r="L679" s="19">
        <f t="shared" si="469"/>
        <v>1500</v>
      </c>
      <c r="M679" s="19">
        <f>SUM(D679:L679)</f>
        <v>76818</v>
      </c>
      <c r="N679" s="19">
        <f>M679/A677</f>
        <v>76818</v>
      </c>
      <c r="O679" s="19">
        <f>N679*O676</f>
        <v>153636</v>
      </c>
      <c r="P679" s="19">
        <f>MROUND(O679,100)</f>
        <v>153600</v>
      </c>
    </row>
    <row r="680" spans="1:16" ht="14.25" customHeight="1" x14ac:dyDescent="0.15">
      <c r="A680" s="111"/>
      <c r="B680" s="87"/>
      <c r="C680" s="87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</row>
    <row r="681" spans="1:16" ht="14.25" customHeight="1" x14ac:dyDescent="0.15">
      <c r="A681" s="109" t="str">
        <f>PRICELIST!I641</f>
        <v>CBSTK-FR-GL-1800x750+1350</v>
      </c>
      <c r="B681" s="87"/>
      <c r="C681" s="87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</row>
    <row r="682" spans="1:16" ht="14.25" customHeight="1" x14ac:dyDescent="0.15">
      <c r="A682" s="19" t="s">
        <v>57</v>
      </c>
      <c r="B682" s="19" t="s">
        <v>59</v>
      </c>
      <c r="C682" s="19" t="s">
        <v>62</v>
      </c>
      <c r="D682" s="19" t="s">
        <v>64</v>
      </c>
      <c r="E682" s="19" t="s">
        <v>233</v>
      </c>
      <c r="F682" s="19">
        <v>900</v>
      </c>
      <c r="G682" s="19">
        <v>600</v>
      </c>
      <c r="H682" s="19" t="s">
        <v>67</v>
      </c>
      <c r="I682" s="19" t="s">
        <v>244</v>
      </c>
      <c r="J682" s="19" t="s">
        <v>71</v>
      </c>
      <c r="K682" s="19" t="s">
        <v>72</v>
      </c>
      <c r="L682" s="19" t="s">
        <v>73</v>
      </c>
      <c r="M682" s="19" t="s">
        <v>76</v>
      </c>
      <c r="N682" s="19" t="s">
        <v>78</v>
      </c>
      <c r="O682" s="19" t="s">
        <v>79</v>
      </c>
      <c r="P682" s="19" t="s">
        <v>81</v>
      </c>
    </row>
    <row r="683" spans="1:16" ht="14.25" customHeight="1" x14ac:dyDescent="0.15">
      <c r="A683" s="21"/>
      <c r="B683" s="21"/>
      <c r="C683" s="44" t="s">
        <v>245</v>
      </c>
      <c r="D683" s="21"/>
      <c r="E683" s="21">
        <v>4.5</v>
      </c>
      <c r="F683" s="23" t="str">
        <f t="shared" ref="F683:G683" si="470">F676</f>
        <v>4000</v>
      </c>
      <c r="G683" s="23" t="str">
        <f t="shared" si="470"/>
        <v>3800</v>
      </c>
      <c r="H683" s="21">
        <v>380</v>
      </c>
      <c r="I683" s="23" t="str">
        <f t="shared" ref="I683:J683" si="471">I676</f>
        <v>1500</v>
      </c>
      <c r="J683" s="21">
        <f t="shared" si="471"/>
        <v>1000</v>
      </c>
      <c r="K683" s="21">
        <v>585</v>
      </c>
      <c r="L683" s="23" t="str">
        <f>L676</f>
        <v>1500</v>
      </c>
      <c r="M683" s="21"/>
      <c r="N683" s="21"/>
      <c r="O683" s="21">
        <f>O676</f>
        <v>2</v>
      </c>
      <c r="P683" s="21"/>
    </row>
    <row r="684" spans="1:16" ht="14.25" customHeight="1" x14ac:dyDescent="0.15">
      <c r="A684" s="19">
        <v>1</v>
      </c>
      <c r="B684" s="19">
        <v>1.8</v>
      </c>
      <c r="C684" s="19">
        <f>0.75+0.3</f>
        <v>1.05</v>
      </c>
      <c r="D684" s="19">
        <f>B684*C684</f>
        <v>1.8900000000000001</v>
      </c>
      <c r="E684" s="19">
        <v>2.5</v>
      </c>
      <c r="F684" s="19"/>
      <c r="G684" s="19"/>
      <c r="H684" s="19"/>
      <c r="I684" s="19">
        <v>1</v>
      </c>
      <c r="J684" s="19">
        <f>A684</f>
        <v>1</v>
      </c>
      <c r="K684" s="19">
        <f t="shared" ref="K684:L684" si="472">K677</f>
        <v>0</v>
      </c>
      <c r="L684" s="19">
        <f t="shared" si="472"/>
        <v>1</v>
      </c>
      <c r="M684" s="19"/>
      <c r="N684" s="19"/>
      <c r="O684" s="19"/>
      <c r="P684" s="19"/>
    </row>
    <row r="685" spans="1:16" ht="14.25" customHeight="1" x14ac:dyDescent="0.15">
      <c r="A685" s="19"/>
      <c r="B685" s="19"/>
      <c r="C685" s="19"/>
      <c r="D685" s="26" t="str">
        <f>D636</f>
        <v>7500</v>
      </c>
      <c r="E685" s="26" t="str">
        <f>E678</f>
        <v>1500</v>
      </c>
      <c r="F685" s="19">
        <v>2</v>
      </c>
      <c r="G685" s="19">
        <v>0</v>
      </c>
      <c r="H685" s="19">
        <f>B684*2</f>
        <v>3.6</v>
      </c>
      <c r="I685" s="19"/>
      <c r="J685" s="19"/>
      <c r="K685" s="19"/>
      <c r="L685" s="19"/>
      <c r="M685" s="19"/>
      <c r="N685" s="19"/>
      <c r="O685" s="19"/>
      <c r="P685" s="19"/>
    </row>
    <row r="686" spans="1:16" ht="14.25" customHeight="1" x14ac:dyDescent="0.15">
      <c r="A686" s="19"/>
      <c r="B686" s="19"/>
      <c r="C686" s="19"/>
      <c r="D686" s="19">
        <f>D684*D685</f>
        <v>14175.000000000002</v>
      </c>
      <c r="E686" s="19">
        <f>E685*E683</f>
        <v>6750</v>
      </c>
      <c r="F686" s="19">
        <f t="shared" ref="F686:H686" si="473">F683*F685</f>
        <v>8000</v>
      </c>
      <c r="G686" s="19">
        <f t="shared" si="473"/>
        <v>0</v>
      </c>
      <c r="H686" s="19">
        <f t="shared" si="473"/>
        <v>1368</v>
      </c>
      <c r="I686" s="19">
        <f t="shared" ref="I686:L686" si="474">I683*I684</f>
        <v>1500</v>
      </c>
      <c r="J686" s="19">
        <f t="shared" si="474"/>
        <v>1000</v>
      </c>
      <c r="K686" s="19">
        <f t="shared" si="474"/>
        <v>0</v>
      </c>
      <c r="L686" s="19">
        <f t="shared" si="474"/>
        <v>1500</v>
      </c>
      <c r="M686" s="19">
        <f>SUM(D686:L686)</f>
        <v>34293</v>
      </c>
      <c r="N686" s="19">
        <f>M686/A684</f>
        <v>34293</v>
      </c>
      <c r="O686" s="19">
        <f>N686*O683</f>
        <v>68586</v>
      </c>
      <c r="P686" s="19">
        <f>MROUND(O686,100)</f>
        <v>68600</v>
      </c>
    </row>
    <row r="687" spans="1:16" ht="14.25" customHeight="1" x14ac:dyDescent="0.15">
      <c r="A687" s="111"/>
      <c r="B687" s="87"/>
      <c r="C687" s="87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</row>
    <row r="688" spans="1:16" ht="14.25" customHeight="1" x14ac:dyDescent="0.15">
      <c r="A688" s="109" t="str">
        <f>PRICELIST!I642</f>
        <v>CBSTK-FR-PB-2100x900+1800</v>
      </c>
      <c r="B688" s="87"/>
      <c r="C688" s="87"/>
      <c r="D688" s="30"/>
      <c r="E688" s="30"/>
      <c r="F688" s="30"/>
      <c r="G688" s="19"/>
      <c r="H688" s="19"/>
      <c r="I688" s="19"/>
      <c r="J688" s="19"/>
      <c r="K688" s="19"/>
      <c r="L688" s="19"/>
      <c r="M688" s="19"/>
      <c r="N688" s="19"/>
      <c r="O688" s="19"/>
      <c r="P688" s="19"/>
    </row>
    <row r="689" spans="1:16" ht="14.25" customHeight="1" x14ac:dyDescent="0.15">
      <c r="A689" s="19" t="s">
        <v>57</v>
      </c>
      <c r="B689" s="19" t="s">
        <v>59</v>
      </c>
      <c r="C689" s="19" t="s">
        <v>62</v>
      </c>
      <c r="D689" s="19" t="s">
        <v>64</v>
      </c>
      <c r="E689" s="19" t="s">
        <v>233</v>
      </c>
      <c r="F689" s="19">
        <v>900</v>
      </c>
      <c r="G689" s="19">
        <v>600</v>
      </c>
      <c r="H689" s="19" t="s">
        <v>67</v>
      </c>
      <c r="I689" s="19" t="s">
        <v>244</v>
      </c>
      <c r="J689" s="19" t="s">
        <v>71</v>
      </c>
      <c r="K689" s="19" t="s">
        <v>72</v>
      </c>
      <c r="L689" s="19" t="s">
        <v>73</v>
      </c>
      <c r="M689" s="19" t="s">
        <v>76</v>
      </c>
      <c r="N689" s="19" t="s">
        <v>78</v>
      </c>
      <c r="O689" s="19" t="s">
        <v>79</v>
      </c>
      <c r="P689" s="19" t="s">
        <v>81</v>
      </c>
    </row>
    <row r="690" spans="1:16" ht="14.25" customHeight="1" x14ac:dyDescent="0.15">
      <c r="A690" s="21"/>
      <c r="B690" s="21"/>
      <c r="C690" s="44" t="s">
        <v>245</v>
      </c>
      <c r="D690" s="21"/>
      <c r="E690" s="21">
        <v>6</v>
      </c>
      <c r="F690" s="23" t="str">
        <f t="shared" ref="F690:G690" si="475">F683</f>
        <v>4000</v>
      </c>
      <c r="G690" s="23" t="str">
        <f t="shared" si="475"/>
        <v>3800</v>
      </c>
      <c r="H690" s="21">
        <v>380</v>
      </c>
      <c r="I690" s="23" t="str">
        <f t="shared" ref="I690:J690" si="476">I683</f>
        <v>1500</v>
      </c>
      <c r="J690" s="21">
        <f t="shared" si="476"/>
        <v>1000</v>
      </c>
      <c r="K690" s="21">
        <v>585</v>
      </c>
      <c r="L690" s="23" t="str">
        <f>L683</f>
        <v>1500</v>
      </c>
      <c r="M690" s="21"/>
      <c r="N690" s="21"/>
      <c r="O690" s="21">
        <f>O683</f>
        <v>2</v>
      </c>
      <c r="P690" s="21"/>
    </row>
    <row r="691" spans="1:16" ht="14.25" customHeight="1" x14ac:dyDescent="0.15">
      <c r="A691" s="19">
        <v>1</v>
      </c>
      <c r="B691" s="19">
        <v>2.1</v>
      </c>
      <c r="C691" s="19">
        <v>1.2</v>
      </c>
      <c r="D691" s="19">
        <f>B691*C691</f>
        <v>2.52</v>
      </c>
      <c r="E691" s="19">
        <v>2.5</v>
      </c>
      <c r="F691" s="19"/>
      <c r="G691" s="19"/>
      <c r="H691" s="19"/>
      <c r="I691" s="19">
        <v>1</v>
      </c>
      <c r="J691" s="19">
        <f>A691</f>
        <v>1</v>
      </c>
      <c r="K691" s="19">
        <f t="shared" ref="K691:L691" si="477">K684</f>
        <v>0</v>
      </c>
      <c r="L691" s="19">
        <f t="shared" si="477"/>
        <v>1</v>
      </c>
      <c r="M691" s="19"/>
      <c r="N691" s="19"/>
      <c r="O691" s="19"/>
      <c r="P691" s="19"/>
    </row>
    <row r="692" spans="1:16" ht="14.25" customHeight="1" x14ac:dyDescent="0.15">
      <c r="A692" s="19"/>
      <c r="B692" s="19"/>
      <c r="C692" s="19"/>
      <c r="D692" s="26" t="str">
        <f t="shared" ref="D692:E692" si="478">D643</f>
        <v>2200</v>
      </c>
      <c r="E692" s="26" t="str">
        <f t="shared" si="478"/>
        <v>1000</v>
      </c>
      <c r="F692" s="19">
        <v>2</v>
      </c>
      <c r="G692" s="19">
        <v>0</v>
      </c>
      <c r="H692" s="19">
        <f>B691*2</f>
        <v>4.2</v>
      </c>
      <c r="I692" s="19"/>
      <c r="J692" s="19"/>
      <c r="K692" s="19"/>
      <c r="L692" s="19"/>
      <c r="M692" s="19"/>
      <c r="N692" s="19"/>
      <c r="O692" s="19"/>
      <c r="P692" s="19"/>
    </row>
    <row r="693" spans="1:16" ht="14.25" customHeight="1" x14ac:dyDescent="0.15">
      <c r="A693" s="19"/>
      <c r="B693" s="19"/>
      <c r="C693" s="19"/>
      <c r="D693" s="19">
        <f>D691*D692</f>
        <v>5544</v>
      </c>
      <c r="E693" s="19">
        <f>E692*E690</f>
        <v>6000</v>
      </c>
      <c r="F693" s="19">
        <f t="shared" ref="F693:H693" si="479">F690*F692</f>
        <v>8000</v>
      </c>
      <c r="G693" s="19">
        <f t="shared" si="479"/>
        <v>0</v>
      </c>
      <c r="H693" s="19">
        <f t="shared" si="479"/>
        <v>1596</v>
      </c>
      <c r="I693" s="19">
        <f t="shared" ref="I693:L693" si="480">I690*I691</f>
        <v>1500</v>
      </c>
      <c r="J693" s="19">
        <f t="shared" si="480"/>
        <v>1000</v>
      </c>
      <c r="K693" s="19">
        <f t="shared" si="480"/>
        <v>0</v>
      </c>
      <c r="L693" s="19">
        <f t="shared" si="480"/>
        <v>1500</v>
      </c>
      <c r="M693" s="19">
        <f>SUM(D693:L693)</f>
        <v>25140</v>
      </c>
      <c r="N693" s="19">
        <f>M693/A691</f>
        <v>25140</v>
      </c>
      <c r="O693" s="19">
        <f>N693*O690</f>
        <v>50280</v>
      </c>
      <c r="P693" s="19">
        <f>MROUND(O693,100)</f>
        <v>50300</v>
      </c>
    </row>
    <row r="694" spans="1:16" ht="14.25" customHeight="1" x14ac:dyDescent="0.15">
      <c r="A694" s="111"/>
      <c r="B694" s="87"/>
      <c r="C694" s="87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</row>
    <row r="695" spans="1:16" ht="14.25" customHeight="1" x14ac:dyDescent="0.15">
      <c r="A695" s="109" t="str">
        <f>PRICELIST!I643</f>
        <v>CBSTK-FR-PLM-2100x900+1800</v>
      </c>
      <c r="B695" s="87"/>
      <c r="C695" s="87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</row>
    <row r="696" spans="1:16" ht="14.25" customHeight="1" x14ac:dyDescent="0.15">
      <c r="A696" s="19" t="s">
        <v>57</v>
      </c>
      <c r="B696" s="19" t="s">
        <v>59</v>
      </c>
      <c r="C696" s="19" t="s">
        <v>62</v>
      </c>
      <c r="D696" s="19" t="s">
        <v>64</v>
      </c>
      <c r="E696" s="19" t="s">
        <v>233</v>
      </c>
      <c r="F696" s="19">
        <v>900</v>
      </c>
      <c r="G696" s="19">
        <v>600</v>
      </c>
      <c r="H696" s="19" t="s">
        <v>67</v>
      </c>
      <c r="I696" s="19" t="s">
        <v>244</v>
      </c>
      <c r="J696" s="19" t="s">
        <v>71</v>
      </c>
      <c r="K696" s="19" t="s">
        <v>72</v>
      </c>
      <c r="L696" s="19" t="s">
        <v>73</v>
      </c>
      <c r="M696" s="19" t="s">
        <v>76</v>
      </c>
      <c r="N696" s="19" t="s">
        <v>78</v>
      </c>
      <c r="O696" s="19" t="s">
        <v>79</v>
      </c>
      <c r="P696" s="19" t="s">
        <v>81</v>
      </c>
    </row>
    <row r="697" spans="1:16" ht="14.25" customHeight="1" x14ac:dyDescent="0.15">
      <c r="A697" s="21"/>
      <c r="B697" s="21"/>
      <c r="C697" s="44" t="s">
        <v>245</v>
      </c>
      <c r="D697" s="21"/>
      <c r="E697" s="21">
        <v>6</v>
      </c>
      <c r="F697" s="23" t="str">
        <f t="shared" ref="F697:G697" si="481">F690</f>
        <v>4000</v>
      </c>
      <c r="G697" s="23" t="str">
        <f t="shared" si="481"/>
        <v>3800</v>
      </c>
      <c r="H697" s="21">
        <v>380</v>
      </c>
      <c r="I697" s="23" t="str">
        <f t="shared" ref="I697:J697" si="482">I690</f>
        <v>1500</v>
      </c>
      <c r="J697" s="21">
        <f t="shared" si="482"/>
        <v>1000</v>
      </c>
      <c r="K697" s="21">
        <v>585</v>
      </c>
      <c r="L697" s="23" t="str">
        <f>L690</f>
        <v>1500</v>
      </c>
      <c r="M697" s="21"/>
      <c r="N697" s="21"/>
      <c r="O697" s="21">
        <f>O690</f>
        <v>2</v>
      </c>
      <c r="P697" s="21"/>
    </row>
    <row r="698" spans="1:16" ht="14.25" customHeight="1" x14ac:dyDescent="0.15">
      <c r="A698" s="19">
        <v>1</v>
      </c>
      <c r="B698" s="19">
        <v>2.1</v>
      </c>
      <c r="C698" s="19">
        <v>1.2</v>
      </c>
      <c r="D698" s="19">
        <f>B698*C698</f>
        <v>2.52</v>
      </c>
      <c r="E698" s="19">
        <v>2.5</v>
      </c>
      <c r="F698" s="19"/>
      <c r="G698" s="19"/>
      <c r="H698" s="19"/>
      <c r="I698" s="19">
        <v>1</v>
      </c>
      <c r="J698" s="19">
        <f>A698</f>
        <v>1</v>
      </c>
      <c r="K698" s="19">
        <f t="shared" ref="K698:L698" si="483">K691</f>
        <v>0</v>
      </c>
      <c r="L698" s="19">
        <f t="shared" si="483"/>
        <v>1</v>
      </c>
      <c r="M698" s="19"/>
      <c r="N698" s="19"/>
      <c r="O698" s="19"/>
      <c r="P698" s="19"/>
    </row>
    <row r="699" spans="1:16" ht="14.25" customHeight="1" x14ac:dyDescent="0.15">
      <c r="A699" s="19"/>
      <c r="B699" s="19"/>
      <c r="C699" s="19"/>
      <c r="D699" s="26" t="str">
        <f>D650</f>
        <v>3000</v>
      </c>
      <c r="E699" s="26" t="str">
        <f>E692</f>
        <v>1000</v>
      </c>
      <c r="F699" s="19">
        <v>2</v>
      </c>
      <c r="G699" s="19">
        <v>0</v>
      </c>
      <c r="H699" s="19">
        <f>B698*2</f>
        <v>4.2</v>
      </c>
      <c r="I699" s="19"/>
      <c r="J699" s="19"/>
      <c r="K699" s="19"/>
      <c r="L699" s="19"/>
      <c r="M699" s="19"/>
      <c r="N699" s="19"/>
      <c r="O699" s="19"/>
      <c r="P699" s="19"/>
    </row>
    <row r="700" spans="1:16" ht="14.25" customHeight="1" x14ac:dyDescent="0.15">
      <c r="A700" s="19"/>
      <c r="B700" s="19"/>
      <c r="C700" s="19"/>
      <c r="D700" s="19">
        <f>D698*D699</f>
        <v>7560</v>
      </c>
      <c r="E700" s="19">
        <f>E699*E697</f>
        <v>6000</v>
      </c>
      <c r="F700" s="19">
        <f t="shared" ref="F700:H700" si="484">F697*F699</f>
        <v>8000</v>
      </c>
      <c r="G700" s="19">
        <f t="shared" si="484"/>
        <v>0</v>
      </c>
      <c r="H700" s="19">
        <f t="shared" si="484"/>
        <v>1596</v>
      </c>
      <c r="I700" s="19">
        <f t="shared" ref="I700:L700" si="485">I697*I698</f>
        <v>1500</v>
      </c>
      <c r="J700" s="19">
        <f t="shared" si="485"/>
        <v>1000</v>
      </c>
      <c r="K700" s="19">
        <f t="shared" si="485"/>
        <v>0</v>
      </c>
      <c r="L700" s="19">
        <f t="shared" si="485"/>
        <v>1500</v>
      </c>
      <c r="M700" s="19">
        <f>SUM(D700:L700)</f>
        <v>27156</v>
      </c>
      <c r="N700" s="19">
        <f>M700/A698</f>
        <v>27156</v>
      </c>
      <c r="O700" s="19">
        <f>N700*O697</f>
        <v>54312</v>
      </c>
      <c r="P700" s="19">
        <f>MROUND(O700,100)</f>
        <v>54300</v>
      </c>
    </row>
    <row r="701" spans="1:16" ht="14.25" customHeight="1" x14ac:dyDescent="0.15">
      <c r="A701" s="111"/>
      <c r="B701" s="87"/>
      <c r="C701" s="87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</row>
    <row r="702" spans="1:16" ht="14.25" customHeight="1" x14ac:dyDescent="0.15">
      <c r="A702" s="109" t="str">
        <f>PRICELIST!I644</f>
        <v>CBSTK-FR-PoLM-2100x900+1800</v>
      </c>
      <c r="B702" s="87"/>
      <c r="C702" s="87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</row>
    <row r="703" spans="1:16" ht="14.25" customHeight="1" x14ac:dyDescent="0.15">
      <c r="A703" s="19" t="s">
        <v>57</v>
      </c>
      <c r="B703" s="19" t="s">
        <v>59</v>
      </c>
      <c r="C703" s="19" t="s">
        <v>62</v>
      </c>
      <c r="D703" s="19" t="s">
        <v>64</v>
      </c>
      <c r="E703" s="19" t="s">
        <v>233</v>
      </c>
      <c r="F703" s="19">
        <v>900</v>
      </c>
      <c r="G703" s="19">
        <v>600</v>
      </c>
      <c r="H703" s="19" t="s">
        <v>67</v>
      </c>
      <c r="I703" s="19" t="s">
        <v>244</v>
      </c>
      <c r="J703" s="19" t="s">
        <v>71</v>
      </c>
      <c r="K703" s="19" t="s">
        <v>72</v>
      </c>
      <c r="L703" s="19" t="s">
        <v>73</v>
      </c>
      <c r="M703" s="19" t="s">
        <v>76</v>
      </c>
      <c r="N703" s="19" t="s">
        <v>78</v>
      </c>
      <c r="O703" s="19" t="s">
        <v>79</v>
      </c>
      <c r="P703" s="19" t="s">
        <v>81</v>
      </c>
    </row>
    <row r="704" spans="1:16" ht="14.25" customHeight="1" x14ac:dyDescent="0.15">
      <c r="A704" s="21"/>
      <c r="B704" s="21"/>
      <c r="C704" s="44" t="s">
        <v>245</v>
      </c>
      <c r="D704" s="21"/>
      <c r="E704" s="21">
        <v>6</v>
      </c>
      <c r="F704" s="23" t="str">
        <f t="shared" ref="F704:G704" si="486">F697</f>
        <v>4000</v>
      </c>
      <c r="G704" s="23" t="str">
        <f t="shared" si="486"/>
        <v>3800</v>
      </c>
      <c r="H704" s="21">
        <v>380</v>
      </c>
      <c r="I704" s="23" t="str">
        <f t="shared" ref="I704:J704" si="487">I697</f>
        <v>1500</v>
      </c>
      <c r="J704" s="21">
        <f t="shared" si="487"/>
        <v>1000</v>
      </c>
      <c r="K704" s="21">
        <v>585</v>
      </c>
      <c r="L704" s="23" t="str">
        <f>L697</f>
        <v>1500</v>
      </c>
      <c r="M704" s="21"/>
      <c r="N704" s="21"/>
      <c r="O704" s="21">
        <f>O697</f>
        <v>2</v>
      </c>
      <c r="P704" s="21"/>
    </row>
    <row r="705" spans="1:16" ht="14.25" customHeight="1" x14ac:dyDescent="0.15">
      <c r="A705" s="19">
        <v>1</v>
      </c>
      <c r="B705" s="19">
        <v>2.1</v>
      </c>
      <c r="C705" s="19">
        <v>1.2</v>
      </c>
      <c r="D705" s="19">
        <f>B705*C705</f>
        <v>2.52</v>
      </c>
      <c r="E705" s="19">
        <v>2.5</v>
      </c>
      <c r="F705" s="19"/>
      <c r="G705" s="19"/>
      <c r="H705" s="19"/>
      <c r="I705" s="19">
        <v>1</v>
      </c>
      <c r="J705" s="19">
        <f>A705</f>
        <v>1</v>
      </c>
      <c r="K705" s="19">
        <f t="shared" ref="K705:L705" si="488">K698</f>
        <v>0</v>
      </c>
      <c r="L705" s="19">
        <f t="shared" si="488"/>
        <v>1</v>
      </c>
      <c r="M705" s="19"/>
      <c r="N705" s="19"/>
      <c r="O705" s="19"/>
      <c r="P705" s="19"/>
    </row>
    <row r="706" spans="1:16" ht="14.25" customHeight="1" x14ac:dyDescent="0.15">
      <c r="A706" s="19"/>
      <c r="B706" s="19"/>
      <c r="C706" s="19"/>
      <c r="D706" s="26" t="str">
        <f>D657</f>
        <v>7500</v>
      </c>
      <c r="E706" s="26" t="str">
        <f>E699</f>
        <v>1000</v>
      </c>
      <c r="F706" s="19">
        <v>2</v>
      </c>
      <c r="G706" s="19">
        <v>0</v>
      </c>
      <c r="H706" s="19">
        <f>B705*2</f>
        <v>4.2</v>
      </c>
      <c r="I706" s="19"/>
      <c r="J706" s="19"/>
      <c r="K706" s="19"/>
      <c r="L706" s="19"/>
      <c r="M706" s="19"/>
      <c r="N706" s="19"/>
      <c r="O706" s="19"/>
      <c r="P706" s="19"/>
    </row>
    <row r="707" spans="1:16" ht="14.25" customHeight="1" x14ac:dyDescent="0.15">
      <c r="A707" s="19"/>
      <c r="B707" s="19"/>
      <c r="C707" s="19"/>
      <c r="D707" s="19">
        <f>D705*D706</f>
        <v>18900</v>
      </c>
      <c r="E707" s="19">
        <f>E706*E704</f>
        <v>6000</v>
      </c>
      <c r="F707" s="19">
        <f t="shared" ref="F707:H707" si="489">F704*F706</f>
        <v>8000</v>
      </c>
      <c r="G707" s="19">
        <f t="shared" si="489"/>
        <v>0</v>
      </c>
      <c r="H707" s="19">
        <f t="shared" si="489"/>
        <v>1596</v>
      </c>
      <c r="I707" s="19">
        <f t="shared" ref="I707:L707" si="490">I704*I705</f>
        <v>1500</v>
      </c>
      <c r="J707" s="19">
        <f t="shared" si="490"/>
        <v>1000</v>
      </c>
      <c r="K707" s="19">
        <f t="shared" si="490"/>
        <v>0</v>
      </c>
      <c r="L707" s="19">
        <f t="shared" si="490"/>
        <v>1500</v>
      </c>
      <c r="M707" s="19">
        <f>SUM(D707:L707)</f>
        <v>38496</v>
      </c>
      <c r="N707" s="19">
        <f>M707/A705</f>
        <v>38496</v>
      </c>
      <c r="O707" s="19">
        <f>N707*O704</f>
        <v>76992</v>
      </c>
      <c r="P707" s="19">
        <f>MROUND(O707,100)</f>
        <v>77000</v>
      </c>
    </row>
    <row r="708" spans="1:16" ht="14.25" customHeight="1" x14ac:dyDescent="0.15">
      <c r="A708" s="111"/>
      <c r="B708" s="87"/>
      <c r="C708" s="87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</row>
    <row r="709" spans="1:16" ht="14.25" customHeight="1" x14ac:dyDescent="0.15">
      <c r="A709" s="109" t="str">
        <f>PRICELIST!I645</f>
        <v>CBSTK-FR-LVM-2100x900+1800</v>
      </c>
      <c r="B709" s="87"/>
      <c r="C709" s="87"/>
      <c r="D709" s="21"/>
      <c r="E709" s="21"/>
      <c r="F709" s="21"/>
      <c r="G709" s="30"/>
      <c r="H709" s="19"/>
      <c r="I709" s="19"/>
      <c r="J709" s="19"/>
      <c r="K709" s="19"/>
      <c r="L709" s="19"/>
      <c r="M709" s="19"/>
      <c r="N709" s="19"/>
      <c r="O709" s="19"/>
      <c r="P709" s="19"/>
    </row>
    <row r="710" spans="1:16" ht="14.25" customHeight="1" x14ac:dyDescent="0.15">
      <c r="A710" s="19" t="s">
        <v>57</v>
      </c>
      <c r="B710" s="19" t="s">
        <v>59</v>
      </c>
      <c r="C710" s="19" t="s">
        <v>62</v>
      </c>
      <c r="D710" s="19" t="s">
        <v>64</v>
      </c>
      <c r="E710" s="19" t="s">
        <v>233</v>
      </c>
      <c r="F710" s="19">
        <v>900</v>
      </c>
      <c r="G710" s="19">
        <v>600</v>
      </c>
      <c r="H710" s="19" t="s">
        <v>67</v>
      </c>
      <c r="I710" s="19" t="s">
        <v>244</v>
      </c>
      <c r="J710" s="19" t="s">
        <v>71</v>
      </c>
      <c r="K710" s="19" t="s">
        <v>72</v>
      </c>
      <c r="L710" s="19" t="s">
        <v>73</v>
      </c>
      <c r="M710" s="19" t="s">
        <v>76</v>
      </c>
      <c r="N710" s="19" t="s">
        <v>78</v>
      </c>
      <c r="O710" s="19" t="s">
        <v>79</v>
      </c>
      <c r="P710" s="19" t="s">
        <v>81</v>
      </c>
    </row>
    <row r="711" spans="1:16" ht="14.25" customHeight="1" x14ac:dyDescent="0.15">
      <c r="A711" s="21"/>
      <c r="B711" s="21"/>
      <c r="C711" s="44" t="s">
        <v>245</v>
      </c>
      <c r="D711" s="21"/>
      <c r="E711" s="21">
        <v>6</v>
      </c>
      <c r="F711" s="23" t="str">
        <f t="shared" ref="F711:G711" si="491">F704</f>
        <v>4000</v>
      </c>
      <c r="G711" s="23" t="str">
        <f t="shared" si="491"/>
        <v>3800</v>
      </c>
      <c r="H711" s="21">
        <v>380</v>
      </c>
      <c r="I711" s="23" t="str">
        <f t="shared" ref="I711:J711" si="492">I704</f>
        <v>1500</v>
      </c>
      <c r="J711" s="21">
        <f t="shared" si="492"/>
        <v>1000</v>
      </c>
      <c r="K711" s="21">
        <v>585</v>
      </c>
      <c r="L711" s="23" t="str">
        <f>L704</f>
        <v>1500</v>
      </c>
      <c r="M711" s="21"/>
      <c r="N711" s="21"/>
      <c r="O711" s="21">
        <f>O704</f>
        <v>2</v>
      </c>
      <c r="P711" s="21"/>
    </row>
    <row r="712" spans="1:16" ht="14.25" customHeight="1" x14ac:dyDescent="0.15">
      <c r="A712" s="19">
        <v>1</v>
      </c>
      <c r="B712" s="19">
        <v>2.1</v>
      </c>
      <c r="C712" s="19">
        <v>1.2</v>
      </c>
      <c r="D712" s="19">
        <f>B712*C712</f>
        <v>2.52</v>
      </c>
      <c r="E712" s="19">
        <v>2.5</v>
      </c>
      <c r="F712" s="19"/>
      <c r="G712" s="19"/>
      <c r="H712" s="19"/>
      <c r="I712" s="19">
        <v>1</v>
      </c>
      <c r="J712" s="19">
        <f>A712</f>
        <v>1</v>
      </c>
      <c r="K712" s="19">
        <f t="shared" ref="K712:L712" si="493">K705</f>
        <v>0</v>
      </c>
      <c r="L712" s="19">
        <f t="shared" si="493"/>
        <v>1</v>
      </c>
      <c r="M712" s="19"/>
      <c r="N712" s="19"/>
      <c r="O712" s="19"/>
      <c r="P712" s="19"/>
    </row>
    <row r="713" spans="1:16" ht="14.25" customHeight="1" x14ac:dyDescent="0.15">
      <c r="A713" s="19"/>
      <c r="B713" s="19"/>
      <c r="C713" s="19"/>
      <c r="D713" s="26" t="str">
        <f>D664</f>
        <v>9500</v>
      </c>
      <c r="E713" s="26" t="str">
        <f>E671</f>
        <v>1500</v>
      </c>
      <c r="F713" s="19">
        <v>2</v>
      </c>
      <c r="G713" s="19">
        <v>0</v>
      </c>
      <c r="H713" s="19">
        <f>B712*2</f>
        <v>4.2</v>
      </c>
      <c r="I713" s="19"/>
      <c r="J713" s="19"/>
      <c r="K713" s="19"/>
      <c r="L713" s="19"/>
      <c r="M713" s="19"/>
      <c r="N713" s="19"/>
      <c r="O713" s="19"/>
      <c r="P713" s="19"/>
    </row>
    <row r="714" spans="1:16" ht="14.25" customHeight="1" x14ac:dyDescent="0.15">
      <c r="A714" s="19"/>
      <c r="B714" s="19"/>
      <c r="C714" s="19"/>
      <c r="D714" s="19">
        <f>D712*D713</f>
        <v>23940</v>
      </c>
      <c r="E714" s="19">
        <f>E713*E711</f>
        <v>9000</v>
      </c>
      <c r="F714" s="19">
        <f t="shared" ref="F714:H714" si="494">F711*F713</f>
        <v>8000</v>
      </c>
      <c r="G714" s="19">
        <f t="shared" si="494"/>
        <v>0</v>
      </c>
      <c r="H714" s="19">
        <f t="shared" si="494"/>
        <v>1596</v>
      </c>
      <c r="I714" s="19">
        <f t="shared" ref="I714:L714" si="495">I711*I712</f>
        <v>1500</v>
      </c>
      <c r="J714" s="19">
        <f t="shared" si="495"/>
        <v>1000</v>
      </c>
      <c r="K714" s="19">
        <f t="shared" si="495"/>
        <v>0</v>
      </c>
      <c r="L714" s="19">
        <f t="shared" si="495"/>
        <v>1500</v>
      </c>
      <c r="M714" s="19">
        <f>SUM(D714:L714)</f>
        <v>46536</v>
      </c>
      <c r="N714" s="19">
        <f>M714/A712</f>
        <v>46536</v>
      </c>
      <c r="O714" s="19">
        <f>N714*O711</f>
        <v>93072</v>
      </c>
      <c r="P714" s="19">
        <f>MROUND(O714,100)</f>
        <v>93100</v>
      </c>
    </row>
    <row r="715" spans="1:16" ht="14.25" customHeight="1" x14ac:dyDescent="0.15">
      <c r="A715" s="111"/>
      <c r="B715" s="87"/>
      <c r="C715" s="87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</row>
    <row r="716" spans="1:16" ht="14.25" customHeight="1" x14ac:dyDescent="0.15">
      <c r="A716" s="109" t="str">
        <f>PRICELIST!I646</f>
        <v>CBSTK-FR-LVP-2100x900+1800</v>
      </c>
      <c r="B716" s="87"/>
      <c r="C716" s="87"/>
      <c r="D716" s="19"/>
      <c r="E716" s="19"/>
      <c r="F716" s="19"/>
      <c r="G716" s="19"/>
      <c r="H716" s="21"/>
      <c r="I716" s="21"/>
      <c r="J716" s="21"/>
      <c r="K716" s="21"/>
      <c r="L716" s="21"/>
      <c r="M716" s="21"/>
      <c r="N716" s="21"/>
      <c r="O716" s="21"/>
      <c r="P716" s="21"/>
    </row>
    <row r="717" spans="1:16" ht="14.25" customHeight="1" x14ac:dyDescent="0.15">
      <c r="A717" s="19" t="s">
        <v>57</v>
      </c>
      <c r="B717" s="19" t="s">
        <v>59</v>
      </c>
      <c r="C717" s="19" t="s">
        <v>62</v>
      </c>
      <c r="D717" s="19" t="s">
        <v>64</v>
      </c>
      <c r="E717" s="19" t="s">
        <v>233</v>
      </c>
      <c r="F717" s="19">
        <v>900</v>
      </c>
      <c r="G717" s="19">
        <v>600</v>
      </c>
      <c r="H717" s="19" t="s">
        <v>67</v>
      </c>
      <c r="I717" s="19" t="s">
        <v>244</v>
      </c>
      <c r="J717" s="19" t="s">
        <v>71</v>
      </c>
      <c r="K717" s="19" t="s">
        <v>72</v>
      </c>
      <c r="L717" s="19" t="s">
        <v>73</v>
      </c>
      <c r="M717" s="19" t="s">
        <v>76</v>
      </c>
      <c r="N717" s="19" t="s">
        <v>78</v>
      </c>
      <c r="O717" s="19" t="s">
        <v>79</v>
      </c>
      <c r="P717" s="19" t="s">
        <v>81</v>
      </c>
    </row>
    <row r="718" spans="1:16" ht="14.25" customHeight="1" x14ac:dyDescent="0.15">
      <c r="A718" s="21"/>
      <c r="B718" s="21"/>
      <c r="C718" s="44" t="s">
        <v>245</v>
      </c>
      <c r="D718" s="21"/>
      <c r="E718" s="21">
        <v>6</v>
      </c>
      <c r="F718" s="23" t="str">
        <f t="shared" ref="F718:G718" si="496">F711</f>
        <v>4000</v>
      </c>
      <c r="G718" s="23" t="str">
        <f t="shared" si="496"/>
        <v>3800</v>
      </c>
      <c r="H718" s="21">
        <v>380</v>
      </c>
      <c r="I718" s="23" t="str">
        <f t="shared" ref="I718:J718" si="497">I711</f>
        <v>1500</v>
      </c>
      <c r="J718" s="21">
        <f t="shared" si="497"/>
        <v>1000</v>
      </c>
      <c r="K718" s="21">
        <v>585</v>
      </c>
      <c r="L718" s="23" t="str">
        <f>L711</f>
        <v>1500</v>
      </c>
      <c r="M718" s="21"/>
      <c r="N718" s="21"/>
      <c r="O718" s="21">
        <f>O711</f>
        <v>2</v>
      </c>
      <c r="P718" s="21"/>
    </row>
    <row r="719" spans="1:16" ht="14.25" customHeight="1" x14ac:dyDescent="0.15">
      <c r="A719" s="19">
        <v>1</v>
      </c>
      <c r="B719" s="19">
        <v>2.1</v>
      </c>
      <c r="C719" s="19">
        <v>1.2</v>
      </c>
      <c r="D719" s="19">
        <f>B719*C719</f>
        <v>2.52</v>
      </c>
      <c r="E719" s="19">
        <v>2.5</v>
      </c>
      <c r="F719" s="19"/>
      <c r="G719" s="19"/>
      <c r="H719" s="19"/>
      <c r="I719" s="19">
        <v>1</v>
      </c>
      <c r="J719" s="19">
        <f>A719</f>
        <v>1</v>
      </c>
      <c r="K719" s="19">
        <f t="shared" ref="K719:L719" si="498">K712</f>
        <v>0</v>
      </c>
      <c r="L719" s="19">
        <f t="shared" si="498"/>
        <v>1</v>
      </c>
      <c r="M719" s="19"/>
      <c r="N719" s="19"/>
      <c r="O719" s="19"/>
      <c r="P719" s="19"/>
    </row>
    <row r="720" spans="1:16" ht="14.25" customHeight="1" x14ac:dyDescent="0.15">
      <c r="A720" s="19"/>
      <c r="B720" s="19"/>
      <c r="C720" s="19"/>
      <c r="D720" s="26" t="str">
        <f>D671</f>
        <v>10500</v>
      </c>
      <c r="E720" s="26" t="str">
        <f>E713</f>
        <v>1500</v>
      </c>
      <c r="F720" s="19">
        <v>2</v>
      </c>
      <c r="G720" s="19">
        <v>0</v>
      </c>
      <c r="H720" s="19">
        <f>B719*2</f>
        <v>4.2</v>
      </c>
      <c r="I720" s="19"/>
      <c r="J720" s="19"/>
      <c r="K720" s="19"/>
      <c r="L720" s="19"/>
      <c r="M720" s="19"/>
      <c r="N720" s="19"/>
      <c r="O720" s="19"/>
      <c r="P720" s="19"/>
    </row>
    <row r="721" spans="1:16" ht="14.25" customHeight="1" x14ac:dyDescent="0.15">
      <c r="A721" s="19"/>
      <c r="B721" s="19"/>
      <c r="C721" s="19"/>
      <c r="D721" s="19">
        <f>D719*D720</f>
        <v>26460</v>
      </c>
      <c r="E721" s="19">
        <f>E720*E718</f>
        <v>9000</v>
      </c>
      <c r="F721" s="19">
        <f t="shared" ref="F721:H721" si="499">F718*F720</f>
        <v>8000</v>
      </c>
      <c r="G721" s="19">
        <f t="shared" si="499"/>
        <v>0</v>
      </c>
      <c r="H721" s="19">
        <f t="shared" si="499"/>
        <v>1596</v>
      </c>
      <c r="I721" s="19">
        <f t="shared" ref="I721:L721" si="500">I718*I719</f>
        <v>1500</v>
      </c>
      <c r="J721" s="19">
        <f t="shared" si="500"/>
        <v>1000</v>
      </c>
      <c r="K721" s="19">
        <f t="shared" si="500"/>
        <v>0</v>
      </c>
      <c r="L721" s="19">
        <f t="shared" si="500"/>
        <v>1500</v>
      </c>
      <c r="M721" s="19">
        <f>SUM(D721:L721)</f>
        <v>49056</v>
      </c>
      <c r="N721" s="19">
        <f>M721/A719</f>
        <v>49056</v>
      </c>
      <c r="O721" s="19">
        <f>N721*O718</f>
        <v>98112</v>
      </c>
      <c r="P721" s="19">
        <f>MROUND(O721,100)</f>
        <v>98100</v>
      </c>
    </row>
    <row r="722" spans="1:16" ht="14.25" customHeight="1" x14ac:dyDescent="0.15">
      <c r="A722" s="111"/>
      <c r="B722" s="87"/>
      <c r="C722" s="87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</row>
    <row r="723" spans="1:16" ht="14.25" customHeight="1" x14ac:dyDescent="0.15">
      <c r="A723" s="109" t="str">
        <f>PRICELIST!I647</f>
        <v>CBSTK-FR-VNR-2100x900+1800</v>
      </c>
      <c r="B723" s="87"/>
      <c r="C723" s="87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</row>
    <row r="724" spans="1:16" ht="14.25" customHeight="1" x14ac:dyDescent="0.15">
      <c r="A724" s="19" t="s">
        <v>57</v>
      </c>
      <c r="B724" s="19" t="s">
        <v>59</v>
      </c>
      <c r="C724" s="19" t="s">
        <v>62</v>
      </c>
      <c r="D724" s="19" t="s">
        <v>64</v>
      </c>
      <c r="E724" s="19" t="s">
        <v>233</v>
      </c>
      <c r="F724" s="19">
        <v>900</v>
      </c>
      <c r="G724" s="19">
        <v>600</v>
      </c>
      <c r="H724" s="19" t="s">
        <v>67</v>
      </c>
      <c r="I724" s="19" t="s">
        <v>244</v>
      </c>
      <c r="J724" s="19" t="s">
        <v>71</v>
      </c>
      <c r="K724" s="19" t="s">
        <v>72</v>
      </c>
      <c r="L724" s="19" t="s">
        <v>73</v>
      </c>
      <c r="M724" s="19" t="s">
        <v>76</v>
      </c>
      <c r="N724" s="19" t="s">
        <v>78</v>
      </c>
      <c r="O724" s="19" t="s">
        <v>79</v>
      </c>
      <c r="P724" s="19" t="s">
        <v>81</v>
      </c>
    </row>
    <row r="725" spans="1:16" ht="14.25" customHeight="1" x14ac:dyDescent="0.15">
      <c r="A725" s="21"/>
      <c r="B725" s="21"/>
      <c r="C725" s="44" t="s">
        <v>245</v>
      </c>
      <c r="D725" s="21"/>
      <c r="E725" s="21">
        <v>6</v>
      </c>
      <c r="F725" s="23" t="str">
        <f t="shared" ref="F725:G725" si="501">F718</f>
        <v>4000</v>
      </c>
      <c r="G725" s="23" t="str">
        <f t="shared" si="501"/>
        <v>3800</v>
      </c>
      <c r="H725" s="21">
        <v>380</v>
      </c>
      <c r="I725" s="23" t="str">
        <f t="shared" ref="I725:J725" si="502">I718</f>
        <v>1500</v>
      </c>
      <c r="J725" s="21">
        <f t="shared" si="502"/>
        <v>1000</v>
      </c>
      <c r="K725" s="21">
        <v>585</v>
      </c>
      <c r="L725" s="23" t="str">
        <f>L718</f>
        <v>1500</v>
      </c>
      <c r="M725" s="21"/>
      <c r="N725" s="21"/>
      <c r="O725" s="21">
        <f>O718</f>
        <v>2</v>
      </c>
      <c r="P725" s="21"/>
    </row>
    <row r="726" spans="1:16" ht="14.25" customHeight="1" x14ac:dyDescent="0.15">
      <c r="A726" s="19">
        <v>1</v>
      </c>
      <c r="B726" s="19">
        <v>2.1</v>
      </c>
      <c r="C726" s="19">
        <v>1.2</v>
      </c>
      <c r="D726" s="19">
        <f>B726*C726</f>
        <v>2.52</v>
      </c>
      <c r="E726" s="19">
        <v>2.5</v>
      </c>
      <c r="F726" s="19"/>
      <c r="G726" s="19"/>
      <c r="H726" s="19"/>
      <c r="I726" s="19">
        <v>1</v>
      </c>
      <c r="J726" s="19">
        <f>A726</f>
        <v>1</v>
      </c>
      <c r="K726" s="19">
        <f t="shared" ref="K726:L726" si="503">K719</f>
        <v>0</v>
      </c>
      <c r="L726" s="19">
        <f t="shared" si="503"/>
        <v>1</v>
      </c>
      <c r="M726" s="19"/>
      <c r="N726" s="19"/>
      <c r="O726" s="19"/>
      <c r="P726" s="19"/>
    </row>
    <row r="727" spans="1:16" ht="14.25" customHeight="1" x14ac:dyDescent="0.15">
      <c r="A727" s="19"/>
      <c r="B727" s="19"/>
      <c r="C727" s="19"/>
      <c r="D727" s="26" t="str">
        <f>D678</f>
        <v>30000</v>
      </c>
      <c r="E727" s="26" t="str">
        <f>E720</f>
        <v>1500</v>
      </c>
      <c r="F727" s="19">
        <v>2</v>
      </c>
      <c r="G727" s="19">
        <v>0</v>
      </c>
      <c r="H727" s="19">
        <f>B726*2</f>
        <v>4.2</v>
      </c>
      <c r="I727" s="19"/>
      <c r="J727" s="19"/>
      <c r="K727" s="19"/>
      <c r="L727" s="19"/>
      <c r="M727" s="19"/>
      <c r="N727" s="19"/>
      <c r="O727" s="19"/>
      <c r="P727" s="19"/>
    </row>
    <row r="728" spans="1:16" ht="14.25" customHeight="1" x14ac:dyDescent="0.15">
      <c r="A728" s="19"/>
      <c r="B728" s="19"/>
      <c r="C728" s="19"/>
      <c r="D728" s="19">
        <f>D726*D727</f>
        <v>75600</v>
      </c>
      <c r="E728" s="19">
        <f>E727*E725</f>
        <v>9000</v>
      </c>
      <c r="F728" s="19">
        <f t="shared" ref="F728:H728" si="504">F725*F727</f>
        <v>8000</v>
      </c>
      <c r="G728" s="19">
        <f t="shared" si="504"/>
        <v>0</v>
      </c>
      <c r="H728" s="19">
        <f t="shared" si="504"/>
        <v>1596</v>
      </c>
      <c r="I728" s="19">
        <f t="shared" ref="I728:L728" si="505">I725*I726</f>
        <v>1500</v>
      </c>
      <c r="J728" s="19">
        <f t="shared" si="505"/>
        <v>1000</v>
      </c>
      <c r="K728" s="19">
        <f t="shared" si="505"/>
        <v>0</v>
      </c>
      <c r="L728" s="19">
        <f t="shared" si="505"/>
        <v>1500</v>
      </c>
      <c r="M728" s="19">
        <f>SUM(D728:L728)</f>
        <v>98196</v>
      </c>
      <c r="N728" s="19">
        <f>M728/A726</f>
        <v>98196</v>
      </c>
      <c r="O728" s="19">
        <f>N728*O725</f>
        <v>196392</v>
      </c>
      <c r="P728" s="19">
        <f>MROUND(O728,100)</f>
        <v>196400</v>
      </c>
    </row>
    <row r="729" spans="1:16" ht="14.25" customHeight="1" x14ac:dyDescent="0.15">
      <c r="A729" s="111"/>
      <c r="B729" s="87"/>
      <c r="C729" s="87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</row>
    <row r="730" spans="1:16" ht="14.25" customHeight="1" x14ac:dyDescent="0.15">
      <c r="A730" s="109" t="str">
        <f>PRICELIST!I648</f>
        <v>CBSTK-FR-GL-2100x900+1800</v>
      </c>
      <c r="B730" s="87"/>
      <c r="C730" s="87"/>
      <c r="D730" s="19"/>
      <c r="E730" s="19"/>
      <c r="F730" s="19"/>
      <c r="G730" s="30"/>
      <c r="H730" s="19"/>
      <c r="I730" s="19"/>
      <c r="J730" s="19"/>
      <c r="K730" s="19"/>
      <c r="L730" s="19"/>
      <c r="M730" s="19"/>
      <c r="N730" s="19"/>
      <c r="O730" s="19"/>
      <c r="P730" s="19"/>
    </row>
    <row r="731" spans="1:16" ht="14.25" customHeight="1" x14ac:dyDescent="0.15">
      <c r="A731" s="19" t="s">
        <v>57</v>
      </c>
      <c r="B731" s="19" t="s">
        <v>59</v>
      </c>
      <c r="C731" s="19" t="s">
        <v>62</v>
      </c>
      <c r="D731" s="19" t="s">
        <v>64</v>
      </c>
      <c r="E731" s="19" t="s">
        <v>233</v>
      </c>
      <c r="F731" s="19">
        <v>900</v>
      </c>
      <c r="G731" s="19">
        <v>600</v>
      </c>
      <c r="H731" s="19" t="s">
        <v>67</v>
      </c>
      <c r="I731" s="19" t="s">
        <v>244</v>
      </c>
      <c r="J731" s="19" t="s">
        <v>71</v>
      </c>
      <c r="K731" s="19" t="s">
        <v>72</v>
      </c>
      <c r="L731" s="19" t="s">
        <v>73</v>
      </c>
      <c r="M731" s="19" t="s">
        <v>76</v>
      </c>
      <c r="N731" s="19" t="s">
        <v>78</v>
      </c>
      <c r="O731" s="19" t="s">
        <v>79</v>
      </c>
      <c r="P731" s="19" t="s">
        <v>81</v>
      </c>
    </row>
    <row r="732" spans="1:16" ht="14.25" customHeight="1" x14ac:dyDescent="0.15">
      <c r="A732" s="21"/>
      <c r="B732" s="21"/>
      <c r="C732" s="44" t="s">
        <v>245</v>
      </c>
      <c r="D732" s="21"/>
      <c r="E732" s="21">
        <v>6</v>
      </c>
      <c r="F732" s="23" t="str">
        <f t="shared" ref="F732:G732" si="506">F725</f>
        <v>4000</v>
      </c>
      <c r="G732" s="23" t="str">
        <f t="shared" si="506"/>
        <v>3800</v>
      </c>
      <c r="H732" s="21">
        <v>380</v>
      </c>
      <c r="I732" s="23" t="str">
        <f t="shared" ref="I732:J732" si="507">I725</f>
        <v>1500</v>
      </c>
      <c r="J732" s="21">
        <f t="shared" si="507"/>
        <v>1000</v>
      </c>
      <c r="K732" s="21">
        <v>585</v>
      </c>
      <c r="L732" s="23" t="str">
        <f>L725</f>
        <v>1500</v>
      </c>
      <c r="M732" s="21"/>
      <c r="N732" s="21"/>
      <c r="O732" s="21">
        <f>O725</f>
        <v>2</v>
      </c>
      <c r="P732" s="21"/>
    </row>
    <row r="733" spans="1:16" ht="14.25" customHeight="1" x14ac:dyDescent="0.15">
      <c r="A733" s="19">
        <v>1</v>
      </c>
      <c r="B733" s="19">
        <v>2.1</v>
      </c>
      <c r="C733" s="19">
        <v>1.2</v>
      </c>
      <c r="D733" s="19">
        <f>B733*C733</f>
        <v>2.52</v>
      </c>
      <c r="E733" s="19">
        <v>2.5</v>
      </c>
      <c r="F733" s="19"/>
      <c r="G733" s="19"/>
      <c r="H733" s="19"/>
      <c r="I733" s="19">
        <v>1</v>
      </c>
      <c r="J733" s="19">
        <f>A733</f>
        <v>1</v>
      </c>
      <c r="K733" s="19">
        <f t="shared" ref="K733:L733" si="508">K726</f>
        <v>0</v>
      </c>
      <c r="L733" s="19">
        <f t="shared" si="508"/>
        <v>1</v>
      </c>
      <c r="M733" s="19"/>
      <c r="N733" s="19"/>
      <c r="O733" s="19"/>
      <c r="P733" s="19"/>
    </row>
    <row r="734" spans="1:16" ht="14.25" customHeight="1" x14ac:dyDescent="0.15">
      <c r="A734" s="19"/>
      <c r="B734" s="19"/>
      <c r="C734" s="19"/>
      <c r="D734" s="26" t="str">
        <f>D685</f>
        <v>7500</v>
      </c>
      <c r="E734" s="26" t="str">
        <f>E727</f>
        <v>1500</v>
      </c>
      <c r="F734" s="19">
        <v>2</v>
      </c>
      <c r="G734" s="19">
        <v>0</v>
      </c>
      <c r="H734" s="19">
        <f>B733*2</f>
        <v>4.2</v>
      </c>
      <c r="I734" s="19"/>
      <c r="J734" s="19"/>
      <c r="K734" s="19"/>
      <c r="L734" s="19"/>
      <c r="M734" s="19"/>
      <c r="N734" s="19"/>
      <c r="O734" s="19"/>
      <c r="P734" s="19"/>
    </row>
    <row r="735" spans="1:16" ht="14.25" customHeight="1" x14ac:dyDescent="0.15">
      <c r="A735" s="19"/>
      <c r="B735" s="19"/>
      <c r="C735" s="19"/>
      <c r="D735" s="19">
        <f>D733*D734</f>
        <v>18900</v>
      </c>
      <c r="E735" s="19">
        <f>E734*E732</f>
        <v>9000</v>
      </c>
      <c r="F735" s="19">
        <f t="shared" ref="F735:H735" si="509">F732*F734</f>
        <v>8000</v>
      </c>
      <c r="G735" s="19">
        <f t="shared" si="509"/>
        <v>0</v>
      </c>
      <c r="H735" s="19">
        <f t="shared" si="509"/>
        <v>1596</v>
      </c>
      <c r="I735" s="19">
        <f t="shared" ref="I735:L735" si="510">I732*I733</f>
        <v>1500</v>
      </c>
      <c r="J735" s="19">
        <f t="shared" si="510"/>
        <v>1000</v>
      </c>
      <c r="K735" s="19">
        <f t="shared" si="510"/>
        <v>0</v>
      </c>
      <c r="L735" s="19">
        <f t="shared" si="510"/>
        <v>1500</v>
      </c>
      <c r="M735" s="19">
        <f>SUM(D735:L735)</f>
        <v>41496</v>
      </c>
      <c r="N735" s="19">
        <f>M735/A733</f>
        <v>41496</v>
      </c>
      <c r="O735" s="19">
        <f>N735*O732</f>
        <v>82992</v>
      </c>
      <c r="P735" s="19">
        <f>MROUND(O735,100)</f>
        <v>83000</v>
      </c>
    </row>
    <row r="736" spans="1:16" ht="14.25" customHeight="1" x14ac:dyDescent="0.15">
      <c r="A736" s="111"/>
      <c r="B736" s="87"/>
      <c r="C736" s="87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</row>
    <row r="737" spans="1:16" ht="14.25" customHeight="1" x14ac:dyDescent="0.15">
      <c r="A737" s="109" t="str">
        <f>PRICELIST!I649</f>
        <v>CBSTK-TB-PB-1500x600+X</v>
      </c>
      <c r="B737" s="87"/>
      <c r="C737" s="87"/>
      <c r="D737" s="21"/>
      <c r="E737" s="30"/>
      <c r="F737" s="21"/>
      <c r="G737" s="19"/>
      <c r="H737" s="19"/>
      <c r="I737" s="19"/>
      <c r="J737" s="19"/>
      <c r="K737" s="19"/>
      <c r="L737" s="19"/>
      <c r="M737" s="19"/>
      <c r="N737" s="19"/>
      <c r="O737" s="19"/>
      <c r="P737" s="19"/>
    </row>
    <row r="738" spans="1:16" ht="14.25" customHeight="1" x14ac:dyDescent="0.15">
      <c r="A738" s="19" t="s">
        <v>57</v>
      </c>
      <c r="B738" s="19" t="s">
        <v>59</v>
      </c>
      <c r="C738" s="19" t="s">
        <v>62</v>
      </c>
      <c r="D738" s="19" t="s">
        <v>64</v>
      </c>
      <c r="E738" s="19"/>
      <c r="F738" s="19">
        <v>900</v>
      </c>
      <c r="G738" s="19">
        <v>600</v>
      </c>
      <c r="H738" s="19" t="s">
        <v>67</v>
      </c>
      <c r="I738" s="19" t="s">
        <v>244</v>
      </c>
      <c r="J738" s="19" t="s">
        <v>71</v>
      </c>
      <c r="K738" s="19" t="s">
        <v>72</v>
      </c>
      <c r="L738" s="19" t="s">
        <v>73</v>
      </c>
      <c r="M738" s="19" t="s">
        <v>76</v>
      </c>
      <c r="N738" s="19" t="s">
        <v>78</v>
      </c>
      <c r="O738" s="19" t="s">
        <v>79</v>
      </c>
      <c r="P738" s="19" t="s">
        <v>81</v>
      </c>
    </row>
    <row r="739" spans="1:16" ht="14.25" customHeight="1" x14ac:dyDescent="0.15">
      <c r="A739" s="21"/>
      <c r="B739" s="21"/>
      <c r="C739" s="44" t="s">
        <v>245</v>
      </c>
      <c r="D739" s="21"/>
      <c r="E739" s="21"/>
      <c r="F739" s="23" t="str">
        <f t="shared" ref="F739:G739" si="511">F732</f>
        <v>4000</v>
      </c>
      <c r="G739" s="23" t="str">
        <f t="shared" si="511"/>
        <v>3800</v>
      </c>
      <c r="H739" s="21">
        <v>380</v>
      </c>
      <c r="I739" s="23" t="str">
        <f t="shared" ref="I739:J739" si="512">I732</f>
        <v>1500</v>
      </c>
      <c r="J739" s="21">
        <f t="shared" si="512"/>
        <v>1000</v>
      </c>
      <c r="K739" s="21">
        <v>585</v>
      </c>
      <c r="L739" s="23" t="str">
        <f>L732</f>
        <v>1500</v>
      </c>
      <c r="M739" s="21"/>
      <c r="N739" s="21"/>
      <c r="O739" s="21">
        <f>O732</f>
        <v>2</v>
      </c>
      <c r="P739" s="21"/>
    </row>
    <row r="740" spans="1:16" ht="14.25" customHeight="1" x14ac:dyDescent="0.15">
      <c r="A740" s="19">
        <v>1</v>
      </c>
      <c r="B740" s="19">
        <v>1.5</v>
      </c>
      <c r="C740" s="19">
        <f>0.6+0.3</f>
        <v>0.89999999999999991</v>
      </c>
      <c r="D740" s="19">
        <f>B740*C740</f>
        <v>1.3499999999999999</v>
      </c>
      <c r="E740" s="19"/>
      <c r="F740" s="19"/>
      <c r="G740" s="19"/>
      <c r="H740" s="19"/>
      <c r="I740" s="19">
        <v>1</v>
      </c>
      <c r="J740" s="19">
        <f>A740</f>
        <v>1</v>
      </c>
      <c r="K740" s="19">
        <f t="shared" ref="K740:L740" si="513">K733</f>
        <v>0</v>
      </c>
      <c r="L740" s="19">
        <f t="shared" si="513"/>
        <v>1</v>
      </c>
      <c r="M740" s="19"/>
      <c r="N740" s="19"/>
      <c r="O740" s="19"/>
      <c r="P740" s="19"/>
    </row>
    <row r="741" spans="1:16" ht="14.25" customHeight="1" x14ac:dyDescent="0.15">
      <c r="A741" s="19"/>
      <c r="B741" s="19"/>
      <c r="C741" s="19"/>
      <c r="D741" s="26" t="str">
        <f>D692</f>
        <v>2200</v>
      </c>
      <c r="E741" s="19"/>
      <c r="F741" s="19">
        <v>0</v>
      </c>
      <c r="G741" s="19">
        <v>2</v>
      </c>
      <c r="H741" s="19">
        <f>B740*2</f>
        <v>3</v>
      </c>
      <c r="I741" s="19"/>
      <c r="J741" s="19"/>
      <c r="K741" s="19"/>
      <c r="L741" s="19"/>
      <c r="M741" s="19"/>
      <c r="N741" s="19"/>
      <c r="O741" s="19"/>
      <c r="P741" s="19"/>
    </row>
    <row r="742" spans="1:16" ht="14.25" customHeight="1" x14ac:dyDescent="0.15">
      <c r="A742" s="19"/>
      <c r="B742" s="19"/>
      <c r="C742" s="19"/>
      <c r="D742" s="19">
        <f>D740*D741</f>
        <v>2969.9999999999995</v>
      </c>
      <c r="E742" s="19"/>
      <c r="F742" s="19">
        <f t="shared" ref="F742:H742" si="514">F739*F741</f>
        <v>0</v>
      </c>
      <c r="G742" s="19">
        <f t="shared" si="514"/>
        <v>7600</v>
      </c>
      <c r="H742" s="19">
        <f t="shared" si="514"/>
        <v>1140</v>
      </c>
      <c r="I742" s="19">
        <f t="shared" ref="I742:L742" si="515">I739*I740</f>
        <v>1500</v>
      </c>
      <c r="J742" s="19">
        <f t="shared" si="515"/>
        <v>1000</v>
      </c>
      <c r="K742" s="19">
        <f t="shared" si="515"/>
        <v>0</v>
      </c>
      <c r="L742" s="19">
        <f t="shared" si="515"/>
        <v>1500</v>
      </c>
      <c r="M742" s="19">
        <f>SUM(D742:L742)</f>
        <v>15710</v>
      </c>
      <c r="N742" s="19">
        <f>M742/A740</f>
        <v>15710</v>
      </c>
      <c r="O742" s="19">
        <f>N742*O739</f>
        <v>31420</v>
      </c>
      <c r="P742" s="19">
        <f>MROUND(O742,100)</f>
        <v>31400</v>
      </c>
    </row>
    <row r="743" spans="1:16" ht="14.25" customHeight="1" x14ac:dyDescent="0.15">
      <c r="A743" s="111"/>
      <c r="B743" s="87"/>
      <c r="C743" s="87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</row>
    <row r="744" spans="1:16" ht="14.25" customHeight="1" x14ac:dyDescent="0.15">
      <c r="A744" s="109" t="str">
        <f>PRICELIST!I650</f>
        <v>CBSTK-TB-PLM-1500x600+X</v>
      </c>
      <c r="B744" s="87"/>
      <c r="C744" s="87"/>
      <c r="D744" s="30"/>
      <c r="E744" s="30"/>
      <c r="F744" s="30"/>
      <c r="G744" s="30"/>
      <c r="H744" s="19"/>
      <c r="I744" s="19"/>
      <c r="J744" s="19"/>
      <c r="K744" s="19"/>
      <c r="L744" s="19"/>
      <c r="M744" s="19"/>
      <c r="N744" s="19"/>
      <c r="O744" s="19"/>
      <c r="P744" s="19"/>
    </row>
    <row r="745" spans="1:16" ht="14.25" customHeight="1" x14ac:dyDescent="0.15">
      <c r="A745" s="19" t="s">
        <v>57</v>
      </c>
      <c r="B745" s="19" t="s">
        <v>59</v>
      </c>
      <c r="C745" s="19" t="s">
        <v>62</v>
      </c>
      <c r="D745" s="19" t="s">
        <v>64</v>
      </c>
      <c r="E745" s="19"/>
      <c r="F745" s="19">
        <v>900</v>
      </c>
      <c r="G745" s="19">
        <v>600</v>
      </c>
      <c r="H745" s="19" t="s">
        <v>67</v>
      </c>
      <c r="I745" s="19" t="s">
        <v>244</v>
      </c>
      <c r="J745" s="19" t="s">
        <v>71</v>
      </c>
      <c r="K745" s="19" t="s">
        <v>72</v>
      </c>
      <c r="L745" s="19" t="s">
        <v>73</v>
      </c>
      <c r="M745" s="19" t="s">
        <v>76</v>
      </c>
      <c r="N745" s="19" t="s">
        <v>78</v>
      </c>
      <c r="O745" s="19" t="s">
        <v>79</v>
      </c>
      <c r="P745" s="19" t="s">
        <v>81</v>
      </c>
    </row>
    <row r="746" spans="1:16" ht="14.25" customHeight="1" x14ac:dyDescent="0.15">
      <c r="A746" s="21"/>
      <c r="B746" s="21"/>
      <c r="C746" s="44" t="s">
        <v>245</v>
      </c>
      <c r="D746" s="21"/>
      <c r="E746" s="21"/>
      <c r="F746" s="23" t="str">
        <f t="shared" ref="F746:G746" si="516">F739</f>
        <v>4000</v>
      </c>
      <c r="G746" s="23" t="str">
        <f t="shared" si="516"/>
        <v>3800</v>
      </c>
      <c r="H746" s="21">
        <v>380</v>
      </c>
      <c r="I746" s="23" t="str">
        <f t="shared" ref="I746:J746" si="517">I739</f>
        <v>1500</v>
      </c>
      <c r="J746" s="21">
        <f t="shared" si="517"/>
        <v>1000</v>
      </c>
      <c r="K746" s="21">
        <v>585</v>
      </c>
      <c r="L746" s="23" t="str">
        <f>L739</f>
        <v>1500</v>
      </c>
      <c r="M746" s="21"/>
      <c r="N746" s="21"/>
      <c r="O746" s="21">
        <f>O739</f>
        <v>2</v>
      </c>
      <c r="P746" s="21"/>
    </row>
    <row r="747" spans="1:16" ht="14.25" customHeight="1" x14ac:dyDescent="0.15">
      <c r="A747" s="19">
        <v>1</v>
      </c>
      <c r="B747" s="19">
        <v>1.5</v>
      </c>
      <c r="C747" s="19">
        <f>0.6+0.3</f>
        <v>0.89999999999999991</v>
      </c>
      <c r="D747" s="19">
        <f>B747*C747</f>
        <v>1.3499999999999999</v>
      </c>
      <c r="E747" s="19"/>
      <c r="F747" s="19"/>
      <c r="G747" s="19"/>
      <c r="H747" s="19"/>
      <c r="I747" s="19">
        <v>1</v>
      </c>
      <c r="J747" s="19">
        <f>A747</f>
        <v>1</v>
      </c>
      <c r="K747" s="19">
        <f t="shared" ref="K747:L747" si="518">K740</f>
        <v>0</v>
      </c>
      <c r="L747" s="19">
        <f t="shared" si="518"/>
        <v>1</v>
      </c>
      <c r="M747" s="19"/>
      <c r="N747" s="19"/>
      <c r="O747" s="19"/>
      <c r="P747" s="19"/>
    </row>
    <row r="748" spans="1:16" ht="14.25" customHeight="1" x14ac:dyDescent="0.15">
      <c r="A748" s="19"/>
      <c r="B748" s="19"/>
      <c r="C748" s="19"/>
      <c r="D748" s="26" t="str">
        <f>D699</f>
        <v>3000</v>
      </c>
      <c r="E748" s="19"/>
      <c r="F748" s="19">
        <v>0</v>
      </c>
      <c r="G748" s="19">
        <v>2</v>
      </c>
      <c r="H748" s="19">
        <f>B747*2</f>
        <v>3</v>
      </c>
      <c r="I748" s="19"/>
      <c r="J748" s="19"/>
      <c r="K748" s="19"/>
      <c r="L748" s="19"/>
      <c r="M748" s="19"/>
      <c r="N748" s="19"/>
      <c r="O748" s="19"/>
      <c r="P748" s="19"/>
    </row>
    <row r="749" spans="1:16" ht="14.25" customHeight="1" x14ac:dyDescent="0.15">
      <c r="A749" s="19"/>
      <c r="B749" s="19"/>
      <c r="C749" s="19"/>
      <c r="D749" s="19">
        <f>D747*D748</f>
        <v>4049.9999999999995</v>
      </c>
      <c r="E749" s="19"/>
      <c r="F749" s="19">
        <f t="shared" ref="F749:H749" si="519">F746*F748</f>
        <v>0</v>
      </c>
      <c r="G749" s="19">
        <f t="shared" si="519"/>
        <v>7600</v>
      </c>
      <c r="H749" s="19">
        <f t="shared" si="519"/>
        <v>1140</v>
      </c>
      <c r="I749" s="19">
        <f t="shared" ref="I749:L749" si="520">I746*I747</f>
        <v>1500</v>
      </c>
      <c r="J749" s="19">
        <f t="shared" si="520"/>
        <v>1000</v>
      </c>
      <c r="K749" s="19">
        <f t="shared" si="520"/>
        <v>0</v>
      </c>
      <c r="L749" s="19">
        <f t="shared" si="520"/>
        <v>1500</v>
      </c>
      <c r="M749" s="19">
        <f>SUM(D749:L749)</f>
        <v>16790</v>
      </c>
      <c r="N749" s="19">
        <f>M749/A747</f>
        <v>16790</v>
      </c>
      <c r="O749" s="19">
        <f>N749*O746</f>
        <v>33580</v>
      </c>
      <c r="P749" s="19">
        <f>MROUND(O749,100)</f>
        <v>33600</v>
      </c>
    </row>
    <row r="750" spans="1:16" ht="14.25" customHeight="1" x14ac:dyDescent="0.15">
      <c r="A750" s="111"/>
      <c r="B750" s="87"/>
      <c r="C750" s="87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</row>
    <row r="751" spans="1:16" ht="14.25" customHeight="1" x14ac:dyDescent="0.15">
      <c r="A751" s="109" t="str">
        <f>PRICELIST!I651</f>
        <v>CBSTK-TB-PoLM-1500x600+X</v>
      </c>
      <c r="B751" s="87"/>
      <c r="C751" s="87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</row>
    <row r="752" spans="1:16" ht="14.25" customHeight="1" x14ac:dyDescent="0.15">
      <c r="A752" s="19" t="s">
        <v>57</v>
      </c>
      <c r="B752" s="19" t="s">
        <v>59</v>
      </c>
      <c r="C752" s="19" t="s">
        <v>62</v>
      </c>
      <c r="D752" s="19" t="s">
        <v>64</v>
      </c>
      <c r="E752" s="19"/>
      <c r="F752" s="19">
        <v>900</v>
      </c>
      <c r="G752" s="19">
        <v>600</v>
      </c>
      <c r="H752" s="19" t="s">
        <v>67</v>
      </c>
      <c r="I752" s="19" t="s">
        <v>244</v>
      </c>
      <c r="J752" s="19" t="s">
        <v>71</v>
      </c>
      <c r="K752" s="19" t="s">
        <v>72</v>
      </c>
      <c r="L752" s="19" t="s">
        <v>73</v>
      </c>
      <c r="M752" s="19" t="s">
        <v>76</v>
      </c>
      <c r="N752" s="19" t="s">
        <v>78</v>
      </c>
      <c r="O752" s="19" t="s">
        <v>79</v>
      </c>
      <c r="P752" s="19" t="s">
        <v>81</v>
      </c>
    </row>
    <row r="753" spans="1:16" ht="14.25" customHeight="1" x14ac:dyDescent="0.15">
      <c r="A753" s="21"/>
      <c r="B753" s="21"/>
      <c r="C753" s="44" t="s">
        <v>245</v>
      </c>
      <c r="D753" s="21"/>
      <c r="E753" s="21"/>
      <c r="F753" s="23" t="str">
        <f t="shared" ref="F753:G753" si="521">F746</f>
        <v>4000</v>
      </c>
      <c r="G753" s="23" t="str">
        <f t="shared" si="521"/>
        <v>3800</v>
      </c>
      <c r="H753" s="21">
        <v>380</v>
      </c>
      <c r="I753" s="23" t="str">
        <f t="shared" ref="I753:J753" si="522">I746</f>
        <v>1500</v>
      </c>
      <c r="J753" s="21">
        <f t="shared" si="522"/>
        <v>1000</v>
      </c>
      <c r="K753" s="21">
        <v>585</v>
      </c>
      <c r="L753" s="23" t="str">
        <f>L746</f>
        <v>1500</v>
      </c>
      <c r="M753" s="21"/>
      <c r="N753" s="21"/>
      <c r="O753" s="21">
        <f>O746</f>
        <v>2</v>
      </c>
      <c r="P753" s="21"/>
    </row>
    <row r="754" spans="1:16" ht="14.25" customHeight="1" x14ac:dyDescent="0.15">
      <c r="A754" s="19">
        <v>1</v>
      </c>
      <c r="B754" s="19">
        <v>1.5</v>
      </c>
      <c r="C754" s="19">
        <f>0.6+0.3</f>
        <v>0.89999999999999991</v>
      </c>
      <c r="D754" s="19">
        <f>B754*C754</f>
        <v>1.3499999999999999</v>
      </c>
      <c r="E754" s="19"/>
      <c r="F754" s="19"/>
      <c r="G754" s="19"/>
      <c r="H754" s="19"/>
      <c r="I754" s="19">
        <v>1</v>
      </c>
      <c r="J754" s="19">
        <f>A754</f>
        <v>1</v>
      </c>
      <c r="K754" s="19">
        <f t="shared" ref="K754:L754" si="523">K747</f>
        <v>0</v>
      </c>
      <c r="L754" s="19">
        <f t="shared" si="523"/>
        <v>1</v>
      </c>
      <c r="M754" s="19"/>
      <c r="N754" s="19"/>
      <c r="O754" s="19"/>
      <c r="P754" s="19"/>
    </row>
    <row r="755" spans="1:16" ht="14.25" customHeight="1" x14ac:dyDescent="0.15">
      <c r="A755" s="19"/>
      <c r="B755" s="19"/>
      <c r="C755" s="19"/>
      <c r="D755" s="26" t="str">
        <f>D706</f>
        <v>7500</v>
      </c>
      <c r="E755" s="19"/>
      <c r="F755" s="19">
        <v>0</v>
      </c>
      <c r="G755" s="19">
        <v>2</v>
      </c>
      <c r="H755" s="19">
        <f>B754*2</f>
        <v>3</v>
      </c>
      <c r="I755" s="19"/>
      <c r="J755" s="19"/>
      <c r="K755" s="19"/>
      <c r="L755" s="19"/>
      <c r="M755" s="19"/>
      <c r="N755" s="19"/>
      <c r="O755" s="19"/>
      <c r="P755" s="19"/>
    </row>
    <row r="756" spans="1:16" ht="14.25" customHeight="1" x14ac:dyDescent="0.15">
      <c r="A756" s="19"/>
      <c r="B756" s="19"/>
      <c r="C756" s="19"/>
      <c r="D756" s="19">
        <f>D754*D755</f>
        <v>10124.999999999998</v>
      </c>
      <c r="E756" s="19"/>
      <c r="F756" s="19">
        <f t="shared" ref="F756:H756" si="524">F753*F755</f>
        <v>0</v>
      </c>
      <c r="G756" s="19">
        <f t="shared" si="524"/>
        <v>7600</v>
      </c>
      <c r="H756" s="19">
        <f t="shared" si="524"/>
        <v>1140</v>
      </c>
      <c r="I756" s="19">
        <f t="shared" ref="I756:L756" si="525">I753*I754</f>
        <v>1500</v>
      </c>
      <c r="J756" s="19">
        <f t="shared" si="525"/>
        <v>1000</v>
      </c>
      <c r="K756" s="19">
        <f t="shared" si="525"/>
        <v>0</v>
      </c>
      <c r="L756" s="19">
        <f t="shared" si="525"/>
        <v>1500</v>
      </c>
      <c r="M756" s="19">
        <f>SUM(D756:L756)</f>
        <v>22865</v>
      </c>
      <c r="N756" s="19">
        <f>M756/A754</f>
        <v>22865</v>
      </c>
      <c r="O756" s="19">
        <f>N756*O753</f>
        <v>45730</v>
      </c>
      <c r="P756" s="19">
        <f>MROUND(O756,100)</f>
        <v>45700</v>
      </c>
    </row>
    <row r="757" spans="1:16" ht="14.25" customHeight="1" x14ac:dyDescent="0.15">
      <c r="A757" s="111"/>
      <c r="B757" s="87"/>
      <c r="C757" s="87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</row>
    <row r="758" spans="1:16" ht="14.25" customHeight="1" x14ac:dyDescent="0.15">
      <c r="A758" s="109" t="str">
        <f>PRICELIST!I652</f>
        <v>CBSTK-TB-LVM-1500x600+X</v>
      </c>
      <c r="B758" s="87"/>
      <c r="C758" s="87"/>
      <c r="D758" s="21"/>
      <c r="E758" s="21"/>
      <c r="F758" s="21"/>
      <c r="G758" s="19"/>
      <c r="H758" s="21"/>
      <c r="I758" s="21"/>
      <c r="J758" s="21"/>
      <c r="K758" s="21"/>
      <c r="L758" s="21"/>
      <c r="M758" s="21"/>
      <c r="N758" s="21"/>
      <c r="O758" s="21"/>
      <c r="P758" s="21"/>
    </row>
    <row r="759" spans="1:16" ht="14.25" customHeight="1" x14ac:dyDescent="0.15">
      <c r="A759" s="19" t="s">
        <v>57</v>
      </c>
      <c r="B759" s="19" t="s">
        <v>59</v>
      </c>
      <c r="C759" s="19" t="s">
        <v>62</v>
      </c>
      <c r="D759" s="19" t="s">
        <v>64</v>
      </c>
      <c r="E759" s="19"/>
      <c r="F759" s="19">
        <v>900</v>
      </c>
      <c r="G759" s="19">
        <v>600</v>
      </c>
      <c r="H759" s="19" t="s">
        <v>67</v>
      </c>
      <c r="I759" s="19" t="s">
        <v>244</v>
      </c>
      <c r="J759" s="19" t="s">
        <v>71</v>
      </c>
      <c r="K759" s="19" t="s">
        <v>72</v>
      </c>
      <c r="L759" s="19" t="s">
        <v>73</v>
      </c>
      <c r="M759" s="19" t="s">
        <v>76</v>
      </c>
      <c r="N759" s="19" t="s">
        <v>78</v>
      </c>
      <c r="O759" s="19" t="s">
        <v>79</v>
      </c>
      <c r="P759" s="19" t="s">
        <v>81</v>
      </c>
    </row>
    <row r="760" spans="1:16" ht="14.25" customHeight="1" x14ac:dyDescent="0.15">
      <c r="A760" s="21"/>
      <c r="B760" s="21"/>
      <c r="C760" s="44" t="s">
        <v>245</v>
      </c>
      <c r="D760" s="21"/>
      <c r="E760" s="21"/>
      <c r="F760" s="23" t="str">
        <f t="shared" ref="F760:G760" si="526">F753</f>
        <v>4000</v>
      </c>
      <c r="G760" s="23" t="str">
        <f t="shared" si="526"/>
        <v>3800</v>
      </c>
      <c r="H760" s="21">
        <v>380</v>
      </c>
      <c r="I760" s="23" t="str">
        <f t="shared" ref="I760:J760" si="527">I753</f>
        <v>1500</v>
      </c>
      <c r="J760" s="21">
        <f t="shared" si="527"/>
        <v>1000</v>
      </c>
      <c r="K760" s="21">
        <v>585</v>
      </c>
      <c r="L760" s="23" t="str">
        <f>L753</f>
        <v>1500</v>
      </c>
      <c r="M760" s="21"/>
      <c r="N760" s="21"/>
      <c r="O760" s="21">
        <f>O753</f>
        <v>2</v>
      </c>
      <c r="P760" s="21"/>
    </row>
    <row r="761" spans="1:16" ht="14.25" customHeight="1" x14ac:dyDescent="0.15">
      <c r="A761" s="19">
        <v>1</v>
      </c>
      <c r="B761" s="19">
        <v>1.5</v>
      </c>
      <c r="C761" s="19">
        <f>0.6+0.3</f>
        <v>0.89999999999999991</v>
      </c>
      <c r="D761" s="19">
        <f>B761*C761</f>
        <v>1.3499999999999999</v>
      </c>
      <c r="E761" s="19"/>
      <c r="F761" s="19"/>
      <c r="G761" s="19"/>
      <c r="H761" s="19"/>
      <c r="I761" s="19">
        <v>1</v>
      </c>
      <c r="J761" s="19">
        <f>A761</f>
        <v>1</v>
      </c>
      <c r="K761" s="19">
        <f t="shared" ref="K761:L761" si="528">K754</f>
        <v>0</v>
      </c>
      <c r="L761" s="19">
        <f t="shared" si="528"/>
        <v>1</v>
      </c>
      <c r="M761" s="19"/>
      <c r="N761" s="19"/>
      <c r="O761" s="19"/>
      <c r="P761" s="19"/>
    </row>
    <row r="762" spans="1:16" ht="14.25" customHeight="1" x14ac:dyDescent="0.15">
      <c r="A762" s="19"/>
      <c r="B762" s="19"/>
      <c r="C762" s="19"/>
      <c r="D762" s="26" t="str">
        <f>D713</f>
        <v>9500</v>
      </c>
      <c r="E762" s="19"/>
      <c r="F762" s="19">
        <v>0</v>
      </c>
      <c r="G762" s="19">
        <v>2</v>
      </c>
      <c r="H762" s="19">
        <f>B761*2</f>
        <v>3</v>
      </c>
      <c r="I762" s="19"/>
      <c r="J762" s="19"/>
      <c r="K762" s="19"/>
      <c r="L762" s="19"/>
      <c r="M762" s="19"/>
      <c r="N762" s="19"/>
      <c r="O762" s="19"/>
      <c r="P762" s="19"/>
    </row>
    <row r="763" spans="1:16" ht="14.25" customHeight="1" x14ac:dyDescent="0.15">
      <c r="A763" s="19"/>
      <c r="B763" s="19"/>
      <c r="C763" s="19"/>
      <c r="D763" s="19">
        <f>D761*D762</f>
        <v>12824.999999999998</v>
      </c>
      <c r="E763" s="19"/>
      <c r="F763" s="19">
        <f t="shared" ref="F763:H763" si="529">F760*F762</f>
        <v>0</v>
      </c>
      <c r="G763" s="19">
        <f t="shared" si="529"/>
        <v>7600</v>
      </c>
      <c r="H763" s="19">
        <f t="shared" si="529"/>
        <v>1140</v>
      </c>
      <c r="I763" s="19">
        <f t="shared" ref="I763:L763" si="530">I760*I761</f>
        <v>1500</v>
      </c>
      <c r="J763" s="19">
        <f t="shared" si="530"/>
        <v>1000</v>
      </c>
      <c r="K763" s="19">
        <f t="shared" si="530"/>
        <v>0</v>
      </c>
      <c r="L763" s="19">
        <f t="shared" si="530"/>
        <v>1500</v>
      </c>
      <c r="M763" s="19">
        <f>SUM(D763:L763)</f>
        <v>25565</v>
      </c>
      <c r="N763" s="19">
        <f>M763/A761</f>
        <v>25565</v>
      </c>
      <c r="O763" s="19">
        <f>N763*O760</f>
        <v>51130</v>
      </c>
      <c r="P763" s="19">
        <f>MROUND(O763,100)</f>
        <v>51100</v>
      </c>
    </row>
    <row r="764" spans="1:16" ht="14.25" customHeight="1" x14ac:dyDescent="0.15">
      <c r="A764" s="111"/>
      <c r="B764" s="87"/>
      <c r="C764" s="87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</row>
    <row r="765" spans="1:16" ht="14.25" customHeight="1" x14ac:dyDescent="0.15">
      <c r="A765" s="109" t="str">
        <f>PRICELIST!I653</f>
        <v>CBSTK-TB-LVP-1500x600+X</v>
      </c>
      <c r="B765" s="87"/>
      <c r="C765" s="87"/>
      <c r="D765" s="19"/>
      <c r="E765" s="19"/>
      <c r="F765" s="19"/>
      <c r="G765" s="30"/>
      <c r="H765" s="19"/>
      <c r="I765" s="19"/>
      <c r="J765" s="19"/>
      <c r="K765" s="19"/>
      <c r="L765" s="19"/>
      <c r="M765" s="19"/>
      <c r="N765" s="19"/>
      <c r="O765" s="19"/>
      <c r="P765" s="19"/>
    </row>
    <row r="766" spans="1:16" ht="14.25" customHeight="1" x14ac:dyDescent="0.15">
      <c r="A766" s="19" t="s">
        <v>57</v>
      </c>
      <c r="B766" s="19" t="s">
        <v>59</v>
      </c>
      <c r="C766" s="19" t="s">
        <v>62</v>
      </c>
      <c r="D766" s="19" t="s">
        <v>64</v>
      </c>
      <c r="E766" s="19"/>
      <c r="F766" s="19">
        <v>900</v>
      </c>
      <c r="G766" s="19">
        <v>600</v>
      </c>
      <c r="H766" s="19" t="s">
        <v>67</v>
      </c>
      <c r="I766" s="19" t="s">
        <v>244</v>
      </c>
      <c r="J766" s="19" t="s">
        <v>71</v>
      </c>
      <c r="K766" s="19" t="s">
        <v>72</v>
      </c>
      <c r="L766" s="19" t="s">
        <v>73</v>
      </c>
      <c r="M766" s="19" t="s">
        <v>76</v>
      </c>
      <c r="N766" s="19" t="s">
        <v>78</v>
      </c>
      <c r="O766" s="19" t="s">
        <v>79</v>
      </c>
      <c r="P766" s="19" t="s">
        <v>81</v>
      </c>
    </row>
    <row r="767" spans="1:16" ht="14.25" customHeight="1" x14ac:dyDescent="0.15">
      <c r="A767" s="21"/>
      <c r="B767" s="21"/>
      <c r="C767" s="44" t="s">
        <v>245</v>
      </c>
      <c r="D767" s="21"/>
      <c r="E767" s="21"/>
      <c r="F767" s="23" t="str">
        <f t="shared" ref="F767:G767" si="531">F760</f>
        <v>4000</v>
      </c>
      <c r="G767" s="23" t="str">
        <f t="shared" si="531"/>
        <v>3800</v>
      </c>
      <c r="H767" s="21">
        <v>380</v>
      </c>
      <c r="I767" s="23" t="str">
        <f t="shared" ref="I767:J767" si="532">I760</f>
        <v>1500</v>
      </c>
      <c r="J767" s="21">
        <f t="shared" si="532"/>
        <v>1000</v>
      </c>
      <c r="K767" s="21">
        <v>585</v>
      </c>
      <c r="L767" s="23" t="str">
        <f>L760</f>
        <v>1500</v>
      </c>
      <c r="M767" s="21"/>
      <c r="N767" s="21"/>
      <c r="O767" s="21">
        <f>O760</f>
        <v>2</v>
      </c>
      <c r="P767" s="21"/>
    </row>
    <row r="768" spans="1:16" ht="14.25" customHeight="1" x14ac:dyDescent="0.15">
      <c r="A768" s="19">
        <v>1</v>
      </c>
      <c r="B768" s="19">
        <v>1.5</v>
      </c>
      <c r="C768" s="19">
        <f>0.6+0.3</f>
        <v>0.89999999999999991</v>
      </c>
      <c r="D768" s="19">
        <f>B768*C768</f>
        <v>1.3499999999999999</v>
      </c>
      <c r="E768" s="19"/>
      <c r="F768" s="19"/>
      <c r="G768" s="19"/>
      <c r="H768" s="19"/>
      <c r="I768" s="19">
        <v>1</v>
      </c>
      <c r="J768" s="19">
        <f>A768</f>
        <v>1</v>
      </c>
      <c r="K768" s="19">
        <f t="shared" ref="K768:L768" si="533">K761</f>
        <v>0</v>
      </c>
      <c r="L768" s="19">
        <f t="shared" si="533"/>
        <v>1</v>
      </c>
      <c r="M768" s="19"/>
      <c r="N768" s="19"/>
      <c r="O768" s="19"/>
      <c r="P768" s="19"/>
    </row>
    <row r="769" spans="1:16" ht="14.25" customHeight="1" x14ac:dyDescent="0.15">
      <c r="A769" s="19"/>
      <c r="B769" s="19"/>
      <c r="C769" s="19"/>
      <c r="D769" s="26" t="str">
        <f>D720</f>
        <v>10500</v>
      </c>
      <c r="E769" s="19"/>
      <c r="F769" s="19">
        <v>0</v>
      </c>
      <c r="G769" s="19">
        <v>2</v>
      </c>
      <c r="H769" s="19">
        <f>B768*2</f>
        <v>3</v>
      </c>
      <c r="I769" s="19"/>
      <c r="J769" s="19"/>
      <c r="K769" s="19"/>
      <c r="L769" s="19"/>
      <c r="M769" s="19"/>
      <c r="N769" s="19"/>
      <c r="O769" s="19"/>
      <c r="P769" s="19"/>
    </row>
    <row r="770" spans="1:16" ht="14.25" customHeight="1" x14ac:dyDescent="0.15">
      <c r="A770" s="19"/>
      <c r="B770" s="19"/>
      <c r="C770" s="19"/>
      <c r="D770" s="19">
        <f>D768*D769</f>
        <v>14174.999999999998</v>
      </c>
      <c r="E770" s="19"/>
      <c r="F770" s="19">
        <f t="shared" ref="F770:H770" si="534">F767*F769</f>
        <v>0</v>
      </c>
      <c r="G770" s="19">
        <f t="shared" si="534"/>
        <v>7600</v>
      </c>
      <c r="H770" s="19">
        <f t="shared" si="534"/>
        <v>1140</v>
      </c>
      <c r="I770" s="19">
        <f t="shared" ref="I770:L770" si="535">I767*I768</f>
        <v>1500</v>
      </c>
      <c r="J770" s="19">
        <f t="shared" si="535"/>
        <v>1000</v>
      </c>
      <c r="K770" s="19">
        <f t="shared" si="535"/>
        <v>0</v>
      </c>
      <c r="L770" s="19">
        <f t="shared" si="535"/>
        <v>1500</v>
      </c>
      <c r="M770" s="19">
        <f>SUM(D770:L770)</f>
        <v>26915</v>
      </c>
      <c r="N770" s="19">
        <f>M770/A768</f>
        <v>26915</v>
      </c>
      <c r="O770" s="19">
        <f>N770*O767</f>
        <v>53830</v>
      </c>
      <c r="P770" s="19">
        <f>MROUND(O770,100)</f>
        <v>53800</v>
      </c>
    </row>
    <row r="771" spans="1:16" ht="14.25" customHeight="1" x14ac:dyDescent="0.15">
      <c r="A771" s="111"/>
      <c r="B771" s="87"/>
      <c r="C771" s="87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</row>
    <row r="772" spans="1:16" ht="14.25" customHeight="1" x14ac:dyDescent="0.15">
      <c r="A772" s="109" t="str">
        <f>PRICELIST!I654</f>
        <v>CBSTK-TB-VNR-1500x600+X</v>
      </c>
      <c r="B772" s="87"/>
      <c r="C772" s="87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</row>
    <row r="773" spans="1:16" ht="14.25" customHeight="1" x14ac:dyDescent="0.15">
      <c r="A773" s="19" t="s">
        <v>57</v>
      </c>
      <c r="B773" s="19" t="s">
        <v>59</v>
      </c>
      <c r="C773" s="19" t="s">
        <v>62</v>
      </c>
      <c r="D773" s="19" t="s">
        <v>64</v>
      </c>
      <c r="E773" s="19"/>
      <c r="F773" s="19">
        <v>900</v>
      </c>
      <c r="G773" s="19">
        <v>600</v>
      </c>
      <c r="H773" s="19" t="s">
        <v>67</v>
      </c>
      <c r="I773" s="19" t="s">
        <v>244</v>
      </c>
      <c r="J773" s="19" t="s">
        <v>71</v>
      </c>
      <c r="K773" s="19" t="s">
        <v>72</v>
      </c>
      <c r="L773" s="19" t="s">
        <v>73</v>
      </c>
      <c r="M773" s="19" t="s">
        <v>76</v>
      </c>
      <c r="N773" s="19" t="s">
        <v>78</v>
      </c>
      <c r="O773" s="19" t="s">
        <v>79</v>
      </c>
      <c r="P773" s="19" t="s">
        <v>81</v>
      </c>
    </row>
    <row r="774" spans="1:16" ht="14.25" customHeight="1" x14ac:dyDescent="0.15">
      <c r="A774" s="21"/>
      <c r="B774" s="21"/>
      <c r="C774" s="44" t="s">
        <v>245</v>
      </c>
      <c r="D774" s="21"/>
      <c r="E774" s="21"/>
      <c r="F774" s="23" t="str">
        <f t="shared" ref="F774:G774" si="536">F767</f>
        <v>4000</v>
      </c>
      <c r="G774" s="23" t="str">
        <f t="shared" si="536"/>
        <v>3800</v>
      </c>
      <c r="H774" s="21">
        <v>380</v>
      </c>
      <c r="I774" s="23" t="str">
        <f t="shared" ref="I774:J774" si="537">I767</f>
        <v>1500</v>
      </c>
      <c r="J774" s="21">
        <f t="shared" si="537"/>
        <v>1000</v>
      </c>
      <c r="K774" s="21">
        <v>585</v>
      </c>
      <c r="L774" s="23" t="str">
        <f>L767</f>
        <v>1500</v>
      </c>
      <c r="M774" s="21"/>
      <c r="N774" s="21"/>
      <c r="O774" s="21">
        <f>O767</f>
        <v>2</v>
      </c>
      <c r="P774" s="21"/>
    </row>
    <row r="775" spans="1:16" ht="14.25" customHeight="1" x14ac:dyDescent="0.15">
      <c r="A775" s="19">
        <v>1</v>
      </c>
      <c r="B775" s="19">
        <v>1.5</v>
      </c>
      <c r="C775" s="19">
        <f>0.6+0.3</f>
        <v>0.89999999999999991</v>
      </c>
      <c r="D775" s="19">
        <f>B775*C775</f>
        <v>1.3499999999999999</v>
      </c>
      <c r="E775" s="19"/>
      <c r="F775" s="19"/>
      <c r="G775" s="19"/>
      <c r="H775" s="19"/>
      <c r="I775" s="19">
        <v>1</v>
      </c>
      <c r="J775" s="19">
        <f>A775</f>
        <v>1</v>
      </c>
      <c r="K775" s="19">
        <f t="shared" ref="K775:L775" si="538">K768</f>
        <v>0</v>
      </c>
      <c r="L775" s="19">
        <f t="shared" si="538"/>
        <v>1</v>
      </c>
      <c r="M775" s="19"/>
      <c r="N775" s="19"/>
      <c r="O775" s="19"/>
      <c r="P775" s="19"/>
    </row>
    <row r="776" spans="1:16" ht="14.25" customHeight="1" x14ac:dyDescent="0.15">
      <c r="A776" s="19"/>
      <c r="B776" s="19"/>
      <c r="C776" s="19"/>
      <c r="D776" s="26" t="str">
        <f>D727</f>
        <v>30000</v>
      </c>
      <c r="E776" s="19"/>
      <c r="F776" s="19">
        <v>0</v>
      </c>
      <c r="G776" s="19">
        <v>2</v>
      </c>
      <c r="H776" s="19">
        <f>B775*2</f>
        <v>3</v>
      </c>
      <c r="I776" s="19"/>
      <c r="J776" s="19"/>
      <c r="K776" s="19"/>
      <c r="L776" s="19"/>
      <c r="M776" s="19"/>
      <c r="N776" s="19"/>
      <c r="O776" s="19"/>
      <c r="P776" s="19"/>
    </row>
    <row r="777" spans="1:16" ht="14.25" customHeight="1" x14ac:dyDescent="0.15">
      <c r="A777" s="19"/>
      <c r="B777" s="19"/>
      <c r="C777" s="19"/>
      <c r="D777" s="19">
        <f>D775*D776</f>
        <v>40499.999999999993</v>
      </c>
      <c r="E777" s="19"/>
      <c r="F777" s="19">
        <f t="shared" ref="F777:H777" si="539">F774*F776</f>
        <v>0</v>
      </c>
      <c r="G777" s="19">
        <f t="shared" si="539"/>
        <v>7600</v>
      </c>
      <c r="H777" s="19">
        <f t="shared" si="539"/>
        <v>1140</v>
      </c>
      <c r="I777" s="19">
        <f t="shared" ref="I777:L777" si="540">I774*I775</f>
        <v>1500</v>
      </c>
      <c r="J777" s="19">
        <f t="shared" si="540"/>
        <v>1000</v>
      </c>
      <c r="K777" s="19">
        <f t="shared" si="540"/>
        <v>0</v>
      </c>
      <c r="L777" s="19">
        <f t="shared" si="540"/>
        <v>1500</v>
      </c>
      <c r="M777" s="19">
        <f>SUM(D777:L777)</f>
        <v>53239.999999999993</v>
      </c>
      <c r="N777" s="19">
        <f>M777/A775</f>
        <v>53239.999999999993</v>
      </c>
      <c r="O777" s="19">
        <f>N777*O774</f>
        <v>106479.99999999999</v>
      </c>
      <c r="P777" s="19">
        <f>MROUND(O777,100)</f>
        <v>106500</v>
      </c>
    </row>
    <row r="778" spans="1:16" ht="14.25" customHeight="1" x14ac:dyDescent="0.15">
      <c r="A778" s="111"/>
      <c r="B778" s="87"/>
      <c r="C778" s="87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</row>
    <row r="779" spans="1:16" ht="14.25" customHeight="1" x14ac:dyDescent="0.15">
      <c r="A779" s="109" t="str">
        <f>PRICELIST!I655</f>
        <v>CBSTK-TB-GL-1500x600+X</v>
      </c>
      <c r="B779" s="87"/>
      <c r="C779" s="87"/>
      <c r="D779" s="19"/>
      <c r="E779" s="19"/>
      <c r="F779" s="19"/>
      <c r="G779" s="30"/>
      <c r="H779" s="21"/>
      <c r="I779" s="21"/>
      <c r="J779" s="21"/>
      <c r="K779" s="21"/>
      <c r="L779" s="21"/>
      <c r="M779" s="21"/>
      <c r="N779" s="21"/>
      <c r="O779" s="21"/>
      <c r="P779" s="21"/>
    </row>
    <row r="780" spans="1:16" ht="14.25" customHeight="1" x14ac:dyDescent="0.15">
      <c r="A780" s="19" t="s">
        <v>57</v>
      </c>
      <c r="B780" s="19" t="s">
        <v>59</v>
      </c>
      <c r="C780" s="19" t="s">
        <v>62</v>
      </c>
      <c r="D780" s="19" t="s">
        <v>64</v>
      </c>
      <c r="E780" s="19"/>
      <c r="F780" s="19">
        <v>900</v>
      </c>
      <c r="G780" s="19">
        <v>600</v>
      </c>
      <c r="H780" s="19" t="s">
        <v>67</v>
      </c>
      <c r="I780" s="19" t="s">
        <v>244</v>
      </c>
      <c r="J780" s="19" t="s">
        <v>71</v>
      </c>
      <c r="K780" s="19" t="s">
        <v>72</v>
      </c>
      <c r="L780" s="19" t="s">
        <v>73</v>
      </c>
      <c r="M780" s="19" t="s">
        <v>76</v>
      </c>
      <c r="N780" s="19" t="s">
        <v>78</v>
      </c>
      <c r="O780" s="19" t="s">
        <v>79</v>
      </c>
      <c r="P780" s="19" t="s">
        <v>81</v>
      </c>
    </row>
    <row r="781" spans="1:16" ht="14.25" customHeight="1" x14ac:dyDescent="0.15">
      <c r="A781" s="21"/>
      <c r="B781" s="21"/>
      <c r="C781" s="44" t="s">
        <v>245</v>
      </c>
      <c r="D781" s="21"/>
      <c r="E781" s="21"/>
      <c r="F781" s="23" t="str">
        <f t="shared" ref="F781:G781" si="541">F774</f>
        <v>4000</v>
      </c>
      <c r="G781" s="23" t="str">
        <f t="shared" si="541"/>
        <v>3800</v>
      </c>
      <c r="H781" s="21">
        <v>380</v>
      </c>
      <c r="I781" s="23" t="str">
        <f t="shared" ref="I781:J781" si="542">I774</f>
        <v>1500</v>
      </c>
      <c r="J781" s="21">
        <f t="shared" si="542"/>
        <v>1000</v>
      </c>
      <c r="K781" s="21">
        <v>585</v>
      </c>
      <c r="L781" s="23" t="str">
        <f>L774</f>
        <v>1500</v>
      </c>
      <c r="M781" s="21"/>
      <c r="N781" s="21"/>
      <c r="O781" s="21">
        <f>O774</f>
        <v>2</v>
      </c>
      <c r="P781" s="21"/>
    </row>
    <row r="782" spans="1:16" ht="14.25" customHeight="1" x14ac:dyDescent="0.15">
      <c r="A782" s="19">
        <v>1</v>
      </c>
      <c r="B782" s="19">
        <v>1.5</v>
      </c>
      <c r="C782" s="19">
        <f>0.6+0.3</f>
        <v>0.89999999999999991</v>
      </c>
      <c r="D782" s="19">
        <f>B782*C782</f>
        <v>1.3499999999999999</v>
      </c>
      <c r="E782" s="19"/>
      <c r="F782" s="19"/>
      <c r="G782" s="19"/>
      <c r="H782" s="19"/>
      <c r="I782" s="19">
        <v>1</v>
      </c>
      <c r="J782" s="19">
        <f>A782</f>
        <v>1</v>
      </c>
      <c r="K782" s="19">
        <f t="shared" ref="K782:L782" si="543">K775</f>
        <v>0</v>
      </c>
      <c r="L782" s="19">
        <f t="shared" si="543"/>
        <v>1</v>
      </c>
      <c r="M782" s="19"/>
      <c r="N782" s="19"/>
      <c r="O782" s="19"/>
      <c r="P782" s="19"/>
    </row>
    <row r="783" spans="1:16" ht="14.25" customHeight="1" x14ac:dyDescent="0.15">
      <c r="A783" s="19"/>
      <c r="B783" s="19"/>
      <c r="C783" s="19"/>
      <c r="D783" s="26" t="str">
        <f>D734</f>
        <v>7500</v>
      </c>
      <c r="E783" s="19"/>
      <c r="F783" s="19">
        <v>0</v>
      </c>
      <c r="G783" s="19">
        <v>2</v>
      </c>
      <c r="H783" s="19">
        <f>B782*2</f>
        <v>3</v>
      </c>
      <c r="I783" s="19"/>
      <c r="J783" s="19"/>
      <c r="K783" s="19"/>
      <c r="L783" s="19"/>
      <c r="M783" s="19"/>
      <c r="N783" s="19"/>
      <c r="O783" s="19"/>
      <c r="P783" s="19"/>
    </row>
    <row r="784" spans="1:16" ht="14.25" customHeight="1" x14ac:dyDescent="0.15">
      <c r="A784" s="19"/>
      <c r="B784" s="19"/>
      <c r="C784" s="19"/>
      <c r="D784" s="19">
        <f>D782*D783</f>
        <v>10124.999999999998</v>
      </c>
      <c r="E784" s="19"/>
      <c r="F784" s="19">
        <f t="shared" ref="F784:H784" si="544">F781*F783</f>
        <v>0</v>
      </c>
      <c r="G784" s="19">
        <f t="shared" si="544"/>
        <v>7600</v>
      </c>
      <c r="H784" s="19">
        <f t="shared" si="544"/>
        <v>1140</v>
      </c>
      <c r="I784" s="19">
        <f t="shared" ref="I784:L784" si="545">I781*I782</f>
        <v>1500</v>
      </c>
      <c r="J784" s="19">
        <f t="shared" si="545"/>
        <v>1000</v>
      </c>
      <c r="K784" s="19">
        <f t="shared" si="545"/>
        <v>0</v>
      </c>
      <c r="L784" s="19">
        <f t="shared" si="545"/>
        <v>1500</v>
      </c>
      <c r="M784" s="19">
        <f>SUM(D784:L784)</f>
        <v>22865</v>
      </c>
      <c r="N784" s="19">
        <f>M784/A782</f>
        <v>22865</v>
      </c>
      <c r="O784" s="19">
        <f>N784*O781</f>
        <v>45730</v>
      </c>
      <c r="P784" s="19">
        <f>MROUND(O784,100)</f>
        <v>45700</v>
      </c>
    </row>
    <row r="785" spans="1:16" ht="14.25" customHeight="1" x14ac:dyDescent="0.15">
      <c r="A785" s="111"/>
      <c r="B785" s="87"/>
      <c r="C785" s="87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</row>
    <row r="786" spans="1:16" ht="14.25" customHeight="1" x14ac:dyDescent="0.15">
      <c r="A786" s="109" t="str">
        <f>PRICELIST!I656</f>
        <v>CBSTK-TB-PB-1800x750+X</v>
      </c>
      <c r="B786" s="87"/>
      <c r="C786" s="87"/>
      <c r="D786" s="30"/>
      <c r="E786" s="30"/>
      <c r="F786" s="30"/>
      <c r="G786" s="30"/>
      <c r="H786" s="19"/>
      <c r="I786" s="19"/>
      <c r="J786" s="19"/>
      <c r="K786" s="19"/>
      <c r="L786" s="19"/>
      <c r="M786" s="19"/>
      <c r="N786" s="19"/>
      <c r="O786" s="19"/>
      <c r="P786" s="19"/>
    </row>
    <row r="787" spans="1:16" ht="14.25" customHeight="1" x14ac:dyDescent="0.15">
      <c r="A787" s="19" t="s">
        <v>57</v>
      </c>
      <c r="B787" s="19" t="s">
        <v>59</v>
      </c>
      <c r="C787" s="19" t="s">
        <v>62</v>
      </c>
      <c r="D787" s="19" t="s">
        <v>64</v>
      </c>
      <c r="E787" s="19"/>
      <c r="F787" s="19">
        <v>900</v>
      </c>
      <c r="G787" s="19">
        <v>600</v>
      </c>
      <c r="H787" s="19" t="s">
        <v>67</v>
      </c>
      <c r="I787" s="19" t="s">
        <v>244</v>
      </c>
      <c r="J787" s="19" t="s">
        <v>71</v>
      </c>
      <c r="K787" s="19" t="s">
        <v>72</v>
      </c>
      <c r="L787" s="19" t="s">
        <v>73</v>
      </c>
      <c r="M787" s="19" t="s">
        <v>76</v>
      </c>
      <c r="N787" s="19" t="s">
        <v>78</v>
      </c>
      <c r="O787" s="19" t="s">
        <v>79</v>
      </c>
      <c r="P787" s="19" t="s">
        <v>81</v>
      </c>
    </row>
    <row r="788" spans="1:16" ht="14.25" customHeight="1" x14ac:dyDescent="0.15">
      <c r="A788" s="21"/>
      <c r="B788" s="21"/>
      <c r="C788" s="44" t="s">
        <v>245</v>
      </c>
      <c r="D788" s="21"/>
      <c r="E788" s="21"/>
      <c r="F788" s="21">
        <v>4000</v>
      </c>
      <c r="G788" s="21">
        <v>3800</v>
      </c>
      <c r="H788" s="21">
        <v>380</v>
      </c>
      <c r="I788" s="23" t="str">
        <f t="shared" ref="I788:J788" si="546">I781</f>
        <v>1500</v>
      </c>
      <c r="J788" s="21">
        <f t="shared" si="546"/>
        <v>1000</v>
      </c>
      <c r="K788" s="21">
        <v>585</v>
      </c>
      <c r="L788" s="23" t="str">
        <f>L781</f>
        <v>1500</v>
      </c>
      <c r="M788" s="21"/>
      <c r="N788" s="21"/>
      <c r="O788" s="21">
        <f>O781</f>
        <v>2</v>
      </c>
      <c r="P788" s="21"/>
    </row>
    <row r="789" spans="1:16" ht="14.25" customHeight="1" x14ac:dyDescent="0.15">
      <c r="A789" s="19">
        <v>1</v>
      </c>
      <c r="B789" s="19">
        <v>1.8</v>
      </c>
      <c r="C789" s="19">
        <f>0.75+0.3</f>
        <v>1.05</v>
      </c>
      <c r="D789" s="19">
        <f>B789*C789</f>
        <v>1.8900000000000001</v>
      </c>
      <c r="E789" s="19"/>
      <c r="F789" s="19"/>
      <c r="G789" s="19"/>
      <c r="H789" s="19"/>
      <c r="I789" s="19">
        <v>1</v>
      </c>
      <c r="J789" s="19">
        <f>A789</f>
        <v>1</v>
      </c>
      <c r="K789" s="19">
        <f t="shared" ref="K789:L789" si="547">K782</f>
        <v>0</v>
      </c>
      <c r="L789" s="19">
        <f t="shared" si="547"/>
        <v>1</v>
      </c>
      <c r="M789" s="19"/>
      <c r="N789" s="19"/>
      <c r="O789" s="19"/>
      <c r="P789" s="19"/>
    </row>
    <row r="790" spans="1:16" ht="14.25" customHeight="1" x14ac:dyDescent="0.15">
      <c r="A790" s="19"/>
      <c r="B790" s="19"/>
      <c r="C790" s="19"/>
      <c r="D790" s="26" t="str">
        <f>D741</f>
        <v>2200</v>
      </c>
      <c r="E790" s="19"/>
      <c r="F790" s="19">
        <v>2</v>
      </c>
      <c r="G790" s="19">
        <v>0</v>
      </c>
      <c r="H790" s="19">
        <f>B789*2</f>
        <v>3.6</v>
      </c>
      <c r="I790" s="19"/>
      <c r="J790" s="19"/>
      <c r="K790" s="19"/>
      <c r="L790" s="19"/>
      <c r="M790" s="19"/>
      <c r="N790" s="19"/>
      <c r="O790" s="19"/>
      <c r="P790" s="19"/>
    </row>
    <row r="791" spans="1:16" ht="14.25" customHeight="1" x14ac:dyDescent="0.15">
      <c r="A791" s="19"/>
      <c r="B791" s="19"/>
      <c r="C791" s="19"/>
      <c r="D791" s="19">
        <f>D789*D790</f>
        <v>4158</v>
      </c>
      <c r="E791" s="19"/>
      <c r="F791" s="19">
        <v>8000</v>
      </c>
      <c r="G791" s="19">
        <v>0</v>
      </c>
      <c r="H791" s="19">
        <f>H788*H790</f>
        <v>1368</v>
      </c>
      <c r="I791" s="19">
        <f t="shared" ref="I791:L791" si="548">I788*I789</f>
        <v>1500</v>
      </c>
      <c r="J791" s="19">
        <f t="shared" si="548"/>
        <v>1000</v>
      </c>
      <c r="K791" s="19">
        <f t="shared" si="548"/>
        <v>0</v>
      </c>
      <c r="L791" s="19">
        <f t="shared" si="548"/>
        <v>1500</v>
      </c>
      <c r="M791" s="19">
        <f>SUM(D791:L791)</f>
        <v>17526</v>
      </c>
      <c r="N791" s="19">
        <f>M791/A789</f>
        <v>17526</v>
      </c>
      <c r="O791" s="19">
        <f>N791*O788</f>
        <v>35052</v>
      </c>
      <c r="P791" s="19">
        <f>MROUND(O791,100)</f>
        <v>35100</v>
      </c>
    </row>
    <row r="792" spans="1:16" ht="14.25" customHeight="1" x14ac:dyDescent="0.15">
      <c r="A792" s="111"/>
      <c r="B792" s="87"/>
      <c r="C792" s="87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</row>
    <row r="793" spans="1:16" ht="14.25" customHeight="1" x14ac:dyDescent="0.15">
      <c r="A793" s="109" t="str">
        <f>PRICELIST!I657</f>
        <v>CBSTK-TB-PLM-1800x750+X</v>
      </c>
      <c r="B793" s="87"/>
      <c r="C793" s="87"/>
      <c r="D793" s="30"/>
      <c r="E793" s="30"/>
      <c r="F793" s="30"/>
      <c r="G793" s="19"/>
      <c r="H793" s="19"/>
      <c r="I793" s="19"/>
      <c r="J793" s="19"/>
      <c r="K793" s="19"/>
      <c r="L793" s="19"/>
      <c r="M793" s="19"/>
      <c r="N793" s="19"/>
      <c r="O793" s="19"/>
      <c r="P793" s="19"/>
    </row>
    <row r="794" spans="1:16" ht="14.25" customHeight="1" x14ac:dyDescent="0.2">
      <c r="A794" s="19" t="s">
        <v>57</v>
      </c>
      <c r="B794" s="19" t="s">
        <v>59</v>
      </c>
      <c r="C794" s="19" t="s">
        <v>62</v>
      </c>
      <c r="D794" s="19" t="s">
        <v>64</v>
      </c>
      <c r="E794" s="19"/>
      <c r="F794" s="45">
        <v>900</v>
      </c>
      <c r="G794" s="69">
        <v>600</v>
      </c>
      <c r="H794" s="19" t="s">
        <v>67</v>
      </c>
      <c r="I794" s="19" t="s">
        <v>244</v>
      </c>
      <c r="J794" s="19" t="s">
        <v>71</v>
      </c>
      <c r="K794" s="19" t="s">
        <v>72</v>
      </c>
      <c r="L794" s="19" t="s">
        <v>73</v>
      </c>
      <c r="M794" s="19" t="s">
        <v>76</v>
      </c>
      <c r="N794" s="19" t="s">
        <v>78</v>
      </c>
      <c r="O794" s="19" t="s">
        <v>79</v>
      </c>
      <c r="P794" s="19" t="s">
        <v>81</v>
      </c>
    </row>
    <row r="795" spans="1:16" ht="14.25" customHeight="1" x14ac:dyDescent="0.2">
      <c r="A795" s="21"/>
      <c r="B795" s="21"/>
      <c r="C795" s="44" t="s">
        <v>245</v>
      </c>
      <c r="D795" s="21"/>
      <c r="E795" s="21"/>
      <c r="F795" s="70">
        <v>4000</v>
      </c>
      <c r="G795" s="70">
        <v>3800</v>
      </c>
      <c r="H795" s="21">
        <v>380</v>
      </c>
      <c r="I795" s="23" t="str">
        <f t="shared" ref="I795:J795" si="549">I788</f>
        <v>1500</v>
      </c>
      <c r="J795" s="21">
        <f t="shared" si="549"/>
        <v>1000</v>
      </c>
      <c r="K795" s="21">
        <v>585</v>
      </c>
      <c r="L795" s="23" t="str">
        <f>L788</f>
        <v>1500</v>
      </c>
      <c r="M795" s="21"/>
      <c r="N795" s="21"/>
      <c r="O795" s="21">
        <f>O788</f>
        <v>2</v>
      </c>
      <c r="P795" s="21"/>
    </row>
    <row r="796" spans="1:16" ht="14.25" customHeight="1" x14ac:dyDescent="0.15">
      <c r="A796" s="19">
        <v>1</v>
      </c>
      <c r="B796" s="19">
        <v>1.8</v>
      </c>
      <c r="C796" s="19">
        <f>0.75+0.3</f>
        <v>1.05</v>
      </c>
      <c r="D796" s="19">
        <f>B796*C796</f>
        <v>1.8900000000000001</v>
      </c>
      <c r="E796" s="19"/>
      <c r="F796" s="71"/>
      <c r="G796" s="72"/>
      <c r="H796" s="19"/>
      <c r="I796" s="19">
        <v>1</v>
      </c>
      <c r="J796" s="19">
        <f>A796</f>
        <v>1</v>
      </c>
      <c r="K796" s="19">
        <f t="shared" ref="K796:L796" si="550">K789</f>
        <v>0</v>
      </c>
      <c r="L796" s="19">
        <f t="shared" si="550"/>
        <v>1</v>
      </c>
      <c r="M796" s="19"/>
      <c r="N796" s="19"/>
      <c r="O796" s="19"/>
      <c r="P796" s="19"/>
    </row>
    <row r="797" spans="1:16" ht="14.25" customHeight="1" x14ac:dyDescent="0.2">
      <c r="A797" s="19"/>
      <c r="B797" s="19"/>
      <c r="C797" s="19"/>
      <c r="D797" s="26" t="str">
        <f>D748</f>
        <v>3000</v>
      </c>
      <c r="E797" s="19"/>
      <c r="F797" s="73">
        <v>2</v>
      </c>
      <c r="G797" s="74">
        <v>0</v>
      </c>
      <c r="H797" s="19">
        <f>B796*2</f>
        <v>3.6</v>
      </c>
      <c r="I797" s="19"/>
      <c r="J797" s="19"/>
      <c r="K797" s="19"/>
      <c r="L797" s="19"/>
      <c r="M797" s="19"/>
      <c r="N797" s="19"/>
      <c r="O797" s="19"/>
      <c r="P797" s="19"/>
    </row>
    <row r="798" spans="1:16" ht="14.25" customHeight="1" x14ac:dyDescent="0.2">
      <c r="A798" s="19"/>
      <c r="B798" s="19"/>
      <c r="C798" s="19"/>
      <c r="D798" s="19">
        <f>D796*D797</f>
        <v>5670</v>
      </c>
      <c r="E798" s="19"/>
      <c r="F798" s="73">
        <v>8000</v>
      </c>
      <c r="G798" s="74">
        <v>0</v>
      </c>
      <c r="H798" s="19">
        <f>H795*H797</f>
        <v>1368</v>
      </c>
      <c r="I798" s="19">
        <f t="shared" ref="I798:L798" si="551">I795*I796</f>
        <v>1500</v>
      </c>
      <c r="J798" s="19">
        <f t="shared" si="551"/>
        <v>1000</v>
      </c>
      <c r="K798" s="19">
        <f t="shared" si="551"/>
        <v>0</v>
      </c>
      <c r="L798" s="19">
        <f t="shared" si="551"/>
        <v>1500</v>
      </c>
      <c r="M798" s="19">
        <f>SUM(D798:L798)</f>
        <v>19038</v>
      </c>
      <c r="N798" s="19">
        <f>M798/A796</f>
        <v>19038</v>
      </c>
      <c r="O798" s="19">
        <f>N798*O795</f>
        <v>38076</v>
      </c>
      <c r="P798" s="19">
        <f>MROUND(O798,100)</f>
        <v>38100</v>
      </c>
    </row>
    <row r="799" spans="1:16" ht="14.25" customHeight="1" x14ac:dyDescent="0.15">
      <c r="A799" s="111"/>
      <c r="B799" s="87"/>
      <c r="C799" s="87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</row>
    <row r="800" spans="1:16" ht="14.25" customHeight="1" x14ac:dyDescent="0.15">
      <c r="A800" s="109" t="str">
        <f>PRICELIST!I658</f>
        <v>CBSTK-TB-PoLM-1800x750+X</v>
      </c>
      <c r="B800" s="87"/>
      <c r="C800" s="87"/>
      <c r="D800" s="19"/>
      <c r="E800" s="19"/>
      <c r="F800" s="19"/>
      <c r="G800" s="30"/>
      <c r="H800" s="19"/>
      <c r="I800" s="19"/>
      <c r="J800" s="19"/>
      <c r="K800" s="19"/>
      <c r="L800" s="19"/>
      <c r="M800" s="19"/>
      <c r="N800" s="19"/>
      <c r="O800" s="19"/>
      <c r="P800" s="19"/>
    </row>
    <row r="801" spans="1:16" ht="14.25" customHeight="1" x14ac:dyDescent="0.2">
      <c r="A801" s="19" t="s">
        <v>57</v>
      </c>
      <c r="B801" s="19" t="s">
        <v>59</v>
      </c>
      <c r="C801" s="19" t="s">
        <v>62</v>
      </c>
      <c r="D801" s="19" t="s">
        <v>64</v>
      </c>
      <c r="E801" s="19"/>
      <c r="F801" s="45">
        <v>900</v>
      </c>
      <c r="G801" s="69">
        <v>600</v>
      </c>
      <c r="H801" s="19" t="s">
        <v>67</v>
      </c>
      <c r="I801" s="19" t="s">
        <v>244</v>
      </c>
      <c r="J801" s="19" t="s">
        <v>71</v>
      </c>
      <c r="K801" s="19" t="s">
        <v>72</v>
      </c>
      <c r="L801" s="19" t="s">
        <v>73</v>
      </c>
      <c r="M801" s="19" t="s">
        <v>76</v>
      </c>
      <c r="N801" s="19" t="s">
        <v>78</v>
      </c>
      <c r="O801" s="19" t="s">
        <v>79</v>
      </c>
      <c r="P801" s="19" t="s">
        <v>81</v>
      </c>
    </row>
    <row r="802" spans="1:16" ht="14.25" customHeight="1" x14ac:dyDescent="0.2">
      <c r="A802" s="21"/>
      <c r="B802" s="21"/>
      <c r="C802" s="44" t="s">
        <v>245</v>
      </c>
      <c r="D802" s="21"/>
      <c r="E802" s="21"/>
      <c r="F802" s="70">
        <v>4000</v>
      </c>
      <c r="G802" s="70">
        <v>3800</v>
      </c>
      <c r="H802" s="21">
        <v>380</v>
      </c>
      <c r="I802" s="23" t="str">
        <f t="shared" ref="I802:J802" si="552">I795</f>
        <v>1500</v>
      </c>
      <c r="J802" s="21">
        <f t="shared" si="552"/>
        <v>1000</v>
      </c>
      <c r="K802" s="21">
        <v>585</v>
      </c>
      <c r="L802" s="23" t="str">
        <f>L795</f>
        <v>1500</v>
      </c>
      <c r="M802" s="21"/>
      <c r="N802" s="21"/>
      <c r="O802" s="21">
        <f>O795</f>
        <v>2</v>
      </c>
      <c r="P802" s="21"/>
    </row>
    <row r="803" spans="1:16" ht="14.25" customHeight="1" x14ac:dyDescent="0.15">
      <c r="A803" s="19">
        <v>1</v>
      </c>
      <c r="B803" s="19">
        <v>1.8</v>
      </c>
      <c r="C803" s="19">
        <f>0.75+0.3</f>
        <v>1.05</v>
      </c>
      <c r="D803" s="19">
        <f>B803*C803</f>
        <v>1.8900000000000001</v>
      </c>
      <c r="E803" s="19"/>
      <c r="F803" s="71"/>
      <c r="G803" s="72"/>
      <c r="H803" s="19"/>
      <c r="I803" s="19">
        <v>1</v>
      </c>
      <c r="J803" s="19">
        <f>A803</f>
        <v>1</v>
      </c>
      <c r="K803" s="19">
        <f t="shared" ref="K803:L803" si="553">K796</f>
        <v>0</v>
      </c>
      <c r="L803" s="19">
        <f t="shared" si="553"/>
        <v>1</v>
      </c>
      <c r="M803" s="19"/>
      <c r="N803" s="19"/>
      <c r="O803" s="19"/>
      <c r="P803" s="19"/>
    </row>
    <row r="804" spans="1:16" ht="14.25" customHeight="1" x14ac:dyDescent="0.2">
      <c r="A804" s="19"/>
      <c r="B804" s="19"/>
      <c r="C804" s="19"/>
      <c r="D804" s="26" t="str">
        <f>D755</f>
        <v>7500</v>
      </c>
      <c r="E804" s="19"/>
      <c r="F804" s="73">
        <v>2</v>
      </c>
      <c r="G804" s="74">
        <v>0</v>
      </c>
      <c r="H804" s="19">
        <f>B803*2</f>
        <v>3.6</v>
      </c>
      <c r="I804" s="19"/>
      <c r="J804" s="19"/>
      <c r="K804" s="19"/>
      <c r="L804" s="19"/>
      <c r="M804" s="19"/>
      <c r="N804" s="19"/>
      <c r="O804" s="19"/>
      <c r="P804" s="19"/>
    </row>
    <row r="805" spans="1:16" ht="14.25" customHeight="1" x14ac:dyDescent="0.2">
      <c r="A805" s="19"/>
      <c r="B805" s="19"/>
      <c r="C805" s="19"/>
      <c r="D805" s="19">
        <f>D803*D804</f>
        <v>14175.000000000002</v>
      </c>
      <c r="E805" s="19"/>
      <c r="F805" s="73">
        <v>8000</v>
      </c>
      <c r="G805" s="74">
        <v>0</v>
      </c>
      <c r="H805" s="19">
        <f>H802*H804</f>
        <v>1368</v>
      </c>
      <c r="I805" s="19">
        <f t="shared" ref="I805:L805" si="554">I802*I803</f>
        <v>1500</v>
      </c>
      <c r="J805" s="19">
        <f t="shared" si="554"/>
        <v>1000</v>
      </c>
      <c r="K805" s="19">
        <f t="shared" si="554"/>
        <v>0</v>
      </c>
      <c r="L805" s="19">
        <f t="shared" si="554"/>
        <v>1500</v>
      </c>
      <c r="M805" s="19">
        <f>SUM(D805:L805)</f>
        <v>27543</v>
      </c>
      <c r="N805" s="19">
        <f>M805/A803</f>
        <v>27543</v>
      </c>
      <c r="O805" s="19">
        <f>N805*O802</f>
        <v>55086</v>
      </c>
      <c r="P805" s="19">
        <f>MROUND(O805,100)</f>
        <v>55100</v>
      </c>
    </row>
    <row r="806" spans="1:16" ht="14.25" customHeight="1" x14ac:dyDescent="0.15">
      <c r="A806" s="111"/>
      <c r="B806" s="87"/>
      <c r="C806" s="87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</row>
    <row r="807" spans="1:16" ht="14.25" customHeight="1" x14ac:dyDescent="0.15">
      <c r="A807" s="109" t="str">
        <f>PRICELIST!I659</f>
        <v>CBSTK-TB-LVM-1800x750+X</v>
      </c>
      <c r="B807" s="87"/>
      <c r="C807" s="87"/>
      <c r="D807" s="21"/>
      <c r="E807" s="21"/>
      <c r="F807" s="21"/>
      <c r="G807" s="19"/>
      <c r="H807" s="19"/>
      <c r="I807" s="19"/>
      <c r="J807" s="19"/>
      <c r="K807" s="19"/>
      <c r="L807" s="19"/>
      <c r="M807" s="19"/>
      <c r="N807" s="19"/>
      <c r="O807" s="19"/>
      <c r="P807" s="19"/>
    </row>
    <row r="808" spans="1:16" ht="14.25" customHeight="1" x14ac:dyDescent="0.2">
      <c r="A808" s="19" t="s">
        <v>57</v>
      </c>
      <c r="B808" s="19" t="s">
        <v>59</v>
      </c>
      <c r="C808" s="19" t="s">
        <v>62</v>
      </c>
      <c r="D808" s="19" t="s">
        <v>64</v>
      </c>
      <c r="E808" s="19"/>
      <c r="F808" s="45">
        <v>900</v>
      </c>
      <c r="G808" s="69">
        <v>600</v>
      </c>
      <c r="H808" s="19" t="s">
        <v>67</v>
      </c>
      <c r="I808" s="19" t="s">
        <v>244</v>
      </c>
      <c r="J808" s="19" t="s">
        <v>71</v>
      </c>
      <c r="K808" s="19" t="s">
        <v>72</v>
      </c>
      <c r="L808" s="19" t="s">
        <v>73</v>
      </c>
      <c r="M808" s="19" t="s">
        <v>76</v>
      </c>
      <c r="N808" s="19" t="s">
        <v>78</v>
      </c>
      <c r="O808" s="19" t="s">
        <v>79</v>
      </c>
      <c r="P808" s="19" t="s">
        <v>81</v>
      </c>
    </row>
    <row r="809" spans="1:16" ht="14.25" customHeight="1" x14ac:dyDescent="0.2">
      <c r="A809" s="21"/>
      <c r="B809" s="21"/>
      <c r="C809" s="44" t="s">
        <v>245</v>
      </c>
      <c r="D809" s="21"/>
      <c r="E809" s="21"/>
      <c r="F809" s="70">
        <v>4000</v>
      </c>
      <c r="G809" s="70">
        <v>3800</v>
      </c>
      <c r="H809" s="21">
        <v>380</v>
      </c>
      <c r="I809" s="23" t="str">
        <f t="shared" ref="I809:J809" si="555">I802</f>
        <v>1500</v>
      </c>
      <c r="J809" s="21">
        <f t="shared" si="555"/>
        <v>1000</v>
      </c>
      <c r="K809" s="21">
        <v>585</v>
      </c>
      <c r="L809" s="23" t="str">
        <f>L802</f>
        <v>1500</v>
      </c>
      <c r="M809" s="21"/>
      <c r="N809" s="21"/>
      <c r="O809" s="21">
        <f>O802</f>
        <v>2</v>
      </c>
      <c r="P809" s="21"/>
    </row>
    <row r="810" spans="1:16" ht="14.25" customHeight="1" x14ac:dyDescent="0.15">
      <c r="A810" s="19">
        <v>1</v>
      </c>
      <c r="B810" s="19">
        <v>1.8</v>
      </c>
      <c r="C810" s="19">
        <f>0.75+0.3</f>
        <v>1.05</v>
      </c>
      <c r="D810" s="19">
        <f>B810*C810</f>
        <v>1.8900000000000001</v>
      </c>
      <c r="E810" s="19"/>
      <c r="F810" s="71"/>
      <c r="G810" s="72"/>
      <c r="H810" s="19"/>
      <c r="I810" s="19">
        <v>1</v>
      </c>
      <c r="J810" s="19">
        <f>A810</f>
        <v>1</v>
      </c>
      <c r="K810" s="19">
        <f t="shared" ref="K810:L810" si="556">K803</f>
        <v>0</v>
      </c>
      <c r="L810" s="19">
        <f t="shared" si="556"/>
        <v>1</v>
      </c>
      <c r="M810" s="19"/>
      <c r="N810" s="19"/>
      <c r="O810" s="19"/>
      <c r="P810" s="19"/>
    </row>
    <row r="811" spans="1:16" ht="14.25" customHeight="1" x14ac:dyDescent="0.2">
      <c r="A811" s="19"/>
      <c r="B811" s="19"/>
      <c r="C811" s="19"/>
      <c r="D811" s="26" t="str">
        <f>D762</f>
        <v>9500</v>
      </c>
      <c r="E811" s="19"/>
      <c r="F811" s="73">
        <v>2</v>
      </c>
      <c r="G811" s="74">
        <v>0</v>
      </c>
      <c r="H811" s="19">
        <f>B810*2</f>
        <v>3.6</v>
      </c>
      <c r="I811" s="19"/>
      <c r="J811" s="19"/>
      <c r="K811" s="19"/>
      <c r="L811" s="19"/>
      <c r="M811" s="19"/>
      <c r="N811" s="19"/>
      <c r="O811" s="19"/>
      <c r="P811" s="19"/>
    </row>
    <row r="812" spans="1:16" ht="14.25" customHeight="1" x14ac:dyDescent="0.2">
      <c r="A812" s="19"/>
      <c r="B812" s="19"/>
      <c r="C812" s="19"/>
      <c r="D812" s="19">
        <f>D810*D811</f>
        <v>17955</v>
      </c>
      <c r="E812" s="19"/>
      <c r="F812" s="73">
        <v>8000</v>
      </c>
      <c r="G812" s="74">
        <v>0</v>
      </c>
      <c r="H812" s="19">
        <f>H809*H811</f>
        <v>1368</v>
      </c>
      <c r="I812" s="19">
        <f t="shared" ref="I812:L812" si="557">I809*I810</f>
        <v>1500</v>
      </c>
      <c r="J812" s="19">
        <f t="shared" si="557"/>
        <v>1000</v>
      </c>
      <c r="K812" s="19">
        <f t="shared" si="557"/>
        <v>0</v>
      </c>
      <c r="L812" s="19">
        <f t="shared" si="557"/>
        <v>1500</v>
      </c>
      <c r="M812" s="19">
        <f>SUM(D812:L812)</f>
        <v>31323</v>
      </c>
      <c r="N812" s="19">
        <f>M812/A810</f>
        <v>31323</v>
      </c>
      <c r="O812" s="19">
        <f>N812*O809</f>
        <v>62646</v>
      </c>
      <c r="P812" s="19">
        <f>MROUND(O812,100)</f>
        <v>62600</v>
      </c>
    </row>
    <row r="813" spans="1:16" ht="14.25" customHeight="1" x14ac:dyDescent="0.15">
      <c r="A813" s="111"/>
      <c r="B813" s="87"/>
      <c r="C813" s="87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</row>
    <row r="814" spans="1:16" ht="14.25" customHeight="1" x14ac:dyDescent="0.15">
      <c r="A814" s="109" t="str">
        <f>PRICELIST!I660</f>
        <v>CBSTK-TB-LVP-1800x750+X</v>
      </c>
      <c r="B814" s="87"/>
      <c r="C814" s="87"/>
      <c r="D814" s="19"/>
      <c r="E814" s="19"/>
      <c r="F814" s="19"/>
      <c r="G814" s="30"/>
      <c r="H814" s="19"/>
      <c r="I814" s="19"/>
      <c r="J814" s="19"/>
      <c r="K814" s="19"/>
      <c r="L814" s="19"/>
      <c r="M814" s="19"/>
      <c r="N814" s="19"/>
      <c r="O814" s="19"/>
      <c r="P814" s="19"/>
    </row>
    <row r="815" spans="1:16" ht="14.25" customHeight="1" x14ac:dyDescent="0.2">
      <c r="A815" s="19" t="s">
        <v>57</v>
      </c>
      <c r="B815" s="19" t="s">
        <v>59</v>
      </c>
      <c r="C815" s="19" t="s">
        <v>62</v>
      </c>
      <c r="D815" s="19" t="s">
        <v>64</v>
      </c>
      <c r="E815" s="19"/>
      <c r="F815" s="45">
        <v>900</v>
      </c>
      <c r="G815" s="69">
        <v>600</v>
      </c>
      <c r="H815" s="19" t="s">
        <v>67</v>
      </c>
      <c r="I815" s="19" t="s">
        <v>244</v>
      </c>
      <c r="J815" s="19" t="s">
        <v>71</v>
      </c>
      <c r="K815" s="19" t="s">
        <v>72</v>
      </c>
      <c r="L815" s="19" t="s">
        <v>73</v>
      </c>
      <c r="M815" s="19" t="s">
        <v>76</v>
      </c>
      <c r="N815" s="19" t="s">
        <v>78</v>
      </c>
      <c r="O815" s="19" t="s">
        <v>79</v>
      </c>
      <c r="P815" s="19" t="s">
        <v>81</v>
      </c>
    </row>
    <row r="816" spans="1:16" ht="14.25" customHeight="1" x14ac:dyDescent="0.2">
      <c r="A816" s="21"/>
      <c r="B816" s="21"/>
      <c r="C816" s="44" t="s">
        <v>245</v>
      </c>
      <c r="D816" s="21"/>
      <c r="E816" s="21"/>
      <c r="F816" s="70">
        <v>4000</v>
      </c>
      <c r="G816" s="70">
        <v>3800</v>
      </c>
      <c r="H816" s="21">
        <v>380</v>
      </c>
      <c r="I816" s="23" t="str">
        <f t="shared" ref="I816:J816" si="558">I809</f>
        <v>1500</v>
      </c>
      <c r="J816" s="21">
        <f t="shared" si="558"/>
        <v>1000</v>
      </c>
      <c r="K816" s="21">
        <v>585</v>
      </c>
      <c r="L816" s="23" t="str">
        <f>L809</f>
        <v>1500</v>
      </c>
      <c r="M816" s="21"/>
      <c r="N816" s="21"/>
      <c r="O816" s="21">
        <f>O809</f>
        <v>2</v>
      </c>
      <c r="P816" s="21"/>
    </row>
    <row r="817" spans="1:16" ht="14.25" customHeight="1" x14ac:dyDescent="0.15">
      <c r="A817" s="19">
        <v>1</v>
      </c>
      <c r="B817" s="19">
        <v>1.8</v>
      </c>
      <c r="C817" s="19">
        <f>0.75+0.3</f>
        <v>1.05</v>
      </c>
      <c r="D817" s="19">
        <f>B817*C817</f>
        <v>1.8900000000000001</v>
      </c>
      <c r="E817" s="19"/>
      <c r="F817" s="71"/>
      <c r="G817" s="72"/>
      <c r="H817" s="19"/>
      <c r="I817" s="19">
        <v>1</v>
      </c>
      <c r="J817" s="19">
        <f>A817</f>
        <v>1</v>
      </c>
      <c r="K817" s="19">
        <f t="shared" ref="K817:L817" si="559">K810</f>
        <v>0</v>
      </c>
      <c r="L817" s="19">
        <f t="shared" si="559"/>
        <v>1</v>
      </c>
      <c r="M817" s="19"/>
      <c r="N817" s="19"/>
      <c r="O817" s="19"/>
      <c r="P817" s="19"/>
    </row>
    <row r="818" spans="1:16" ht="14.25" customHeight="1" x14ac:dyDescent="0.2">
      <c r="A818" s="19"/>
      <c r="B818" s="19"/>
      <c r="C818" s="19"/>
      <c r="D818" s="26" t="str">
        <f>D769</f>
        <v>10500</v>
      </c>
      <c r="E818" s="19"/>
      <c r="F818" s="73">
        <v>2</v>
      </c>
      <c r="G818" s="74">
        <v>0</v>
      </c>
      <c r="H818" s="19">
        <f>B817*2</f>
        <v>3.6</v>
      </c>
      <c r="I818" s="19"/>
      <c r="J818" s="19"/>
      <c r="K818" s="19"/>
      <c r="L818" s="19"/>
      <c r="M818" s="19"/>
      <c r="N818" s="19"/>
      <c r="O818" s="19"/>
      <c r="P818" s="19"/>
    </row>
    <row r="819" spans="1:16" ht="14.25" customHeight="1" x14ac:dyDescent="0.2">
      <c r="A819" s="19"/>
      <c r="B819" s="19"/>
      <c r="C819" s="19"/>
      <c r="D819" s="19">
        <f>D817*D818</f>
        <v>19845</v>
      </c>
      <c r="E819" s="19"/>
      <c r="F819" s="73">
        <v>8000</v>
      </c>
      <c r="G819" s="74">
        <v>0</v>
      </c>
      <c r="H819" s="19">
        <f>H816*H818</f>
        <v>1368</v>
      </c>
      <c r="I819" s="19">
        <f t="shared" ref="I819:L819" si="560">I816*I817</f>
        <v>1500</v>
      </c>
      <c r="J819" s="19">
        <f t="shared" si="560"/>
        <v>1000</v>
      </c>
      <c r="K819" s="19">
        <f t="shared" si="560"/>
        <v>0</v>
      </c>
      <c r="L819" s="19">
        <f t="shared" si="560"/>
        <v>1500</v>
      </c>
      <c r="M819" s="19">
        <f>SUM(D819:L819)</f>
        <v>33213</v>
      </c>
      <c r="N819" s="19">
        <f>M819/A817</f>
        <v>33213</v>
      </c>
      <c r="O819" s="19">
        <f>N819*O816</f>
        <v>66426</v>
      </c>
      <c r="P819" s="19">
        <f>MROUND(O819,100)</f>
        <v>66400</v>
      </c>
    </row>
    <row r="820" spans="1:16" ht="14.25" customHeight="1" x14ac:dyDescent="0.15">
      <c r="A820" s="111"/>
      <c r="B820" s="87"/>
      <c r="C820" s="87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</row>
    <row r="821" spans="1:16" ht="14.25" customHeight="1" x14ac:dyDescent="0.15">
      <c r="A821" s="109" t="str">
        <f>PRICELIST!I661</f>
        <v>CBSTK-TB-VNR-1800x750+X</v>
      </c>
      <c r="B821" s="87"/>
      <c r="C821" s="87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</row>
    <row r="822" spans="1:16" ht="14.25" customHeight="1" x14ac:dyDescent="0.2">
      <c r="A822" s="19" t="s">
        <v>57</v>
      </c>
      <c r="B822" s="19" t="s">
        <v>59</v>
      </c>
      <c r="C822" s="19" t="s">
        <v>62</v>
      </c>
      <c r="D822" s="19" t="s">
        <v>64</v>
      </c>
      <c r="E822" s="19"/>
      <c r="F822" s="45">
        <v>900</v>
      </c>
      <c r="G822" s="69">
        <v>600</v>
      </c>
      <c r="H822" s="19" t="s">
        <v>67</v>
      </c>
      <c r="I822" s="19" t="s">
        <v>244</v>
      </c>
      <c r="J822" s="19" t="s">
        <v>71</v>
      </c>
      <c r="K822" s="19" t="s">
        <v>72</v>
      </c>
      <c r="L822" s="19" t="s">
        <v>73</v>
      </c>
      <c r="M822" s="19" t="s">
        <v>76</v>
      </c>
      <c r="N822" s="19" t="s">
        <v>78</v>
      </c>
      <c r="O822" s="19" t="s">
        <v>79</v>
      </c>
      <c r="P822" s="19" t="s">
        <v>81</v>
      </c>
    </row>
    <row r="823" spans="1:16" ht="14.25" customHeight="1" x14ac:dyDescent="0.2">
      <c r="A823" s="21"/>
      <c r="B823" s="21"/>
      <c r="C823" s="44" t="s">
        <v>245</v>
      </c>
      <c r="D823" s="21"/>
      <c r="E823" s="21"/>
      <c r="F823" s="70">
        <v>4000</v>
      </c>
      <c r="G823" s="70">
        <v>3800</v>
      </c>
      <c r="H823" s="21">
        <v>380</v>
      </c>
      <c r="I823" s="23" t="str">
        <f t="shared" ref="I823:J823" si="561">I816</f>
        <v>1500</v>
      </c>
      <c r="J823" s="21">
        <f t="shared" si="561"/>
        <v>1000</v>
      </c>
      <c r="K823" s="21">
        <v>585</v>
      </c>
      <c r="L823" s="23" t="str">
        <f>L816</f>
        <v>1500</v>
      </c>
      <c r="M823" s="21"/>
      <c r="N823" s="21"/>
      <c r="O823" s="21">
        <f>O816</f>
        <v>2</v>
      </c>
      <c r="P823" s="21"/>
    </row>
    <row r="824" spans="1:16" ht="14.25" customHeight="1" x14ac:dyDescent="0.15">
      <c r="A824" s="19">
        <v>1</v>
      </c>
      <c r="B824" s="19">
        <v>1.8</v>
      </c>
      <c r="C824" s="19">
        <f>0.75+0.3</f>
        <v>1.05</v>
      </c>
      <c r="D824" s="19">
        <f>B824*C824</f>
        <v>1.8900000000000001</v>
      </c>
      <c r="E824" s="19"/>
      <c r="F824" s="71"/>
      <c r="G824" s="72"/>
      <c r="H824" s="19"/>
      <c r="I824" s="19">
        <v>1</v>
      </c>
      <c r="J824" s="19">
        <f>A824</f>
        <v>1</v>
      </c>
      <c r="K824" s="19">
        <f t="shared" ref="K824:L824" si="562">K817</f>
        <v>0</v>
      </c>
      <c r="L824" s="19">
        <f t="shared" si="562"/>
        <v>1</v>
      </c>
      <c r="M824" s="19"/>
      <c r="N824" s="19"/>
      <c r="O824" s="19"/>
      <c r="P824" s="19"/>
    </row>
    <row r="825" spans="1:16" ht="14.25" customHeight="1" x14ac:dyDescent="0.2">
      <c r="A825" s="19"/>
      <c r="B825" s="19"/>
      <c r="C825" s="19"/>
      <c r="D825" s="26" t="str">
        <f>D776</f>
        <v>30000</v>
      </c>
      <c r="E825" s="19"/>
      <c r="F825" s="73">
        <v>2</v>
      </c>
      <c r="G825" s="74">
        <v>0</v>
      </c>
      <c r="H825" s="19">
        <f>B824*2</f>
        <v>3.6</v>
      </c>
      <c r="I825" s="19"/>
      <c r="J825" s="19"/>
      <c r="K825" s="19"/>
      <c r="L825" s="19"/>
      <c r="M825" s="19"/>
      <c r="N825" s="19"/>
      <c r="O825" s="19"/>
      <c r="P825" s="19"/>
    </row>
    <row r="826" spans="1:16" ht="14.25" customHeight="1" x14ac:dyDescent="0.2">
      <c r="A826" s="19"/>
      <c r="B826" s="19"/>
      <c r="C826" s="19"/>
      <c r="D826" s="19">
        <f>D824*D825</f>
        <v>56700.000000000007</v>
      </c>
      <c r="E826" s="19"/>
      <c r="F826" s="73">
        <v>8000</v>
      </c>
      <c r="G826" s="74">
        <v>0</v>
      </c>
      <c r="H826" s="19">
        <f>H823*H825</f>
        <v>1368</v>
      </c>
      <c r="I826" s="19">
        <f t="shared" ref="I826:L826" si="563">I823*I824</f>
        <v>1500</v>
      </c>
      <c r="J826" s="19">
        <f t="shared" si="563"/>
        <v>1000</v>
      </c>
      <c r="K826" s="19">
        <f t="shared" si="563"/>
        <v>0</v>
      </c>
      <c r="L826" s="19">
        <f t="shared" si="563"/>
        <v>1500</v>
      </c>
      <c r="M826" s="19">
        <f>SUM(D826:L826)</f>
        <v>70068</v>
      </c>
      <c r="N826" s="19">
        <f>M826/A824</f>
        <v>70068</v>
      </c>
      <c r="O826" s="19">
        <f>N826*O823</f>
        <v>140136</v>
      </c>
      <c r="P826" s="19">
        <f>MROUND(O826,100)</f>
        <v>140100</v>
      </c>
    </row>
    <row r="827" spans="1:16" ht="14.25" customHeight="1" x14ac:dyDescent="0.15">
      <c r="A827" s="111"/>
      <c r="B827" s="87"/>
      <c r="C827" s="87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</row>
    <row r="828" spans="1:16" ht="14.25" customHeight="1" x14ac:dyDescent="0.15">
      <c r="A828" s="109" t="str">
        <f>PRICELIST!I662</f>
        <v>CBSTK-TB-GL-1800x750+X</v>
      </c>
      <c r="B828" s="87"/>
      <c r="C828" s="87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</row>
    <row r="829" spans="1:16" ht="14.25" customHeight="1" x14ac:dyDescent="0.2">
      <c r="A829" s="19" t="s">
        <v>57</v>
      </c>
      <c r="B829" s="19" t="s">
        <v>59</v>
      </c>
      <c r="C829" s="19" t="s">
        <v>62</v>
      </c>
      <c r="D829" s="19" t="s">
        <v>64</v>
      </c>
      <c r="E829" s="19"/>
      <c r="F829" s="45">
        <v>900</v>
      </c>
      <c r="G829" s="69">
        <v>600</v>
      </c>
      <c r="H829" s="19" t="s">
        <v>67</v>
      </c>
      <c r="I829" s="19" t="s">
        <v>244</v>
      </c>
      <c r="J829" s="19" t="s">
        <v>71</v>
      </c>
      <c r="K829" s="19" t="s">
        <v>72</v>
      </c>
      <c r="L829" s="19" t="s">
        <v>73</v>
      </c>
      <c r="M829" s="19" t="s">
        <v>76</v>
      </c>
      <c r="N829" s="19" t="s">
        <v>78</v>
      </c>
      <c r="O829" s="19" t="s">
        <v>79</v>
      </c>
      <c r="P829" s="19" t="s">
        <v>81</v>
      </c>
    </row>
    <row r="830" spans="1:16" ht="14.25" customHeight="1" x14ac:dyDescent="0.2">
      <c r="A830" s="21"/>
      <c r="B830" s="21"/>
      <c r="C830" s="44" t="s">
        <v>245</v>
      </c>
      <c r="D830" s="21"/>
      <c r="E830" s="21"/>
      <c r="F830" s="70">
        <v>4000</v>
      </c>
      <c r="G830" s="70">
        <v>3800</v>
      </c>
      <c r="H830" s="21">
        <v>380</v>
      </c>
      <c r="I830" s="23" t="str">
        <f t="shared" ref="I830:J830" si="564">I823</f>
        <v>1500</v>
      </c>
      <c r="J830" s="21">
        <f t="shared" si="564"/>
        <v>1000</v>
      </c>
      <c r="K830" s="21">
        <v>585</v>
      </c>
      <c r="L830" s="23" t="str">
        <f>L823</f>
        <v>1500</v>
      </c>
      <c r="M830" s="21"/>
      <c r="N830" s="21"/>
      <c r="O830" s="21">
        <f>O823</f>
        <v>2</v>
      </c>
      <c r="P830" s="21"/>
    </row>
    <row r="831" spans="1:16" ht="14.25" customHeight="1" x14ac:dyDescent="0.15">
      <c r="A831" s="19">
        <v>1</v>
      </c>
      <c r="B831" s="19">
        <v>1.8</v>
      </c>
      <c r="C831" s="19">
        <f>0.75+0.3</f>
        <v>1.05</v>
      </c>
      <c r="D831" s="19">
        <f>B831*C831</f>
        <v>1.8900000000000001</v>
      </c>
      <c r="E831" s="19"/>
      <c r="F831" s="71"/>
      <c r="G831" s="72"/>
      <c r="H831" s="19"/>
      <c r="I831" s="19">
        <v>1</v>
      </c>
      <c r="J831" s="19">
        <f>A831</f>
        <v>1</v>
      </c>
      <c r="K831" s="19">
        <f t="shared" ref="K831:L831" si="565">K824</f>
        <v>0</v>
      </c>
      <c r="L831" s="19">
        <f t="shared" si="565"/>
        <v>1</v>
      </c>
      <c r="M831" s="19"/>
      <c r="N831" s="19"/>
      <c r="O831" s="19"/>
      <c r="P831" s="19"/>
    </row>
    <row r="832" spans="1:16" ht="14.25" customHeight="1" x14ac:dyDescent="0.2">
      <c r="A832" s="19"/>
      <c r="B832" s="19"/>
      <c r="C832" s="19"/>
      <c r="D832" s="26" t="str">
        <f>D783</f>
        <v>7500</v>
      </c>
      <c r="E832" s="19"/>
      <c r="F832" s="73">
        <v>2</v>
      </c>
      <c r="G832" s="74">
        <v>0</v>
      </c>
      <c r="H832" s="19">
        <f>B831*2</f>
        <v>3.6</v>
      </c>
      <c r="I832" s="19"/>
      <c r="J832" s="19"/>
      <c r="K832" s="19"/>
      <c r="L832" s="19"/>
      <c r="M832" s="19"/>
      <c r="N832" s="19"/>
      <c r="O832" s="19"/>
      <c r="P832" s="19"/>
    </row>
    <row r="833" spans="1:16" ht="14.25" customHeight="1" x14ac:dyDescent="0.2">
      <c r="A833" s="19"/>
      <c r="B833" s="19"/>
      <c r="C833" s="19"/>
      <c r="D833" s="19">
        <f>D831*D832</f>
        <v>14175.000000000002</v>
      </c>
      <c r="E833" s="19"/>
      <c r="F833" s="73">
        <v>8000</v>
      </c>
      <c r="G833" s="74">
        <v>0</v>
      </c>
      <c r="H833" s="19">
        <f>H830*H832</f>
        <v>1368</v>
      </c>
      <c r="I833" s="19">
        <f t="shared" ref="I833:L833" si="566">I830*I831</f>
        <v>1500</v>
      </c>
      <c r="J833" s="19">
        <f t="shared" si="566"/>
        <v>1000</v>
      </c>
      <c r="K833" s="19">
        <f t="shared" si="566"/>
        <v>0</v>
      </c>
      <c r="L833" s="19">
        <f t="shared" si="566"/>
        <v>1500</v>
      </c>
      <c r="M833" s="19">
        <f>SUM(D833:L833)</f>
        <v>27543</v>
      </c>
      <c r="N833" s="19">
        <f>M833/A831</f>
        <v>27543</v>
      </c>
      <c r="O833" s="19">
        <f>N833*O830</f>
        <v>55086</v>
      </c>
      <c r="P833" s="19">
        <f>MROUND(O833,100)</f>
        <v>55100</v>
      </c>
    </row>
    <row r="834" spans="1:16" ht="14.25" customHeight="1" x14ac:dyDescent="0.15">
      <c r="A834" s="111"/>
      <c r="B834" s="87"/>
      <c r="C834" s="87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</row>
    <row r="835" spans="1:16" ht="14.25" customHeight="1" x14ac:dyDescent="0.15">
      <c r="A835" s="109" t="str">
        <f>PRICELIST!I663</f>
        <v>CBSTK-TB-PB-2100x900+X</v>
      </c>
      <c r="B835" s="87"/>
      <c r="C835" s="87"/>
      <c r="D835" s="30"/>
      <c r="E835" s="30"/>
      <c r="F835" s="30"/>
      <c r="G835" s="30"/>
      <c r="H835" s="19"/>
      <c r="I835" s="19"/>
      <c r="J835" s="19"/>
      <c r="K835" s="19"/>
      <c r="L835" s="19"/>
      <c r="M835" s="19"/>
      <c r="N835" s="19"/>
      <c r="O835" s="19"/>
      <c r="P835" s="19"/>
    </row>
    <row r="836" spans="1:16" ht="14.25" customHeight="1" x14ac:dyDescent="0.2">
      <c r="A836" s="19" t="s">
        <v>57</v>
      </c>
      <c r="B836" s="19" t="s">
        <v>59</v>
      </c>
      <c r="C836" s="19" t="s">
        <v>62</v>
      </c>
      <c r="D836" s="19" t="s">
        <v>64</v>
      </c>
      <c r="E836" s="19"/>
      <c r="F836" s="45">
        <v>900</v>
      </c>
      <c r="G836" s="69">
        <v>600</v>
      </c>
      <c r="H836" s="19" t="s">
        <v>67</v>
      </c>
      <c r="I836" s="19" t="s">
        <v>244</v>
      </c>
      <c r="J836" s="19" t="s">
        <v>71</v>
      </c>
      <c r="K836" s="19" t="s">
        <v>72</v>
      </c>
      <c r="L836" s="19" t="s">
        <v>73</v>
      </c>
      <c r="M836" s="19" t="s">
        <v>76</v>
      </c>
      <c r="N836" s="19" t="s">
        <v>78</v>
      </c>
      <c r="O836" s="19" t="s">
        <v>79</v>
      </c>
      <c r="P836" s="19" t="s">
        <v>81</v>
      </c>
    </row>
    <row r="837" spans="1:16" ht="14.25" customHeight="1" x14ac:dyDescent="0.2">
      <c r="A837" s="21"/>
      <c r="B837" s="21"/>
      <c r="C837" s="44" t="s">
        <v>245</v>
      </c>
      <c r="D837" s="21"/>
      <c r="E837" s="21"/>
      <c r="F837" s="70">
        <v>4000</v>
      </c>
      <c r="G837" s="70">
        <v>3800</v>
      </c>
      <c r="H837" s="21">
        <v>380</v>
      </c>
      <c r="I837" s="23" t="str">
        <f t="shared" ref="I837:J837" si="567">I830</f>
        <v>1500</v>
      </c>
      <c r="J837" s="21">
        <f t="shared" si="567"/>
        <v>1000</v>
      </c>
      <c r="K837" s="21">
        <v>585</v>
      </c>
      <c r="L837" s="23" t="str">
        <f>L830</f>
        <v>1500</v>
      </c>
      <c r="M837" s="21"/>
      <c r="N837" s="21"/>
      <c r="O837" s="21">
        <f>O830</f>
        <v>2</v>
      </c>
      <c r="P837" s="21"/>
    </row>
    <row r="838" spans="1:16" ht="14.25" customHeight="1" x14ac:dyDescent="0.15">
      <c r="A838" s="19">
        <v>1</v>
      </c>
      <c r="B838" s="19">
        <v>2.1</v>
      </c>
      <c r="C838" s="19">
        <v>1.2</v>
      </c>
      <c r="D838" s="19">
        <f>B838*C838</f>
        <v>2.52</v>
      </c>
      <c r="E838" s="19"/>
      <c r="F838" s="71"/>
      <c r="G838" s="72"/>
      <c r="H838" s="19"/>
      <c r="I838" s="19">
        <v>1</v>
      </c>
      <c r="J838" s="19">
        <f>A838</f>
        <v>1</v>
      </c>
      <c r="K838" s="19">
        <f t="shared" ref="K838:L838" si="568">K831</f>
        <v>0</v>
      </c>
      <c r="L838" s="19">
        <f t="shared" si="568"/>
        <v>1</v>
      </c>
      <c r="M838" s="19"/>
      <c r="N838" s="19"/>
      <c r="O838" s="19"/>
      <c r="P838" s="19"/>
    </row>
    <row r="839" spans="1:16" ht="14.25" customHeight="1" x14ac:dyDescent="0.2">
      <c r="A839" s="19"/>
      <c r="B839" s="19"/>
      <c r="C839" s="19"/>
      <c r="D839" s="26" t="str">
        <f>D790</f>
        <v>2200</v>
      </c>
      <c r="E839" s="19"/>
      <c r="F839" s="73">
        <v>2</v>
      </c>
      <c r="G839" s="74">
        <v>0</v>
      </c>
      <c r="H839" s="19">
        <f>B838*2</f>
        <v>4.2</v>
      </c>
      <c r="I839" s="19"/>
      <c r="J839" s="19"/>
      <c r="K839" s="19"/>
      <c r="L839" s="19"/>
      <c r="M839" s="19"/>
      <c r="N839" s="19"/>
      <c r="O839" s="19"/>
      <c r="P839" s="19"/>
    </row>
    <row r="840" spans="1:16" ht="14.25" customHeight="1" x14ac:dyDescent="0.2">
      <c r="A840" s="19"/>
      <c r="B840" s="19"/>
      <c r="C840" s="19"/>
      <c r="D840" s="19">
        <f>D838*D839</f>
        <v>5544</v>
      </c>
      <c r="E840" s="19"/>
      <c r="F840" s="73">
        <v>8000</v>
      </c>
      <c r="G840" s="74">
        <v>0</v>
      </c>
      <c r="H840" s="19">
        <f>H837*H839</f>
        <v>1596</v>
      </c>
      <c r="I840" s="19">
        <f t="shared" ref="I840:L840" si="569">I837*I838</f>
        <v>1500</v>
      </c>
      <c r="J840" s="19">
        <f t="shared" si="569"/>
        <v>1000</v>
      </c>
      <c r="K840" s="19">
        <f t="shared" si="569"/>
        <v>0</v>
      </c>
      <c r="L840" s="19">
        <f t="shared" si="569"/>
        <v>1500</v>
      </c>
      <c r="M840" s="19">
        <f>SUM(D840:L840)</f>
        <v>19140</v>
      </c>
      <c r="N840" s="19">
        <f>M840/A838</f>
        <v>19140</v>
      </c>
      <c r="O840" s="19">
        <f>N840*O837</f>
        <v>38280</v>
      </c>
      <c r="P840" s="19">
        <f>MROUND(O840,100)</f>
        <v>38300</v>
      </c>
    </row>
    <row r="841" spans="1:16" ht="14.25" customHeight="1" x14ac:dyDescent="0.15">
      <c r="A841" s="111"/>
      <c r="B841" s="87"/>
      <c r="C841" s="87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</row>
    <row r="842" spans="1:16" ht="14.25" customHeight="1" x14ac:dyDescent="0.15">
      <c r="A842" s="109" t="str">
        <f>PRICELIST!I664</f>
        <v>CBSTK-TB-PLM-2100x900+X</v>
      </c>
      <c r="B842" s="87"/>
      <c r="C842" s="87"/>
      <c r="D842" s="30"/>
      <c r="E842" s="30"/>
      <c r="F842" s="30"/>
      <c r="G842" s="19"/>
      <c r="H842" s="21"/>
      <c r="I842" s="21"/>
      <c r="J842" s="21"/>
      <c r="K842" s="21"/>
      <c r="L842" s="21"/>
      <c r="M842" s="21"/>
      <c r="N842" s="21"/>
      <c r="O842" s="21"/>
      <c r="P842" s="21"/>
    </row>
    <row r="843" spans="1:16" ht="14.25" customHeight="1" x14ac:dyDescent="0.2">
      <c r="A843" s="19" t="s">
        <v>57</v>
      </c>
      <c r="B843" s="19" t="s">
        <v>59</v>
      </c>
      <c r="C843" s="19" t="s">
        <v>62</v>
      </c>
      <c r="D843" s="19" t="s">
        <v>64</v>
      </c>
      <c r="E843" s="19"/>
      <c r="F843" s="45">
        <v>900</v>
      </c>
      <c r="G843" s="69">
        <v>600</v>
      </c>
      <c r="H843" s="19" t="s">
        <v>67</v>
      </c>
      <c r="I843" s="19" t="s">
        <v>244</v>
      </c>
      <c r="J843" s="19" t="s">
        <v>71</v>
      </c>
      <c r="K843" s="19" t="s">
        <v>72</v>
      </c>
      <c r="L843" s="19" t="s">
        <v>73</v>
      </c>
      <c r="M843" s="19" t="s">
        <v>76</v>
      </c>
      <c r="N843" s="19" t="s">
        <v>78</v>
      </c>
      <c r="O843" s="19" t="s">
        <v>79</v>
      </c>
      <c r="P843" s="19" t="s">
        <v>81</v>
      </c>
    </row>
    <row r="844" spans="1:16" ht="14.25" customHeight="1" x14ac:dyDescent="0.2">
      <c r="A844" s="21"/>
      <c r="B844" s="21"/>
      <c r="C844" s="44" t="s">
        <v>245</v>
      </c>
      <c r="D844" s="21"/>
      <c r="E844" s="21"/>
      <c r="F844" s="70">
        <v>4000</v>
      </c>
      <c r="G844" s="70">
        <v>3800</v>
      </c>
      <c r="H844" s="21">
        <v>380</v>
      </c>
      <c r="I844" s="23" t="str">
        <f t="shared" ref="I844:J844" si="570">I837</f>
        <v>1500</v>
      </c>
      <c r="J844" s="21">
        <f t="shared" si="570"/>
        <v>1000</v>
      </c>
      <c r="K844" s="21">
        <v>585</v>
      </c>
      <c r="L844" s="23" t="str">
        <f>L837</f>
        <v>1500</v>
      </c>
      <c r="M844" s="21"/>
      <c r="N844" s="21"/>
      <c r="O844" s="21">
        <f>O837</f>
        <v>2</v>
      </c>
      <c r="P844" s="21"/>
    </row>
    <row r="845" spans="1:16" ht="14.25" customHeight="1" x14ac:dyDescent="0.15">
      <c r="A845" s="19">
        <v>1</v>
      </c>
      <c r="B845" s="19">
        <v>2.1</v>
      </c>
      <c r="C845" s="19">
        <v>1.2</v>
      </c>
      <c r="D845" s="19">
        <f>B845*C845</f>
        <v>2.52</v>
      </c>
      <c r="E845" s="19"/>
      <c r="F845" s="71"/>
      <c r="G845" s="72"/>
      <c r="H845" s="19"/>
      <c r="I845" s="19">
        <v>1</v>
      </c>
      <c r="J845" s="19">
        <f>A845</f>
        <v>1</v>
      </c>
      <c r="K845" s="19">
        <f t="shared" ref="K845:L845" si="571">K838</f>
        <v>0</v>
      </c>
      <c r="L845" s="19">
        <f t="shared" si="571"/>
        <v>1</v>
      </c>
      <c r="M845" s="19"/>
      <c r="N845" s="19"/>
      <c r="O845" s="19"/>
      <c r="P845" s="19"/>
    </row>
    <row r="846" spans="1:16" ht="14.25" customHeight="1" x14ac:dyDescent="0.2">
      <c r="A846" s="19"/>
      <c r="B846" s="19"/>
      <c r="C846" s="19"/>
      <c r="D846" s="26" t="str">
        <f>D797</f>
        <v>3000</v>
      </c>
      <c r="E846" s="19"/>
      <c r="F846" s="73">
        <v>2</v>
      </c>
      <c r="G846" s="74">
        <v>0</v>
      </c>
      <c r="H846" s="19">
        <f>B845*2</f>
        <v>4.2</v>
      </c>
      <c r="I846" s="19"/>
      <c r="J846" s="19"/>
      <c r="K846" s="19"/>
      <c r="L846" s="19"/>
      <c r="M846" s="19"/>
      <c r="N846" s="19"/>
      <c r="O846" s="19"/>
      <c r="P846" s="19"/>
    </row>
    <row r="847" spans="1:16" ht="14.25" customHeight="1" x14ac:dyDescent="0.2">
      <c r="A847" s="19"/>
      <c r="B847" s="19"/>
      <c r="C847" s="19"/>
      <c r="D847" s="19">
        <f>D845*D846</f>
        <v>7560</v>
      </c>
      <c r="E847" s="19"/>
      <c r="F847" s="73">
        <v>8000</v>
      </c>
      <c r="G847" s="74">
        <v>0</v>
      </c>
      <c r="H847" s="19">
        <f>H844*H846</f>
        <v>1596</v>
      </c>
      <c r="I847" s="19">
        <f t="shared" ref="I847:L847" si="572">I844*I845</f>
        <v>1500</v>
      </c>
      <c r="J847" s="19">
        <f t="shared" si="572"/>
        <v>1000</v>
      </c>
      <c r="K847" s="19">
        <f t="shared" si="572"/>
        <v>0</v>
      </c>
      <c r="L847" s="19">
        <f t="shared" si="572"/>
        <v>1500</v>
      </c>
      <c r="M847" s="19">
        <f>SUM(D847:L847)</f>
        <v>21156</v>
      </c>
      <c r="N847" s="19">
        <f>M847/A845</f>
        <v>21156</v>
      </c>
      <c r="O847" s="19">
        <f>N847*O844</f>
        <v>42312</v>
      </c>
      <c r="P847" s="19">
        <f>MROUND(O847,100)</f>
        <v>42300</v>
      </c>
    </row>
    <row r="848" spans="1:16" ht="14.25" customHeight="1" x14ac:dyDescent="0.15">
      <c r="A848" s="111"/>
      <c r="B848" s="87"/>
      <c r="C848" s="87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</row>
    <row r="849" spans="1:16" ht="14.25" customHeight="1" x14ac:dyDescent="0.15">
      <c r="A849" s="109" t="str">
        <f>PRICELIST!I665</f>
        <v>CBSTK-TB-PoLM-2100x900+X</v>
      </c>
      <c r="B849" s="87"/>
      <c r="C849" s="87"/>
      <c r="D849" s="19"/>
      <c r="E849" s="19"/>
      <c r="F849" s="19"/>
      <c r="G849" s="30"/>
      <c r="H849" s="19"/>
      <c r="I849" s="19"/>
      <c r="J849" s="19"/>
      <c r="K849" s="19"/>
      <c r="L849" s="19"/>
      <c r="M849" s="19"/>
      <c r="N849" s="19"/>
      <c r="O849" s="19"/>
      <c r="P849" s="19"/>
    </row>
    <row r="850" spans="1:16" ht="14.25" customHeight="1" x14ac:dyDescent="0.2">
      <c r="A850" s="19" t="s">
        <v>57</v>
      </c>
      <c r="B850" s="19" t="s">
        <v>59</v>
      </c>
      <c r="C850" s="19" t="s">
        <v>62</v>
      </c>
      <c r="D850" s="19" t="s">
        <v>64</v>
      </c>
      <c r="E850" s="19"/>
      <c r="F850" s="45">
        <v>900</v>
      </c>
      <c r="G850" s="69">
        <v>600</v>
      </c>
      <c r="H850" s="19" t="s">
        <v>67</v>
      </c>
      <c r="I850" s="19" t="s">
        <v>244</v>
      </c>
      <c r="J850" s="19" t="s">
        <v>71</v>
      </c>
      <c r="K850" s="19" t="s">
        <v>72</v>
      </c>
      <c r="L850" s="19" t="s">
        <v>73</v>
      </c>
      <c r="M850" s="19" t="s">
        <v>76</v>
      </c>
      <c r="N850" s="19" t="s">
        <v>78</v>
      </c>
      <c r="O850" s="19" t="s">
        <v>79</v>
      </c>
      <c r="P850" s="19" t="s">
        <v>81</v>
      </c>
    </row>
    <row r="851" spans="1:16" ht="14.25" customHeight="1" x14ac:dyDescent="0.2">
      <c r="A851" s="21"/>
      <c r="B851" s="21"/>
      <c r="C851" s="44" t="s">
        <v>245</v>
      </c>
      <c r="D851" s="21"/>
      <c r="E851" s="21"/>
      <c r="F851" s="70">
        <v>4000</v>
      </c>
      <c r="G851" s="70">
        <v>3800</v>
      </c>
      <c r="H851" s="21">
        <v>380</v>
      </c>
      <c r="I851" s="23" t="str">
        <f t="shared" ref="I851:J851" si="573">I844</f>
        <v>1500</v>
      </c>
      <c r="J851" s="21">
        <f t="shared" si="573"/>
        <v>1000</v>
      </c>
      <c r="K851" s="21">
        <v>585</v>
      </c>
      <c r="L851" s="23" t="str">
        <f>L844</f>
        <v>1500</v>
      </c>
      <c r="M851" s="21"/>
      <c r="N851" s="21"/>
      <c r="O851" s="21">
        <f>O844</f>
        <v>2</v>
      </c>
      <c r="P851" s="21"/>
    </row>
    <row r="852" spans="1:16" ht="14.25" customHeight="1" x14ac:dyDescent="0.15">
      <c r="A852" s="19">
        <v>1</v>
      </c>
      <c r="B852" s="19">
        <v>2.1</v>
      </c>
      <c r="C852" s="19">
        <v>1.2</v>
      </c>
      <c r="D852" s="19">
        <f>B852*C852</f>
        <v>2.52</v>
      </c>
      <c r="E852" s="19"/>
      <c r="F852" s="71"/>
      <c r="G852" s="72"/>
      <c r="H852" s="19"/>
      <c r="I852" s="19">
        <v>1</v>
      </c>
      <c r="J852" s="19">
        <f>A852</f>
        <v>1</v>
      </c>
      <c r="K852" s="19">
        <f t="shared" ref="K852:L852" si="574">K845</f>
        <v>0</v>
      </c>
      <c r="L852" s="19">
        <f t="shared" si="574"/>
        <v>1</v>
      </c>
      <c r="M852" s="19"/>
      <c r="N852" s="19"/>
      <c r="O852" s="19"/>
      <c r="P852" s="19"/>
    </row>
    <row r="853" spans="1:16" ht="14.25" customHeight="1" x14ac:dyDescent="0.2">
      <c r="A853" s="19"/>
      <c r="B853" s="19"/>
      <c r="C853" s="19"/>
      <c r="D853" s="26" t="str">
        <f>D804</f>
        <v>7500</v>
      </c>
      <c r="E853" s="19"/>
      <c r="F853" s="73">
        <v>2</v>
      </c>
      <c r="G853" s="74">
        <v>0</v>
      </c>
      <c r="H853" s="19">
        <f>B852*2</f>
        <v>4.2</v>
      </c>
      <c r="I853" s="19"/>
      <c r="J853" s="19"/>
      <c r="K853" s="19"/>
      <c r="L853" s="19"/>
      <c r="M853" s="19"/>
      <c r="N853" s="19"/>
      <c r="O853" s="19"/>
      <c r="P853" s="19"/>
    </row>
    <row r="854" spans="1:16" ht="14.25" customHeight="1" x14ac:dyDescent="0.2">
      <c r="A854" s="19"/>
      <c r="B854" s="19"/>
      <c r="C854" s="19"/>
      <c r="D854" s="19">
        <f>D852*D853</f>
        <v>18900</v>
      </c>
      <c r="E854" s="19"/>
      <c r="F854" s="73">
        <v>8000</v>
      </c>
      <c r="G854" s="74">
        <v>0</v>
      </c>
      <c r="H854" s="19">
        <f>H851*H853</f>
        <v>1596</v>
      </c>
      <c r="I854" s="19">
        <f t="shared" ref="I854:L854" si="575">I851*I852</f>
        <v>1500</v>
      </c>
      <c r="J854" s="19">
        <f t="shared" si="575"/>
        <v>1000</v>
      </c>
      <c r="K854" s="19">
        <f t="shared" si="575"/>
        <v>0</v>
      </c>
      <c r="L854" s="19">
        <f t="shared" si="575"/>
        <v>1500</v>
      </c>
      <c r="M854" s="19">
        <f>SUM(D854:L854)</f>
        <v>32496</v>
      </c>
      <c r="N854" s="19">
        <f>M854/A852</f>
        <v>32496</v>
      </c>
      <c r="O854" s="19">
        <f>N854*O851</f>
        <v>64992</v>
      </c>
      <c r="P854" s="19">
        <f>MROUND(O854,100)</f>
        <v>65000</v>
      </c>
    </row>
    <row r="855" spans="1:16" ht="14.25" customHeight="1" x14ac:dyDescent="0.15">
      <c r="A855" s="111"/>
      <c r="B855" s="87"/>
      <c r="C855" s="87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</row>
    <row r="856" spans="1:16" ht="14.25" customHeight="1" x14ac:dyDescent="0.15">
      <c r="A856" s="109" t="str">
        <f>PRICELIST!I666</f>
        <v>CBSTK-TB-LVM-2100x900+X</v>
      </c>
      <c r="B856" s="87"/>
      <c r="C856" s="87"/>
      <c r="D856" s="21"/>
      <c r="E856" s="21"/>
      <c r="F856" s="21"/>
      <c r="G856" s="21"/>
      <c r="H856" s="19"/>
      <c r="I856" s="19"/>
      <c r="J856" s="19"/>
      <c r="K856" s="19"/>
      <c r="L856" s="19"/>
      <c r="M856" s="19"/>
      <c r="N856" s="19"/>
      <c r="O856" s="19"/>
      <c r="P856" s="19"/>
    </row>
    <row r="857" spans="1:16" ht="14.25" customHeight="1" x14ac:dyDescent="0.2">
      <c r="A857" s="19" t="s">
        <v>57</v>
      </c>
      <c r="B857" s="19" t="s">
        <v>59</v>
      </c>
      <c r="C857" s="19" t="s">
        <v>62</v>
      </c>
      <c r="D857" s="19" t="s">
        <v>64</v>
      </c>
      <c r="E857" s="19"/>
      <c r="F857" s="45">
        <v>900</v>
      </c>
      <c r="G857" s="69">
        <v>600</v>
      </c>
      <c r="H857" s="19" t="s">
        <v>67</v>
      </c>
      <c r="I857" s="19" t="s">
        <v>244</v>
      </c>
      <c r="J857" s="19" t="s">
        <v>71</v>
      </c>
      <c r="K857" s="19" t="s">
        <v>72</v>
      </c>
      <c r="L857" s="19" t="s">
        <v>73</v>
      </c>
      <c r="M857" s="19" t="s">
        <v>76</v>
      </c>
      <c r="N857" s="19" t="s">
        <v>78</v>
      </c>
      <c r="O857" s="19" t="s">
        <v>79</v>
      </c>
      <c r="P857" s="19" t="s">
        <v>81</v>
      </c>
    </row>
    <row r="858" spans="1:16" ht="14.25" customHeight="1" x14ac:dyDescent="0.2">
      <c r="A858" s="21"/>
      <c r="B858" s="21"/>
      <c r="C858" s="44" t="s">
        <v>245</v>
      </c>
      <c r="D858" s="21"/>
      <c r="E858" s="21"/>
      <c r="F858" s="70">
        <v>4000</v>
      </c>
      <c r="G858" s="70">
        <v>3800</v>
      </c>
      <c r="H858" s="21">
        <v>380</v>
      </c>
      <c r="I858" s="23" t="str">
        <f t="shared" ref="I858:J858" si="576">I851</f>
        <v>1500</v>
      </c>
      <c r="J858" s="21">
        <f t="shared" si="576"/>
        <v>1000</v>
      </c>
      <c r="K858" s="21">
        <v>585</v>
      </c>
      <c r="L858" s="23" t="str">
        <f>L851</f>
        <v>1500</v>
      </c>
      <c r="M858" s="21"/>
      <c r="N858" s="21"/>
      <c r="O858" s="21">
        <f>O851</f>
        <v>2</v>
      </c>
      <c r="P858" s="21"/>
    </row>
    <row r="859" spans="1:16" ht="14.25" customHeight="1" x14ac:dyDescent="0.15">
      <c r="A859" s="19">
        <v>1</v>
      </c>
      <c r="B859" s="19">
        <v>2.1</v>
      </c>
      <c r="C859" s="19">
        <v>1.2</v>
      </c>
      <c r="D859" s="19">
        <f>B859*C859</f>
        <v>2.52</v>
      </c>
      <c r="E859" s="19"/>
      <c r="F859" s="71"/>
      <c r="G859" s="72"/>
      <c r="H859" s="19"/>
      <c r="I859" s="19">
        <v>1</v>
      </c>
      <c r="J859" s="19">
        <f>A859</f>
        <v>1</v>
      </c>
      <c r="K859" s="19">
        <f t="shared" ref="K859:L859" si="577">K852</f>
        <v>0</v>
      </c>
      <c r="L859" s="19">
        <f t="shared" si="577"/>
        <v>1</v>
      </c>
      <c r="M859" s="19"/>
      <c r="N859" s="19"/>
      <c r="O859" s="19"/>
      <c r="P859" s="19"/>
    </row>
    <row r="860" spans="1:16" ht="14.25" customHeight="1" x14ac:dyDescent="0.2">
      <c r="A860" s="19"/>
      <c r="B860" s="19"/>
      <c r="C860" s="19"/>
      <c r="D860" s="26" t="str">
        <f>D811</f>
        <v>9500</v>
      </c>
      <c r="E860" s="19"/>
      <c r="F860" s="73">
        <v>2</v>
      </c>
      <c r="G860" s="74">
        <v>0</v>
      </c>
      <c r="H860" s="19">
        <f>B859*2</f>
        <v>4.2</v>
      </c>
      <c r="I860" s="19"/>
      <c r="J860" s="19"/>
      <c r="K860" s="19"/>
      <c r="L860" s="19"/>
      <c r="M860" s="19"/>
      <c r="N860" s="19"/>
      <c r="O860" s="19"/>
      <c r="P860" s="19"/>
    </row>
    <row r="861" spans="1:16" ht="14.25" customHeight="1" x14ac:dyDescent="0.2">
      <c r="A861" s="19"/>
      <c r="B861" s="19"/>
      <c r="C861" s="19"/>
      <c r="D861" s="19">
        <f>D859*D860</f>
        <v>23940</v>
      </c>
      <c r="E861" s="19"/>
      <c r="F861" s="73">
        <v>8000</v>
      </c>
      <c r="G861" s="74">
        <v>0</v>
      </c>
      <c r="H861" s="19">
        <f>H858*H860</f>
        <v>1596</v>
      </c>
      <c r="I861" s="19">
        <f t="shared" ref="I861:L861" si="578">I858*I859</f>
        <v>1500</v>
      </c>
      <c r="J861" s="19">
        <f t="shared" si="578"/>
        <v>1000</v>
      </c>
      <c r="K861" s="19">
        <f t="shared" si="578"/>
        <v>0</v>
      </c>
      <c r="L861" s="19">
        <f t="shared" si="578"/>
        <v>1500</v>
      </c>
      <c r="M861" s="19">
        <f>SUM(D861:L861)</f>
        <v>37536</v>
      </c>
      <c r="N861" s="19">
        <f>M861/A859</f>
        <v>37536</v>
      </c>
      <c r="O861" s="19">
        <f>N861*O858</f>
        <v>75072</v>
      </c>
      <c r="P861" s="19">
        <f>MROUND(O861,100)</f>
        <v>75100</v>
      </c>
    </row>
    <row r="862" spans="1:16" ht="14.25" customHeight="1" x14ac:dyDescent="0.15">
      <c r="A862" s="111"/>
      <c r="B862" s="87"/>
      <c r="C862" s="87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</row>
    <row r="863" spans="1:16" ht="14.25" customHeight="1" x14ac:dyDescent="0.15">
      <c r="A863" s="109" t="str">
        <f>PRICELIST!I667</f>
        <v>CBSTK-TB-LVP-2100x900+X</v>
      </c>
      <c r="B863" s="87"/>
      <c r="C863" s="87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</row>
    <row r="864" spans="1:16" ht="14.25" customHeight="1" x14ac:dyDescent="0.2">
      <c r="A864" s="19" t="s">
        <v>57</v>
      </c>
      <c r="B864" s="19" t="s">
        <v>59</v>
      </c>
      <c r="C864" s="19" t="s">
        <v>62</v>
      </c>
      <c r="D864" s="19" t="s">
        <v>64</v>
      </c>
      <c r="E864" s="19"/>
      <c r="F864" s="45">
        <v>900</v>
      </c>
      <c r="G864" s="69">
        <v>600</v>
      </c>
      <c r="H864" s="19" t="s">
        <v>67</v>
      </c>
      <c r="I864" s="19" t="s">
        <v>244</v>
      </c>
      <c r="J864" s="19" t="s">
        <v>71</v>
      </c>
      <c r="K864" s="19" t="s">
        <v>72</v>
      </c>
      <c r="L864" s="19" t="s">
        <v>73</v>
      </c>
      <c r="M864" s="19" t="s">
        <v>76</v>
      </c>
      <c r="N864" s="19" t="s">
        <v>78</v>
      </c>
      <c r="O864" s="19" t="s">
        <v>79</v>
      </c>
      <c r="P864" s="19" t="s">
        <v>81</v>
      </c>
    </row>
    <row r="865" spans="1:16" ht="14.25" customHeight="1" x14ac:dyDescent="0.2">
      <c r="A865" s="21"/>
      <c r="B865" s="21"/>
      <c r="C865" s="44" t="s">
        <v>245</v>
      </c>
      <c r="D865" s="21"/>
      <c r="E865" s="21"/>
      <c r="F865" s="70">
        <v>4000</v>
      </c>
      <c r="G865" s="70">
        <v>3800</v>
      </c>
      <c r="H865" s="21">
        <v>380</v>
      </c>
      <c r="I865" s="23" t="str">
        <f t="shared" ref="I865:J865" si="579">I858</f>
        <v>1500</v>
      </c>
      <c r="J865" s="21">
        <f t="shared" si="579"/>
        <v>1000</v>
      </c>
      <c r="K865" s="21">
        <v>585</v>
      </c>
      <c r="L865" s="23" t="str">
        <f>L858</f>
        <v>1500</v>
      </c>
      <c r="M865" s="21"/>
      <c r="N865" s="21"/>
      <c r="O865" s="21">
        <f>O858</f>
        <v>2</v>
      </c>
      <c r="P865" s="21"/>
    </row>
    <row r="866" spans="1:16" ht="14.25" customHeight="1" x14ac:dyDescent="0.15">
      <c r="A866" s="19">
        <v>1</v>
      </c>
      <c r="B866" s="19">
        <v>2.1</v>
      </c>
      <c r="C866" s="19">
        <v>1.2</v>
      </c>
      <c r="D866" s="19">
        <f>B866*C866</f>
        <v>2.52</v>
      </c>
      <c r="E866" s="19"/>
      <c r="F866" s="71"/>
      <c r="G866" s="72"/>
      <c r="H866" s="19"/>
      <c r="I866" s="19">
        <v>1</v>
      </c>
      <c r="J866" s="19">
        <f>A866</f>
        <v>1</v>
      </c>
      <c r="K866" s="19">
        <f t="shared" ref="K866:L866" si="580">K859</f>
        <v>0</v>
      </c>
      <c r="L866" s="19">
        <f t="shared" si="580"/>
        <v>1</v>
      </c>
      <c r="M866" s="19"/>
      <c r="N866" s="19"/>
      <c r="O866" s="19"/>
      <c r="P866" s="19"/>
    </row>
    <row r="867" spans="1:16" ht="14.25" customHeight="1" x14ac:dyDescent="0.2">
      <c r="A867" s="19"/>
      <c r="B867" s="19"/>
      <c r="C867" s="19"/>
      <c r="D867" s="26" t="str">
        <f>D818</f>
        <v>10500</v>
      </c>
      <c r="E867" s="19"/>
      <c r="F867" s="73">
        <v>2</v>
      </c>
      <c r="G867" s="74">
        <v>0</v>
      </c>
      <c r="H867" s="19">
        <f>B866*2</f>
        <v>4.2</v>
      </c>
      <c r="I867" s="19"/>
      <c r="J867" s="19"/>
      <c r="K867" s="19"/>
      <c r="L867" s="19"/>
      <c r="M867" s="19"/>
      <c r="N867" s="19"/>
      <c r="O867" s="19"/>
      <c r="P867" s="19"/>
    </row>
    <row r="868" spans="1:16" ht="14.25" customHeight="1" x14ac:dyDescent="0.2">
      <c r="A868" s="19"/>
      <c r="B868" s="19"/>
      <c r="C868" s="19"/>
      <c r="D868" s="19">
        <f>D866*D867</f>
        <v>26460</v>
      </c>
      <c r="E868" s="19"/>
      <c r="F868" s="73">
        <v>8000</v>
      </c>
      <c r="G868" s="74">
        <v>0</v>
      </c>
      <c r="H868" s="19">
        <f>H865*H867</f>
        <v>1596</v>
      </c>
      <c r="I868" s="19">
        <f t="shared" ref="I868:L868" si="581">I865*I866</f>
        <v>1500</v>
      </c>
      <c r="J868" s="19">
        <f t="shared" si="581"/>
        <v>1000</v>
      </c>
      <c r="K868" s="19">
        <f t="shared" si="581"/>
        <v>0</v>
      </c>
      <c r="L868" s="19">
        <f t="shared" si="581"/>
        <v>1500</v>
      </c>
      <c r="M868" s="19">
        <f>SUM(D868:L868)</f>
        <v>40056</v>
      </c>
      <c r="N868" s="19">
        <f>M868/A866</f>
        <v>40056</v>
      </c>
      <c r="O868" s="19">
        <f>N868*O865</f>
        <v>80112</v>
      </c>
      <c r="P868" s="19">
        <f>MROUND(O868,100)</f>
        <v>80100</v>
      </c>
    </row>
    <row r="869" spans="1:16" ht="14.25" customHeight="1" x14ac:dyDescent="0.15">
      <c r="A869" s="111"/>
      <c r="B869" s="87"/>
      <c r="C869" s="87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</row>
    <row r="870" spans="1:16" ht="31.5" customHeight="1" x14ac:dyDescent="0.15">
      <c r="A870" s="109" t="str">
        <f>PRICELIST!I668</f>
        <v>CBSTK-TB-VNR-2100x900+X</v>
      </c>
      <c r="B870" s="87"/>
      <c r="C870" s="87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</row>
    <row r="871" spans="1:16" ht="14.25" customHeight="1" x14ac:dyDescent="0.2">
      <c r="A871" s="19" t="s">
        <v>57</v>
      </c>
      <c r="B871" s="19" t="s">
        <v>59</v>
      </c>
      <c r="C871" s="19" t="s">
        <v>62</v>
      </c>
      <c r="D871" s="19" t="s">
        <v>64</v>
      </c>
      <c r="E871" s="19"/>
      <c r="F871" s="45">
        <v>900</v>
      </c>
      <c r="G871" s="69">
        <v>600</v>
      </c>
      <c r="H871" s="19" t="s">
        <v>67</v>
      </c>
      <c r="I871" s="19" t="s">
        <v>244</v>
      </c>
      <c r="J871" s="19" t="s">
        <v>71</v>
      </c>
      <c r="K871" s="19" t="s">
        <v>72</v>
      </c>
      <c r="L871" s="19" t="s">
        <v>73</v>
      </c>
      <c r="M871" s="19" t="s">
        <v>76</v>
      </c>
      <c r="N871" s="19" t="s">
        <v>78</v>
      </c>
      <c r="O871" s="19" t="s">
        <v>79</v>
      </c>
      <c r="P871" s="19" t="s">
        <v>81</v>
      </c>
    </row>
    <row r="872" spans="1:16" ht="14.25" customHeight="1" x14ac:dyDescent="0.2">
      <c r="A872" s="21"/>
      <c r="B872" s="21"/>
      <c r="C872" s="44" t="s">
        <v>245</v>
      </c>
      <c r="D872" s="21"/>
      <c r="E872" s="21"/>
      <c r="F872" s="70">
        <v>4000</v>
      </c>
      <c r="G872" s="70">
        <v>3800</v>
      </c>
      <c r="H872" s="21">
        <v>380</v>
      </c>
      <c r="I872" s="23" t="str">
        <f t="shared" ref="I872:J872" si="582">I865</f>
        <v>1500</v>
      </c>
      <c r="J872" s="21">
        <f t="shared" si="582"/>
        <v>1000</v>
      </c>
      <c r="K872" s="21">
        <v>585</v>
      </c>
      <c r="L872" s="23" t="str">
        <f>L865</f>
        <v>1500</v>
      </c>
      <c r="M872" s="21"/>
      <c r="N872" s="21"/>
      <c r="O872" s="21">
        <f>O865</f>
        <v>2</v>
      </c>
      <c r="P872" s="21"/>
    </row>
    <row r="873" spans="1:16" ht="14.25" customHeight="1" x14ac:dyDescent="0.15">
      <c r="A873" s="19">
        <v>1</v>
      </c>
      <c r="B873" s="19">
        <v>2.1</v>
      </c>
      <c r="C873" s="19">
        <v>1.2</v>
      </c>
      <c r="D873" s="19">
        <f>B873*C873</f>
        <v>2.52</v>
      </c>
      <c r="E873" s="19"/>
      <c r="F873" s="71"/>
      <c r="G873" s="72"/>
      <c r="H873" s="19"/>
      <c r="I873" s="19">
        <v>1</v>
      </c>
      <c r="J873" s="19">
        <f>A873</f>
        <v>1</v>
      </c>
      <c r="K873" s="19">
        <f t="shared" ref="K873:L873" si="583">K866</f>
        <v>0</v>
      </c>
      <c r="L873" s="19">
        <f t="shared" si="583"/>
        <v>1</v>
      </c>
      <c r="M873" s="19"/>
      <c r="N873" s="19"/>
      <c r="O873" s="19"/>
      <c r="P873" s="19"/>
    </row>
    <row r="874" spans="1:16" ht="14.25" customHeight="1" x14ac:dyDescent="0.2">
      <c r="A874" s="19"/>
      <c r="B874" s="19"/>
      <c r="C874" s="19"/>
      <c r="D874" s="26" t="str">
        <f>D825</f>
        <v>30000</v>
      </c>
      <c r="E874" s="19"/>
      <c r="F874" s="73">
        <v>2</v>
      </c>
      <c r="G874" s="74">
        <v>0</v>
      </c>
      <c r="H874" s="19">
        <f>B873*2</f>
        <v>4.2</v>
      </c>
      <c r="I874" s="19"/>
      <c r="J874" s="19"/>
      <c r="K874" s="19"/>
      <c r="L874" s="19"/>
      <c r="M874" s="19"/>
      <c r="N874" s="19"/>
      <c r="O874" s="19"/>
      <c r="P874" s="19"/>
    </row>
    <row r="875" spans="1:16" ht="14.25" customHeight="1" x14ac:dyDescent="0.2">
      <c r="A875" s="19"/>
      <c r="B875" s="19"/>
      <c r="C875" s="19"/>
      <c r="D875" s="19">
        <f>D873*D874</f>
        <v>75600</v>
      </c>
      <c r="E875" s="19"/>
      <c r="F875" s="73">
        <v>8000</v>
      </c>
      <c r="G875" s="74">
        <v>0</v>
      </c>
      <c r="H875" s="19">
        <f>H872*H874</f>
        <v>1596</v>
      </c>
      <c r="I875" s="19">
        <f t="shared" ref="I875:L875" si="584">I872*I873</f>
        <v>1500</v>
      </c>
      <c r="J875" s="19">
        <f t="shared" si="584"/>
        <v>1000</v>
      </c>
      <c r="K875" s="19">
        <f t="shared" si="584"/>
        <v>0</v>
      </c>
      <c r="L875" s="19">
        <f t="shared" si="584"/>
        <v>1500</v>
      </c>
      <c r="M875" s="19">
        <f>SUM(D875:L875)</f>
        <v>89196</v>
      </c>
      <c r="N875" s="19">
        <f>M875/A873</f>
        <v>89196</v>
      </c>
      <c r="O875" s="19">
        <f>N875*O872</f>
        <v>178392</v>
      </c>
      <c r="P875" s="19">
        <f>MROUND(O875,100)</f>
        <v>178400</v>
      </c>
    </row>
    <row r="876" spans="1:16" ht="14.25" customHeight="1" x14ac:dyDescent="0.15">
      <c r="A876" s="111"/>
      <c r="B876" s="87"/>
      <c r="C876" s="87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</row>
    <row r="877" spans="1:16" ht="14.25" customHeight="1" x14ac:dyDescent="0.15">
      <c r="A877" s="109" t="str">
        <f>PRICELIST!I669</f>
        <v>CBSTK-TB-GL-2100x900+X</v>
      </c>
      <c r="B877" s="87"/>
      <c r="C877" s="87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</row>
    <row r="878" spans="1:16" ht="14.25" customHeight="1" x14ac:dyDescent="0.2">
      <c r="A878" s="19" t="s">
        <v>57</v>
      </c>
      <c r="B878" s="19" t="s">
        <v>59</v>
      </c>
      <c r="C878" s="19" t="s">
        <v>62</v>
      </c>
      <c r="D878" s="19" t="s">
        <v>64</v>
      </c>
      <c r="E878" s="19"/>
      <c r="F878" s="45">
        <v>900</v>
      </c>
      <c r="G878" s="69">
        <v>600</v>
      </c>
      <c r="H878" s="19" t="s">
        <v>67</v>
      </c>
      <c r="I878" s="19" t="s">
        <v>244</v>
      </c>
      <c r="J878" s="19" t="s">
        <v>71</v>
      </c>
      <c r="K878" s="19" t="s">
        <v>72</v>
      </c>
      <c r="L878" s="19" t="s">
        <v>73</v>
      </c>
      <c r="M878" s="19" t="s">
        <v>76</v>
      </c>
      <c r="N878" s="19" t="s">
        <v>78</v>
      </c>
      <c r="O878" s="19" t="s">
        <v>79</v>
      </c>
      <c r="P878" s="19" t="s">
        <v>81</v>
      </c>
    </row>
    <row r="879" spans="1:16" ht="14.25" customHeight="1" x14ac:dyDescent="0.2">
      <c r="A879" s="21"/>
      <c r="B879" s="21"/>
      <c r="C879" s="44" t="s">
        <v>245</v>
      </c>
      <c r="D879" s="21"/>
      <c r="E879" s="21"/>
      <c r="F879" s="70">
        <v>4000</v>
      </c>
      <c r="G879" s="70">
        <v>3800</v>
      </c>
      <c r="H879" s="21">
        <v>380</v>
      </c>
      <c r="I879" s="23" t="str">
        <f t="shared" ref="I879:J879" si="585">I872</f>
        <v>1500</v>
      </c>
      <c r="J879" s="21">
        <f t="shared" si="585"/>
        <v>1000</v>
      </c>
      <c r="K879" s="21">
        <v>585</v>
      </c>
      <c r="L879" s="23" t="str">
        <f>L872</f>
        <v>1500</v>
      </c>
      <c r="M879" s="21"/>
      <c r="N879" s="21"/>
      <c r="O879" s="21">
        <f>O872</f>
        <v>2</v>
      </c>
      <c r="P879" s="21"/>
    </row>
    <row r="880" spans="1:16" ht="14.25" customHeight="1" x14ac:dyDescent="0.15">
      <c r="A880" s="19">
        <v>1</v>
      </c>
      <c r="B880" s="19">
        <v>2.1</v>
      </c>
      <c r="C880" s="19">
        <v>1.2</v>
      </c>
      <c r="D880" s="19">
        <f>B880*C880</f>
        <v>2.52</v>
      </c>
      <c r="E880" s="19"/>
      <c r="F880" s="71"/>
      <c r="G880" s="72"/>
      <c r="H880" s="19"/>
      <c r="I880" s="19">
        <v>1</v>
      </c>
      <c r="J880" s="19">
        <f>A880</f>
        <v>1</v>
      </c>
      <c r="K880" s="19">
        <f t="shared" ref="K880:L880" si="586">K873</f>
        <v>0</v>
      </c>
      <c r="L880" s="19">
        <f t="shared" si="586"/>
        <v>1</v>
      </c>
      <c r="M880" s="19"/>
      <c r="N880" s="19"/>
      <c r="O880" s="19"/>
      <c r="P880" s="19"/>
    </row>
    <row r="881" spans="1:16" ht="14.25" customHeight="1" x14ac:dyDescent="0.2">
      <c r="A881" s="19"/>
      <c r="B881" s="19"/>
      <c r="C881" s="19"/>
      <c r="D881" s="26" t="str">
        <f>D832</f>
        <v>7500</v>
      </c>
      <c r="E881" s="19"/>
      <c r="F881" s="73">
        <v>2</v>
      </c>
      <c r="G881" s="74">
        <v>0</v>
      </c>
      <c r="H881" s="19">
        <f>B880*2</f>
        <v>4.2</v>
      </c>
      <c r="I881" s="19"/>
      <c r="J881" s="19"/>
      <c r="K881" s="19"/>
      <c r="L881" s="19"/>
      <c r="M881" s="19"/>
      <c r="N881" s="19"/>
      <c r="O881" s="19"/>
      <c r="P881" s="19"/>
    </row>
    <row r="882" spans="1:16" ht="14.25" customHeight="1" x14ac:dyDescent="0.2">
      <c r="A882" s="19"/>
      <c r="B882" s="19"/>
      <c r="C882" s="19"/>
      <c r="D882" s="19">
        <f>D880*D881</f>
        <v>18900</v>
      </c>
      <c r="E882" s="19"/>
      <c r="F882" s="73">
        <v>8000</v>
      </c>
      <c r="G882" s="74">
        <v>0</v>
      </c>
      <c r="H882" s="19">
        <f>H879*H881</f>
        <v>1596</v>
      </c>
      <c r="I882" s="19">
        <f t="shared" ref="I882:L882" si="587">I879*I880</f>
        <v>1500</v>
      </c>
      <c r="J882" s="19">
        <f t="shared" si="587"/>
        <v>1000</v>
      </c>
      <c r="K882" s="19">
        <f t="shared" si="587"/>
        <v>0</v>
      </c>
      <c r="L882" s="19">
        <f t="shared" si="587"/>
        <v>1500</v>
      </c>
      <c r="M882" s="19">
        <f>SUM(D882:L882)</f>
        <v>32496</v>
      </c>
      <c r="N882" s="19">
        <f>M882/A880</f>
        <v>32496</v>
      </c>
      <c r="O882" s="19">
        <f>N882*O879</f>
        <v>64992</v>
      </c>
      <c r="P882" s="19">
        <f>MROUND(O882,100)</f>
        <v>65000</v>
      </c>
    </row>
    <row r="883" spans="1:16" ht="33" customHeight="1" x14ac:dyDescent="0.3">
      <c r="A883" s="114" t="s">
        <v>250</v>
      </c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</row>
    <row r="884" spans="1:16" ht="14.25" customHeight="1" x14ac:dyDescent="0.15">
      <c r="A884" s="109" t="str">
        <f>PRICELIST!I670</f>
        <v>CBLP-RST-PB-1500x600+1800</v>
      </c>
      <c r="B884" s="87"/>
      <c r="C884" s="87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</row>
    <row r="885" spans="1:16" ht="14.25" customHeight="1" x14ac:dyDescent="0.15">
      <c r="A885" s="19" t="s">
        <v>57</v>
      </c>
      <c r="B885" s="19" t="s">
        <v>59</v>
      </c>
      <c r="C885" s="19" t="s">
        <v>62</v>
      </c>
      <c r="D885" s="19" t="s">
        <v>64</v>
      </c>
      <c r="E885" s="19" t="s">
        <v>233</v>
      </c>
      <c r="F885" s="19" t="s">
        <v>94</v>
      </c>
      <c r="G885" s="19"/>
      <c r="H885" s="19" t="s">
        <v>67</v>
      </c>
      <c r="I885" s="19" t="s">
        <v>244</v>
      </c>
      <c r="J885" s="19" t="s">
        <v>71</v>
      </c>
      <c r="K885" s="19" t="s">
        <v>72</v>
      </c>
      <c r="L885" s="19" t="s">
        <v>73</v>
      </c>
      <c r="M885" s="19" t="s">
        <v>76</v>
      </c>
      <c r="N885" s="19" t="s">
        <v>78</v>
      </c>
      <c r="O885" s="19" t="s">
        <v>79</v>
      </c>
      <c r="P885" s="19" t="s">
        <v>81</v>
      </c>
    </row>
    <row r="886" spans="1:16" ht="14.25" customHeight="1" x14ac:dyDescent="0.15">
      <c r="A886" s="21"/>
      <c r="B886" s="21"/>
      <c r="C886" s="44" t="s">
        <v>245</v>
      </c>
      <c r="D886" s="21"/>
      <c r="E886" s="21">
        <v>6</v>
      </c>
      <c r="F886" s="23" t="str">
        <f>'MASTER DATA'!E9</f>
        <v>12500</v>
      </c>
      <c r="G886" s="21"/>
      <c r="H886" s="21">
        <v>380</v>
      </c>
      <c r="I886" s="23" t="str">
        <f t="shared" ref="I886:J886" si="588">I879</f>
        <v>1500</v>
      </c>
      <c r="J886" s="21">
        <f t="shared" si="588"/>
        <v>1000</v>
      </c>
      <c r="K886" s="21">
        <v>585</v>
      </c>
      <c r="L886" s="23" t="str">
        <f>L879</f>
        <v>1500</v>
      </c>
      <c r="M886" s="21"/>
      <c r="N886" s="21"/>
      <c r="O886" s="21">
        <f>O879</f>
        <v>2</v>
      </c>
      <c r="P886" s="21"/>
    </row>
    <row r="887" spans="1:16" ht="14.25" customHeight="1" x14ac:dyDescent="0.15">
      <c r="A887" s="19">
        <v>1</v>
      </c>
      <c r="B887" s="19">
        <v>1.5</v>
      </c>
      <c r="C887" s="19">
        <f>0.6+0.3</f>
        <v>0.89999999999999991</v>
      </c>
      <c r="D887" s="19">
        <f>B887*C887</f>
        <v>1.3499999999999999</v>
      </c>
      <c r="E887" s="19">
        <v>2.5</v>
      </c>
      <c r="F887" s="19"/>
      <c r="G887" s="19"/>
      <c r="H887" s="19"/>
      <c r="I887" s="19">
        <v>1</v>
      </c>
      <c r="J887" s="19">
        <f>A887</f>
        <v>1</v>
      </c>
      <c r="K887" s="19">
        <f t="shared" ref="K887:L887" si="589">K880</f>
        <v>0</v>
      </c>
      <c r="L887" s="19">
        <f t="shared" si="589"/>
        <v>1</v>
      </c>
      <c r="M887" s="19"/>
      <c r="N887" s="19"/>
      <c r="O887" s="19"/>
      <c r="P887" s="19"/>
    </row>
    <row r="888" spans="1:16" ht="14.25" customHeight="1" x14ac:dyDescent="0.15">
      <c r="A888" s="19"/>
      <c r="B888" s="19"/>
      <c r="C888" s="19"/>
      <c r="D888" s="26" t="str">
        <f>D839</f>
        <v>2200</v>
      </c>
      <c r="E888" s="26" t="str">
        <f>E706</f>
        <v>1000</v>
      </c>
      <c r="F888" s="19">
        <v>2</v>
      </c>
      <c r="G888" s="19"/>
      <c r="H888" s="19">
        <f>B887*2</f>
        <v>3</v>
      </c>
      <c r="I888" s="19"/>
      <c r="J888" s="19"/>
      <c r="K888" s="19"/>
      <c r="L888" s="19"/>
      <c r="M888" s="19"/>
      <c r="N888" s="19"/>
      <c r="O888" s="19"/>
      <c r="P888" s="19"/>
    </row>
    <row r="889" spans="1:16" ht="14.25" customHeight="1" x14ac:dyDescent="0.15">
      <c r="A889" s="19"/>
      <c r="B889" s="19"/>
      <c r="C889" s="19"/>
      <c r="D889" s="19">
        <f>D887*D888</f>
        <v>2969.9999999999995</v>
      </c>
      <c r="E889" s="19">
        <f>E888*E886</f>
        <v>6000</v>
      </c>
      <c r="F889" s="19">
        <f>F886*F888</f>
        <v>25000</v>
      </c>
      <c r="G889" s="19"/>
      <c r="H889" s="19">
        <f>H886*H888</f>
        <v>1140</v>
      </c>
      <c r="I889" s="19">
        <f t="shared" ref="I889:L889" si="590">I886*I887</f>
        <v>1500</v>
      </c>
      <c r="J889" s="19">
        <f t="shared" si="590"/>
        <v>1000</v>
      </c>
      <c r="K889" s="19">
        <f t="shared" si="590"/>
        <v>0</v>
      </c>
      <c r="L889" s="19">
        <f t="shared" si="590"/>
        <v>1500</v>
      </c>
      <c r="M889" s="19">
        <f>SUM(D889:L889)</f>
        <v>39110</v>
      </c>
      <c r="N889" s="19">
        <f>M889/A887</f>
        <v>39110</v>
      </c>
      <c r="O889" s="19">
        <f>N889*O886</f>
        <v>78220</v>
      </c>
      <c r="P889" s="19">
        <f>MROUND(O889,100)</f>
        <v>78200</v>
      </c>
    </row>
    <row r="890" spans="1:16" ht="14.25" customHeight="1" x14ac:dyDescent="0.15">
      <c r="A890" s="111"/>
      <c r="B890" s="87"/>
      <c r="C890" s="87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</row>
    <row r="891" spans="1:16" ht="14.25" customHeight="1" x14ac:dyDescent="0.15">
      <c r="A891" s="109" t="str">
        <f>PRICELIST!I671</f>
        <v>CBLP-RST-PLM-1500x600+1800</v>
      </c>
      <c r="B891" s="87"/>
      <c r="C891" s="87"/>
      <c r="D891" s="30"/>
      <c r="E891" s="30"/>
      <c r="F891" s="30"/>
      <c r="G891" s="30"/>
      <c r="H891" s="19"/>
      <c r="I891" s="19"/>
      <c r="J891" s="19"/>
      <c r="K891" s="19"/>
      <c r="L891" s="19"/>
      <c r="M891" s="19"/>
      <c r="N891" s="19"/>
      <c r="O891" s="19"/>
      <c r="P891" s="19"/>
    </row>
    <row r="892" spans="1:16" ht="14.25" customHeight="1" x14ac:dyDescent="0.15">
      <c r="A892" s="19" t="s">
        <v>57</v>
      </c>
      <c r="B892" s="19" t="s">
        <v>59</v>
      </c>
      <c r="C892" s="19" t="s">
        <v>62</v>
      </c>
      <c r="D892" s="19" t="s">
        <v>64</v>
      </c>
      <c r="E892" s="19" t="s">
        <v>233</v>
      </c>
      <c r="F892" s="19" t="s">
        <v>94</v>
      </c>
      <c r="G892" s="19"/>
      <c r="H892" s="19" t="s">
        <v>67</v>
      </c>
      <c r="I892" s="19" t="s">
        <v>244</v>
      </c>
      <c r="J892" s="19" t="s">
        <v>71</v>
      </c>
      <c r="K892" s="19" t="s">
        <v>72</v>
      </c>
      <c r="L892" s="19" t="s">
        <v>73</v>
      </c>
      <c r="M892" s="19" t="s">
        <v>76</v>
      </c>
      <c r="N892" s="19" t="s">
        <v>78</v>
      </c>
      <c r="O892" s="19" t="s">
        <v>79</v>
      </c>
      <c r="P892" s="19" t="s">
        <v>81</v>
      </c>
    </row>
    <row r="893" spans="1:16" ht="14.25" customHeight="1" x14ac:dyDescent="0.15">
      <c r="A893" s="21"/>
      <c r="B893" s="21"/>
      <c r="C893" s="44" t="s">
        <v>245</v>
      </c>
      <c r="D893" s="21"/>
      <c r="E893" s="21">
        <v>6</v>
      </c>
      <c r="F893" s="23" t="str">
        <f>F886</f>
        <v>12500</v>
      </c>
      <c r="G893" s="21"/>
      <c r="H893" s="21">
        <v>380</v>
      </c>
      <c r="I893" s="23" t="str">
        <f t="shared" ref="I893:J893" si="591">I886</f>
        <v>1500</v>
      </c>
      <c r="J893" s="21">
        <f t="shared" si="591"/>
        <v>1000</v>
      </c>
      <c r="K893" s="21">
        <v>585</v>
      </c>
      <c r="L893" s="23" t="str">
        <f>L886</f>
        <v>1500</v>
      </c>
      <c r="M893" s="21"/>
      <c r="N893" s="21"/>
      <c r="O893" s="21">
        <f>O886</f>
        <v>2</v>
      </c>
      <c r="P893" s="21"/>
    </row>
    <row r="894" spans="1:16" ht="14.25" customHeight="1" x14ac:dyDescent="0.15">
      <c r="A894" s="19">
        <v>1</v>
      </c>
      <c r="B894" s="19">
        <v>1.5</v>
      </c>
      <c r="C894" s="19">
        <f>0.6+0.3</f>
        <v>0.89999999999999991</v>
      </c>
      <c r="D894" s="19">
        <f>B894*C894</f>
        <v>1.3499999999999999</v>
      </c>
      <c r="E894" s="19">
        <v>2.5</v>
      </c>
      <c r="F894" s="19"/>
      <c r="G894" s="19"/>
      <c r="H894" s="19"/>
      <c r="I894" s="19">
        <v>1</v>
      </c>
      <c r="J894" s="19">
        <f>A894</f>
        <v>1</v>
      </c>
      <c r="K894" s="19">
        <f t="shared" ref="K894:L894" si="592">K887</f>
        <v>0</v>
      </c>
      <c r="L894" s="19">
        <f t="shared" si="592"/>
        <v>1</v>
      </c>
      <c r="M894" s="19"/>
      <c r="N894" s="19"/>
      <c r="O894" s="19"/>
      <c r="P894" s="19"/>
    </row>
    <row r="895" spans="1:16" ht="14.25" customHeight="1" x14ac:dyDescent="0.15">
      <c r="A895" s="19"/>
      <c r="B895" s="19"/>
      <c r="C895" s="19"/>
      <c r="D895" s="26" t="str">
        <f>D846</f>
        <v>3000</v>
      </c>
      <c r="E895" s="26" t="str">
        <f>E888</f>
        <v>1000</v>
      </c>
      <c r="F895" s="19">
        <v>2</v>
      </c>
      <c r="G895" s="19"/>
      <c r="H895" s="19">
        <f>B894*2</f>
        <v>3</v>
      </c>
      <c r="I895" s="19"/>
      <c r="J895" s="19"/>
      <c r="K895" s="19"/>
      <c r="L895" s="19"/>
      <c r="M895" s="19"/>
      <c r="N895" s="19"/>
      <c r="O895" s="19"/>
      <c r="P895" s="19"/>
    </row>
    <row r="896" spans="1:16" ht="14.25" customHeight="1" x14ac:dyDescent="0.15">
      <c r="A896" s="19"/>
      <c r="B896" s="19"/>
      <c r="C896" s="19"/>
      <c r="D896" s="19">
        <f>D894*D895</f>
        <v>4049.9999999999995</v>
      </c>
      <c r="E896" s="19">
        <f>E895*E893</f>
        <v>6000</v>
      </c>
      <c r="F896" s="19">
        <f>F893*F895</f>
        <v>25000</v>
      </c>
      <c r="G896" s="19"/>
      <c r="H896" s="19">
        <f>H893*H895</f>
        <v>1140</v>
      </c>
      <c r="I896" s="19">
        <f t="shared" ref="I896:L896" si="593">I893*I894</f>
        <v>1500</v>
      </c>
      <c r="J896" s="19">
        <f t="shared" si="593"/>
        <v>1000</v>
      </c>
      <c r="K896" s="19">
        <f t="shared" si="593"/>
        <v>0</v>
      </c>
      <c r="L896" s="19">
        <f t="shared" si="593"/>
        <v>1500</v>
      </c>
      <c r="M896" s="19">
        <f>SUM(D896:L896)</f>
        <v>40190</v>
      </c>
      <c r="N896" s="19">
        <f>M896/A894</f>
        <v>40190</v>
      </c>
      <c r="O896" s="19">
        <f>N896*O893</f>
        <v>80380</v>
      </c>
      <c r="P896" s="19">
        <f>MROUND(O896,100)</f>
        <v>80400</v>
      </c>
    </row>
    <row r="897" spans="1:16" ht="14.25" customHeight="1" x14ac:dyDescent="0.15">
      <c r="A897" s="111"/>
      <c r="B897" s="87"/>
      <c r="C897" s="87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</row>
    <row r="898" spans="1:16" ht="14.25" customHeight="1" x14ac:dyDescent="0.15">
      <c r="A898" s="109" t="str">
        <f>PRICELIST!I672</f>
        <v>CBLP-RST-PoLM-1500x600+1800</v>
      </c>
      <c r="B898" s="87"/>
      <c r="C898" s="87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</row>
    <row r="899" spans="1:16" ht="14.25" customHeight="1" x14ac:dyDescent="0.15">
      <c r="A899" s="19" t="s">
        <v>57</v>
      </c>
      <c r="B899" s="19" t="s">
        <v>59</v>
      </c>
      <c r="C899" s="19" t="s">
        <v>62</v>
      </c>
      <c r="D899" s="19" t="s">
        <v>64</v>
      </c>
      <c r="E899" s="19" t="s">
        <v>233</v>
      </c>
      <c r="F899" s="19" t="s">
        <v>94</v>
      </c>
      <c r="G899" s="19"/>
      <c r="H899" s="19" t="s">
        <v>67</v>
      </c>
      <c r="I899" s="19" t="s">
        <v>244</v>
      </c>
      <c r="J899" s="19" t="s">
        <v>71</v>
      </c>
      <c r="K899" s="19" t="s">
        <v>72</v>
      </c>
      <c r="L899" s="19" t="s">
        <v>73</v>
      </c>
      <c r="M899" s="19" t="s">
        <v>76</v>
      </c>
      <c r="N899" s="19" t="s">
        <v>78</v>
      </c>
      <c r="O899" s="19" t="s">
        <v>79</v>
      </c>
      <c r="P899" s="19" t="s">
        <v>81</v>
      </c>
    </row>
    <row r="900" spans="1:16" ht="14.25" customHeight="1" x14ac:dyDescent="0.15">
      <c r="A900" s="21"/>
      <c r="B900" s="21"/>
      <c r="C900" s="44" t="s">
        <v>245</v>
      </c>
      <c r="D900" s="21"/>
      <c r="E900" s="21">
        <v>6</v>
      </c>
      <c r="F900" s="23" t="str">
        <f>F893</f>
        <v>12500</v>
      </c>
      <c r="G900" s="21"/>
      <c r="H900" s="21">
        <v>380</v>
      </c>
      <c r="I900" s="23" t="str">
        <f t="shared" ref="I900:J900" si="594">I893</f>
        <v>1500</v>
      </c>
      <c r="J900" s="21">
        <f t="shared" si="594"/>
        <v>1000</v>
      </c>
      <c r="K900" s="21">
        <v>585</v>
      </c>
      <c r="L900" s="23" t="str">
        <f>L893</f>
        <v>1500</v>
      </c>
      <c r="M900" s="21"/>
      <c r="N900" s="21"/>
      <c r="O900" s="21">
        <f>O893</f>
        <v>2</v>
      </c>
      <c r="P900" s="21"/>
    </row>
    <row r="901" spans="1:16" ht="14.25" customHeight="1" x14ac:dyDescent="0.15">
      <c r="A901" s="19">
        <v>1</v>
      </c>
      <c r="B901" s="19">
        <v>1.5</v>
      </c>
      <c r="C901" s="19">
        <f>0.6+0.3</f>
        <v>0.89999999999999991</v>
      </c>
      <c r="D901" s="19">
        <f>B901*C901</f>
        <v>1.3499999999999999</v>
      </c>
      <c r="E901" s="19">
        <v>2.5</v>
      </c>
      <c r="F901" s="19"/>
      <c r="G901" s="19"/>
      <c r="H901" s="19"/>
      <c r="I901" s="19">
        <v>1</v>
      </c>
      <c r="J901" s="19">
        <f>A901</f>
        <v>1</v>
      </c>
      <c r="K901" s="19">
        <f t="shared" ref="K901:L901" si="595">K894</f>
        <v>0</v>
      </c>
      <c r="L901" s="19">
        <f t="shared" si="595"/>
        <v>1</v>
      </c>
      <c r="M901" s="19"/>
      <c r="N901" s="19"/>
      <c r="O901" s="19"/>
      <c r="P901" s="19"/>
    </row>
    <row r="902" spans="1:16" ht="14.25" customHeight="1" x14ac:dyDescent="0.15">
      <c r="A902" s="19"/>
      <c r="B902" s="19"/>
      <c r="C902" s="19"/>
      <c r="D902" s="26" t="str">
        <f>D853</f>
        <v>7500</v>
      </c>
      <c r="E902" s="26" t="str">
        <f>E895</f>
        <v>1000</v>
      </c>
      <c r="F902" s="19">
        <v>2</v>
      </c>
      <c r="G902" s="19"/>
      <c r="H902" s="19">
        <f>B901*2</f>
        <v>3</v>
      </c>
      <c r="I902" s="19"/>
      <c r="J902" s="19"/>
      <c r="K902" s="19"/>
      <c r="L902" s="19"/>
      <c r="M902" s="19"/>
      <c r="N902" s="19"/>
      <c r="O902" s="19"/>
      <c r="P902" s="19"/>
    </row>
    <row r="903" spans="1:16" ht="14.25" customHeight="1" x14ac:dyDescent="0.15">
      <c r="A903" s="19"/>
      <c r="B903" s="19"/>
      <c r="C903" s="19"/>
      <c r="D903" s="19">
        <f>D901*D902</f>
        <v>10124.999999999998</v>
      </c>
      <c r="E903" s="19">
        <f>E902*E900</f>
        <v>6000</v>
      </c>
      <c r="F903" s="19">
        <f>F900*F902</f>
        <v>25000</v>
      </c>
      <c r="G903" s="19"/>
      <c r="H903" s="19">
        <f>H900*H902</f>
        <v>1140</v>
      </c>
      <c r="I903" s="19">
        <f t="shared" ref="I903:L903" si="596">I900*I901</f>
        <v>1500</v>
      </c>
      <c r="J903" s="19">
        <f t="shared" si="596"/>
        <v>1000</v>
      </c>
      <c r="K903" s="19">
        <f t="shared" si="596"/>
        <v>0</v>
      </c>
      <c r="L903" s="19">
        <f t="shared" si="596"/>
        <v>1500</v>
      </c>
      <c r="M903" s="19">
        <f>SUM(D903:L903)</f>
        <v>46265</v>
      </c>
      <c r="N903" s="19">
        <f>M903/A901</f>
        <v>46265</v>
      </c>
      <c r="O903" s="19">
        <f>N903*O900</f>
        <v>92530</v>
      </c>
      <c r="P903" s="19">
        <f>MROUND(O903,100)</f>
        <v>92500</v>
      </c>
    </row>
    <row r="904" spans="1:16" ht="14.25" customHeight="1" x14ac:dyDescent="0.15">
      <c r="A904" s="111"/>
      <c r="B904" s="87"/>
      <c r="C904" s="87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</row>
    <row r="905" spans="1:16" ht="14.25" customHeight="1" x14ac:dyDescent="0.15">
      <c r="A905" s="109" t="str">
        <f>PRICELIST!I673</f>
        <v>CBLP-RST-LVM-1500x600+1800</v>
      </c>
      <c r="B905" s="87"/>
      <c r="C905" s="87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</row>
    <row r="906" spans="1:16" ht="14.25" customHeight="1" x14ac:dyDescent="0.15">
      <c r="A906" s="19" t="s">
        <v>57</v>
      </c>
      <c r="B906" s="19" t="s">
        <v>59</v>
      </c>
      <c r="C906" s="19" t="s">
        <v>62</v>
      </c>
      <c r="D906" s="19" t="s">
        <v>64</v>
      </c>
      <c r="E906" s="19" t="s">
        <v>233</v>
      </c>
      <c r="F906" s="19" t="s">
        <v>94</v>
      </c>
      <c r="G906" s="19"/>
      <c r="H906" s="19" t="s">
        <v>67</v>
      </c>
      <c r="I906" s="19" t="s">
        <v>244</v>
      </c>
      <c r="J906" s="19" t="s">
        <v>71</v>
      </c>
      <c r="K906" s="19" t="s">
        <v>72</v>
      </c>
      <c r="L906" s="19" t="s">
        <v>73</v>
      </c>
      <c r="M906" s="19" t="s">
        <v>76</v>
      </c>
      <c r="N906" s="19" t="s">
        <v>78</v>
      </c>
      <c r="O906" s="19" t="s">
        <v>79</v>
      </c>
      <c r="P906" s="19" t="s">
        <v>81</v>
      </c>
    </row>
    <row r="907" spans="1:16" ht="14.25" customHeight="1" x14ac:dyDescent="0.15">
      <c r="A907" s="21"/>
      <c r="B907" s="21"/>
      <c r="C907" s="44" t="s">
        <v>245</v>
      </c>
      <c r="D907" s="21"/>
      <c r="E907" s="21">
        <v>6</v>
      </c>
      <c r="F907" s="23" t="str">
        <f>F900</f>
        <v>12500</v>
      </c>
      <c r="G907" s="21"/>
      <c r="H907" s="21">
        <v>380</v>
      </c>
      <c r="I907" s="23" t="str">
        <f t="shared" ref="I907:J907" si="597">I900</f>
        <v>1500</v>
      </c>
      <c r="J907" s="21">
        <f t="shared" si="597"/>
        <v>1000</v>
      </c>
      <c r="K907" s="21">
        <v>585</v>
      </c>
      <c r="L907" s="23" t="str">
        <f>L900</f>
        <v>1500</v>
      </c>
      <c r="M907" s="21"/>
      <c r="N907" s="21"/>
      <c r="O907" s="21">
        <f>O900</f>
        <v>2</v>
      </c>
      <c r="P907" s="21"/>
    </row>
    <row r="908" spans="1:16" ht="14.25" customHeight="1" x14ac:dyDescent="0.15">
      <c r="A908" s="19">
        <v>1</v>
      </c>
      <c r="B908" s="19">
        <v>1.5</v>
      </c>
      <c r="C908" s="19">
        <f>0.6+0.3</f>
        <v>0.89999999999999991</v>
      </c>
      <c r="D908" s="19">
        <f>B908*C908</f>
        <v>1.3499999999999999</v>
      </c>
      <c r="E908" s="19">
        <v>2.5</v>
      </c>
      <c r="F908" s="19"/>
      <c r="G908" s="19"/>
      <c r="H908" s="19"/>
      <c r="I908" s="19">
        <v>1</v>
      </c>
      <c r="J908" s="19">
        <f>A908</f>
        <v>1</v>
      </c>
      <c r="K908" s="19">
        <f t="shared" ref="K908:L908" si="598">K901</f>
        <v>0</v>
      </c>
      <c r="L908" s="19">
        <f t="shared" si="598"/>
        <v>1</v>
      </c>
      <c r="M908" s="19"/>
      <c r="N908" s="19"/>
      <c r="O908" s="19"/>
      <c r="P908" s="19"/>
    </row>
    <row r="909" spans="1:16" ht="14.25" customHeight="1" x14ac:dyDescent="0.15">
      <c r="A909" s="19"/>
      <c r="B909" s="19"/>
      <c r="C909" s="19"/>
      <c r="D909" s="26" t="str">
        <f>D860</f>
        <v>9500</v>
      </c>
      <c r="E909" s="26" t="str">
        <f>E622</f>
        <v>1500</v>
      </c>
      <c r="F909" s="19">
        <v>2</v>
      </c>
      <c r="G909" s="19"/>
      <c r="H909" s="19">
        <f>B908*2</f>
        <v>3</v>
      </c>
      <c r="I909" s="19"/>
      <c r="J909" s="19"/>
      <c r="K909" s="19"/>
      <c r="L909" s="19"/>
      <c r="M909" s="19"/>
      <c r="N909" s="19"/>
      <c r="O909" s="19"/>
      <c r="P909" s="19"/>
    </row>
    <row r="910" spans="1:16" ht="14.25" customHeight="1" x14ac:dyDescent="0.15">
      <c r="A910" s="19"/>
      <c r="B910" s="19"/>
      <c r="C910" s="19"/>
      <c r="D910" s="19">
        <f>D908*D909</f>
        <v>12824.999999999998</v>
      </c>
      <c r="E910" s="19">
        <f>E909*E907</f>
        <v>9000</v>
      </c>
      <c r="F910" s="19">
        <f>F907*F909</f>
        <v>25000</v>
      </c>
      <c r="G910" s="19"/>
      <c r="H910" s="19">
        <f>H907*H909</f>
        <v>1140</v>
      </c>
      <c r="I910" s="19">
        <f t="shared" ref="I910:L910" si="599">I907*I908</f>
        <v>1500</v>
      </c>
      <c r="J910" s="19">
        <f t="shared" si="599"/>
        <v>1000</v>
      </c>
      <c r="K910" s="19">
        <f t="shared" si="599"/>
        <v>0</v>
      </c>
      <c r="L910" s="19">
        <f t="shared" si="599"/>
        <v>1500</v>
      </c>
      <c r="M910" s="19">
        <f>SUM(D910:L910)</f>
        <v>51965</v>
      </c>
      <c r="N910" s="19">
        <f>M910/A908</f>
        <v>51965</v>
      </c>
      <c r="O910" s="19">
        <f>N910*O907</f>
        <v>103930</v>
      </c>
      <c r="P910" s="19">
        <f>MROUND(O910,100)</f>
        <v>103900</v>
      </c>
    </row>
    <row r="911" spans="1:16" ht="14.25" customHeight="1" x14ac:dyDescent="0.15">
      <c r="A911" s="111"/>
      <c r="B911" s="87"/>
      <c r="C911" s="87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</row>
    <row r="912" spans="1:16" ht="14.25" customHeight="1" x14ac:dyDescent="0.15">
      <c r="A912" s="109" t="str">
        <f>PRICELIST!I674</f>
        <v>CBLP-RST-LVP-1500x600+1800</v>
      </c>
      <c r="B912" s="87"/>
      <c r="C912" s="87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</row>
    <row r="913" spans="1:16" ht="14.25" customHeight="1" x14ac:dyDescent="0.2">
      <c r="A913" s="45" t="s">
        <v>57</v>
      </c>
      <c r="B913" s="45" t="s">
        <v>59</v>
      </c>
      <c r="C913" s="45" t="s">
        <v>62</v>
      </c>
      <c r="D913" s="19" t="s">
        <v>64</v>
      </c>
      <c r="E913" s="19" t="s">
        <v>233</v>
      </c>
      <c r="F913" s="19" t="s">
        <v>94</v>
      </c>
      <c r="G913" s="45"/>
      <c r="H913" s="19" t="s">
        <v>67</v>
      </c>
      <c r="I913" s="19" t="s">
        <v>244</v>
      </c>
      <c r="J913" s="19" t="s">
        <v>71</v>
      </c>
      <c r="K913" s="19" t="s">
        <v>72</v>
      </c>
      <c r="L913" s="19" t="s">
        <v>73</v>
      </c>
      <c r="M913" s="19" t="s">
        <v>76</v>
      </c>
      <c r="N913" s="19" t="s">
        <v>78</v>
      </c>
      <c r="O913" s="19" t="s">
        <v>79</v>
      </c>
      <c r="P913" s="19" t="s">
        <v>81</v>
      </c>
    </row>
    <row r="914" spans="1:16" ht="14.25" customHeight="1" x14ac:dyDescent="0.2">
      <c r="A914" s="75"/>
      <c r="B914" s="75"/>
      <c r="C914" s="76" t="s">
        <v>245</v>
      </c>
      <c r="D914" s="21"/>
      <c r="E914" s="21">
        <v>6</v>
      </c>
      <c r="F914" s="23" t="str">
        <f>F907</f>
        <v>12500</v>
      </c>
      <c r="G914" s="77"/>
      <c r="H914" s="21">
        <v>380</v>
      </c>
      <c r="I914" s="23" t="str">
        <f t="shared" ref="I914:J914" si="600">I907</f>
        <v>1500</v>
      </c>
      <c r="J914" s="21">
        <f t="shared" si="600"/>
        <v>1000</v>
      </c>
      <c r="K914" s="21">
        <v>585</v>
      </c>
      <c r="L914" s="23" t="str">
        <f>L907</f>
        <v>1500</v>
      </c>
      <c r="M914" s="21"/>
      <c r="N914" s="21"/>
      <c r="O914" s="21">
        <f>O907</f>
        <v>2</v>
      </c>
      <c r="P914" s="21"/>
    </row>
    <row r="915" spans="1:16" ht="14.25" customHeight="1" x14ac:dyDescent="0.2">
      <c r="A915" s="45">
        <v>1</v>
      </c>
      <c r="B915" s="45">
        <v>1.5</v>
      </c>
      <c r="C915" s="45">
        <f>0.6+0.3</f>
        <v>0.89999999999999991</v>
      </c>
      <c r="D915" s="19">
        <f>B915*C915</f>
        <v>1.3499999999999999</v>
      </c>
      <c r="E915" s="19">
        <v>2.5</v>
      </c>
      <c r="F915" s="19"/>
      <c r="G915" s="78"/>
      <c r="H915" s="19"/>
      <c r="I915" s="19">
        <v>1</v>
      </c>
      <c r="J915" s="19">
        <f>A915</f>
        <v>1</v>
      </c>
      <c r="K915" s="19">
        <f t="shared" ref="K915:L915" si="601">K908</f>
        <v>0</v>
      </c>
      <c r="L915" s="19">
        <f t="shared" si="601"/>
        <v>1</v>
      </c>
      <c r="M915" s="19"/>
      <c r="N915" s="19"/>
      <c r="O915" s="19"/>
      <c r="P915" s="19"/>
    </row>
    <row r="916" spans="1:16" ht="14.25" customHeight="1" x14ac:dyDescent="0.2">
      <c r="A916" s="78"/>
      <c r="B916" s="78"/>
      <c r="C916" s="78"/>
      <c r="D916" s="26" t="str">
        <f>D867</f>
        <v>10500</v>
      </c>
      <c r="E916" s="26" t="str">
        <f>E909</f>
        <v>1500</v>
      </c>
      <c r="F916" s="19">
        <v>2</v>
      </c>
      <c r="G916" s="45"/>
      <c r="H916" s="19">
        <f>B915*2</f>
        <v>3</v>
      </c>
      <c r="I916" s="19"/>
      <c r="J916" s="19"/>
      <c r="K916" s="19"/>
      <c r="L916" s="19"/>
      <c r="M916" s="19"/>
      <c r="N916" s="19"/>
      <c r="O916" s="19"/>
      <c r="P916" s="19"/>
    </row>
    <row r="917" spans="1:16" ht="14.25" customHeight="1" x14ac:dyDescent="0.2">
      <c r="A917" s="78"/>
      <c r="B917" s="78"/>
      <c r="C917" s="78"/>
      <c r="D917" s="19">
        <f>D915*D916</f>
        <v>14174.999999999998</v>
      </c>
      <c r="E917" s="19">
        <f>E916*E914</f>
        <v>9000</v>
      </c>
      <c r="F917" s="19">
        <f>F914*F916</f>
        <v>25000</v>
      </c>
      <c r="G917" s="45"/>
      <c r="H917" s="19">
        <f>H914*H916</f>
        <v>1140</v>
      </c>
      <c r="I917" s="19">
        <f t="shared" ref="I917:L917" si="602">I914*I915</f>
        <v>1500</v>
      </c>
      <c r="J917" s="19">
        <f t="shared" si="602"/>
        <v>1000</v>
      </c>
      <c r="K917" s="19">
        <f t="shared" si="602"/>
        <v>0</v>
      </c>
      <c r="L917" s="19">
        <f t="shared" si="602"/>
        <v>1500</v>
      </c>
      <c r="M917" s="19">
        <f>SUM(D917:L917)</f>
        <v>53315</v>
      </c>
      <c r="N917" s="19">
        <f>M917/A915</f>
        <v>53315</v>
      </c>
      <c r="O917" s="19">
        <f>N917*O914</f>
        <v>106630</v>
      </c>
      <c r="P917" s="19">
        <f>MROUND(O917,100)</f>
        <v>106600</v>
      </c>
    </row>
    <row r="918" spans="1:16" ht="14.25" customHeight="1" x14ac:dyDescent="0.15">
      <c r="A918" s="115"/>
      <c r="B918" s="87"/>
      <c r="C918" s="87"/>
      <c r="D918" s="30"/>
      <c r="E918" s="30"/>
      <c r="F918" s="75"/>
      <c r="G918" s="75"/>
      <c r="H918" s="30"/>
      <c r="I918" s="30"/>
      <c r="J918" s="30"/>
      <c r="K918" s="30"/>
      <c r="L918" s="30"/>
      <c r="M918" s="30"/>
      <c r="N918" s="30"/>
      <c r="O918" s="30"/>
    </row>
    <row r="919" spans="1:16" ht="14.25" customHeight="1" x14ac:dyDescent="0.15">
      <c r="A919" s="109" t="str">
        <f>PRICELIST!I675</f>
        <v>CBLP-RST-VNR-1500x600+1800</v>
      </c>
      <c r="B919" s="87"/>
      <c r="C919" s="87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</row>
    <row r="920" spans="1:16" ht="14.25" customHeight="1" x14ac:dyDescent="0.2">
      <c r="A920" s="45" t="s">
        <v>57</v>
      </c>
      <c r="B920" s="45" t="s">
        <v>59</v>
      </c>
      <c r="C920" s="45" t="s">
        <v>62</v>
      </c>
      <c r="D920" s="19" t="s">
        <v>64</v>
      </c>
      <c r="E920" s="19" t="s">
        <v>233</v>
      </c>
      <c r="F920" s="19" t="s">
        <v>94</v>
      </c>
      <c r="G920" s="45"/>
      <c r="H920" s="19" t="s">
        <v>67</v>
      </c>
      <c r="I920" s="19" t="s">
        <v>244</v>
      </c>
      <c r="J920" s="19" t="s">
        <v>71</v>
      </c>
      <c r="K920" s="19" t="s">
        <v>72</v>
      </c>
      <c r="L920" s="19" t="s">
        <v>73</v>
      </c>
      <c r="M920" s="19" t="s">
        <v>76</v>
      </c>
      <c r="N920" s="19" t="s">
        <v>78</v>
      </c>
      <c r="O920" s="19" t="s">
        <v>79</v>
      </c>
      <c r="P920" s="19" t="s">
        <v>81</v>
      </c>
    </row>
    <row r="921" spans="1:16" ht="14.25" customHeight="1" x14ac:dyDescent="0.2">
      <c r="A921" s="75"/>
      <c r="B921" s="75"/>
      <c r="C921" s="76" t="s">
        <v>245</v>
      </c>
      <c r="D921" s="21"/>
      <c r="E921" s="21">
        <v>6</v>
      </c>
      <c r="F921" s="23" t="str">
        <f>F914</f>
        <v>12500</v>
      </c>
      <c r="G921" s="77"/>
      <c r="H921" s="21">
        <v>380</v>
      </c>
      <c r="I921" s="23" t="str">
        <f t="shared" ref="I921:J921" si="603">I914</f>
        <v>1500</v>
      </c>
      <c r="J921" s="21">
        <f t="shared" si="603"/>
        <v>1000</v>
      </c>
      <c r="K921" s="21">
        <v>585</v>
      </c>
      <c r="L921" s="23" t="str">
        <f>L914</f>
        <v>1500</v>
      </c>
      <c r="M921" s="21"/>
      <c r="N921" s="21"/>
      <c r="O921" s="21">
        <f>O914</f>
        <v>2</v>
      </c>
      <c r="P921" s="21"/>
    </row>
    <row r="922" spans="1:16" ht="14.25" customHeight="1" x14ac:dyDescent="0.2">
      <c r="A922" s="45">
        <v>1</v>
      </c>
      <c r="B922" s="45">
        <v>1.5</v>
      </c>
      <c r="C922" s="45">
        <f>0.6+0.3</f>
        <v>0.89999999999999991</v>
      </c>
      <c r="D922" s="19">
        <f>B922*C922</f>
        <v>1.3499999999999999</v>
      </c>
      <c r="E922" s="19">
        <v>2.5</v>
      </c>
      <c r="F922" s="19"/>
      <c r="G922" s="78"/>
      <c r="H922" s="19"/>
      <c r="I922" s="19">
        <v>1</v>
      </c>
      <c r="J922" s="19">
        <f>A922</f>
        <v>1</v>
      </c>
      <c r="K922" s="19">
        <f t="shared" ref="K922:L922" si="604">K915</f>
        <v>0</v>
      </c>
      <c r="L922" s="19">
        <f t="shared" si="604"/>
        <v>1</v>
      </c>
      <c r="M922" s="19"/>
      <c r="N922" s="19"/>
      <c r="O922" s="19"/>
      <c r="P922" s="19"/>
    </row>
    <row r="923" spans="1:16" ht="14.25" customHeight="1" x14ac:dyDescent="0.2">
      <c r="A923" s="78"/>
      <c r="B923" s="78"/>
      <c r="C923" s="78"/>
      <c r="D923" s="26" t="str">
        <f>D874</f>
        <v>30000</v>
      </c>
      <c r="E923" s="26" t="str">
        <f>E916</f>
        <v>1500</v>
      </c>
      <c r="F923" s="19">
        <v>2</v>
      </c>
      <c r="G923" s="45"/>
      <c r="H923" s="19">
        <f>B922*2</f>
        <v>3</v>
      </c>
      <c r="I923" s="19"/>
      <c r="J923" s="19"/>
      <c r="K923" s="19"/>
      <c r="L923" s="19"/>
      <c r="M923" s="19"/>
      <c r="N923" s="19"/>
      <c r="O923" s="19"/>
      <c r="P923" s="19"/>
    </row>
    <row r="924" spans="1:16" ht="14.25" customHeight="1" x14ac:dyDescent="0.2">
      <c r="A924" s="78"/>
      <c r="B924" s="78"/>
      <c r="C924" s="78"/>
      <c r="D924" s="19">
        <f>D922*D923</f>
        <v>40499.999999999993</v>
      </c>
      <c r="E924" s="19">
        <f>E923*E921</f>
        <v>9000</v>
      </c>
      <c r="F924" s="19">
        <f>F921*F923</f>
        <v>25000</v>
      </c>
      <c r="G924" s="45"/>
      <c r="H924" s="19">
        <f>H921*H923</f>
        <v>1140</v>
      </c>
      <c r="I924" s="19">
        <f t="shared" ref="I924:L924" si="605">I921*I922</f>
        <v>1500</v>
      </c>
      <c r="J924" s="19">
        <f t="shared" si="605"/>
        <v>1000</v>
      </c>
      <c r="K924" s="19">
        <f t="shared" si="605"/>
        <v>0</v>
      </c>
      <c r="L924" s="19">
        <f t="shared" si="605"/>
        <v>1500</v>
      </c>
      <c r="M924" s="19">
        <f>SUM(D924:L924)</f>
        <v>79640</v>
      </c>
      <c r="N924" s="19">
        <f>M924/A922</f>
        <v>79640</v>
      </c>
      <c r="O924" s="19">
        <f>N924*O921</f>
        <v>159280</v>
      </c>
      <c r="P924" s="19">
        <f>MROUND(O924,100)</f>
        <v>159300</v>
      </c>
    </row>
    <row r="925" spans="1:16" ht="14.25" customHeight="1" x14ac:dyDescent="0.15">
      <c r="A925" s="115"/>
      <c r="B925" s="87"/>
      <c r="C925" s="87"/>
      <c r="D925" s="30"/>
      <c r="E925" s="30"/>
      <c r="F925" s="30"/>
      <c r="G925" s="75"/>
      <c r="H925" s="30"/>
      <c r="I925" s="30"/>
      <c r="J925" s="30"/>
      <c r="K925" s="30"/>
      <c r="L925" s="30"/>
      <c r="M925" s="30"/>
      <c r="N925" s="30"/>
      <c r="O925" s="30"/>
    </row>
    <row r="926" spans="1:16" ht="14.25" customHeight="1" x14ac:dyDescent="0.15">
      <c r="A926" s="109" t="str">
        <f>PRICELIST!I676</f>
        <v>CBLP-RST-GL-1500x600+1800</v>
      </c>
      <c r="B926" s="87"/>
      <c r="C926" s="87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</row>
    <row r="927" spans="1:16" ht="14.25" customHeight="1" x14ac:dyDescent="0.2">
      <c r="A927" s="45" t="s">
        <v>57</v>
      </c>
      <c r="B927" s="45" t="s">
        <v>59</v>
      </c>
      <c r="C927" s="45" t="s">
        <v>62</v>
      </c>
      <c r="D927" s="19" t="s">
        <v>64</v>
      </c>
      <c r="E927" s="19" t="s">
        <v>233</v>
      </c>
      <c r="F927" s="19" t="s">
        <v>94</v>
      </c>
      <c r="G927" s="45"/>
      <c r="H927" s="19" t="s">
        <v>67</v>
      </c>
      <c r="I927" s="19" t="s">
        <v>244</v>
      </c>
      <c r="J927" s="19" t="s">
        <v>71</v>
      </c>
      <c r="K927" s="19" t="s">
        <v>72</v>
      </c>
      <c r="L927" s="19" t="s">
        <v>73</v>
      </c>
      <c r="M927" s="19" t="s">
        <v>76</v>
      </c>
      <c r="N927" s="19" t="s">
        <v>78</v>
      </c>
      <c r="O927" s="19" t="s">
        <v>79</v>
      </c>
      <c r="P927" s="19" t="s">
        <v>81</v>
      </c>
    </row>
    <row r="928" spans="1:16" ht="14.25" customHeight="1" x14ac:dyDescent="0.2">
      <c r="A928" s="75"/>
      <c r="B928" s="75"/>
      <c r="C928" s="76" t="s">
        <v>245</v>
      </c>
      <c r="D928" s="21"/>
      <c r="E928" s="21">
        <v>6</v>
      </c>
      <c r="F928" s="23" t="str">
        <f>F921</f>
        <v>12500</v>
      </c>
      <c r="G928" s="77"/>
      <c r="H928" s="21">
        <v>380</v>
      </c>
      <c r="I928" s="23" t="str">
        <f t="shared" ref="I928:J928" si="606">I921</f>
        <v>1500</v>
      </c>
      <c r="J928" s="21">
        <f t="shared" si="606"/>
        <v>1000</v>
      </c>
      <c r="K928" s="21">
        <v>585</v>
      </c>
      <c r="L928" s="23" t="str">
        <f>L921</f>
        <v>1500</v>
      </c>
      <c r="M928" s="21"/>
      <c r="N928" s="21"/>
      <c r="O928" s="21">
        <f>O921</f>
        <v>2</v>
      </c>
      <c r="P928" s="21"/>
    </row>
    <row r="929" spans="1:16" ht="14.25" customHeight="1" x14ac:dyDescent="0.2">
      <c r="A929" s="45">
        <v>1</v>
      </c>
      <c r="B929" s="45">
        <v>1.5</v>
      </c>
      <c r="C929" s="45">
        <f>0.6+0.3</f>
        <v>0.89999999999999991</v>
      </c>
      <c r="D929" s="19">
        <f>B929*C929</f>
        <v>1.3499999999999999</v>
      </c>
      <c r="E929" s="19">
        <v>2.5</v>
      </c>
      <c r="F929" s="19"/>
      <c r="G929" s="78"/>
      <c r="H929" s="19"/>
      <c r="I929" s="19">
        <v>1</v>
      </c>
      <c r="J929" s="19">
        <f>A929</f>
        <v>1</v>
      </c>
      <c r="K929" s="19">
        <f t="shared" ref="K929:L929" si="607">K922</f>
        <v>0</v>
      </c>
      <c r="L929" s="19">
        <f t="shared" si="607"/>
        <v>1</v>
      </c>
      <c r="M929" s="19"/>
      <c r="N929" s="19"/>
      <c r="O929" s="19"/>
      <c r="P929" s="19"/>
    </row>
    <row r="930" spans="1:16" ht="14.25" customHeight="1" x14ac:dyDescent="0.2">
      <c r="A930" s="78"/>
      <c r="B930" s="78"/>
      <c r="C930" s="78"/>
      <c r="D930" s="26" t="str">
        <f>D881</f>
        <v>7500</v>
      </c>
      <c r="E930" s="26" t="str">
        <f>E923</f>
        <v>1500</v>
      </c>
      <c r="F930" s="19">
        <v>2</v>
      </c>
      <c r="G930" s="45"/>
      <c r="H930" s="19">
        <f>B929*2</f>
        <v>3</v>
      </c>
      <c r="I930" s="19"/>
      <c r="J930" s="19"/>
      <c r="K930" s="19"/>
      <c r="L930" s="19"/>
      <c r="M930" s="19"/>
      <c r="N930" s="19"/>
      <c r="O930" s="19"/>
      <c r="P930" s="19"/>
    </row>
    <row r="931" spans="1:16" ht="14.25" customHeight="1" x14ac:dyDescent="0.2">
      <c r="A931" s="78"/>
      <c r="B931" s="78"/>
      <c r="C931" s="78"/>
      <c r="D931" s="19">
        <f>D929*D930</f>
        <v>10124.999999999998</v>
      </c>
      <c r="E931" s="19">
        <f>E930*E928</f>
        <v>9000</v>
      </c>
      <c r="F931" s="19">
        <f>F928*F930</f>
        <v>25000</v>
      </c>
      <c r="G931" s="45"/>
      <c r="H931" s="19">
        <f>H928*H930</f>
        <v>1140</v>
      </c>
      <c r="I931" s="19">
        <f t="shared" ref="I931:L931" si="608">I928*I929</f>
        <v>1500</v>
      </c>
      <c r="J931" s="19">
        <f t="shared" si="608"/>
        <v>1000</v>
      </c>
      <c r="K931" s="19">
        <f t="shared" si="608"/>
        <v>0</v>
      </c>
      <c r="L931" s="19">
        <f t="shared" si="608"/>
        <v>1500</v>
      </c>
      <c r="M931" s="19">
        <f>SUM(D931:L931)</f>
        <v>49265</v>
      </c>
      <c r="N931" s="19">
        <f>M931/A929</f>
        <v>49265</v>
      </c>
      <c r="O931" s="19">
        <f>N931*O928</f>
        <v>98530</v>
      </c>
      <c r="P931" s="19">
        <f>MROUND(O931,100)</f>
        <v>98500</v>
      </c>
    </row>
    <row r="932" spans="1:16" ht="14.25" customHeight="1" x14ac:dyDescent="0.15">
      <c r="A932" s="115"/>
      <c r="B932" s="87"/>
      <c r="C932" s="87"/>
      <c r="D932" s="75"/>
      <c r="E932" s="30"/>
      <c r="F932" s="30"/>
      <c r="G932" s="75"/>
      <c r="H932" s="30"/>
      <c r="I932" s="30"/>
      <c r="J932" s="30"/>
      <c r="K932" s="30"/>
      <c r="L932" s="30"/>
      <c r="M932" s="30"/>
      <c r="N932" s="30"/>
      <c r="O932" s="30"/>
    </row>
    <row r="933" spans="1:16" ht="14.25" customHeight="1" x14ac:dyDescent="0.15">
      <c r="A933" s="109" t="str">
        <f>PRICELIST!I677</f>
        <v>CBLP-RST-PB-1800x750+1800</v>
      </c>
      <c r="B933" s="87"/>
      <c r="C933" s="87"/>
      <c r="D933" s="30"/>
      <c r="E933" s="30"/>
      <c r="F933" s="21"/>
      <c r="G933" s="30"/>
      <c r="H933" s="19"/>
      <c r="I933" s="19"/>
      <c r="J933" s="19"/>
      <c r="K933" s="19"/>
      <c r="L933" s="19"/>
      <c r="M933" s="19"/>
      <c r="N933" s="19"/>
      <c r="O933" s="19"/>
      <c r="P933" s="19"/>
    </row>
    <row r="934" spans="1:16" ht="14.25" customHeight="1" x14ac:dyDescent="0.2">
      <c r="A934" s="45" t="s">
        <v>57</v>
      </c>
      <c r="B934" s="45" t="s">
        <v>59</v>
      </c>
      <c r="C934" s="45" t="s">
        <v>62</v>
      </c>
      <c r="D934" s="19" t="s">
        <v>64</v>
      </c>
      <c r="E934" s="19" t="s">
        <v>233</v>
      </c>
      <c r="F934" s="19" t="s">
        <v>94</v>
      </c>
      <c r="G934" s="45"/>
      <c r="H934" s="19" t="s">
        <v>67</v>
      </c>
      <c r="I934" s="19" t="s">
        <v>244</v>
      </c>
      <c r="J934" s="19" t="s">
        <v>71</v>
      </c>
      <c r="K934" s="19" t="s">
        <v>72</v>
      </c>
      <c r="L934" s="19" t="s">
        <v>73</v>
      </c>
      <c r="M934" s="19" t="s">
        <v>76</v>
      </c>
      <c r="N934" s="19" t="s">
        <v>78</v>
      </c>
      <c r="O934" s="19" t="s">
        <v>79</v>
      </c>
      <c r="P934" s="19" t="s">
        <v>81</v>
      </c>
    </row>
    <row r="935" spans="1:16" ht="14.25" customHeight="1" x14ac:dyDescent="0.2">
      <c r="A935" s="75"/>
      <c r="B935" s="75"/>
      <c r="C935" s="76" t="s">
        <v>245</v>
      </c>
      <c r="D935" s="21"/>
      <c r="E935" s="21">
        <v>6</v>
      </c>
      <c r="F935" s="23" t="str">
        <f>F928</f>
        <v>12500</v>
      </c>
      <c r="G935" s="77"/>
      <c r="H935" s="21">
        <v>380</v>
      </c>
      <c r="I935" s="23" t="str">
        <f t="shared" ref="I935:J935" si="609">I928</f>
        <v>1500</v>
      </c>
      <c r="J935" s="21">
        <f t="shared" si="609"/>
        <v>1000</v>
      </c>
      <c r="K935" s="21">
        <v>585</v>
      </c>
      <c r="L935" s="23" t="str">
        <f>L928</f>
        <v>1500</v>
      </c>
      <c r="M935" s="21"/>
      <c r="N935" s="21"/>
      <c r="O935" s="21">
        <f>O928</f>
        <v>2</v>
      </c>
      <c r="P935" s="21"/>
    </row>
    <row r="936" spans="1:16" ht="14.25" customHeight="1" x14ac:dyDescent="0.2">
      <c r="A936" s="45">
        <v>1</v>
      </c>
      <c r="B936" s="45">
        <v>1.8</v>
      </c>
      <c r="C936" s="45">
        <f>0.75+0.3</f>
        <v>1.05</v>
      </c>
      <c r="D936" s="19">
        <f>B936*C936</f>
        <v>1.8900000000000001</v>
      </c>
      <c r="E936" s="19">
        <v>2.5</v>
      </c>
      <c r="F936" s="19"/>
      <c r="G936" s="78"/>
      <c r="H936" s="19"/>
      <c r="I936" s="19">
        <v>1</v>
      </c>
      <c r="J936" s="19">
        <f>A936</f>
        <v>1</v>
      </c>
      <c r="K936" s="19">
        <f t="shared" ref="K936:L936" si="610">K929</f>
        <v>0</v>
      </c>
      <c r="L936" s="19">
        <f t="shared" si="610"/>
        <v>1</v>
      </c>
      <c r="M936" s="19"/>
      <c r="N936" s="19"/>
      <c r="O936" s="19"/>
      <c r="P936" s="19"/>
    </row>
    <row r="937" spans="1:16" ht="14.25" customHeight="1" x14ac:dyDescent="0.2">
      <c r="A937" s="78"/>
      <c r="B937" s="78"/>
      <c r="C937" s="78"/>
      <c r="D937" s="26" t="str">
        <f t="shared" ref="D937:E937" si="611">D888</f>
        <v>2200</v>
      </c>
      <c r="E937" s="26" t="str">
        <f t="shared" si="611"/>
        <v>1000</v>
      </c>
      <c r="F937" s="19">
        <v>2</v>
      </c>
      <c r="G937" s="45"/>
      <c r="H937" s="19">
        <f>B936*2</f>
        <v>3.6</v>
      </c>
      <c r="I937" s="19"/>
      <c r="J937" s="19"/>
      <c r="K937" s="19"/>
      <c r="L937" s="19"/>
      <c r="M937" s="19"/>
      <c r="N937" s="19"/>
      <c r="O937" s="19"/>
      <c r="P937" s="19"/>
    </row>
    <row r="938" spans="1:16" ht="14.25" customHeight="1" x14ac:dyDescent="0.2">
      <c r="A938" s="78"/>
      <c r="B938" s="78"/>
      <c r="C938" s="78"/>
      <c r="D938" s="19">
        <f>D936*D937</f>
        <v>4158</v>
      </c>
      <c r="E938" s="19">
        <f>E937*E935</f>
        <v>6000</v>
      </c>
      <c r="F938" s="19">
        <f>F935*F937</f>
        <v>25000</v>
      </c>
      <c r="G938" s="45"/>
      <c r="H938" s="19">
        <f>H935*H937</f>
        <v>1368</v>
      </c>
      <c r="I938" s="19">
        <f t="shared" ref="I938:L938" si="612">I935*I936</f>
        <v>1500</v>
      </c>
      <c r="J938" s="19">
        <f t="shared" si="612"/>
        <v>1000</v>
      </c>
      <c r="K938" s="19">
        <f t="shared" si="612"/>
        <v>0</v>
      </c>
      <c r="L938" s="19">
        <f t="shared" si="612"/>
        <v>1500</v>
      </c>
      <c r="M938" s="19">
        <f>SUM(D938:L938)</f>
        <v>40526</v>
      </c>
      <c r="N938" s="19">
        <f>M938/A936</f>
        <v>40526</v>
      </c>
      <c r="O938" s="19">
        <f>N938*O935</f>
        <v>81052</v>
      </c>
      <c r="P938" s="19">
        <f>MROUND(O938,100)</f>
        <v>81100</v>
      </c>
    </row>
    <row r="939" spans="1:16" ht="14.25" customHeight="1" x14ac:dyDescent="0.15">
      <c r="A939" s="115"/>
      <c r="B939" s="87"/>
      <c r="C939" s="87"/>
      <c r="D939" s="30"/>
      <c r="E939" s="30"/>
      <c r="F939" s="30"/>
      <c r="G939" s="75"/>
      <c r="H939" s="30"/>
      <c r="I939" s="30"/>
      <c r="J939" s="30"/>
      <c r="K939" s="30"/>
      <c r="L939" s="30"/>
      <c r="M939" s="30"/>
      <c r="N939" s="30"/>
      <c r="O939" s="30"/>
    </row>
    <row r="940" spans="1:16" ht="14.25" customHeight="1" x14ac:dyDescent="0.15">
      <c r="A940" s="109" t="str">
        <f>PRICELIST!I678</f>
        <v>CBLP-RST-PLM-1800x750+1800</v>
      </c>
      <c r="B940" s="87"/>
      <c r="C940" s="87"/>
      <c r="D940" s="30"/>
      <c r="E940" s="30"/>
      <c r="F940" s="19"/>
      <c r="G940" s="30"/>
      <c r="H940" s="19"/>
      <c r="I940" s="19"/>
      <c r="J940" s="19"/>
      <c r="K940" s="19"/>
      <c r="L940" s="19"/>
      <c r="M940" s="19"/>
      <c r="N940" s="19"/>
      <c r="O940" s="19"/>
      <c r="P940" s="19"/>
    </row>
    <row r="941" spans="1:16" ht="14.25" customHeight="1" x14ac:dyDescent="0.2">
      <c r="A941" s="45" t="s">
        <v>57</v>
      </c>
      <c r="B941" s="45" t="s">
        <v>59</v>
      </c>
      <c r="C941" s="45" t="s">
        <v>62</v>
      </c>
      <c r="D941" s="19" t="s">
        <v>64</v>
      </c>
      <c r="E941" s="19" t="s">
        <v>233</v>
      </c>
      <c r="F941" s="19" t="s">
        <v>94</v>
      </c>
      <c r="G941" s="45"/>
      <c r="H941" s="19" t="s">
        <v>67</v>
      </c>
      <c r="I941" s="19" t="s">
        <v>244</v>
      </c>
      <c r="J941" s="19" t="s">
        <v>71</v>
      </c>
      <c r="K941" s="19" t="s">
        <v>72</v>
      </c>
      <c r="L941" s="19" t="s">
        <v>73</v>
      </c>
      <c r="M941" s="19" t="s">
        <v>76</v>
      </c>
      <c r="N941" s="19" t="s">
        <v>78</v>
      </c>
      <c r="O941" s="19" t="s">
        <v>79</v>
      </c>
      <c r="P941" s="19" t="s">
        <v>81</v>
      </c>
    </row>
    <row r="942" spans="1:16" ht="14.25" customHeight="1" x14ac:dyDescent="0.2">
      <c r="A942" s="75"/>
      <c r="B942" s="75"/>
      <c r="C942" s="76" t="s">
        <v>245</v>
      </c>
      <c r="D942" s="21"/>
      <c r="E942" s="21">
        <v>6</v>
      </c>
      <c r="F942" s="23" t="str">
        <f>F935</f>
        <v>12500</v>
      </c>
      <c r="G942" s="77"/>
      <c r="H942" s="21">
        <v>380</v>
      </c>
      <c r="I942" s="23" t="str">
        <f t="shared" ref="I942:J942" si="613">I935</f>
        <v>1500</v>
      </c>
      <c r="J942" s="21">
        <f t="shared" si="613"/>
        <v>1000</v>
      </c>
      <c r="K942" s="21">
        <v>585</v>
      </c>
      <c r="L942" s="23" t="str">
        <f>L935</f>
        <v>1500</v>
      </c>
      <c r="M942" s="21"/>
      <c r="N942" s="21"/>
      <c r="O942" s="21">
        <f>O935</f>
        <v>2</v>
      </c>
      <c r="P942" s="21"/>
    </row>
    <row r="943" spans="1:16" ht="14.25" customHeight="1" x14ac:dyDescent="0.2">
      <c r="A943" s="45">
        <v>1</v>
      </c>
      <c r="B943" s="45">
        <v>1.8</v>
      </c>
      <c r="C943" s="45">
        <f>0.75+0.3</f>
        <v>1.05</v>
      </c>
      <c r="D943" s="19">
        <f>B943*C943</f>
        <v>1.8900000000000001</v>
      </c>
      <c r="E943" s="19">
        <v>2.5</v>
      </c>
      <c r="F943" s="19"/>
      <c r="G943" s="78"/>
      <c r="H943" s="19"/>
      <c r="I943" s="19">
        <v>1</v>
      </c>
      <c r="J943" s="19">
        <f>A943</f>
        <v>1</v>
      </c>
      <c r="K943" s="19">
        <f t="shared" ref="K943:L943" si="614">K936</f>
        <v>0</v>
      </c>
      <c r="L943" s="19">
        <f t="shared" si="614"/>
        <v>1</v>
      </c>
      <c r="M943" s="19"/>
      <c r="N943" s="19"/>
      <c r="O943" s="19"/>
      <c r="P943" s="19"/>
    </row>
    <row r="944" spans="1:16" ht="14.25" customHeight="1" x14ac:dyDescent="0.2">
      <c r="A944" s="78"/>
      <c r="B944" s="78"/>
      <c r="C944" s="78"/>
      <c r="D944" s="26" t="str">
        <f>D895</f>
        <v>3000</v>
      </c>
      <c r="E944" s="26" t="str">
        <f>E937</f>
        <v>1000</v>
      </c>
      <c r="F944" s="19">
        <v>2</v>
      </c>
      <c r="G944" s="45"/>
      <c r="H944" s="19">
        <f>B943*2</f>
        <v>3.6</v>
      </c>
      <c r="I944" s="19"/>
      <c r="J944" s="19"/>
      <c r="K944" s="19"/>
      <c r="L944" s="19"/>
      <c r="M944" s="19"/>
      <c r="N944" s="19"/>
      <c r="O944" s="19"/>
      <c r="P944" s="19"/>
    </row>
    <row r="945" spans="1:16" ht="14.25" customHeight="1" x14ac:dyDescent="0.2">
      <c r="A945" s="78"/>
      <c r="B945" s="78"/>
      <c r="C945" s="78"/>
      <c r="D945" s="19">
        <f>D943*D944</f>
        <v>5670</v>
      </c>
      <c r="E945" s="19">
        <f>E944*E942</f>
        <v>6000</v>
      </c>
      <c r="F945" s="19">
        <f>F942*F944</f>
        <v>25000</v>
      </c>
      <c r="G945" s="45"/>
      <c r="H945" s="19">
        <f>H942*H944</f>
        <v>1368</v>
      </c>
      <c r="I945" s="19">
        <f t="shared" ref="I945:L945" si="615">I942*I943</f>
        <v>1500</v>
      </c>
      <c r="J945" s="19">
        <f t="shared" si="615"/>
        <v>1000</v>
      </c>
      <c r="K945" s="19">
        <f t="shared" si="615"/>
        <v>0</v>
      </c>
      <c r="L945" s="19">
        <f t="shared" si="615"/>
        <v>1500</v>
      </c>
      <c r="M945" s="19">
        <f>SUM(D945:L945)</f>
        <v>42038</v>
      </c>
      <c r="N945" s="19">
        <f>M945/A943</f>
        <v>42038</v>
      </c>
      <c r="O945" s="19">
        <f>N945*O942</f>
        <v>84076</v>
      </c>
      <c r="P945" s="19">
        <f>MROUND(O945,100)</f>
        <v>84100</v>
      </c>
    </row>
    <row r="946" spans="1:16" ht="14.25" customHeight="1" x14ac:dyDescent="0.15">
      <c r="A946" s="115"/>
      <c r="B946" s="87"/>
      <c r="C946" s="87"/>
      <c r="D946" s="30"/>
      <c r="E946" s="30"/>
      <c r="F946" s="75"/>
      <c r="G946" s="75"/>
      <c r="H946" s="75"/>
      <c r="I946" s="75"/>
      <c r="J946" s="75"/>
      <c r="K946" s="75"/>
      <c r="L946" s="75"/>
      <c r="M946" s="75"/>
      <c r="N946" s="75"/>
      <c r="O946" s="30"/>
      <c r="P946" s="75"/>
    </row>
    <row r="947" spans="1:16" ht="14.25" customHeight="1" x14ac:dyDescent="0.15">
      <c r="A947" s="109" t="str">
        <f>PRICELIST!I679</f>
        <v>CBLP-RST-PoLM-1800x750+1800</v>
      </c>
      <c r="B947" s="87"/>
      <c r="C947" s="87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</row>
    <row r="948" spans="1:16" ht="14.25" customHeight="1" x14ac:dyDescent="0.2">
      <c r="A948" s="45" t="s">
        <v>57</v>
      </c>
      <c r="B948" s="45" t="s">
        <v>59</v>
      </c>
      <c r="C948" s="45" t="s">
        <v>62</v>
      </c>
      <c r="D948" s="19" t="s">
        <v>64</v>
      </c>
      <c r="E948" s="19" t="s">
        <v>233</v>
      </c>
      <c r="F948" s="19" t="s">
        <v>94</v>
      </c>
      <c r="G948" s="45"/>
      <c r="H948" s="19" t="s">
        <v>67</v>
      </c>
      <c r="I948" s="19" t="s">
        <v>244</v>
      </c>
      <c r="J948" s="19" t="s">
        <v>71</v>
      </c>
      <c r="K948" s="19" t="s">
        <v>72</v>
      </c>
      <c r="L948" s="19" t="s">
        <v>73</v>
      </c>
      <c r="M948" s="19" t="s">
        <v>76</v>
      </c>
      <c r="N948" s="19" t="s">
        <v>78</v>
      </c>
      <c r="O948" s="19" t="s">
        <v>79</v>
      </c>
      <c r="P948" s="19" t="s">
        <v>81</v>
      </c>
    </row>
    <row r="949" spans="1:16" ht="14.25" customHeight="1" x14ac:dyDescent="0.2">
      <c r="A949" s="75"/>
      <c r="B949" s="75"/>
      <c r="C949" s="76" t="s">
        <v>245</v>
      </c>
      <c r="D949" s="21"/>
      <c r="E949" s="21">
        <v>6</v>
      </c>
      <c r="F949" s="23" t="str">
        <f>F942</f>
        <v>12500</v>
      </c>
      <c r="G949" s="77"/>
      <c r="H949" s="21">
        <v>380</v>
      </c>
      <c r="I949" s="23" t="str">
        <f t="shared" ref="I949:J949" si="616">I942</f>
        <v>1500</v>
      </c>
      <c r="J949" s="21">
        <f t="shared" si="616"/>
        <v>1000</v>
      </c>
      <c r="K949" s="21">
        <v>585</v>
      </c>
      <c r="L949" s="23" t="str">
        <f>L942</f>
        <v>1500</v>
      </c>
      <c r="M949" s="21"/>
      <c r="N949" s="21"/>
      <c r="O949" s="21">
        <f>O942</f>
        <v>2</v>
      </c>
      <c r="P949" s="21"/>
    </row>
    <row r="950" spans="1:16" ht="14.25" customHeight="1" x14ac:dyDescent="0.2">
      <c r="A950" s="45">
        <v>1</v>
      </c>
      <c r="B950" s="45">
        <v>1.8</v>
      </c>
      <c r="C950" s="45">
        <f>0.75+0.3</f>
        <v>1.05</v>
      </c>
      <c r="D950" s="19">
        <f>B950*C950</f>
        <v>1.8900000000000001</v>
      </c>
      <c r="E950" s="19">
        <v>2.5</v>
      </c>
      <c r="F950" s="19"/>
      <c r="G950" s="78"/>
      <c r="H950" s="19"/>
      <c r="I950" s="19">
        <v>1</v>
      </c>
      <c r="J950" s="19">
        <f>A950</f>
        <v>1</v>
      </c>
      <c r="K950" s="19">
        <f t="shared" ref="K950:L950" si="617">K943</f>
        <v>0</v>
      </c>
      <c r="L950" s="19">
        <f t="shared" si="617"/>
        <v>1</v>
      </c>
      <c r="M950" s="19"/>
      <c r="N950" s="19"/>
      <c r="O950" s="19"/>
      <c r="P950" s="19"/>
    </row>
    <row r="951" spans="1:16" ht="14.25" customHeight="1" x14ac:dyDescent="0.2">
      <c r="A951" s="78"/>
      <c r="B951" s="78"/>
      <c r="C951" s="78"/>
      <c r="D951" s="26" t="str">
        <f>D902</f>
        <v>7500</v>
      </c>
      <c r="E951" s="26" t="str">
        <f>E944</f>
        <v>1000</v>
      </c>
      <c r="F951" s="19">
        <v>2</v>
      </c>
      <c r="G951" s="45"/>
      <c r="H951" s="19">
        <f>B950*2</f>
        <v>3.6</v>
      </c>
      <c r="I951" s="19"/>
      <c r="J951" s="19"/>
      <c r="K951" s="19"/>
      <c r="L951" s="19"/>
      <c r="M951" s="19"/>
      <c r="N951" s="19"/>
      <c r="O951" s="19"/>
      <c r="P951" s="19"/>
    </row>
    <row r="952" spans="1:16" ht="14.25" customHeight="1" x14ac:dyDescent="0.2">
      <c r="A952" s="78"/>
      <c r="B952" s="78"/>
      <c r="C952" s="78"/>
      <c r="D952" s="19">
        <f>D950*D951</f>
        <v>14175.000000000002</v>
      </c>
      <c r="E952" s="19">
        <f>E951*E949</f>
        <v>6000</v>
      </c>
      <c r="F952" s="19">
        <f>F949*F951</f>
        <v>25000</v>
      </c>
      <c r="G952" s="45"/>
      <c r="H952" s="19">
        <f>H949*H951</f>
        <v>1368</v>
      </c>
      <c r="I952" s="19">
        <f t="shared" ref="I952:L952" si="618">I949*I950</f>
        <v>1500</v>
      </c>
      <c r="J952" s="19">
        <f t="shared" si="618"/>
        <v>1000</v>
      </c>
      <c r="K952" s="19">
        <f t="shared" si="618"/>
        <v>0</v>
      </c>
      <c r="L952" s="19">
        <f t="shared" si="618"/>
        <v>1500</v>
      </c>
      <c r="M952" s="19">
        <f>SUM(D952:L952)</f>
        <v>50543</v>
      </c>
      <c r="N952" s="19">
        <f>M952/A950</f>
        <v>50543</v>
      </c>
      <c r="O952" s="19">
        <f>N952*O949</f>
        <v>101086</v>
      </c>
      <c r="P952" s="19">
        <f>MROUND(O952,100)</f>
        <v>101100</v>
      </c>
    </row>
    <row r="953" spans="1:16" ht="14.25" customHeight="1" x14ac:dyDescent="0.15">
      <c r="A953" s="115"/>
      <c r="B953" s="87"/>
      <c r="C953" s="87"/>
      <c r="D953" s="30"/>
      <c r="E953" s="30"/>
      <c r="F953" s="30"/>
      <c r="G953" s="75"/>
      <c r="H953" s="30"/>
      <c r="I953" s="30"/>
      <c r="J953" s="30"/>
      <c r="K953" s="30"/>
      <c r="L953" s="30"/>
      <c r="M953" s="30"/>
      <c r="N953" s="30"/>
      <c r="O953" s="30"/>
    </row>
    <row r="954" spans="1:16" ht="14.25" customHeight="1" x14ac:dyDescent="0.15">
      <c r="A954" s="109" t="str">
        <f>PRICELIST!I680</f>
        <v>CBLP-RST-LVM-1800x750+1800</v>
      </c>
      <c r="B954" s="87"/>
      <c r="C954" s="87"/>
      <c r="D954" s="21"/>
      <c r="E954" s="21"/>
      <c r="F954" s="19"/>
      <c r="G954" s="21"/>
      <c r="H954" s="19"/>
      <c r="I954" s="19"/>
      <c r="J954" s="19"/>
      <c r="K954" s="19"/>
      <c r="L954" s="19"/>
      <c r="M954" s="19"/>
      <c r="N954" s="19"/>
      <c r="O954" s="19"/>
      <c r="P954" s="19"/>
    </row>
    <row r="955" spans="1:16" ht="14.25" customHeight="1" x14ac:dyDescent="0.2">
      <c r="A955" s="45" t="s">
        <v>57</v>
      </c>
      <c r="B955" s="45" t="s">
        <v>59</v>
      </c>
      <c r="C955" s="45" t="s">
        <v>62</v>
      </c>
      <c r="D955" s="19" t="s">
        <v>64</v>
      </c>
      <c r="E955" s="19" t="s">
        <v>233</v>
      </c>
      <c r="F955" s="19" t="s">
        <v>94</v>
      </c>
      <c r="G955" s="45"/>
      <c r="H955" s="19" t="s">
        <v>67</v>
      </c>
      <c r="I955" s="19" t="s">
        <v>244</v>
      </c>
      <c r="J955" s="19" t="s">
        <v>71</v>
      </c>
      <c r="K955" s="19" t="s">
        <v>72</v>
      </c>
      <c r="L955" s="19" t="s">
        <v>73</v>
      </c>
      <c r="M955" s="19" t="s">
        <v>76</v>
      </c>
      <c r="N955" s="19" t="s">
        <v>78</v>
      </c>
      <c r="O955" s="19" t="s">
        <v>79</v>
      </c>
      <c r="P955" s="19" t="s">
        <v>81</v>
      </c>
    </row>
    <row r="956" spans="1:16" ht="14.25" customHeight="1" x14ac:dyDescent="0.2">
      <c r="A956" s="75"/>
      <c r="B956" s="75"/>
      <c r="C956" s="76" t="s">
        <v>245</v>
      </c>
      <c r="D956" s="21"/>
      <c r="E956" s="21">
        <v>6</v>
      </c>
      <c r="F956" s="23" t="str">
        <f>F949</f>
        <v>12500</v>
      </c>
      <c r="G956" s="77"/>
      <c r="H956" s="21">
        <v>380</v>
      </c>
      <c r="I956" s="23" t="str">
        <f t="shared" ref="I956:J956" si="619">I949</f>
        <v>1500</v>
      </c>
      <c r="J956" s="21">
        <f t="shared" si="619"/>
        <v>1000</v>
      </c>
      <c r="K956" s="21">
        <v>585</v>
      </c>
      <c r="L956" s="23" t="str">
        <f>L949</f>
        <v>1500</v>
      </c>
      <c r="M956" s="21"/>
      <c r="N956" s="21"/>
      <c r="O956" s="21">
        <f>O949</f>
        <v>2</v>
      </c>
      <c r="P956" s="21"/>
    </row>
    <row r="957" spans="1:16" ht="14.25" customHeight="1" x14ac:dyDescent="0.2">
      <c r="A957" s="45">
        <v>1</v>
      </c>
      <c r="B957" s="45">
        <v>1.8</v>
      </c>
      <c r="C957" s="45">
        <f>0.75+0.3</f>
        <v>1.05</v>
      </c>
      <c r="D957" s="19">
        <f>B957*C957</f>
        <v>1.8900000000000001</v>
      </c>
      <c r="E957" s="19">
        <v>2.5</v>
      </c>
      <c r="F957" s="19"/>
      <c r="G957" s="78"/>
      <c r="H957" s="19"/>
      <c r="I957" s="19">
        <v>1</v>
      </c>
      <c r="J957" s="19">
        <f>A957</f>
        <v>1</v>
      </c>
      <c r="K957" s="19">
        <f t="shared" ref="K957:L957" si="620">K950</f>
        <v>0</v>
      </c>
      <c r="L957" s="19">
        <f t="shared" si="620"/>
        <v>1</v>
      </c>
      <c r="M957" s="19"/>
      <c r="N957" s="19"/>
      <c r="O957" s="19"/>
      <c r="P957" s="19"/>
    </row>
    <row r="958" spans="1:16" ht="14.25" customHeight="1" x14ac:dyDescent="0.2">
      <c r="A958" s="78"/>
      <c r="B958" s="78"/>
      <c r="C958" s="78"/>
      <c r="D958" s="26" t="str">
        <f>D909</f>
        <v>9500</v>
      </c>
      <c r="E958" s="26" t="str">
        <f>E916</f>
        <v>1500</v>
      </c>
      <c r="F958" s="19">
        <v>2</v>
      </c>
      <c r="G958" s="45"/>
      <c r="H958" s="19">
        <f>B957*2</f>
        <v>3.6</v>
      </c>
      <c r="I958" s="19"/>
      <c r="J958" s="19"/>
      <c r="K958" s="19"/>
      <c r="L958" s="19"/>
      <c r="M958" s="19"/>
      <c r="N958" s="19"/>
      <c r="O958" s="19"/>
      <c r="P958" s="19"/>
    </row>
    <row r="959" spans="1:16" ht="14.25" customHeight="1" x14ac:dyDescent="0.2">
      <c r="A959" s="78"/>
      <c r="B959" s="78"/>
      <c r="C959" s="78"/>
      <c r="D959" s="19">
        <f>D957*D958</f>
        <v>17955</v>
      </c>
      <c r="E959" s="19">
        <f>E958*E956</f>
        <v>9000</v>
      </c>
      <c r="F959" s="19">
        <f>F956*F958</f>
        <v>25000</v>
      </c>
      <c r="G959" s="45"/>
      <c r="H959" s="19">
        <f>H956*H958</f>
        <v>1368</v>
      </c>
      <c r="I959" s="19">
        <f t="shared" ref="I959:L959" si="621">I956*I957</f>
        <v>1500</v>
      </c>
      <c r="J959" s="19">
        <f t="shared" si="621"/>
        <v>1000</v>
      </c>
      <c r="K959" s="19">
        <f t="shared" si="621"/>
        <v>0</v>
      </c>
      <c r="L959" s="19">
        <f t="shared" si="621"/>
        <v>1500</v>
      </c>
      <c r="M959" s="19">
        <f>SUM(D959:L959)</f>
        <v>57323</v>
      </c>
      <c r="N959" s="19">
        <f>M959/A957</f>
        <v>57323</v>
      </c>
      <c r="O959" s="19">
        <f>N959*O956</f>
        <v>114646</v>
      </c>
      <c r="P959" s="19">
        <f>MROUND(O959,100)</f>
        <v>114600</v>
      </c>
    </row>
    <row r="960" spans="1:16" ht="14.25" customHeight="1" x14ac:dyDescent="0.15">
      <c r="A960" s="10"/>
      <c r="B960" s="10"/>
      <c r="C960" s="10"/>
      <c r="D960" s="30"/>
      <c r="E960" s="30"/>
      <c r="F960" s="30"/>
      <c r="G960" s="21"/>
      <c r="H960" s="30"/>
      <c r="I960" s="30"/>
      <c r="J960" s="30"/>
      <c r="K960" s="30"/>
      <c r="L960" s="30"/>
      <c r="M960" s="30"/>
      <c r="N960" s="30"/>
      <c r="O960" s="30"/>
    </row>
    <row r="961" spans="1:16" ht="14.25" customHeight="1" x14ac:dyDescent="0.15">
      <c r="A961" s="109" t="str">
        <f>PRICELIST!I681</f>
        <v>CBLP-RST-LVP-1800x750+1800</v>
      </c>
      <c r="B961" s="87"/>
      <c r="C961" s="87"/>
      <c r="D961" s="19"/>
      <c r="E961" s="19"/>
      <c r="F961" s="21"/>
      <c r="G961" s="19"/>
      <c r="H961" s="19"/>
      <c r="I961" s="19"/>
      <c r="J961" s="19"/>
      <c r="K961" s="19"/>
      <c r="L961" s="19"/>
      <c r="M961" s="19"/>
      <c r="N961" s="19"/>
      <c r="O961" s="19"/>
      <c r="P961" s="19"/>
    </row>
    <row r="962" spans="1:16" ht="14.25" customHeight="1" x14ac:dyDescent="0.2">
      <c r="A962" s="45" t="s">
        <v>57</v>
      </c>
      <c r="B962" s="45" t="s">
        <v>59</v>
      </c>
      <c r="C962" s="45" t="s">
        <v>62</v>
      </c>
      <c r="D962" s="19" t="s">
        <v>64</v>
      </c>
      <c r="E962" s="19" t="s">
        <v>233</v>
      </c>
      <c r="F962" s="19" t="s">
        <v>94</v>
      </c>
      <c r="G962" s="45"/>
      <c r="H962" s="19" t="s">
        <v>67</v>
      </c>
      <c r="I962" s="19" t="s">
        <v>244</v>
      </c>
      <c r="J962" s="19" t="s">
        <v>71</v>
      </c>
      <c r="K962" s="19" t="s">
        <v>72</v>
      </c>
      <c r="L962" s="19" t="s">
        <v>73</v>
      </c>
      <c r="M962" s="19" t="s">
        <v>76</v>
      </c>
      <c r="N962" s="19" t="s">
        <v>78</v>
      </c>
      <c r="O962" s="19" t="s">
        <v>79</v>
      </c>
      <c r="P962" s="19" t="s">
        <v>81</v>
      </c>
    </row>
    <row r="963" spans="1:16" ht="14.25" customHeight="1" x14ac:dyDescent="0.2">
      <c r="A963" s="75"/>
      <c r="B963" s="75"/>
      <c r="C963" s="76" t="s">
        <v>245</v>
      </c>
      <c r="D963" s="21"/>
      <c r="E963" s="21">
        <v>6</v>
      </c>
      <c r="F963" s="23" t="str">
        <f>F956</f>
        <v>12500</v>
      </c>
      <c r="G963" s="77"/>
      <c r="H963" s="21">
        <v>380</v>
      </c>
      <c r="I963" s="23" t="str">
        <f t="shared" ref="I963:J963" si="622">I956</f>
        <v>1500</v>
      </c>
      <c r="J963" s="21">
        <f t="shared" si="622"/>
        <v>1000</v>
      </c>
      <c r="K963" s="21">
        <v>585</v>
      </c>
      <c r="L963" s="23" t="str">
        <f>L956</f>
        <v>1500</v>
      </c>
      <c r="M963" s="21"/>
      <c r="N963" s="21"/>
      <c r="O963" s="21">
        <f>O956</f>
        <v>2</v>
      </c>
      <c r="P963" s="21"/>
    </row>
    <row r="964" spans="1:16" ht="14.25" customHeight="1" x14ac:dyDescent="0.2">
      <c r="A964" s="45">
        <v>1</v>
      </c>
      <c r="B964" s="45">
        <v>1.8</v>
      </c>
      <c r="C964" s="45">
        <f>0.75+0.3</f>
        <v>1.05</v>
      </c>
      <c r="D964" s="19">
        <f>B964*C964</f>
        <v>1.8900000000000001</v>
      </c>
      <c r="E964" s="19">
        <v>2.5</v>
      </c>
      <c r="F964" s="19"/>
      <c r="G964" s="78"/>
      <c r="H964" s="19"/>
      <c r="I964" s="19">
        <v>1</v>
      </c>
      <c r="J964" s="19">
        <f>A964</f>
        <v>1</v>
      </c>
      <c r="K964" s="19">
        <f t="shared" ref="K964:L964" si="623">K957</f>
        <v>0</v>
      </c>
      <c r="L964" s="19">
        <f t="shared" si="623"/>
        <v>1</v>
      </c>
      <c r="M964" s="19"/>
      <c r="N964" s="19"/>
      <c r="O964" s="19"/>
      <c r="P964" s="19"/>
    </row>
    <row r="965" spans="1:16" ht="14.25" customHeight="1" x14ac:dyDescent="0.2">
      <c r="A965" s="78"/>
      <c r="B965" s="78"/>
      <c r="C965" s="78"/>
      <c r="D965" s="26" t="str">
        <f>D916</f>
        <v>10500</v>
      </c>
      <c r="E965" s="26" t="str">
        <f>E958</f>
        <v>1500</v>
      </c>
      <c r="F965" s="19">
        <v>2</v>
      </c>
      <c r="G965" s="45"/>
      <c r="H965" s="19">
        <f>B964*2</f>
        <v>3.6</v>
      </c>
      <c r="I965" s="19"/>
      <c r="J965" s="19"/>
      <c r="K965" s="19"/>
      <c r="L965" s="19"/>
      <c r="M965" s="19"/>
      <c r="N965" s="19"/>
      <c r="O965" s="19"/>
      <c r="P965" s="19"/>
    </row>
    <row r="966" spans="1:16" ht="14.25" customHeight="1" x14ac:dyDescent="0.2">
      <c r="A966" s="78"/>
      <c r="B966" s="78"/>
      <c r="C966" s="78"/>
      <c r="D966" s="19">
        <f>D964*D965</f>
        <v>19845</v>
      </c>
      <c r="E966" s="19">
        <f>E965*E963</f>
        <v>9000</v>
      </c>
      <c r="F966" s="19">
        <f>F963*F965</f>
        <v>25000</v>
      </c>
      <c r="G966" s="45"/>
      <c r="H966" s="19">
        <f>H963*H965</f>
        <v>1368</v>
      </c>
      <c r="I966" s="19">
        <f t="shared" ref="I966:L966" si="624">I963*I964</f>
        <v>1500</v>
      </c>
      <c r="J966" s="19">
        <f t="shared" si="624"/>
        <v>1000</v>
      </c>
      <c r="K966" s="19">
        <f t="shared" si="624"/>
        <v>0</v>
      </c>
      <c r="L966" s="19">
        <f t="shared" si="624"/>
        <v>1500</v>
      </c>
      <c r="M966" s="19">
        <f>SUM(D966:L966)</f>
        <v>59213</v>
      </c>
      <c r="N966" s="19">
        <f>M966/A964</f>
        <v>59213</v>
      </c>
      <c r="O966" s="19">
        <f>N966*O963</f>
        <v>118426</v>
      </c>
      <c r="P966" s="19">
        <f>MROUND(O966,100)</f>
        <v>118400</v>
      </c>
    </row>
    <row r="967" spans="1:16" ht="14.25" customHeight="1" x14ac:dyDescent="0.15">
      <c r="A967" s="115"/>
      <c r="B967" s="87"/>
      <c r="C967" s="87"/>
      <c r="D967" s="30"/>
      <c r="E967" s="30"/>
      <c r="F967" s="30"/>
      <c r="G967" s="75"/>
      <c r="H967" s="30"/>
      <c r="I967" s="30"/>
      <c r="J967" s="30"/>
      <c r="K967" s="30"/>
      <c r="L967" s="30"/>
      <c r="M967" s="30"/>
      <c r="N967" s="30"/>
      <c r="O967" s="30"/>
    </row>
    <row r="968" spans="1:16" ht="14.25" customHeight="1" x14ac:dyDescent="0.15">
      <c r="A968" s="109" t="str">
        <f>PRICELIST!I682</f>
        <v>CBLP-RST-VNR-1800x750+1800</v>
      </c>
      <c r="B968" s="87"/>
      <c r="C968" s="87"/>
      <c r="D968" s="19"/>
      <c r="E968" s="19"/>
      <c r="F968" s="19"/>
      <c r="G968" s="19"/>
      <c r="H968" s="21"/>
      <c r="I968" s="21"/>
      <c r="J968" s="21"/>
      <c r="K968" s="21"/>
      <c r="L968" s="21"/>
      <c r="M968" s="21"/>
      <c r="N968" s="21"/>
      <c r="O968" s="21"/>
      <c r="P968" s="21"/>
    </row>
    <row r="969" spans="1:16" ht="14.25" customHeight="1" x14ac:dyDescent="0.2">
      <c r="A969" s="45" t="s">
        <v>57</v>
      </c>
      <c r="B969" s="45" t="s">
        <v>59</v>
      </c>
      <c r="C969" s="45" t="s">
        <v>62</v>
      </c>
      <c r="D969" s="19" t="s">
        <v>64</v>
      </c>
      <c r="E969" s="19" t="s">
        <v>233</v>
      </c>
      <c r="F969" s="19" t="s">
        <v>94</v>
      </c>
      <c r="G969" s="45"/>
      <c r="H969" s="19" t="s">
        <v>67</v>
      </c>
      <c r="I969" s="19" t="s">
        <v>244</v>
      </c>
      <c r="J969" s="19" t="s">
        <v>71</v>
      </c>
      <c r="K969" s="19" t="s">
        <v>72</v>
      </c>
      <c r="L969" s="19" t="s">
        <v>73</v>
      </c>
      <c r="M969" s="19" t="s">
        <v>76</v>
      </c>
      <c r="N969" s="19" t="s">
        <v>78</v>
      </c>
      <c r="O969" s="19" t="s">
        <v>79</v>
      </c>
      <c r="P969" s="19" t="s">
        <v>81</v>
      </c>
    </row>
    <row r="970" spans="1:16" ht="14.25" customHeight="1" x14ac:dyDescent="0.2">
      <c r="A970" s="75"/>
      <c r="B970" s="75"/>
      <c r="C970" s="76" t="s">
        <v>245</v>
      </c>
      <c r="D970" s="21"/>
      <c r="E970" s="21">
        <v>6</v>
      </c>
      <c r="F970" s="23" t="str">
        <f>F963</f>
        <v>12500</v>
      </c>
      <c r="G970" s="77"/>
      <c r="H970" s="21">
        <v>380</v>
      </c>
      <c r="I970" s="23" t="str">
        <f t="shared" ref="I970:J970" si="625">I963</f>
        <v>1500</v>
      </c>
      <c r="J970" s="21">
        <f t="shared" si="625"/>
        <v>1000</v>
      </c>
      <c r="K970" s="21">
        <v>585</v>
      </c>
      <c r="L970" s="23" t="str">
        <f>L963</f>
        <v>1500</v>
      </c>
      <c r="M970" s="21"/>
      <c r="N970" s="21"/>
      <c r="O970" s="21">
        <f>O963</f>
        <v>2</v>
      </c>
      <c r="P970" s="21"/>
    </row>
    <row r="971" spans="1:16" ht="14.25" customHeight="1" x14ac:dyDescent="0.2">
      <c r="A971" s="45">
        <v>1</v>
      </c>
      <c r="B971" s="45">
        <v>1.8</v>
      </c>
      <c r="C971" s="45">
        <f>0.75+0.3</f>
        <v>1.05</v>
      </c>
      <c r="D971" s="19">
        <f>B971*C971</f>
        <v>1.8900000000000001</v>
      </c>
      <c r="E971" s="19">
        <v>2.5</v>
      </c>
      <c r="F971" s="19"/>
      <c r="G971" s="78"/>
      <c r="H971" s="19"/>
      <c r="I971" s="19">
        <v>1</v>
      </c>
      <c r="J971" s="19">
        <f>A971</f>
        <v>1</v>
      </c>
      <c r="K971" s="19">
        <f t="shared" ref="K971:L971" si="626">K964</f>
        <v>0</v>
      </c>
      <c r="L971" s="19">
        <f t="shared" si="626"/>
        <v>1</v>
      </c>
      <c r="M971" s="19"/>
      <c r="N971" s="19"/>
      <c r="O971" s="19"/>
      <c r="P971" s="19"/>
    </row>
    <row r="972" spans="1:16" ht="14.25" customHeight="1" x14ac:dyDescent="0.2">
      <c r="A972" s="78"/>
      <c r="B972" s="78"/>
      <c r="C972" s="78"/>
      <c r="D972" s="26" t="str">
        <f>D923</f>
        <v>30000</v>
      </c>
      <c r="E972" s="26" t="str">
        <f>E965</f>
        <v>1500</v>
      </c>
      <c r="F972" s="19">
        <v>2</v>
      </c>
      <c r="G972" s="45"/>
      <c r="H972" s="19">
        <f>B971*2</f>
        <v>3.6</v>
      </c>
      <c r="I972" s="19"/>
      <c r="J972" s="19"/>
      <c r="K972" s="19"/>
      <c r="L972" s="19"/>
      <c r="M972" s="19"/>
      <c r="N972" s="19"/>
      <c r="O972" s="19"/>
      <c r="P972" s="19"/>
    </row>
    <row r="973" spans="1:16" ht="14.25" customHeight="1" x14ac:dyDescent="0.2">
      <c r="A973" s="78"/>
      <c r="B973" s="78"/>
      <c r="C973" s="78"/>
      <c r="D973" s="19">
        <f>D971*D972</f>
        <v>56700.000000000007</v>
      </c>
      <c r="E973" s="19">
        <f>E972*E970</f>
        <v>9000</v>
      </c>
      <c r="F973" s="19">
        <f>F970*F972</f>
        <v>25000</v>
      </c>
      <c r="G973" s="45"/>
      <c r="H973" s="19">
        <f>H970*H972</f>
        <v>1368</v>
      </c>
      <c r="I973" s="19">
        <f t="shared" ref="I973:L973" si="627">I970*I971</f>
        <v>1500</v>
      </c>
      <c r="J973" s="19">
        <f t="shared" si="627"/>
        <v>1000</v>
      </c>
      <c r="K973" s="19">
        <f t="shared" si="627"/>
        <v>0</v>
      </c>
      <c r="L973" s="19">
        <f t="shared" si="627"/>
        <v>1500</v>
      </c>
      <c r="M973" s="19">
        <f>SUM(D973:L973)</f>
        <v>96068</v>
      </c>
      <c r="N973" s="19">
        <f>M973/A971</f>
        <v>96068</v>
      </c>
      <c r="O973" s="19">
        <f>N973*O970</f>
        <v>192136</v>
      </c>
      <c r="P973" s="19">
        <f>MROUND(O973,100)</f>
        <v>192100</v>
      </c>
    </row>
    <row r="974" spans="1:16" ht="14.25" customHeight="1" x14ac:dyDescent="0.15">
      <c r="A974" s="115"/>
      <c r="B974" s="87"/>
      <c r="C974" s="87"/>
      <c r="D974" s="30"/>
      <c r="E974" s="30"/>
      <c r="F974" s="75"/>
      <c r="G974" s="75"/>
      <c r="H974" s="30"/>
      <c r="I974" s="30"/>
      <c r="J974" s="30"/>
      <c r="K974" s="30"/>
      <c r="L974" s="30"/>
      <c r="M974" s="30"/>
      <c r="N974" s="30"/>
      <c r="O974" s="30"/>
    </row>
    <row r="975" spans="1:16" ht="14.25" customHeight="1" x14ac:dyDescent="0.15">
      <c r="A975" s="109" t="str">
        <f>PRICELIST!I683</f>
        <v>CBLP-RST-GL-1800x750+1800</v>
      </c>
      <c r="B975" s="87"/>
      <c r="C975" s="87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</row>
    <row r="976" spans="1:16" ht="14.25" customHeight="1" x14ac:dyDescent="0.2">
      <c r="A976" s="45" t="s">
        <v>57</v>
      </c>
      <c r="B976" s="45" t="s">
        <v>59</v>
      </c>
      <c r="C976" s="45" t="s">
        <v>62</v>
      </c>
      <c r="D976" s="19" t="s">
        <v>64</v>
      </c>
      <c r="E976" s="19" t="s">
        <v>233</v>
      </c>
      <c r="F976" s="19" t="s">
        <v>94</v>
      </c>
      <c r="G976" s="45"/>
      <c r="H976" s="19" t="s">
        <v>67</v>
      </c>
      <c r="I976" s="19" t="s">
        <v>244</v>
      </c>
      <c r="J976" s="19" t="s">
        <v>71</v>
      </c>
      <c r="K976" s="19" t="s">
        <v>72</v>
      </c>
      <c r="L976" s="19" t="s">
        <v>73</v>
      </c>
      <c r="M976" s="19" t="s">
        <v>76</v>
      </c>
      <c r="N976" s="19" t="s">
        <v>78</v>
      </c>
      <c r="O976" s="19" t="s">
        <v>79</v>
      </c>
      <c r="P976" s="19" t="s">
        <v>81</v>
      </c>
    </row>
    <row r="977" spans="1:16" ht="14.25" customHeight="1" x14ac:dyDescent="0.2">
      <c r="A977" s="75"/>
      <c r="B977" s="75"/>
      <c r="C977" s="76" t="s">
        <v>245</v>
      </c>
      <c r="D977" s="21"/>
      <c r="E977" s="21">
        <v>6</v>
      </c>
      <c r="F977" s="23" t="str">
        <f>F970</f>
        <v>12500</v>
      </c>
      <c r="G977" s="77"/>
      <c r="H977" s="21">
        <v>380</v>
      </c>
      <c r="I977" s="23" t="str">
        <f t="shared" ref="I977:J977" si="628">I970</f>
        <v>1500</v>
      </c>
      <c r="J977" s="21">
        <f t="shared" si="628"/>
        <v>1000</v>
      </c>
      <c r="K977" s="21">
        <v>585</v>
      </c>
      <c r="L977" s="23" t="str">
        <f>L970</f>
        <v>1500</v>
      </c>
      <c r="M977" s="21"/>
      <c r="N977" s="21"/>
      <c r="O977" s="21">
        <f>O970</f>
        <v>2</v>
      </c>
      <c r="P977" s="21"/>
    </row>
    <row r="978" spans="1:16" ht="14.25" customHeight="1" x14ac:dyDescent="0.2">
      <c r="A978" s="45">
        <v>1</v>
      </c>
      <c r="B978" s="45">
        <v>1.8</v>
      </c>
      <c r="C978" s="45">
        <f>0.75+0.3</f>
        <v>1.05</v>
      </c>
      <c r="D978" s="19">
        <f>B978*C978</f>
        <v>1.8900000000000001</v>
      </c>
      <c r="E978" s="19">
        <v>2.5</v>
      </c>
      <c r="F978" s="19"/>
      <c r="G978" s="78"/>
      <c r="H978" s="19"/>
      <c r="I978" s="19">
        <v>1</v>
      </c>
      <c r="J978" s="19">
        <f>A978</f>
        <v>1</v>
      </c>
      <c r="K978" s="19">
        <f t="shared" ref="K978:L978" si="629">K971</f>
        <v>0</v>
      </c>
      <c r="L978" s="19">
        <f t="shared" si="629"/>
        <v>1</v>
      </c>
      <c r="M978" s="19"/>
      <c r="N978" s="19"/>
      <c r="O978" s="19"/>
      <c r="P978" s="19"/>
    </row>
    <row r="979" spans="1:16" ht="14.25" customHeight="1" x14ac:dyDescent="0.2">
      <c r="A979" s="78"/>
      <c r="B979" s="78"/>
      <c r="C979" s="78"/>
      <c r="D979" s="26" t="str">
        <f>D930</f>
        <v>7500</v>
      </c>
      <c r="E979" s="26" t="str">
        <f>E972</f>
        <v>1500</v>
      </c>
      <c r="F979" s="19">
        <v>2</v>
      </c>
      <c r="G979" s="45"/>
      <c r="H979" s="19">
        <f>B978*2</f>
        <v>3.6</v>
      </c>
      <c r="I979" s="19"/>
      <c r="J979" s="19"/>
      <c r="K979" s="19"/>
      <c r="L979" s="19"/>
      <c r="M979" s="19"/>
      <c r="N979" s="19"/>
      <c r="O979" s="19"/>
      <c r="P979" s="19"/>
    </row>
    <row r="980" spans="1:16" ht="14.25" customHeight="1" x14ac:dyDescent="0.2">
      <c r="A980" s="78"/>
      <c r="B980" s="78"/>
      <c r="C980" s="78"/>
      <c r="D980" s="19">
        <f>D978*D979</f>
        <v>14175.000000000002</v>
      </c>
      <c r="E980" s="19">
        <f>E979*E977</f>
        <v>9000</v>
      </c>
      <c r="F980" s="19">
        <f>F977*F979</f>
        <v>25000</v>
      </c>
      <c r="G980" s="45"/>
      <c r="H980" s="19">
        <f>H977*H979</f>
        <v>1368</v>
      </c>
      <c r="I980" s="19">
        <f t="shared" ref="I980:L980" si="630">I977*I978</f>
        <v>1500</v>
      </c>
      <c r="J980" s="19">
        <f t="shared" si="630"/>
        <v>1000</v>
      </c>
      <c r="K980" s="19">
        <f t="shared" si="630"/>
        <v>0</v>
      </c>
      <c r="L980" s="19">
        <f t="shared" si="630"/>
        <v>1500</v>
      </c>
      <c r="M980" s="19">
        <f>SUM(D980:L980)</f>
        <v>53543</v>
      </c>
      <c r="N980" s="19">
        <f>M980/A978</f>
        <v>53543</v>
      </c>
      <c r="O980" s="19">
        <f>N980*O977</f>
        <v>107086</v>
      </c>
      <c r="P980" s="19">
        <f>MROUND(O980,100)</f>
        <v>107100</v>
      </c>
    </row>
    <row r="981" spans="1:16" ht="14.25" customHeight="1" x14ac:dyDescent="0.15">
      <c r="A981" s="115"/>
      <c r="B981" s="87"/>
      <c r="C981" s="87"/>
      <c r="D981" s="75"/>
      <c r="E981" s="30"/>
      <c r="F981" s="30"/>
      <c r="G981" s="75"/>
      <c r="H981" s="30"/>
      <c r="I981" s="30"/>
      <c r="J981" s="30"/>
      <c r="K981" s="30"/>
      <c r="L981" s="30"/>
      <c r="M981" s="30"/>
      <c r="N981" s="30"/>
      <c r="O981" s="30"/>
    </row>
    <row r="982" spans="1:16" ht="14.25" customHeight="1" x14ac:dyDescent="0.15">
      <c r="A982" s="109" t="str">
        <f>PRICELIST!I684</f>
        <v>CBLP-RST-PB-2100x900+1800</v>
      </c>
      <c r="B982" s="87"/>
      <c r="C982" s="87"/>
      <c r="D982" s="30"/>
      <c r="E982" s="30"/>
      <c r="F982" s="19"/>
      <c r="G982" s="30"/>
      <c r="H982" s="19"/>
      <c r="I982" s="19"/>
      <c r="J982" s="19"/>
      <c r="K982" s="19"/>
      <c r="L982" s="19"/>
      <c r="M982" s="19"/>
      <c r="N982" s="19"/>
      <c r="O982" s="19"/>
      <c r="P982" s="19"/>
    </row>
    <row r="983" spans="1:16" ht="14.25" customHeight="1" x14ac:dyDescent="0.2">
      <c r="A983" s="45" t="s">
        <v>57</v>
      </c>
      <c r="B983" s="45" t="s">
        <v>59</v>
      </c>
      <c r="C983" s="45" t="s">
        <v>62</v>
      </c>
      <c r="D983" s="19" t="s">
        <v>64</v>
      </c>
      <c r="E983" s="19" t="s">
        <v>233</v>
      </c>
      <c r="F983" s="19" t="s">
        <v>94</v>
      </c>
      <c r="G983" s="45"/>
      <c r="H983" s="19" t="s">
        <v>67</v>
      </c>
      <c r="I983" s="19" t="s">
        <v>244</v>
      </c>
      <c r="J983" s="19" t="s">
        <v>71</v>
      </c>
      <c r="K983" s="19" t="s">
        <v>72</v>
      </c>
      <c r="L983" s="19" t="s">
        <v>73</v>
      </c>
      <c r="M983" s="19" t="s">
        <v>76</v>
      </c>
      <c r="N983" s="19" t="s">
        <v>78</v>
      </c>
      <c r="O983" s="19" t="s">
        <v>79</v>
      </c>
      <c r="P983" s="19" t="s">
        <v>81</v>
      </c>
    </row>
    <row r="984" spans="1:16" ht="14.25" customHeight="1" x14ac:dyDescent="0.2">
      <c r="A984" s="75"/>
      <c r="B984" s="75"/>
      <c r="C984" s="76" t="s">
        <v>245</v>
      </c>
      <c r="D984" s="21"/>
      <c r="E984" s="21">
        <v>6</v>
      </c>
      <c r="F984" s="23" t="str">
        <f>F977</f>
        <v>12500</v>
      </c>
      <c r="G984" s="77"/>
      <c r="H984" s="21">
        <v>380</v>
      </c>
      <c r="I984" s="23" t="str">
        <f t="shared" ref="I984:J984" si="631">I977</f>
        <v>1500</v>
      </c>
      <c r="J984" s="21">
        <f t="shared" si="631"/>
        <v>1000</v>
      </c>
      <c r="K984" s="21">
        <v>585</v>
      </c>
      <c r="L984" s="23" t="str">
        <f>L977</f>
        <v>1500</v>
      </c>
      <c r="M984" s="21"/>
      <c r="N984" s="21"/>
      <c r="O984" s="21">
        <f>O977</f>
        <v>2</v>
      </c>
      <c r="P984" s="21"/>
    </row>
    <row r="985" spans="1:16" ht="14.25" customHeight="1" x14ac:dyDescent="0.2">
      <c r="A985" s="45">
        <v>1</v>
      </c>
      <c r="B985" s="45">
        <v>2.1</v>
      </c>
      <c r="C985" s="45">
        <v>1.2</v>
      </c>
      <c r="D985" s="19">
        <f>B985*C985</f>
        <v>2.52</v>
      </c>
      <c r="E985" s="19">
        <v>2.5</v>
      </c>
      <c r="F985" s="19"/>
      <c r="G985" s="78"/>
      <c r="H985" s="19"/>
      <c r="I985" s="19">
        <v>1</v>
      </c>
      <c r="J985" s="19">
        <f>A985</f>
        <v>1</v>
      </c>
      <c r="K985" s="19">
        <f t="shared" ref="K985:L985" si="632">K978</f>
        <v>0</v>
      </c>
      <c r="L985" s="19">
        <f t="shared" si="632"/>
        <v>1</v>
      </c>
      <c r="M985" s="19"/>
      <c r="N985" s="19"/>
      <c r="O985" s="19"/>
      <c r="P985" s="19"/>
    </row>
    <row r="986" spans="1:16" ht="14.25" customHeight="1" x14ac:dyDescent="0.2">
      <c r="A986" s="78"/>
      <c r="B986" s="78"/>
      <c r="C986" s="78"/>
      <c r="D986" s="26" t="str">
        <f t="shared" ref="D986:E986" si="633">D937</f>
        <v>2200</v>
      </c>
      <c r="E986" s="26" t="str">
        <f t="shared" si="633"/>
        <v>1000</v>
      </c>
      <c r="F986" s="19">
        <v>2</v>
      </c>
      <c r="G986" s="45"/>
      <c r="H986" s="19">
        <f>B985*2</f>
        <v>4.2</v>
      </c>
      <c r="I986" s="19"/>
      <c r="J986" s="19"/>
      <c r="K986" s="19"/>
      <c r="L986" s="19"/>
      <c r="M986" s="19"/>
      <c r="N986" s="19"/>
      <c r="O986" s="19"/>
      <c r="P986" s="19"/>
    </row>
    <row r="987" spans="1:16" ht="14.25" customHeight="1" x14ac:dyDescent="0.2">
      <c r="A987" s="78"/>
      <c r="B987" s="78"/>
      <c r="C987" s="78"/>
      <c r="D987" s="19">
        <f>D985*D986</f>
        <v>5544</v>
      </c>
      <c r="E987" s="19">
        <f>E986*E984</f>
        <v>6000</v>
      </c>
      <c r="F987" s="19">
        <f>F984*F986</f>
        <v>25000</v>
      </c>
      <c r="G987" s="45"/>
      <c r="H987" s="19">
        <f>H984*H986</f>
        <v>1596</v>
      </c>
      <c r="I987" s="19">
        <f t="shared" ref="I987:L987" si="634">I984*I985</f>
        <v>1500</v>
      </c>
      <c r="J987" s="19">
        <f t="shared" si="634"/>
        <v>1000</v>
      </c>
      <c r="K987" s="19">
        <f t="shared" si="634"/>
        <v>0</v>
      </c>
      <c r="L987" s="19">
        <f t="shared" si="634"/>
        <v>1500</v>
      </c>
      <c r="M987" s="19">
        <f>SUM(D987:L987)</f>
        <v>42140</v>
      </c>
      <c r="N987" s="19">
        <f>M987/A985</f>
        <v>42140</v>
      </c>
      <c r="O987" s="19">
        <f>N987*O984</f>
        <v>84280</v>
      </c>
      <c r="P987" s="19">
        <f>MROUND(O987,100)</f>
        <v>84300</v>
      </c>
    </row>
    <row r="988" spans="1:16" ht="14.25" customHeight="1" x14ac:dyDescent="0.15">
      <c r="A988" s="115"/>
      <c r="B988" s="87"/>
      <c r="C988" s="87"/>
      <c r="D988" s="30"/>
      <c r="E988" s="30"/>
      <c r="F988" s="30"/>
      <c r="G988" s="75"/>
      <c r="H988" s="30"/>
      <c r="I988" s="30"/>
      <c r="J988" s="30"/>
      <c r="K988" s="30"/>
      <c r="L988" s="30"/>
      <c r="M988" s="30"/>
      <c r="N988" s="30"/>
      <c r="O988" s="30"/>
    </row>
    <row r="989" spans="1:16" ht="14.25" customHeight="1" x14ac:dyDescent="0.15">
      <c r="A989" s="109" t="str">
        <f>PRICELIST!I685</f>
        <v>CBLP-RST-PLM-2100x900+1800</v>
      </c>
      <c r="B989" s="87"/>
      <c r="C989" s="87"/>
      <c r="D989" s="30"/>
      <c r="E989" s="30"/>
      <c r="F989" s="21"/>
      <c r="G989" s="30"/>
      <c r="H989" s="19"/>
      <c r="I989" s="19"/>
      <c r="J989" s="19"/>
      <c r="K989" s="19"/>
      <c r="L989" s="19"/>
      <c r="M989" s="19"/>
      <c r="N989" s="19"/>
      <c r="O989" s="19"/>
      <c r="P989" s="19"/>
    </row>
    <row r="990" spans="1:16" ht="14.25" customHeight="1" x14ac:dyDescent="0.2">
      <c r="A990" s="45" t="s">
        <v>57</v>
      </c>
      <c r="B990" s="45" t="s">
        <v>59</v>
      </c>
      <c r="C990" s="45" t="s">
        <v>62</v>
      </c>
      <c r="D990" s="19" t="s">
        <v>64</v>
      </c>
      <c r="E990" s="19" t="s">
        <v>233</v>
      </c>
      <c r="F990" s="19" t="s">
        <v>94</v>
      </c>
      <c r="G990" s="45"/>
      <c r="H990" s="19" t="s">
        <v>67</v>
      </c>
      <c r="I990" s="19" t="s">
        <v>244</v>
      </c>
      <c r="J990" s="19" t="s">
        <v>71</v>
      </c>
      <c r="K990" s="19" t="s">
        <v>72</v>
      </c>
      <c r="L990" s="19" t="s">
        <v>73</v>
      </c>
      <c r="M990" s="19" t="s">
        <v>76</v>
      </c>
      <c r="N990" s="19" t="s">
        <v>78</v>
      </c>
      <c r="O990" s="19" t="s">
        <v>79</v>
      </c>
      <c r="P990" s="19" t="s">
        <v>81</v>
      </c>
    </row>
    <row r="991" spans="1:16" ht="14.25" customHeight="1" x14ac:dyDescent="0.2">
      <c r="A991" s="75"/>
      <c r="B991" s="75"/>
      <c r="C991" s="76" t="s">
        <v>245</v>
      </c>
      <c r="D991" s="21"/>
      <c r="E991" s="21">
        <v>6</v>
      </c>
      <c r="F991" s="23" t="str">
        <f>F984</f>
        <v>12500</v>
      </c>
      <c r="G991" s="77"/>
      <c r="H991" s="21">
        <v>380</v>
      </c>
      <c r="I991" s="23" t="str">
        <f t="shared" ref="I991:J991" si="635">I984</f>
        <v>1500</v>
      </c>
      <c r="J991" s="21">
        <f t="shared" si="635"/>
        <v>1000</v>
      </c>
      <c r="K991" s="21">
        <v>585</v>
      </c>
      <c r="L991" s="23" t="str">
        <f>L984</f>
        <v>1500</v>
      </c>
      <c r="M991" s="21"/>
      <c r="N991" s="21"/>
      <c r="O991" s="21">
        <f>O984</f>
        <v>2</v>
      </c>
      <c r="P991" s="21"/>
    </row>
    <row r="992" spans="1:16" ht="14.25" customHeight="1" x14ac:dyDescent="0.2">
      <c r="A992" s="45">
        <v>1</v>
      </c>
      <c r="B992" s="45">
        <v>2.1</v>
      </c>
      <c r="C992" s="45">
        <v>1.2</v>
      </c>
      <c r="D992" s="19">
        <f>B992*C992</f>
        <v>2.52</v>
      </c>
      <c r="E992" s="19">
        <v>2.5</v>
      </c>
      <c r="F992" s="19"/>
      <c r="G992" s="78"/>
      <c r="H992" s="19"/>
      <c r="I992" s="19">
        <v>1</v>
      </c>
      <c r="J992" s="19">
        <f>A992</f>
        <v>1</v>
      </c>
      <c r="K992" s="19">
        <f t="shared" ref="K992:L992" si="636">K985</f>
        <v>0</v>
      </c>
      <c r="L992" s="19">
        <f t="shared" si="636"/>
        <v>1</v>
      </c>
      <c r="M992" s="19"/>
      <c r="N992" s="19"/>
      <c r="O992" s="19"/>
      <c r="P992" s="19"/>
    </row>
    <row r="993" spans="1:16" ht="14.25" customHeight="1" x14ac:dyDescent="0.2">
      <c r="A993" s="78"/>
      <c r="B993" s="78"/>
      <c r="C993" s="78"/>
      <c r="D993" s="26" t="str">
        <f>D944</f>
        <v>3000</v>
      </c>
      <c r="E993" s="26" t="str">
        <f>E986</f>
        <v>1000</v>
      </c>
      <c r="F993" s="19">
        <v>2</v>
      </c>
      <c r="G993" s="45"/>
      <c r="H993" s="19">
        <f>B992*2</f>
        <v>4.2</v>
      </c>
      <c r="I993" s="19"/>
      <c r="J993" s="19"/>
      <c r="K993" s="19"/>
      <c r="L993" s="19"/>
      <c r="M993" s="19"/>
      <c r="N993" s="19"/>
      <c r="O993" s="19"/>
      <c r="P993" s="19"/>
    </row>
    <row r="994" spans="1:16" ht="14.25" customHeight="1" x14ac:dyDescent="0.2">
      <c r="A994" s="78"/>
      <c r="B994" s="78"/>
      <c r="C994" s="78"/>
      <c r="D994" s="19">
        <f>D992*D993</f>
        <v>7560</v>
      </c>
      <c r="E994" s="19">
        <f>E993*E991</f>
        <v>6000</v>
      </c>
      <c r="F994" s="19">
        <f>F991*F993</f>
        <v>25000</v>
      </c>
      <c r="G994" s="45"/>
      <c r="H994" s="19">
        <f>H991*H993</f>
        <v>1596</v>
      </c>
      <c r="I994" s="19">
        <f t="shared" ref="I994:L994" si="637">I991*I992</f>
        <v>1500</v>
      </c>
      <c r="J994" s="19">
        <f t="shared" si="637"/>
        <v>1000</v>
      </c>
      <c r="K994" s="19">
        <f t="shared" si="637"/>
        <v>0</v>
      </c>
      <c r="L994" s="19">
        <f t="shared" si="637"/>
        <v>1500</v>
      </c>
      <c r="M994" s="19">
        <f>SUM(D994:L994)</f>
        <v>44156</v>
      </c>
      <c r="N994" s="19">
        <f>M994/A992</f>
        <v>44156</v>
      </c>
      <c r="O994" s="19">
        <f>N994*O991</f>
        <v>88312</v>
      </c>
      <c r="P994" s="19">
        <f>MROUND(O994,100)</f>
        <v>88300</v>
      </c>
    </row>
    <row r="995" spans="1:16" ht="14.25" customHeight="1" x14ac:dyDescent="0.15">
      <c r="A995" s="115"/>
      <c r="B995" s="87"/>
      <c r="C995" s="87"/>
      <c r="D995" s="30"/>
      <c r="E995" s="30"/>
      <c r="F995" s="30"/>
      <c r="G995" s="75"/>
      <c r="H995" s="30"/>
      <c r="I995" s="30"/>
      <c r="J995" s="30"/>
      <c r="K995" s="30"/>
      <c r="L995" s="30"/>
      <c r="M995" s="30"/>
      <c r="N995" s="30"/>
      <c r="O995" s="30"/>
    </row>
    <row r="996" spans="1:16" ht="14.25" customHeight="1" x14ac:dyDescent="0.15">
      <c r="A996" s="109" t="str">
        <f>PRICELIST!I686</f>
        <v>CBLP-RST-PoLM-2100x900+1800</v>
      </c>
      <c r="B996" s="87"/>
      <c r="C996" s="87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</row>
    <row r="997" spans="1:16" ht="14.25" customHeight="1" x14ac:dyDescent="0.2">
      <c r="A997" s="45" t="s">
        <v>57</v>
      </c>
      <c r="B997" s="45" t="s">
        <v>59</v>
      </c>
      <c r="C997" s="45" t="s">
        <v>62</v>
      </c>
      <c r="D997" s="19" t="s">
        <v>64</v>
      </c>
      <c r="E997" s="19" t="s">
        <v>233</v>
      </c>
      <c r="F997" s="19" t="s">
        <v>94</v>
      </c>
      <c r="G997" s="45"/>
      <c r="H997" s="19" t="s">
        <v>67</v>
      </c>
      <c r="I997" s="19" t="s">
        <v>244</v>
      </c>
      <c r="J997" s="19" t="s">
        <v>71</v>
      </c>
      <c r="K997" s="19" t="s">
        <v>72</v>
      </c>
      <c r="L997" s="19" t="s">
        <v>73</v>
      </c>
      <c r="M997" s="19" t="s">
        <v>76</v>
      </c>
      <c r="N997" s="19" t="s">
        <v>78</v>
      </c>
      <c r="O997" s="19" t="s">
        <v>79</v>
      </c>
      <c r="P997" s="19" t="s">
        <v>81</v>
      </c>
    </row>
    <row r="998" spans="1:16" ht="14.25" customHeight="1" x14ac:dyDescent="0.2">
      <c r="A998" s="75"/>
      <c r="B998" s="75"/>
      <c r="C998" s="76" t="s">
        <v>245</v>
      </c>
      <c r="D998" s="21"/>
      <c r="E998" s="21">
        <v>6</v>
      </c>
      <c r="F998" s="23" t="str">
        <f>F991</f>
        <v>12500</v>
      </c>
      <c r="G998" s="77"/>
      <c r="H998" s="21">
        <v>380</v>
      </c>
      <c r="I998" s="23" t="str">
        <f t="shared" ref="I998:J998" si="638">I991</f>
        <v>1500</v>
      </c>
      <c r="J998" s="21">
        <f t="shared" si="638"/>
        <v>1000</v>
      </c>
      <c r="K998" s="21">
        <v>585</v>
      </c>
      <c r="L998" s="23" t="str">
        <f>L991</f>
        <v>1500</v>
      </c>
      <c r="M998" s="21"/>
      <c r="N998" s="21"/>
      <c r="O998" s="21">
        <f>O991</f>
        <v>2</v>
      </c>
      <c r="P998" s="21"/>
    </row>
    <row r="999" spans="1:16" ht="14.25" customHeight="1" x14ac:dyDescent="0.2">
      <c r="A999" s="45">
        <v>1</v>
      </c>
      <c r="B999" s="45">
        <v>2.1</v>
      </c>
      <c r="C999" s="45">
        <v>1.2</v>
      </c>
      <c r="D999" s="19">
        <f>B999*C999</f>
        <v>2.52</v>
      </c>
      <c r="E999" s="19">
        <v>2.5</v>
      </c>
      <c r="F999" s="19"/>
      <c r="G999" s="78"/>
      <c r="H999" s="19"/>
      <c r="I999" s="19">
        <v>1</v>
      </c>
      <c r="J999" s="19">
        <f>A999</f>
        <v>1</v>
      </c>
      <c r="K999" s="19">
        <f t="shared" ref="K999:L999" si="639">K992</f>
        <v>0</v>
      </c>
      <c r="L999" s="19">
        <f t="shared" si="639"/>
        <v>1</v>
      </c>
      <c r="M999" s="19"/>
      <c r="N999" s="19"/>
      <c r="O999" s="19"/>
      <c r="P999" s="19"/>
    </row>
    <row r="1000" spans="1:16" ht="14.25" customHeight="1" x14ac:dyDescent="0.2">
      <c r="A1000" s="78"/>
      <c r="B1000" s="78"/>
      <c r="C1000" s="78"/>
      <c r="D1000" s="26" t="str">
        <f>D951</f>
        <v>7500</v>
      </c>
      <c r="E1000" s="26" t="str">
        <f>E993</f>
        <v>1000</v>
      </c>
      <c r="F1000" s="19">
        <v>2</v>
      </c>
      <c r="G1000" s="45"/>
      <c r="H1000" s="19">
        <f>B999*2</f>
        <v>4.2</v>
      </c>
      <c r="I1000" s="19"/>
      <c r="J1000" s="19"/>
      <c r="K1000" s="19"/>
      <c r="L1000" s="19"/>
      <c r="M1000" s="19"/>
      <c r="N1000" s="19"/>
      <c r="O1000" s="19"/>
      <c r="P1000" s="19"/>
    </row>
    <row r="1001" spans="1:16" ht="14.25" customHeight="1" x14ac:dyDescent="0.2">
      <c r="A1001" s="78"/>
      <c r="B1001" s="78"/>
      <c r="C1001" s="78"/>
      <c r="D1001" s="19">
        <f>D999*D1000</f>
        <v>18900</v>
      </c>
      <c r="E1001" s="19">
        <f>E1000*E998</f>
        <v>6000</v>
      </c>
      <c r="F1001" s="19">
        <f>F998*F1000</f>
        <v>25000</v>
      </c>
      <c r="G1001" s="45"/>
      <c r="H1001" s="19">
        <f>H998*H1000</f>
        <v>1596</v>
      </c>
      <c r="I1001" s="19">
        <f t="shared" ref="I1001:L1001" si="640">I998*I999</f>
        <v>1500</v>
      </c>
      <c r="J1001" s="19">
        <f t="shared" si="640"/>
        <v>1000</v>
      </c>
      <c r="K1001" s="19">
        <f t="shared" si="640"/>
        <v>0</v>
      </c>
      <c r="L1001" s="19">
        <f t="shared" si="640"/>
        <v>1500</v>
      </c>
      <c r="M1001" s="19">
        <f>SUM(D1001:L1001)</f>
        <v>55496</v>
      </c>
      <c r="N1001" s="19">
        <f>M1001/A999</f>
        <v>55496</v>
      </c>
      <c r="O1001" s="19">
        <f>N1001*O998</f>
        <v>110992</v>
      </c>
      <c r="P1001" s="19">
        <f>MROUND(O1001,100)</f>
        <v>111000</v>
      </c>
    </row>
    <row r="1002" spans="1:16" ht="14.25" customHeight="1" x14ac:dyDescent="0.15">
      <c r="A1002" s="115"/>
      <c r="B1002" s="87"/>
      <c r="C1002" s="87"/>
      <c r="D1002" s="30"/>
      <c r="E1002" s="30"/>
      <c r="F1002" s="75"/>
      <c r="G1002" s="75"/>
      <c r="H1002" s="30"/>
      <c r="I1002" s="30"/>
      <c r="J1002" s="30"/>
      <c r="K1002" s="30"/>
      <c r="L1002" s="30"/>
      <c r="M1002" s="30"/>
      <c r="N1002" s="30"/>
      <c r="O1002" s="30"/>
    </row>
    <row r="1003" spans="1:16" ht="14.25" customHeight="1" x14ac:dyDescent="0.15">
      <c r="A1003" s="109" t="str">
        <f>PRICELIST!I687</f>
        <v>CBLP-RST-LVM-2100x900+1800</v>
      </c>
      <c r="B1003" s="87"/>
      <c r="C1003" s="87"/>
      <c r="D1003" s="21"/>
      <c r="E1003" s="21"/>
      <c r="F1003" s="21"/>
      <c r="G1003" s="21"/>
      <c r="H1003" s="19"/>
      <c r="I1003" s="19"/>
      <c r="J1003" s="19"/>
      <c r="K1003" s="19"/>
      <c r="L1003" s="19"/>
      <c r="M1003" s="19"/>
      <c r="N1003" s="19"/>
      <c r="O1003" s="19"/>
      <c r="P1003" s="19"/>
    </row>
    <row r="1004" spans="1:16" ht="14.25" customHeight="1" x14ac:dyDescent="0.2">
      <c r="A1004" s="45" t="s">
        <v>57</v>
      </c>
      <c r="B1004" s="45" t="s">
        <v>59</v>
      </c>
      <c r="C1004" s="45" t="s">
        <v>62</v>
      </c>
      <c r="D1004" s="19" t="s">
        <v>64</v>
      </c>
      <c r="E1004" s="19" t="s">
        <v>233</v>
      </c>
      <c r="F1004" s="19" t="s">
        <v>94</v>
      </c>
      <c r="G1004" s="45"/>
      <c r="H1004" s="19" t="s">
        <v>67</v>
      </c>
      <c r="I1004" s="19" t="s">
        <v>244</v>
      </c>
      <c r="J1004" s="19" t="s">
        <v>71</v>
      </c>
      <c r="K1004" s="19" t="s">
        <v>72</v>
      </c>
      <c r="L1004" s="19" t="s">
        <v>73</v>
      </c>
      <c r="M1004" s="19" t="s">
        <v>76</v>
      </c>
      <c r="N1004" s="19" t="s">
        <v>78</v>
      </c>
      <c r="O1004" s="19" t="s">
        <v>79</v>
      </c>
      <c r="P1004" s="19" t="s">
        <v>81</v>
      </c>
    </row>
    <row r="1005" spans="1:16" ht="14.25" customHeight="1" x14ac:dyDescent="0.2">
      <c r="A1005" s="75"/>
      <c r="B1005" s="75"/>
      <c r="C1005" s="76" t="s">
        <v>245</v>
      </c>
      <c r="D1005" s="21"/>
      <c r="E1005" s="21">
        <v>6</v>
      </c>
      <c r="F1005" s="23" t="str">
        <f>F998</f>
        <v>12500</v>
      </c>
      <c r="G1005" s="77"/>
      <c r="H1005" s="21">
        <v>380</v>
      </c>
      <c r="I1005" s="23" t="str">
        <f t="shared" ref="I1005:J1005" si="641">I998</f>
        <v>1500</v>
      </c>
      <c r="J1005" s="21">
        <f t="shared" si="641"/>
        <v>1000</v>
      </c>
      <c r="K1005" s="21">
        <v>585</v>
      </c>
      <c r="L1005" s="23" t="str">
        <f>L998</f>
        <v>1500</v>
      </c>
      <c r="M1005" s="21"/>
      <c r="N1005" s="21"/>
      <c r="O1005" s="21">
        <f>O998</f>
        <v>2</v>
      </c>
      <c r="P1005" s="21"/>
    </row>
    <row r="1006" spans="1:16" ht="14.25" customHeight="1" x14ac:dyDescent="0.2">
      <c r="A1006" s="45">
        <v>1</v>
      </c>
      <c r="B1006" s="45">
        <v>2.1</v>
      </c>
      <c r="C1006" s="45">
        <v>1.2</v>
      </c>
      <c r="D1006" s="19">
        <f>B1006*C1006</f>
        <v>2.52</v>
      </c>
      <c r="E1006" s="19">
        <v>2.5</v>
      </c>
      <c r="F1006" s="19"/>
      <c r="G1006" s="78"/>
      <c r="H1006" s="19"/>
      <c r="I1006" s="19">
        <v>1</v>
      </c>
      <c r="J1006" s="19">
        <f>A1006</f>
        <v>1</v>
      </c>
      <c r="K1006" s="19">
        <f t="shared" ref="K1006:L1006" si="642">K999</f>
        <v>0</v>
      </c>
      <c r="L1006" s="19">
        <f t="shared" si="642"/>
        <v>1</v>
      </c>
      <c r="M1006" s="19"/>
      <c r="N1006" s="19"/>
      <c r="O1006" s="19"/>
      <c r="P1006" s="19"/>
    </row>
    <row r="1007" spans="1:16" ht="14.25" customHeight="1" x14ac:dyDescent="0.2">
      <c r="A1007" s="78"/>
      <c r="B1007" s="78"/>
      <c r="C1007" s="78"/>
      <c r="D1007" s="26" t="str">
        <f>D958</f>
        <v>9500</v>
      </c>
      <c r="E1007" s="26" t="str">
        <f>E965</f>
        <v>1500</v>
      </c>
      <c r="F1007" s="19">
        <v>2</v>
      </c>
      <c r="G1007" s="45"/>
      <c r="H1007" s="19">
        <f>B1006*2</f>
        <v>4.2</v>
      </c>
      <c r="I1007" s="19"/>
      <c r="J1007" s="19"/>
      <c r="K1007" s="19"/>
      <c r="L1007" s="19"/>
      <c r="M1007" s="19"/>
      <c r="N1007" s="19"/>
      <c r="O1007" s="19"/>
      <c r="P1007" s="19"/>
    </row>
    <row r="1008" spans="1:16" ht="14.25" customHeight="1" x14ac:dyDescent="0.2">
      <c r="A1008" s="78"/>
      <c r="B1008" s="78"/>
      <c r="C1008" s="78"/>
      <c r="D1008" s="19">
        <f>D1006*D1007</f>
        <v>23940</v>
      </c>
      <c r="E1008" s="19">
        <f>E1007*E1005</f>
        <v>9000</v>
      </c>
      <c r="F1008" s="19">
        <f>F1005*F1007</f>
        <v>25000</v>
      </c>
      <c r="G1008" s="45"/>
      <c r="H1008" s="19">
        <f>H1005*H1007</f>
        <v>1596</v>
      </c>
      <c r="I1008" s="19">
        <f t="shared" ref="I1008:L1008" si="643">I1005*I1006</f>
        <v>1500</v>
      </c>
      <c r="J1008" s="19">
        <f t="shared" si="643"/>
        <v>1000</v>
      </c>
      <c r="K1008" s="19">
        <f t="shared" si="643"/>
        <v>0</v>
      </c>
      <c r="L1008" s="19">
        <f t="shared" si="643"/>
        <v>1500</v>
      </c>
      <c r="M1008" s="19">
        <f>SUM(D1008:L1008)</f>
        <v>63536</v>
      </c>
      <c r="N1008" s="19">
        <f>M1008/A1006</f>
        <v>63536</v>
      </c>
      <c r="O1008" s="19">
        <f>N1008*O1005</f>
        <v>127072</v>
      </c>
      <c r="P1008" s="19">
        <f>MROUND(O1008,100)</f>
        <v>127100</v>
      </c>
    </row>
    <row r="1009" spans="1:16" ht="14.25" customHeight="1" x14ac:dyDescent="0.15">
      <c r="A1009" s="115"/>
      <c r="B1009" s="87"/>
      <c r="C1009" s="87"/>
      <c r="D1009" s="30"/>
      <c r="E1009" s="30"/>
      <c r="F1009" s="30"/>
      <c r="G1009" s="75"/>
      <c r="H1009" s="75"/>
      <c r="I1009" s="75"/>
      <c r="J1009" s="75"/>
      <c r="K1009" s="75"/>
      <c r="L1009" s="75"/>
      <c r="M1009" s="75"/>
      <c r="N1009" s="75"/>
      <c r="O1009" s="30"/>
      <c r="P1009" s="75"/>
    </row>
    <row r="1010" spans="1:16" ht="14.25" customHeight="1" x14ac:dyDescent="0.15">
      <c r="A1010" s="109" t="str">
        <f>PRICELIST!I688</f>
        <v>CBLP-RST-LVP-2100x900+1800</v>
      </c>
      <c r="B1010" s="87"/>
      <c r="C1010" s="87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</row>
    <row r="1011" spans="1:16" ht="14.25" customHeight="1" x14ac:dyDescent="0.2">
      <c r="A1011" s="45" t="s">
        <v>57</v>
      </c>
      <c r="B1011" s="45" t="s">
        <v>59</v>
      </c>
      <c r="C1011" s="45" t="s">
        <v>62</v>
      </c>
      <c r="D1011" s="19" t="s">
        <v>64</v>
      </c>
      <c r="E1011" s="19" t="s">
        <v>233</v>
      </c>
      <c r="F1011" s="19" t="s">
        <v>94</v>
      </c>
      <c r="G1011" s="45"/>
      <c r="H1011" s="19" t="s">
        <v>67</v>
      </c>
      <c r="I1011" s="19" t="s">
        <v>244</v>
      </c>
      <c r="J1011" s="19" t="s">
        <v>71</v>
      </c>
      <c r="K1011" s="19" t="s">
        <v>72</v>
      </c>
      <c r="L1011" s="19" t="s">
        <v>73</v>
      </c>
      <c r="M1011" s="19" t="s">
        <v>76</v>
      </c>
      <c r="N1011" s="19" t="s">
        <v>78</v>
      </c>
      <c r="O1011" s="19" t="s">
        <v>79</v>
      </c>
      <c r="P1011" s="19" t="s">
        <v>81</v>
      </c>
    </row>
    <row r="1012" spans="1:16" ht="14.25" customHeight="1" x14ac:dyDescent="0.2">
      <c r="A1012" s="75"/>
      <c r="B1012" s="75"/>
      <c r="C1012" s="76" t="s">
        <v>245</v>
      </c>
      <c r="D1012" s="21"/>
      <c r="E1012" s="21">
        <v>6</v>
      </c>
      <c r="F1012" s="23" t="str">
        <f>F1005</f>
        <v>12500</v>
      </c>
      <c r="G1012" s="77"/>
      <c r="H1012" s="21">
        <v>380</v>
      </c>
      <c r="I1012" s="23" t="str">
        <f t="shared" ref="I1012:J1012" si="644">I1005</f>
        <v>1500</v>
      </c>
      <c r="J1012" s="21">
        <f t="shared" si="644"/>
        <v>1000</v>
      </c>
      <c r="K1012" s="21">
        <v>585</v>
      </c>
      <c r="L1012" s="23" t="str">
        <f>L1005</f>
        <v>1500</v>
      </c>
      <c r="M1012" s="21"/>
      <c r="N1012" s="21"/>
      <c r="O1012" s="21">
        <f>O1005</f>
        <v>2</v>
      </c>
      <c r="P1012" s="21"/>
    </row>
    <row r="1013" spans="1:16" ht="14.25" customHeight="1" x14ac:dyDescent="0.2">
      <c r="A1013" s="45">
        <v>1</v>
      </c>
      <c r="B1013" s="45">
        <v>2.1</v>
      </c>
      <c r="C1013" s="45">
        <v>1.2</v>
      </c>
      <c r="D1013" s="19">
        <f>B1013*C1013</f>
        <v>2.52</v>
      </c>
      <c r="E1013" s="19">
        <v>2.5</v>
      </c>
      <c r="F1013" s="19"/>
      <c r="G1013" s="78"/>
      <c r="H1013" s="19"/>
      <c r="I1013" s="19">
        <v>1</v>
      </c>
      <c r="J1013" s="19">
        <f>A1013</f>
        <v>1</v>
      </c>
      <c r="K1013" s="19">
        <f t="shared" ref="K1013:L1013" si="645">K1006</f>
        <v>0</v>
      </c>
      <c r="L1013" s="19">
        <f t="shared" si="645"/>
        <v>1</v>
      </c>
      <c r="M1013" s="19"/>
      <c r="N1013" s="19"/>
      <c r="O1013" s="19"/>
      <c r="P1013" s="19"/>
    </row>
    <row r="1014" spans="1:16" ht="14.25" customHeight="1" x14ac:dyDescent="0.2">
      <c r="A1014" s="78"/>
      <c r="B1014" s="78"/>
      <c r="C1014" s="78"/>
      <c r="D1014" s="26" t="str">
        <f>D965</f>
        <v>10500</v>
      </c>
      <c r="E1014" s="26" t="str">
        <f>E1007</f>
        <v>1500</v>
      </c>
      <c r="F1014" s="19">
        <v>2</v>
      </c>
      <c r="G1014" s="45"/>
      <c r="H1014" s="19">
        <f>B1013*2</f>
        <v>4.2</v>
      </c>
      <c r="I1014" s="19"/>
      <c r="J1014" s="19"/>
      <c r="K1014" s="19"/>
      <c r="L1014" s="19"/>
      <c r="M1014" s="19"/>
      <c r="N1014" s="19"/>
      <c r="O1014" s="19"/>
      <c r="P1014" s="19"/>
    </row>
    <row r="1015" spans="1:16" ht="14.25" customHeight="1" x14ac:dyDescent="0.2">
      <c r="A1015" s="78"/>
      <c r="B1015" s="78"/>
      <c r="C1015" s="78"/>
      <c r="D1015" s="19">
        <f>D1013*D1014</f>
        <v>26460</v>
      </c>
      <c r="E1015" s="19">
        <f>E1014*E1012</f>
        <v>9000</v>
      </c>
      <c r="F1015" s="19">
        <f>F1012*F1014</f>
        <v>25000</v>
      </c>
      <c r="G1015" s="45"/>
      <c r="H1015" s="19">
        <f>H1012*H1014</f>
        <v>1596</v>
      </c>
      <c r="I1015" s="19">
        <f t="shared" ref="I1015:L1015" si="646">I1012*I1013</f>
        <v>1500</v>
      </c>
      <c r="J1015" s="19">
        <f t="shared" si="646"/>
        <v>1000</v>
      </c>
      <c r="K1015" s="19">
        <f t="shared" si="646"/>
        <v>0</v>
      </c>
      <c r="L1015" s="19">
        <f t="shared" si="646"/>
        <v>1500</v>
      </c>
      <c r="M1015" s="19">
        <f>SUM(D1015:L1015)</f>
        <v>66056</v>
      </c>
      <c r="N1015" s="19">
        <f>M1015/A1013</f>
        <v>66056</v>
      </c>
      <c r="O1015" s="19">
        <f>N1015*O1012</f>
        <v>132112</v>
      </c>
      <c r="P1015" s="19">
        <f>MROUND(O1015,100)</f>
        <v>132100</v>
      </c>
    </row>
    <row r="1016" spans="1:16" ht="14.25" customHeight="1" x14ac:dyDescent="0.15">
      <c r="A1016" s="115"/>
      <c r="B1016" s="87"/>
      <c r="C1016" s="87"/>
      <c r="D1016" s="30"/>
      <c r="E1016" s="30"/>
      <c r="F1016" s="30"/>
      <c r="G1016" s="75"/>
      <c r="H1016" s="30"/>
      <c r="I1016" s="30"/>
      <c r="J1016" s="30"/>
      <c r="K1016" s="30"/>
      <c r="L1016" s="30"/>
      <c r="M1016" s="30"/>
      <c r="N1016" s="30"/>
      <c r="O1016" s="30"/>
    </row>
    <row r="1017" spans="1:16" ht="14.25" customHeight="1" x14ac:dyDescent="0.15">
      <c r="A1017" s="109" t="str">
        <f>PRICELIST!I689</f>
        <v>CBLP-RST-VNR-2100x900+1800</v>
      </c>
      <c r="B1017" s="87"/>
      <c r="C1017" s="87"/>
      <c r="D1017" s="19"/>
      <c r="E1017" s="19"/>
      <c r="F1017" s="21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</row>
    <row r="1018" spans="1:16" ht="14.25" customHeight="1" x14ac:dyDescent="0.2">
      <c r="A1018" s="45" t="s">
        <v>57</v>
      </c>
      <c r="B1018" s="45" t="s">
        <v>59</v>
      </c>
      <c r="C1018" s="45" t="s">
        <v>62</v>
      </c>
      <c r="D1018" s="19" t="s">
        <v>64</v>
      </c>
      <c r="E1018" s="19" t="s">
        <v>233</v>
      </c>
      <c r="F1018" s="19" t="s">
        <v>94</v>
      </c>
      <c r="G1018" s="45"/>
      <c r="H1018" s="19" t="s">
        <v>67</v>
      </c>
      <c r="I1018" s="19" t="s">
        <v>244</v>
      </c>
      <c r="J1018" s="19" t="s">
        <v>71</v>
      </c>
      <c r="K1018" s="19" t="s">
        <v>72</v>
      </c>
      <c r="L1018" s="19" t="s">
        <v>73</v>
      </c>
      <c r="M1018" s="19" t="s">
        <v>76</v>
      </c>
      <c r="N1018" s="19" t="s">
        <v>78</v>
      </c>
      <c r="O1018" s="19" t="s">
        <v>79</v>
      </c>
      <c r="P1018" s="19" t="s">
        <v>81</v>
      </c>
    </row>
    <row r="1019" spans="1:16" ht="14.25" customHeight="1" x14ac:dyDescent="0.2">
      <c r="A1019" s="75"/>
      <c r="B1019" s="75"/>
      <c r="C1019" s="76" t="s">
        <v>245</v>
      </c>
      <c r="D1019" s="21"/>
      <c r="E1019" s="21">
        <v>6</v>
      </c>
      <c r="F1019" s="23" t="str">
        <f>F1012</f>
        <v>12500</v>
      </c>
      <c r="G1019" s="77"/>
      <c r="H1019" s="21">
        <v>380</v>
      </c>
      <c r="I1019" s="23" t="str">
        <f t="shared" ref="I1019:J1019" si="647">I1012</f>
        <v>1500</v>
      </c>
      <c r="J1019" s="21">
        <f t="shared" si="647"/>
        <v>1000</v>
      </c>
      <c r="K1019" s="21">
        <v>585</v>
      </c>
      <c r="L1019" s="23" t="str">
        <f>L1012</f>
        <v>1500</v>
      </c>
      <c r="M1019" s="21"/>
      <c r="N1019" s="21"/>
      <c r="O1019" s="21">
        <f>O1012</f>
        <v>2</v>
      </c>
      <c r="P1019" s="21"/>
    </row>
    <row r="1020" spans="1:16" ht="14.25" customHeight="1" x14ac:dyDescent="0.2">
      <c r="A1020" s="45">
        <v>1</v>
      </c>
      <c r="B1020" s="45">
        <v>2.1</v>
      </c>
      <c r="C1020" s="45">
        <v>1.2</v>
      </c>
      <c r="D1020" s="19">
        <f>B1020*C1020</f>
        <v>2.52</v>
      </c>
      <c r="E1020" s="19">
        <v>2.5</v>
      </c>
      <c r="F1020" s="19"/>
      <c r="G1020" s="78"/>
      <c r="H1020" s="19"/>
      <c r="I1020" s="19">
        <v>1</v>
      </c>
      <c r="J1020" s="19">
        <f>A1020</f>
        <v>1</v>
      </c>
      <c r="K1020" s="19">
        <f t="shared" ref="K1020:L1020" si="648">K1013</f>
        <v>0</v>
      </c>
      <c r="L1020" s="19">
        <f t="shared" si="648"/>
        <v>1</v>
      </c>
      <c r="M1020" s="19"/>
      <c r="N1020" s="19"/>
      <c r="O1020" s="19"/>
      <c r="P1020" s="19"/>
    </row>
    <row r="1021" spans="1:16" ht="14.25" customHeight="1" x14ac:dyDescent="0.2">
      <c r="A1021" s="78"/>
      <c r="B1021" s="78"/>
      <c r="C1021" s="78"/>
      <c r="D1021" s="26" t="str">
        <f>D972</f>
        <v>30000</v>
      </c>
      <c r="E1021" s="26" t="str">
        <f>E1014</f>
        <v>1500</v>
      </c>
      <c r="F1021" s="19">
        <v>2</v>
      </c>
      <c r="G1021" s="45"/>
      <c r="H1021" s="19">
        <f>B1020*2</f>
        <v>4.2</v>
      </c>
      <c r="I1021" s="19"/>
      <c r="J1021" s="19"/>
      <c r="K1021" s="19"/>
      <c r="L1021" s="19"/>
      <c r="M1021" s="19"/>
      <c r="N1021" s="19"/>
      <c r="O1021" s="19"/>
      <c r="P1021" s="19"/>
    </row>
    <row r="1022" spans="1:16" ht="14.25" customHeight="1" x14ac:dyDescent="0.2">
      <c r="A1022" s="78"/>
      <c r="B1022" s="78"/>
      <c r="C1022" s="78"/>
      <c r="D1022" s="19">
        <f>D1020*D1021</f>
        <v>75600</v>
      </c>
      <c r="E1022" s="19">
        <f>E1021*E1019</f>
        <v>9000</v>
      </c>
      <c r="F1022" s="19">
        <f>F1019*F1021</f>
        <v>25000</v>
      </c>
      <c r="G1022" s="45"/>
      <c r="H1022" s="19">
        <f>H1019*H1021</f>
        <v>1596</v>
      </c>
      <c r="I1022" s="19">
        <f t="shared" ref="I1022:L1022" si="649">I1019*I1020</f>
        <v>1500</v>
      </c>
      <c r="J1022" s="19">
        <f t="shared" si="649"/>
        <v>1000</v>
      </c>
      <c r="K1022" s="19">
        <f t="shared" si="649"/>
        <v>0</v>
      </c>
      <c r="L1022" s="19">
        <f t="shared" si="649"/>
        <v>1500</v>
      </c>
      <c r="M1022" s="19">
        <f>SUM(D1022:L1022)</f>
        <v>115196</v>
      </c>
      <c r="N1022" s="19">
        <f>M1022/A1020</f>
        <v>115196</v>
      </c>
      <c r="O1022" s="19">
        <f>N1022*O1019</f>
        <v>230392</v>
      </c>
      <c r="P1022" s="19">
        <f>MROUND(O1022,100)</f>
        <v>230400</v>
      </c>
    </row>
    <row r="1023" spans="1:16" ht="14.25" customHeight="1" x14ac:dyDescent="0.15">
      <c r="A1023" s="115"/>
      <c r="B1023" s="87"/>
      <c r="C1023" s="87"/>
      <c r="D1023" s="30"/>
      <c r="E1023" s="30"/>
      <c r="F1023" s="30"/>
      <c r="G1023" s="75"/>
      <c r="H1023" s="30"/>
      <c r="I1023" s="30"/>
      <c r="J1023" s="30"/>
      <c r="K1023" s="30"/>
      <c r="L1023" s="30"/>
      <c r="M1023" s="30"/>
      <c r="N1023" s="30"/>
      <c r="O1023" s="30"/>
    </row>
    <row r="1024" spans="1:16" ht="14.25" customHeight="1" x14ac:dyDescent="0.15">
      <c r="A1024" s="109" t="str">
        <f>PRICELIST!I690</f>
        <v>CBLP-RST-GL-2100x900+1800</v>
      </c>
      <c r="B1024" s="87"/>
      <c r="C1024" s="87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</row>
    <row r="1025" spans="1:16" ht="14.25" customHeight="1" x14ac:dyDescent="0.2">
      <c r="A1025" s="45" t="s">
        <v>57</v>
      </c>
      <c r="B1025" s="45" t="s">
        <v>59</v>
      </c>
      <c r="C1025" s="45" t="s">
        <v>62</v>
      </c>
      <c r="D1025" s="19" t="s">
        <v>64</v>
      </c>
      <c r="E1025" s="19" t="s">
        <v>233</v>
      </c>
      <c r="F1025" s="19" t="s">
        <v>94</v>
      </c>
      <c r="G1025" s="45"/>
      <c r="H1025" s="19" t="s">
        <v>67</v>
      </c>
      <c r="I1025" s="19" t="s">
        <v>244</v>
      </c>
      <c r="J1025" s="19" t="s">
        <v>71</v>
      </c>
      <c r="K1025" s="19" t="s">
        <v>72</v>
      </c>
      <c r="L1025" s="19" t="s">
        <v>73</v>
      </c>
      <c r="M1025" s="19" t="s">
        <v>76</v>
      </c>
      <c r="N1025" s="19" t="s">
        <v>78</v>
      </c>
      <c r="O1025" s="19" t="s">
        <v>79</v>
      </c>
      <c r="P1025" s="19" t="s">
        <v>81</v>
      </c>
    </row>
    <row r="1026" spans="1:16" ht="14.25" customHeight="1" x14ac:dyDescent="0.2">
      <c r="A1026" s="75"/>
      <c r="B1026" s="75"/>
      <c r="C1026" s="76" t="s">
        <v>245</v>
      </c>
      <c r="D1026" s="21"/>
      <c r="E1026" s="21">
        <v>6</v>
      </c>
      <c r="F1026" s="23" t="str">
        <f>F1019</f>
        <v>12500</v>
      </c>
      <c r="G1026" s="77"/>
      <c r="H1026" s="21">
        <v>380</v>
      </c>
      <c r="I1026" s="23" t="str">
        <f t="shared" ref="I1026:J1026" si="650">I1019</f>
        <v>1500</v>
      </c>
      <c r="J1026" s="21">
        <f t="shared" si="650"/>
        <v>1000</v>
      </c>
      <c r="K1026" s="21">
        <v>585</v>
      </c>
      <c r="L1026" s="23" t="str">
        <f>L1019</f>
        <v>1500</v>
      </c>
      <c r="M1026" s="21"/>
      <c r="N1026" s="21"/>
      <c r="O1026" s="21">
        <f>O1019</f>
        <v>2</v>
      </c>
      <c r="P1026" s="21"/>
    </row>
    <row r="1027" spans="1:16" ht="14.25" customHeight="1" x14ac:dyDescent="0.2">
      <c r="A1027" s="45">
        <v>1</v>
      </c>
      <c r="B1027" s="45">
        <v>2.1</v>
      </c>
      <c r="C1027" s="45">
        <v>1.2</v>
      </c>
      <c r="D1027" s="19">
        <f>B1027*C1027</f>
        <v>2.52</v>
      </c>
      <c r="E1027" s="19">
        <v>2.5</v>
      </c>
      <c r="F1027" s="19"/>
      <c r="G1027" s="78"/>
      <c r="H1027" s="19"/>
      <c r="I1027" s="19">
        <v>1</v>
      </c>
      <c r="J1027" s="19">
        <f>A1027</f>
        <v>1</v>
      </c>
      <c r="K1027" s="19">
        <f t="shared" ref="K1027:L1027" si="651">K1020</f>
        <v>0</v>
      </c>
      <c r="L1027" s="19">
        <f t="shared" si="651"/>
        <v>1</v>
      </c>
      <c r="M1027" s="19"/>
      <c r="N1027" s="19"/>
      <c r="O1027" s="19"/>
      <c r="P1027" s="19"/>
    </row>
    <row r="1028" spans="1:16" ht="14.25" customHeight="1" x14ac:dyDescent="0.2">
      <c r="A1028" s="78"/>
      <c r="B1028" s="78"/>
      <c r="C1028" s="78"/>
      <c r="D1028" s="26" t="str">
        <f>D979</f>
        <v>7500</v>
      </c>
      <c r="E1028" s="26" t="str">
        <f>E1021</f>
        <v>1500</v>
      </c>
      <c r="F1028" s="19">
        <v>2</v>
      </c>
      <c r="G1028" s="45"/>
      <c r="H1028" s="19">
        <f>B1027*2</f>
        <v>4.2</v>
      </c>
      <c r="I1028" s="19"/>
      <c r="J1028" s="19"/>
      <c r="K1028" s="19"/>
      <c r="L1028" s="19"/>
      <c r="M1028" s="19"/>
      <c r="N1028" s="19"/>
      <c r="O1028" s="19"/>
      <c r="P1028" s="19"/>
    </row>
    <row r="1029" spans="1:16" ht="14.25" customHeight="1" x14ac:dyDescent="0.2">
      <c r="A1029" s="78"/>
      <c r="B1029" s="78"/>
      <c r="C1029" s="78"/>
      <c r="D1029" s="19">
        <f>D1027*D1028</f>
        <v>18900</v>
      </c>
      <c r="E1029" s="19">
        <f>E1028*E1026</f>
        <v>9000</v>
      </c>
      <c r="F1029" s="19">
        <f>F1026*F1028</f>
        <v>25000</v>
      </c>
      <c r="G1029" s="45"/>
      <c r="H1029" s="19">
        <f>H1026*H1028</f>
        <v>1596</v>
      </c>
      <c r="I1029" s="19">
        <f t="shared" ref="I1029:L1029" si="652">I1026*I1027</f>
        <v>1500</v>
      </c>
      <c r="J1029" s="19">
        <f t="shared" si="652"/>
        <v>1000</v>
      </c>
      <c r="K1029" s="19">
        <f t="shared" si="652"/>
        <v>0</v>
      </c>
      <c r="L1029" s="19">
        <f t="shared" si="652"/>
        <v>1500</v>
      </c>
      <c r="M1029" s="19">
        <f>SUM(D1029:L1029)</f>
        <v>58496</v>
      </c>
      <c r="N1029" s="19">
        <f>M1029/A1027</f>
        <v>58496</v>
      </c>
      <c r="O1029" s="19">
        <f>N1029*O1026</f>
        <v>116992</v>
      </c>
      <c r="P1029" s="19">
        <f>MROUND(O1029,100)</f>
        <v>117000</v>
      </c>
    </row>
    <row r="1030" spans="1:16" ht="14.25" customHeight="1" x14ac:dyDescent="0.15">
      <c r="A1030" s="115"/>
      <c r="B1030" s="87"/>
      <c r="C1030" s="87"/>
      <c r="D1030" s="75"/>
      <c r="E1030" s="30"/>
      <c r="F1030" s="75"/>
      <c r="G1030" s="75"/>
      <c r="H1030" s="30"/>
      <c r="I1030" s="30"/>
      <c r="J1030" s="30"/>
      <c r="K1030" s="30"/>
      <c r="L1030" s="30"/>
      <c r="M1030" s="30"/>
      <c r="N1030" s="30"/>
      <c r="O1030" s="30"/>
    </row>
    <row r="1031" spans="1:16" ht="14.25" customHeight="1" x14ac:dyDescent="0.15">
      <c r="A1031" s="109" t="str">
        <f>PRICELIST!I691</f>
        <v>CBLP-FR-PB-1500x600+900</v>
      </c>
      <c r="B1031" s="87"/>
      <c r="C1031" s="87"/>
      <c r="D1031" s="30"/>
      <c r="E1031" s="30"/>
      <c r="F1031" s="30"/>
      <c r="G1031" s="30"/>
      <c r="H1031" s="21"/>
      <c r="I1031" s="21"/>
      <c r="J1031" s="21"/>
      <c r="K1031" s="21"/>
      <c r="L1031" s="21"/>
      <c r="M1031" s="21"/>
      <c r="N1031" s="21"/>
      <c r="O1031" s="21"/>
      <c r="P1031" s="21"/>
    </row>
    <row r="1032" spans="1:16" ht="14.25" customHeight="1" x14ac:dyDescent="0.2">
      <c r="A1032" s="45" t="s">
        <v>57</v>
      </c>
      <c r="B1032" s="45" t="s">
        <v>59</v>
      </c>
      <c r="C1032" s="45" t="s">
        <v>62</v>
      </c>
      <c r="D1032" s="19" t="s">
        <v>64</v>
      </c>
      <c r="E1032" s="19" t="s">
        <v>233</v>
      </c>
      <c r="F1032" s="19" t="s">
        <v>94</v>
      </c>
      <c r="G1032" s="45"/>
      <c r="H1032" s="19" t="s">
        <v>67</v>
      </c>
      <c r="I1032" s="19" t="s">
        <v>244</v>
      </c>
      <c r="J1032" s="19" t="s">
        <v>71</v>
      </c>
      <c r="K1032" s="19" t="s">
        <v>72</v>
      </c>
      <c r="L1032" s="19" t="s">
        <v>73</v>
      </c>
      <c r="M1032" s="19" t="s">
        <v>76</v>
      </c>
      <c r="N1032" s="19" t="s">
        <v>78</v>
      </c>
      <c r="O1032" s="19" t="s">
        <v>79</v>
      </c>
      <c r="P1032" s="19" t="s">
        <v>81</v>
      </c>
    </row>
    <row r="1033" spans="1:16" ht="14.25" customHeight="1" x14ac:dyDescent="0.2">
      <c r="A1033" s="75"/>
      <c r="B1033" s="75"/>
      <c r="C1033" s="76" t="s">
        <v>245</v>
      </c>
      <c r="D1033" s="21"/>
      <c r="E1033" s="21">
        <v>3</v>
      </c>
      <c r="F1033" s="23" t="str">
        <f>F1026</f>
        <v>12500</v>
      </c>
      <c r="G1033" s="77"/>
      <c r="H1033" s="21">
        <v>380</v>
      </c>
      <c r="I1033" s="23" t="str">
        <f t="shared" ref="I1033:J1033" si="653">I1026</f>
        <v>1500</v>
      </c>
      <c r="J1033" s="21">
        <f t="shared" si="653"/>
        <v>1000</v>
      </c>
      <c r="K1033" s="21">
        <v>585</v>
      </c>
      <c r="L1033" s="23" t="str">
        <f>L1026</f>
        <v>1500</v>
      </c>
      <c r="M1033" s="21"/>
      <c r="N1033" s="21"/>
      <c r="O1033" s="21">
        <f>O1026</f>
        <v>2</v>
      </c>
      <c r="P1033" s="21"/>
    </row>
    <row r="1034" spans="1:16" ht="14.25" customHeight="1" x14ac:dyDescent="0.2">
      <c r="A1034" s="45">
        <v>1</v>
      </c>
      <c r="B1034" s="45">
        <v>1.5</v>
      </c>
      <c r="C1034" s="45">
        <f>0.6+0.3</f>
        <v>0.89999999999999991</v>
      </c>
      <c r="D1034" s="19">
        <f>B1034*C1034</f>
        <v>1.3499999999999999</v>
      </c>
      <c r="E1034" s="19">
        <v>2.5</v>
      </c>
      <c r="F1034" s="19"/>
      <c r="G1034" s="78"/>
      <c r="H1034" s="19"/>
      <c r="I1034" s="19">
        <v>1</v>
      </c>
      <c r="J1034" s="19">
        <f>A1034</f>
        <v>1</v>
      </c>
      <c r="K1034" s="19">
        <f t="shared" ref="K1034:L1034" si="654">K1027</f>
        <v>0</v>
      </c>
      <c r="L1034" s="19">
        <f t="shared" si="654"/>
        <v>1</v>
      </c>
      <c r="M1034" s="19"/>
      <c r="N1034" s="19"/>
      <c r="O1034" s="19"/>
      <c r="P1034" s="19"/>
    </row>
    <row r="1035" spans="1:16" ht="14.25" customHeight="1" x14ac:dyDescent="0.2">
      <c r="A1035" s="78"/>
      <c r="B1035" s="78"/>
      <c r="C1035" s="78"/>
      <c r="D1035" s="26" t="str">
        <f t="shared" ref="D1035:E1035" si="655">D986</f>
        <v>2200</v>
      </c>
      <c r="E1035" s="26" t="str">
        <f t="shared" si="655"/>
        <v>1000</v>
      </c>
      <c r="F1035" s="19">
        <v>4</v>
      </c>
      <c r="G1035" s="45"/>
      <c r="H1035" s="19">
        <f>B1034*2</f>
        <v>3</v>
      </c>
      <c r="I1035" s="19"/>
      <c r="J1035" s="19"/>
      <c r="K1035" s="19"/>
      <c r="L1035" s="19"/>
      <c r="M1035" s="19"/>
      <c r="N1035" s="19"/>
      <c r="O1035" s="19"/>
      <c r="P1035" s="19"/>
    </row>
    <row r="1036" spans="1:16" ht="14.25" customHeight="1" x14ac:dyDescent="0.2">
      <c r="A1036" s="78"/>
      <c r="B1036" s="78"/>
      <c r="C1036" s="78"/>
      <c r="D1036" s="19">
        <f>D1034*D1035</f>
        <v>2969.9999999999995</v>
      </c>
      <c r="E1036" s="19">
        <f>E1035*E1033</f>
        <v>3000</v>
      </c>
      <c r="F1036" s="19">
        <f>F1033*F1035</f>
        <v>50000</v>
      </c>
      <c r="G1036" s="45"/>
      <c r="H1036" s="19">
        <f>H1033*H1035</f>
        <v>1140</v>
      </c>
      <c r="I1036" s="19">
        <f t="shared" ref="I1036:L1036" si="656">I1033*I1034</f>
        <v>1500</v>
      </c>
      <c r="J1036" s="19">
        <f t="shared" si="656"/>
        <v>1000</v>
      </c>
      <c r="K1036" s="19">
        <f t="shared" si="656"/>
        <v>0</v>
      </c>
      <c r="L1036" s="19">
        <f t="shared" si="656"/>
        <v>1500</v>
      </c>
      <c r="M1036" s="19">
        <f>SUM(D1036:L1036)</f>
        <v>61110</v>
      </c>
      <c r="N1036" s="19">
        <f>M1036/A1034</f>
        <v>61110</v>
      </c>
      <c r="O1036" s="19">
        <f>N1036*O1033</f>
        <v>122220</v>
      </c>
      <c r="P1036" s="19">
        <f>MROUND(O1036,100)</f>
        <v>122200</v>
      </c>
    </row>
    <row r="1037" spans="1:16" ht="14.25" customHeight="1" x14ac:dyDescent="0.15">
      <c r="A1037" s="115"/>
      <c r="B1037" s="87"/>
      <c r="C1037" s="87"/>
      <c r="D1037" s="30"/>
      <c r="E1037" s="30"/>
      <c r="F1037" s="30"/>
      <c r="G1037" s="75"/>
      <c r="H1037" s="30"/>
      <c r="I1037" s="30"/>
      <c r="J1037" s="30"/>
      <c r="K1037" s="30"/>
      <c r="L1037" s="30"/>
      <c r="M1037" s="30"/>
      <c r="N1037" s="30"/>
      <c r="O1037" s="30"/>
    </row>
    <row r="1038" spans="1:16" ht="14.25" customHeight="1" x14ac:dyDescent="0.15">
      <c r="A1038" s="109" t="str">
        <f>PRICELIST!I692</f>
        <v>CBLP-FR-PLM-1500x600+900</v>
      </c>
      <c r="B1038" s="87"/>
      <c r="C1038" s="87"/>
      <c r="D1038" s="30"/>
      <c r="E1038" s="30"/>
      <c r="F1038" s="19"/>
      <c r="G1038" s="30"/>
      <c r="H1038" s="19"/>
      <c r="I1038" s="19"/>
      <c r="J1038" s="19"/>
      <c r="K1038" s="19"/>
      <c r="L1038" s="19"/>
      <c r="M1038" s="19"/>
      <c r="N1038" s="19"/>
      <c r="O1038" s="19"/>
      <c r="P1038" s="19"/>
    </row>
    <row r="1039" spans="1:16" ht="14.25" customHeight="1" x14ac:dyDescent="0.2">
      <c r="A1039" s="45" t="s">
        <v>57</v>
      </c>
      <c r="B1039" s="45" t="s">
        <v>59</v>
      </c>
      <c r="C1039" s="45" t="s">
        <v>62</v>
      </c>
      <c r="D1039" s="19" t="s">
        <v>64</v>
      </c>
      <c r="E1039" s="19" t="s">
        <v>233</v>
      </c>
      <c r="F1039" s="19" t="s">
        <v>94</v>
      </c>
      <c r="G1039" s="45"/>
      <c r="H1039" s="19" t="s">
        <v>67</v>
      </c>
      <c r="I1039" s="19" t="s">
        <v>244</v>
      </c>
      <c r="J1039" s="19" t="s">
        <v>71</v>
      </c>
      <c r="K1039" s="19" t="s">
        <v>72</v>
      </c>
      <c r="L1039" s="19" t="s">
        <v>73</v>
      </c>
      <c r="M1039" s="19" t="s">
        <v>76</v>
      </c>
      <c r="N1039" s="19" t="s">
        <v>78</v>
      </c>
      <c r="O1039" s="19" t="s">
        <v>79</v>
      </c>
      <c r="P1039" s="19" t="s">
        <v>81</v>
      </c>
    </row>
    <row r="1040" spans="1:16" ht="14.25" customHeight="1" x14ac:dyDescent="0.2">
      <c r="A1040" s="75"/>
      <c r="B1040" s="75"/>
      <c r="C1040" s="76" t="s">
        <v>245</v>
      </c>
      <c r="D1040" s="21"/>
      <c r="E1040" s="21">
        <v>3</v>
      </c>
      <c r="F1040" s="23" t="str">
        <f>F1033</f>
        <v>12500</v>
      </c>
      <c r="G1040" s="77"/>
      <c r="H1040" s="21">
        <v>380</v>
      </c>
      <c r="I1040" s="23" t="str">
        <f t="shared" ref="I1040:J1040" si="657">I1033</f>
        <v>1500</v>
      </c>
      <c r="J1040" s="21">
        <f t="shared" si="657"/>
        <v>1000</v>
      </c>
      <c r="K1040" s="21">
        <v>585</v>
      </c>
      <c r="L1040" s="23" t="str">
        <f>L1033</f>
        <v>1500</v>
      </c>
      <c r="M1040" s="21"/>
      <c r="N1040" s="21"/>
      <c r="O1040" s="21">
        <f>O1033</f>
        <v>2</v>
      </c>
      <c r="P1040" s="21"/>
    </row>
    <row r="1041" spans="1:16" ht="14.25" customHeight="1" x14ac:dyDescent="0.2">
      <c r="A1041" s="45">
        <v>1</v>
      </c>
      <c r="B1041" s="45">
        <v>1.5</v>
      </c>
      <c r="C1041" s="45">
        <f>0.6+0.3</f>
        <v>0.89999999999999991</v>
      </c>
      <c r="D1041" s="19">
        <f>B1041*C1041</f>
        <v>1.3499999999999999</v>
      </c>
      <c r="E1041" s="19">
        <v>2.5</v>
      </c>
      <c r="F1041" s="19"/>
      <c r="G1041" s="78"/>
      <c r="H1041" s="19"/>
      <c r="I1041" s="19">
        <v>1</v>
      </c>
      <c r="J1041" s="19">
        <f>A1041</f>
        <v>1</v>
      </c>
      <c r="K1041" s="19">
        <f t="shared" ref="K1041:L1041" si="658">K1034</f>
        <v>0</v>
      </c>
      <c r="L1041" s="19">
        <f t="shared" si="658"/>
        <v>1</v>
      </c>
      <c r="M1041" s="19"/>
      <c r="N1041" s="19"/>
      <c r="O1041" s="19"/>
      <c r="P1041" s="19"/>
    </row>
    <row r="1042" spans="1:16" ht="14.25" customHeight="1" x14ac:dyDescent="0.2">
      <c r="A1042" s="78"/>
      <c r="B1042" s="78"/>
      <c r="C1042" s="78"/>
      <c r="D1042" s="26" t="str">
        <f>D993</f>
        <v>3000</v>
      </c>
      <c r="E1042" s="26" t="str">
        <f t="shared" ref="E1042:F1042" si="659">E1035</f>
        <v>1000</v>
      </c>
      <c r="F1042" s="19">
        <f t="shared" si="659"/>
        <v>4</v>
      </c>
      <c r="G1042" s="45"/>
      <c r="H1042" s="19">
        <f>B1041*2</f>
        <v>3</v>
      </c>
      <c r="I1042" s="19"/>
      <c r="J1042" s="19"/>
      <c r="K1042" s="19"/>
      <c r="L1042" s="19"/>
      <c r="M1042" s="19"/>
      <c r="N1042" s="19"/>
      <c r="O1042" s="19"/>
      <c r="P1042" s="19"/>
    </row>
    <row r="1043" spans="1:16" ht="14.25" customHeight="1" x14ac:dyDescent="0.2">
      <c r="A1043" s="78"/>
      <c r="B1043" s="78"/>
      <c r="C1043" s="78"/>
      <c r="D1043" s="19">
        <f>D1041*D1042</f>
        <v>4049.9999999999995</v>
      </c>
      <c r="E1043" s="19">
        <f>E1042*E1040</f>
        <v>3000</v>
      </c>
      <c r="F1043" s="19">
        <f>F1040*F1042</f>
        <v>50000</v>
      </c>
      <c r="G1043" s="45"/>
      <c r="H1043" s="19">
        <f>H1040*H1042</f>
        <v>1140</v>
      </c>
      <c r="I1043" s="19">
        <f t="shared" ref="I1043:L1043" si="660">I1040*I1041</f>
        <v>1500</v>
      </c>
      <c r="J1043" s="19">
        <f t="shared" si="660"/>
        <v>1000</v>
      </c>
      <c r="K1043" s="19">
        <f t="shared" si="660"/>
        <v>0</v>
      </c>
      <c r="L1043" s="19">
        <f t="shared" si="660"/>
        <v>1500</v>
      </c>
      <c r="M1043" s="19">
        <f>SUM(D1043:L1043)</f>
        <v>62190</v>
      </c>
      <c r="N1043" s="19">
        <f>M1043/A1041</f>
        <v>62190</v>
      </c>
      <c r="O1043" s="19">
        <f>N1043*O1040</f>
        <v>124380</v>
      </c>
      <c r="P1043" s="19">
        <f>MROUND(O1043,100)</f>
        <v>124400</v>
      </c>
    </row>
    <row r="1044" spans="1:16" ht="14.25" customHeight="1" x14ac:dyDescent="0.15">
      <c r="A1044" s="115"/>
      <c r="B1044" s="87"/>
      <c r="C1044" s="87"/>
      <c r="D1044" s="30"/>
      <c r="E1044" s="30"/>
      <c r="F1044" s="30"/>
      <c r="G1044" s="75"/>
      <c r="H1044" s="30"/>
      <c r="I1044" s="30"/>
      <c r="J1044" s="30"/>
      <c r="K1044" s="30"/>
      <c r="L1044" s="30"/>
      <c r="M1044" s="30"/>
      <c r="N1044" s="30"/>
      <c r="O1044" s="30"/>
    </row>
    <row r="1045" spans="1:16" ht="14.25" customHeight="1" x14ac:dyDescent="0.15">
      <c r="A1045" s="109" t="str">
        <f>PRICELIST!I693</f>
        <v>CBLP-FR-PoLM-1500x600+900</v>
      </c>
      <c r="B1045" s="87"/>
      <c r="C1045" s="87"/>
      <c r="D1045" s="19"/>
      <c r="E1045" s="19"/>
      <c r="F1045" s="21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</row>
    <row r="1046" spans="1:16" ht="14.25" customHeight="1" x14ac:dyDescent="0.2">
      <c r="A1046" s="45" t="s">
        <v>57</v>
      </c>
      <c r="B1046" s="45" t="s">
        <v>59</v>
      </c>
      <c r="C1046" s="45" t="s">
        <v>62</v>
      </c>
      <c r="D1046" s="19" t="s">
        <v>64</v>
      </c>
      <c r="E1046" s="19" t="s">
        <v>233</v>
      </c>
      <c r="F1046" s="19" t="s">
        <v>94</v>
      </c>
      <c r="G1046" s="45"/>
      <c r="H1046" s="19" t="s">
        <v>67</v>
      </c>
      <c r="I1046" s="19" t="s">
        <v>244</v>
      </c>
      <c r="J1046" s="19" t="s">
        <v>71</v>
      </c>
      <c r="K1046" s="19" t="s">
        <v>72</v>
      </c>
      <c r="L1046" s="19" t="s">
        <v>73</v>
      </c>
      <c r="M1046" s="19" t="s">
        <v>76</v>
      </c>
      <c r="N1046" s="19" t="s">
        <v>78</v>
      </c>
      <c r="O1046" s="19" t="s">
        <v>79</v>
      </c>
      <c r="P1046" s="19" t="s">
        <v>81</v>
      </c>
    </row>
    <row r="1047" spans="1:16" ht="14.25" customHeight="1" x14ac:dyDescent="0.2">
      <c r="A1047" s="75"/>
      <c r="B1047" s="75"/>
      <c r="C1047" s="76" t="s">
        <v>245</v>
      </c>
      <c r="D1047" s="21"/>
      <c r="E1047" s="21">
        <v>3</v>
      </c>
      <c r="F1047" s="23" t="str">
        <f>F1040</f>
        <v>12500</v>
      </c>
      <c r="G1047" s="77"/>
      <c r="H1047" s="21">
        <v>380</v>
      </c>
      <c r="I1047" s="23" t="str">
        <f t="shared" ref="I1047:J1047" si="661">I1040</f>
        <v>1500</v>
      </c>
      <c r="J1047" s="21">
        <f t="shared" si="661"/>
        <v>1000</v>
      </c>
      <c r="K1047" s="21">
        <v>585</v>
      </c>
      <c r="L1047" s="23" t="str">
        <f>L1040</f>
        <v>1500</v>
      </c>
      <c r="M1047" s="21"/>
      <c r="N1047" s="21"/>
      <c r="O1047" s="21">
        <f>O1040</f>
        <v>2</v>
      </c>
      <c r="P1047" s="21"/>
    </row>
    <row r="1048" spans="1:16" ht="14.25" customHeight="1" x14ac:dyDescent="0.2">
      <c r="A1048" s="45">
        <v>1</v>
      </c>
      <c r="B1048" s="45">
        <v>1.5</v>
      </c>
      <c r="C1048" s="45">
        <f>0.6+0.3</f>
        <v>0.89999999999999991</v>
      </c>
      <c r="D1048" s="19">
        <f>B1048*C1048</f>
        <v>1.3499999999999999</v>
      </c>
      <c r="E1048" s="19">
        <v>2.5</v>
      </c>
      <c r="F1048" s="19"/>
      <c r="G1048" s="78"/>
      <c r="H1048" s="19"/>
      <c r="I1048" s="19">
        <v>1</v>
      </c>
      <c r="J1048" s="19">
        <f>A1048</f>
        <v>1</v>
      </c>
      <c r="K1048" s="19">
        <f t="shared" ref="K1048:L1048" si="662">K1041</f>
        <v>0</v>
      </c>
      <c r="L1048" s="19">
        <f t="shared" si="662"/>
        <v>1</v>
      </c>
      <c r="M1048" s="19"/>
      <c r="N1048" s="19"/>
      <c r="O1048" s="19"/>
      <c r="P1048" s="19"/>
    </row>
    <row r="1049" spans="1:16" ht="14.25" customHeight="1" x14ac:dyDescent="0.2">
      <c r="A1049" s="78"/>
      <c r="B1049" s="78"/>
      <c r="C1049" s="78"/>
      <c r="D1049" s="26" t="str">
        <f>D1000</f>
        <v>7500</v>
      </c>
      <c r="E1049" s="26" t="str">
        <f t="shared" ref="E1049:F1049" si="663">E1042</f>
        <v>1000</v>
      </c>
      <c r="F1049" s="19">
        <f t="shared" si="663"/>
        <v>4</v>
      </c>
      <c r="G1049" s="45"/>
      <c r="H1049" s="19">
        <f>B1048*2</f>
        <v>3</v>
      </c>
      <c r="I1049" s="19"/>
      <c r="J1049" s="19"/>
      <c r="K1049" s="19"/>
      <c r="L1049" s="19"/>
      <c r="M1049" s="19"/>
      <c r="N1049" s="19"/>
      <c r="O1049" s="19"/>
      <c r="P1049" s="19"/>
    </row>
    <row r="1050" spans="1:16" ht="14.25" customHeight="1" x14ac:dyDescent="0.2">
      <c r="A1050" s="78"/>
      <c r="B1050" s="78"/>
      <c r="C1050" s="78"/>
      <c r="D1050" s="19">
        <f>D1048*D1049</f>
        <v>10124.999999999998</v>
      </c>
      <c r="E1050" s="19">
        <f>E1049*E1047</f>
        <v>3000</v>
      </c>
      <c r="F1050" s="19">
        <f>F1047*F1049</f>
        <v>50000</v>
      </c>
      <c r="G1050" s="45"/>
      <c r="H1050" s="19">
        <f>H1047*H1049</f>
        <v>1140</v>
      </c>
      <c r="I1050" s="19">
        <f t="shared" ref="I1050:L1050" si="664">I1047*I1048</f>
        <v>1500</v>
      </c>
      <c r="J1050" s="19">
        <f t="shared" si="664"/>
        <v>1000</v>
      </c>
      <c r="K1050" s="19">
        <f t="shared" si="664"/>
        <v>0</v>
      </c>
      <c r="L1050" s="19">
        <f t="shared" si="664"/>
        <v>1500</v>
      </c>
      <c r="M1050" s="19">
        <f>SUM(D1050:L1050)</f>
        <v>68265</v>
      </c>
      <c r="N1050" s="19">
        <f>M1050/A1048</f>
        <v>68265</v>
      </c>
      <c r="O1050" s="19">
        <f>N1050*O1047</f>
        <v>136530</v>
      </c>
      <c r="P1050" s="19">
        <f>MROUND(O1050,100)</f>
        <v>136500</v>
      </c>
    </row>
    <row r="1051" spans="1:16" ht="14.25" customHeight="1" x14ac:dyDescent="0.15">
      <c r="A1051" s="115"/>
      <c r="B1051" s="87"/>
      <c r="C1051" s="87"/>
      <c r="D1051" s="30"/>
      <c r="E1051" s="30"/>
      <c r="F1051" s="30"/>
      <c r="G1051" s="75"/>
      <c r="H1051" s="30"/>
      <c r="I1051" s="30"/>
      <c r="J1051" s="30"/>
      <c r="K1051" s="30"/>
      <c r="L1051" s="30"/>
      <c r="M1051" s="30"/>
      <c r="N1051" s="30"/>
      <c r="O1051" s="30"/>
    </row>
    <row r="1052" spans="1:16" ht="14.25" customHeight="1" x14ac:dyDescent="0.15">
      <c r="A1052" s="109" t="str">
        <f>PRICELIST!I694</f>
        <v>CBLP-FR-LVM-1500x600+900</v>
      </c>
      <c r="B1052" s="87"/>
      <c r="C1052" s="87"/>
      <c r="D1052" s="21"/>
      <c r="E1052" s="21"/>
      <c r="F1052" s="19"/>
      <c r="G1052" s="21"/>
      <c r="H1052" s="19"/>
      <c r="I1052" s="19"/>
      <c r="J1052" s="19"/>
      <c r="K1052" s="19"/>
      <c r="L1052" s="19"/>
      <c r="M1052" s="19"/>
      <c r="N1052" s="19"/>
      <c r="O1052" s="19"/>
      <c r="P1052" s="19"/>
    </row>
    <row r="1053" spans="1:16" ht="14.25" customHeight="1" x14ac:dyDescent="0.2">
      <c r="A1053" s="45" t="s">
        <v>57</v>
      </c>
      <c r="B1053" s="45" t="s">
        <v>59</v>
      </c>
      <c r="C1053" s="45" t="s">
        <v>62</v>
      </c>
      <c r="D1053" s="19" t="s">
        <v>64</v>
      </c>
      <c r="E1053" s="19" t="s">
        <v>233</v>
      </c>
      <c r="F1053" s="19" t="s">
        <v>94</v>
      </c>
      <c r="G1053" s="45"/>
      <c r="H1053" s="19" t="s">
        <v>67</v>
      </c>
      <c r="I1053" s="19" t="s">
        <v>244</v>
      </c>
      <c r="J1053" s="19" t="s">
        <v>71</v>
      </c>
      <c r="K1053" s="19" t="s">
        <v>72</v>
      </c>
      <c r="L1053" s="19" t="s">
        <v>73</v>
      </c>
      <c r="M1053" s="19" t="s">
        <v>76</v>
      </c>
      <c r="N1053" s="19" t="s">
        <v>78</v>
      </c>
      <c r="O1053" s="19" t="s">
        <v>79</v>
      </c>
      <c r="P1053" s="19" t="s">
        <v>81</v>
      </c>
    </row>
    <row r="1054" spans="1:16" ht="14.25" customHeight="1" x14ac:dyDescent="0.2">
      <c r="A1054" s="75"/>
      <c r="B1054" s="75"/>
      <c r="C1054" s="76" t="s">
        <v>245</v>
      </c>
      <c r="D1054" s="21"/>
      <c r="E1054" s="21">
        <v>3</v>
      </c>
      <c r="F1054" s="23" t="str">
        <f>F1047</f>
        <v>12500</v>
      </c>
      <c r="G1054" s="77"/>
      <c r="H1054" s="21">
        <v>380</v>
      </c>
      <c r="I1054" s="23" t="str">
        <f t="shared" ref="I1054:J1054" si="665">I1047</f>
        <v>1500</v>
      </c>
      <c r="J1054" s="21">
        <f t="shared" si="665"/>
        <v>1000</v>
      </c>
      <c r="K1054" s="21">
        <v>585</v>
      </c>
      <c r="L1054" s="23" t="str">
        <f>L1047</f>
        <v>1500</v>
      </c>
      <c r="M1054" s="21"/>
      <c r="N1054" s="21"/>
      <c r="O1054" s="21">
        <f>O1047</f>
        <v>2</v>
      </c>
      <c r="P1054" s="21"/>
    </row>
    <row r="1055" spans="1:16" ht="14.25" customHeight="1" x14ac:dyDescent="0.2">
      <c r="A1055" s="45">
        <v>1</v>
      </c>
      <c r="B1055" s="45">
        <v>1.5</v>
      </c>
      <c r="C1055" s="45">
        <f>0.6+0.3</f>
        <v>0.89999999999999991</v>
      </c>
      <c r="D1055" s="19">
        <f>B1055*C1055</f>
        <v>1.3499999999999999</v>
      </c>
      <c r="E1055" s="19">
        <v>2.5</v>
      </c>
      <c r="F1055" s="19"/>
      <c r="G1055" s="78"/>
      <c r="H1055" s="19"/>
      <c r="I1055" s="19">
        <v>1</v>
      </c>
      <c r="J1055" s="19">
        <f>A1055</f>
        <v>1</v>
      </c>
      <c r="K1055" s="19">
        <f t="shared" ref="K1055:L1055" si="666">K1048</f>
        <v>0</v>
      </c>
      <c r="L1055" s="19">
        <f t="shared" si="666"/>
        <v>1</v>
      </c>
      <c r="M1055" s="19"/>
      <c r="N1055" s="19"/>
      <c r="O1055" s="19"/>
      <c r="P1055" s="19"/>
    </row>
    <row r="1056" spans="1:16" ht="14.25" customHeight="1" x14ac:dyDescent="0.2">
      <c r="A1056" s="78"/>
      <c r="B1056" s="78"/>
      <c r="C1056" s="78"/>
      <c r="D1056" s="26" t="str">
        <f>D1007</f>
        <v>9500</v>
      </c>
      <c r="E1056" s="26" t="str">
        <f>E1014</f>
        <v>1500</v>
      </c>
      <c r="F1056" s="19">
        <f>F1049</f>
        <v>4</v>
      </c>
      <c r="G1056" s="45"/>
      <c r="H1056" s="19">
        <f>B1055*2</f>
        <v>3</v>
      </c>
      <c r="I1056" s="19"/>
      <c r="J1056" s="19"/>
      <c r="K1056" s="19"/>
      <c r="L1056" s="19"/>
      <c r="M1056" s="19"/>
      <c r="N1056" s="19"/>
      <c r="O1056" s="19"/>
      <c r="P1056" s="19"/>
    </row>
    <row r="1057" spans="1:16" ht="14.25" customHeight="1" x14ac:dyDescent="0.2">
      <c r="A1057" s="78"/>
      <c r="B1057" s="78"/>
      <c r="C1057" s="78"/>
      <c r="D1057" s="19">
        <f>D1055*D1056</f>
        <v>12824.999999999998</v>
      </c>
      <c r="E1057" s="19">
        <f>E1056*E1054</f>
        <v>4500</v>
      </c>
      <c r="F1057" s="19">
        <f>F1054*F1056</f>
        <v>50000</v>
      </c>
      <c r="G1057" s="45"/>
      <c r="H1057" s="19">
        <f>H1054*H1056</f>
        <v>1140</v>
      </c>
      <c r="I1057" s="19">
        <f t="shared" ref="I1057:L1057" si="667">I1054*I1055</f>
        <v>1500</v>
      </c>
      <c r="J1057" s="19">
        <f t="shared" si="667"/>
        <v>1000</v>
      </c>
      <c r="K1057" s="19">
        <f t="shared" si="667"/>
        <v>0</v>
      </c>
      <c r="L1057" s="19">
        <f t="shared" si="667"/>
        <v>1500</v>
      </c>
      <c r="M1057" s="19">
        <f>SUM(D1057:L1057)</f>
        <v>72465</v>
      </c>
      <c r="N1057" s="19">
        <f>M1057/A1055</f>
        <v>72465</v>
      </c>
      <c r="O1057" s="19">
        <f>N1057*O1054</f>
        <v>144930</v>
      </c>
      <c r="P1057" s="19">
        <f>MROUND(O1057,100)</f>
        <v>144900</v>
      </c>
    </row>
    <row r="1058" spans="1:16" ht="14.25" customHeight="1" x14ac:dyDescent="0.15">
      <c r="A1058" s="115"/>
      <c r="B1058" s="87"/>
      <c r="C1058" s="87"/>
      <c r="D1058" s="30"/>
      <c r="E1058" s="30"/>
      <c r="F1058" s="75"/>
      <c r="G1058" s="75"/>
      <c r="H1058" s="30"/>
      <c r="I1058" s="30"/>
      <c r="J1058" s="30"/>
      <c r="K1058" s="30"/>
      <c r="L1058" s="30"/>
      <c r="M1058" s="30"/>
      <c r="N1058" s="30"/>
      <c r="O1058" s="30"/>
    </row>
    <row r="1059" spans="1:16" ht="14.25" customHeight="1" x14ac:dyDescent="0.15">
      <c r="A1059" s="109" t="str">
        <f>PRICELIST!I695</f>
        <v>CBLP-FR-LVP-1500x600+900</v>
      </c>
      <c r="B1059" s="87"/>
      <c r="C1059" s="87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</row>
    <row r="1060" spans="1:16" ht="14.25" customHeight="1" x14ac:dyDescent="0.2">
      <c r="A1060" s="45" t="s">
        <v>57</v>
      </c>
      <c r="B1060" s="45" t="s">
        <v>59</v>
      </c>
      <c r="C1060" s="45" t="s">
        <v>62</v>
      </c>
      <c r="D1060" s="19" t="s">
        <v>64</v>
      </c>
      <c r="E1060" s="19" t="s">
        <v>233</v>
      </c>
      <c r="F1060" s="19" t="s">
        <v>94</v>
      </c>
      <c r="G1060" s="45"/>
      <c r="H1060" s="19" t="s">
        <v>67</v>
      </c>
      <c r="I1060" s="19" t="s">
        <v>244</v>
      </c>
      <c r="J1060" s="19" t="s">
        <v>71</v>
      </c>
      <c r="K1060" s="19" t="s">
        <v>72</v>
      </c>
      <c r="L1060" s="19" t="s">
        <v>73</v>
      </c>
      <c r="M1060" s="19" t="s">
        <v>76</v>
      </c>
      <c r="N1060" s="19" t="s">
        <v>78</v>
      </c>
      <c r="O1060" s="19" t="s">
        <v>79</v>
      </c>
      <c r="P1060" s="19" t="s">
        <v>81</v>
      </c>
    </row>
    <row r="1061" spans="1:16" ht="14.25" customHeight="1" x14ac:dyDescent="0.2">
      <c r="A1061" s="75"/>
      <c r="B1061" s="75"/>
      <c r="C1061" s="76" t="s">
        <v>245</v>
      </c>
      <c r="D1061" s="21"/>
      <c r="E1061" s="21">
        <v>3</v>
      </c>
      <c r="F1061" s="23" t="str">
        <f>F1054</f>
        <v>12500</v>
      </c>
      <c r="G1061" s="77"/>
      <c r="H1061" s="21">
        <v>380</v>
      </c>
      <c r="I1061" s="23" t="str">
        <f t="shared" ref="I1061:J1061" si="668">I1054</f>
        <v>1500</v>
      </c>
      <c r="J1061" s="21">
        <f t="shared" si="668"/>
        <v>1000</v>
      </c>
      <c r="K1061" s="21">
        <v>585</v>
      </c>
      <c r="L1061" s="23" t="str">
        <f>L1054</f>
        <v>1500</v>
      </c>
      <c r="M1061" s="21"/>
      <c r="N1061" s="21"/>
      <c r="O1061" s="21">
        <f>O1054</f>
        <v>2</v>
      </c>
      <c r="P1061" s="21"/>
    </row>
    <row r="1062" spans="1:16" ht="14.25" customHeight="1" x14ac:dyDescent="0.2">
      <c r="A1062" s="45">
        <v>1</v>
      </c>
      <c r="B1062" s="45">
        <v>1.5</v>
      </c>
      <c r="C1062" s="45">
        <f>0.6+0.3</f>
        <v>0.89999999999999991</v>
      </c>
      <c r="D1062" s="19">
        <f>B1062*C1062</f>
        <v>1.3499999999999999</v>
      </c>
      <c r="E1062" s="19">
        <v>2.5</v>
      </c>
      <c r="F1062" s="19"/>
      <c r="G1062" s="78"/>
      <c r="H1062" s="19"/>
      <c r="I1062" s="19">
        <v>1</v>
      </c>
      <c r="J1062" s="19">
        <f>A1062</f>
        <v>1</v>
      </c>
      <c r="K1062" s="19">
        <f t="shared" ref="K1062:L1062" si="669">K1055</f>
        <v>0</v>
      </c>
      <c r="L1062" s="19">
        <f t="shared" si="669"/>
        <v>1</v>
      </c>
      <c r="M1062" s="19"/>
      <c r="N1062" s="19"/>
      <c r="O1062" s="19"/>
      <c r="P1062" s="19"/>
    </row>
    <row r="1063" spans="1:16" ht="14.25" customHeight="1" x14ac:dyDescent="0.2">
      <c r="A1063" s="78"/>
      <c r="B1063" s="78"/>
      <c r="C1063" s="78"/>
      <c r="D1063" s="26" t="str">
        <f>D1014</f>
        <v>10500</v>
      </c>
      <c r="E1063" s="26" t="str">
        <f t="shared" ref="E1063:F1063" si="670">E1056</f>
        <v>1500</v>
      </c>
      <c r="F1063" s="19">
        <f t="shared" si="670"/>
        <v>4</v>
      </c>
      <c r="G1063" s="45"/>
      <c r="H1063" s="19">
        <f>B1062*2</f>
        <v>3</v>
      </c>
      <c r="I1063" s="19"/>
      <c r="J1063" s="19"/>
      <c r="K1063" s="19"/>
      <c r="L1063" s="19"/>
      <c r="M1063" s="19"/>
      <c r="N1063" s="19"/>
      <c r="O1063" s="19"/>
      <c r="P1063" s="19"/>
    </row>
    <row r="1064" spans="1:16" ht="14.25" customHeight="1" x14ac:dyDescent="0.2">
      <c r="A1064" s="78"/>
      <c r="B1064" s="78"/>
      <c r="C1064" s="78"/>
      <c r="D1064" s="19">
        <f>D1062*D1063</f>
        <v>14174.999999999998</v>
      </c>
      <c r="E1064" s="19">
        <f>E1063*E1061</f>
        <v>4500</v>
      </c>
      <c r="F1064" s="19">
        <f>F1061*F1063</f>
        <v>50000</v>
      </c>
      <c r="G1064" s="45"/>
      <c r="H1064" s="19">
        <f>H1061*H1063</f>
        <v>1140</v>
      </c>
      <c r="I1064" s="19">
        <f t="shared" ref="I1064:L1064" si="671">I1061*I1062</f>
        <v>1500</v>
      </c>
      <c r="J1064" s="19">
        <f t="shared" si="671"/>
        <v>1000</v>
      </c>
      <c r="K1064" s="19">
        <f t="shared" si="671"/>
        <v>0</v>
      </c>
      <c r="L1064" s="19">
        <f t="shared" si="671"/>
        <v>1500</v>
      </c>
      <c r="M1064" s="19">
        <f>SUM(D1064:L1064)</f>
        <v>73815</v>
      </c>
      <c r="N1064" s="19">
        <f>M1064/A1062</f>
        <v>73815</v>
      </c>
      <c r="O1064" s="19">
        <f>N1064*O1061</f>
        <v>147630</v>
      </c>
      <c r="P1064" s="19">
        <f>MROUND(O1064,100)</f>
        <v>147600</v>
      </c>
    </row>
    <row r="1065" spans="1:16" ht="14.25" customHeight="1" x14ac:dyDescent="0.15">
      <c r="A1065" s="115"/>
      <c r="B1065" s="87"/>
      <c r="C1065" s="87"/>
      <c r="D1065" s="30"/>
      <c r="E1065" s="30"/>
      <c r="F1065" s="30"/>
      <c r="G1065" s="75"/>
      <c r="H1065" s="30"/>
      <c r="I1065" s="30"/>
      <c r="J1065" s="30"/>
      <c r="K1065" s="30"/>
      <c r="L1065" s="30"/>
      <c r="M1065" s="30"/>
      <c r="N1065" s="30"/>
      <c r="O1065" s="30"/>
    </row>
    <row r="1066" spans="1:16" ht="14.25" customHeight="1" x14ac:dyDescent="0.15">
      <c r="A1066" s="109" t="str">
        <f>PRICELIST!I696</f>
        <v>CBLP-FR-VNR-1500x600+900</v>
      </c>
      <c r="B1066" s="87"/>
      <c r="C1066" s="87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</row>
    <row r="1067" spans="1:16" ht="14.25" customHeight="1" x14ac:dyDescent="0.2">
      <c r="A1067" s="45" t="s">
        <v>57</v>
      </c>
      <c r="B1067" s="45" t="s">
        <v>59</v>
      </c>
      <c r="C1067" s="45" t="s">
        <v>62</v>
      </c>
      <c r="D1067" s="19" t="s">
        <v>64</v>
      </c>
      <c r="E1067" s="19" t="s">
        <v>233</v>
      </c>
      <c r="F1067" s="19" t="s">
        <v>94</v>
      </c>
      <c r="G1067" s="45"/>
      <c r="H1067" s="19" t="s">
        <v>67</v>
      </c>
      <c r="I1067" s="19" t="s">
        <v>244</v>
      </c>
      <c r="J1067" s="19" t="s">
        <v>71</v>
      </c>
      <c r="K1067" s="19" t="s">
        <v>72</v>
      </c>
      <c r="L1067" s="19" t="s">
        <v>73</v>
      </c>
      <c r="M1067" s="19" t="s">
        <v>76</v>
      </c>
      <c r="N1067" s="19" t="s">
        <v>78</v>
      </c>
      <c r="O1067" s="19" t="s">
        <v>79</v>
      </c>
      <c r="P1067" s="19" t="s">
        <v>81</v>
      </c>
    </row>
    <row r="1068" spans="1:16" ht="14.25" customHeight="1" x14ac:dyDescent="0.2">
      <c r="A1068" s="75"/>
      <c r="B1068" s="75"/>
      <c r="C1068" s="76" t="s">
        <v>245</v>
      </c>
      <c r="D1068" s="21"/>
      <c r="E1068" s="21">
        <v>3</v>
      </c>
      <c r="F1068" s="23" t="str">
        <f>F1061</f>
        <v>12500</v>
      </c>
      <c r="G1068" s="77"/>
      <c r="H1068" s="21">
        <v>380</v>
      </c>
      <c r="I1068" s="23" t="str">
        <f t="shared" ref="I1068:J1068" si="672">I1061</f>
        <v>1500</v>
      </c>
      <c r="J1068" s="21">
        <f t="shared" si="672"/>
        <v>1000</v>
      </c>
      <c r="K1068" s="21">
        <v>585</v>
      </c>
      <c r="L1068" s="23" t="str">
        <f>L1061</f>
        <v>1500</v>
      </c>
      <c r="M1068" s="21"/>
      <c r="N1068" s="21"/>
      <c r="O1068" s="21">
        <f>O1061</f>
        <v>2</v>
      </c>
      <c r="P1068" s="21"/>
    </row>
    <row r="1069" spans="1:16" ht="14.25" customHeight="1" x14ac:dyDescent="0.2">
      <c r="A1069" s="45">
        <v>1</v>
      </c>
      <c r="B1069" s="45">
        <v>1.5</v>
      </c>
      <c r="C1069" s="45">
        <f>0.6+0.3</f>
        <v>0.89999999999999991</v>
      </c>
      <c r="D1069" s="19">
        <f>B1069*C1069</f>
        <v>1.3499999999999999</v>
      </c>
      <c r="E1069" s="19">
        <v>2.5</v>
      </c>
      <c r="F1069" s="19"/>
      <c r="G1069" s="78"/>
      <c r="H1069" s="19"/>
      <c r="I1069" s="19">
        <v>1</v>
      </c>
      <c r="J1069" s="19">
        <f>A1069</f>
        <v>1</v>
      </c>
      <c r="K1069" s="19">
        <f t="shared" ref="K1069:L1069" si="673">K1062</f>
        <v>0</v>
      </c>
      <c r="L1069" s="19">
        <f t="shared" si="673"/>
        <v>1</v>
      </c>
      <c r="M1069" s="19"/>
      <c r="N1069" s="19"/>
      <c r="O1069" s="19"/>
      <c r="P1069" s="19"/>
    </row>
    <row r="1070" spans="1:16" ht="14.25" customHeight="1" x14ac:dyDescent="0.2">
      <c r="A1070" s="78"/>
      <c r="B1070" s="78"/>
      <c r="C1070" s="78"/>
      <c r="D1070" s="26" t="str">
        <f>D1021</f>
        <v>30000</v>
      </c>
      <c r="E1070" s="26" t="str">
        <f t="shared" ref="E1070:F1070" si="674">E1063</f>
        <v>1500</v>
      </c>
      <c r="F1070" s="19">
        <f t="shared" si="674"/>
        <v>4</v>
      </c>
      <c r="G1070" s="45"/>
      <c r="H1070" s="19">
        <f>B1069*2</f>
        <v>3</v>
      </c>
      <c r="I1070" s="19"/>
      <c r="J1070" s="19"/>
      <c r="K1070" s="19"/>
      <c r="L1070" s="19"/>
      <c r="M1070" s="19"/>
      <c r="N1070" s="19"/>
      <c r="O1070" s="19"/>
      <c r="P1070" s="19"/>
    </row>
    <row r="1071" spans="1:16" ht="14.25" customHeight="1" x14ac:dyDescent="0.2">
      <c r="A1071" s="78"/>
      <c r="B1071" s="78"/>
      <c r="C1071" s="78"/>
      <c r="D1071" s="19">
        <f>D1069*D1070</f>
        <v>40499.999999999993</v>
      </c>
      <c r="E1071" s="19">
        <f>E1070*E1068</f>
        <v>4500</v>
      </c>
      <c r="F1071" s="19">
        <f>F1068*F1070</f>
        <v>50000</v>
      </c>
      <c r="G1071" s="45"/>
      <c r="H1071" s="19">
        <f>H1068*H1070</f>
        <v>1140</v>
      </c>
      <c r="I1071" s="19">
        <f t="shared" ref="I1071:L1071" si="675">I1068*I1069</f>
        <v>1500</v>
      </c>
      <c r="J1071" s="19">
        <f t="shared" si="675"/>
        <v>1000</v>
      </c>
      <c r="K1071" s="19">
        <f t="shared" si="675"/>
        <v>0</v>
      </c>
      <c r="L1071" s="19">
        <f t="shared" si="675"/>
        <v>1500</v>
      </c>
      <c r="M1071" s="19">
        <f>SUM(D1071:L1071)</f>
        <v>100140</v>
      </c>
      <c r="N1071" s="19">
        <f>M1071/A1069</f>
        <v>100140</v>
      </c>
      <c r="O1071" s="19">
        <f>N1071*O1068</f>
        <v>200280</v>
      </c>
      <c r="P1071" s="19">
        <f>MROUND(O1071,100)</f>
        <v>200300</v>
      </c>
    </row>
    <row r="1072" spans="1:16" ht="14.25" customHeight="1" x14ac:dyDescent="0.15">
      <c r="A1072" s="115"/>
      <c r="B1072" s="87"/>
      <c r="C1072" s="87"/>
      <c r="D1072" s="30"/>
      <c r="E1072" s="30"/>
      <c r="F1072" s="30"/>
      <c r="G1072" s="75"/>
      <c r="H1072" s="75"/>
      <c r="I1072" s="75"/>
      <c r="J1072" s="75"/>
      <c r="K1072" s="75"/>
      <c r="L1072" s="75"/>
      <c r="M1072" s="75"/>
      <c r="N1072" s="75"/>
      <c r="O1072" s="30"/>
      <c r="P1072" s="75"/>
    </row>
    <row r="1073" spans="1:16" ht="14.25" customHeight="1" x14ac:dyDescent="0.15">
      <c r="A1073" s="109" t="str">
        <f>PRICELIST!I697</f>
        <v>CBLP-FR-GL-1500x600+900</v>
      </c>
      <c r="B1073" s="87"/>
      <c r="C1073" s="87"/>
      <c r="D1073" s="19"/>
      <c r="E1073" s="19"/>
      <c r="F1073" s="21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</row>
    <row r="1074" spans="1:16" ht="14.25" customHeight="1" x14ac:dyDescent="0.2">
      <c r="A1074" s="45" t="s">
        <v>57</v>
      </c>
      <c r="B1074" s="45" t="s">
        <v>59</v>
      </c>
      <c r="C1074" s="45" t="s">
        <v>62</v>
      </c>
      <c r="D1074" s="19" t="s">
        <v>64</v>
      </c>
      <c r="E1074" s="19" t="s">
        <v>233</v>
      </c>
      <c r="F1074" s="19" t="s">
        <v>94</v>
      </c>
      <c r="G1074" s="45"/>
      <c r="H1074" s="19" t="s">
        <v>67</v>
      </c>
      <c r="I1074" s="19" t="s">
        <v>244</v>
      </c>
      <c r="J1074" s="19" t="s">
        <v>71</v>
      </c>
      <c r="K1074" s="19" t="s">
        <v>72</v>
      </c>
      <c r="L1074" s="19" t="s">
        <v>73</v>
      </c>
      <c r="M1074" s="19" t="s">
        <v>76</v>
      </c>
      <c r="N1074" s="19" t="s">
        <v>78</v>
      </c>
      <c r="O1074" s="19" t="s">
        <v>79</v>
      </c>
      <c r="P1074" s="19" t="s">
        <v>81</v>
      </c>
    </row>
    <row r="1075" spans="1:16" ht="14.25" customHeight="1" x14ac:dyDescent="0.2">
      <c r="A1075" s="75"/>
      <c r="B1075" s="75"/>
      <c r="C1075" s="76" t="s">
        <v>245</v>
      </c>
      <c r="D1075" s="21"/>
      <c r="E1075" s="21">
        <v>3</v>
      </c>
      <c r="F1075" s="23" t="str">
        <f>F1068</f>
        <v>12500</v>
      </c>
      <c r="G1075" s="77"/>
      <c r="H1075" s="21">
        <v>380</v>
      </c>
      <c r="I1075" s="23" t="str">
        <f t="shared" ref="I1075:J1075" si="676">I1068</f>
        <v>1500</v>
      </c>
      <c r="J1075" s="21">
        <f t="shared" si="676"/>
        <v>1000</v>
      </c>
      <c r="K1075" s="21">
        <v>585</v>
      </c>
      <c r="L1075" s="23" t="str">
        <f>L1068</f>
        <v>1500</v>
      </c>
      <c r="M1075" s="21"/>
      <c r="N1075" s="21"/>
      <c r="O1075" s="21">
        <f>O1068</f>
        <v>2</v>
      </c>
      <c r="P1075" s="21"/>
    </row>
    <row r="1076" spans="1:16" ht="14.25" customHeight="1" x14ac:dyDescent="0.2">
      <c r="A1076" s="45">
        <v>1</v>
      </c>
      <c r="B1076" s="45">
        <v>1.5</v>
      </c>
      <c r="C1076" s="45">
        <f>0.6+0.3</f>
        <v>0.89999999999999991</v>
      </c>
      <c r="D1076" s="19">
        <f>B1076*C1076</f>
        <v>1.3499999999999999</v>
      </c>
      <c r="E1076" s="19">
        <v>2.5</v>
      </c>
      <c r="F1076" s="19"/>
      <c r="G1076" s="78"/>
      <c r="H1076" s="19"/>
      <c r="I1076" s="19">
        <v>1</v>
      </c>
      <c r="J1076" s="19">
        <f>A1076</f>
        <v>1</v>
      </c>
      <c r="K1076" s="19">
        <f t="shared" ref="K1076:L1076" si="677">K1069</f>
        <v>0</v>
      </c>
      <c r="L1076" s="19">
        <f t="shared" si="677"/>
        <v>1</v>
      </c>
      <c r="M1076" s="19"/>
      <c r="N1076" s="19"/>
      <c r="O1076" s="19"/>
      <c r="P1076" s="19"/>
    </row>
    <row r="1077" spans="1:16" ht="14.25" customHeight="1" x14ac:dyDescent="0.2">
      <c r="A1077" s="78"/>
      <c r="B1077" s="78"/>
      <c r="C1077" s="78"/>
      <c r="D1077" s="26" t="str">
        <f>D1028</f>
        <v>7500</v>
      </c>
      <c r="E1077" s="26" t="str">
        <f t="shared" ref="E1077:F1077" si="678">E1070</f>
        <v>1500</v>
      </c>
      <c r="F1077" s="19">
        <f t="shared" si="678"/>
        <v>4</v>
      </c>
      <c r="G1077" s="45"/>
      <c r="H1077" s="19">
        <f>B1076*2</f>
        <v>3</v>
      </c>
      <c r="I1077" s="19"/>
      <c r="J1077" s="19"/>
      <c r="K1077" s="19"/>
      <c r="L1077" s="19"/>
      <c r="M1077" s="19"/>
      <c r="N1077" s="19"/>
      <c r="O1077" s="19"/>
      <c r="P1077" s="19"/>
    </row>
    <row r="1078" spans="1:16" ht="14.25" customHeight="1" x14ac:dyDescent="0.2">
      <c r="A1078" s="78"/>
      <c r="B1078" s="78"/>
      <c r="C1078" s="78"/>
      <c r="D1078" s="19">
        <f>D1076*D1077</f>
        <v>10124.999999999998</v>
      </c>
      <c r="E1078" s="19">
        <f>E1077*E1075</f>
        <v>4500</v>
      </c>
      <c r="F1078" s="19">
        <f>F1075*F1077</f>
        <v>50000</v>
      </c>
      <c r="G1078" s="45"/>
      <c r="H1078" s="19">
        <f>H1075*H1077</f>
        <v>1140</v>
      </c>
      <c r="I1078" s="19">
        <f t="shared" ref="I1078:L1078" si="679">I1075*I1076</f>
        <v>1500</v>
      </c>
      <c r="J1078" s="19">
        <f t="shared" si="679"/>
        <v>1000</v>
      </c>
      <c r="K1078" s="19">
        <f t="shared" si="679"/>
        <v>0</v>
      </c>
      <c r="L1078" s="19">
        <f t="shared" si="679"/>
        <v>1500</v>
      </c>
      <c r="M1078" s="19">
        <f>SUM(D1078:L1078)</f>
        <v>69765</v>
      </c>
      <c r="N1078" s="19">
        <f>M1078/A1076</f>
        <v>69765</v>
      </c>
      <c r="O1078" s="19">
        <f>N1078*O1075</f>
        <v>139530</v>
      </c>
      <c r="P1078" s="19">
        <f>MROUND(O1078,100)</f>
        <v>139500</v>
      </c>
    </row>
    <row r="1079" spans="1:16" ht="14.25" customHeight="1" x14ac:dyDescent="0.15">
      <c r="A1079" s="115"/>
      <c r="B1079" s="87"/>
      <c r="C1079" s="87"/>
      <c r="D1079" s="75"/>
      <c r="E1079" s="30"/>
      <c r="F1079" s="30"/>
      <c r="G1079" s="75"/>
      <c r="H1079" s="30"/>
      <c r="I1079" s="30"/>
      <c r="J1079" s="30"/>
      <c r="K1079" s="30"/>
      <c r="L1079" s="30"/>
      <c r="M1079" s="30"/>
      <c r="N1079" s="30"/>
      <c r="O1079" s="30"/>
    </row>
    <row r="1080" spans="1:16" ht="14.25" customHeight="1" x14ac:dyDescent="0.15">
      <c r="A1080" s="109" t="str">
        <f>PRICELIST!I698</f>
        <v>CBLP-FR-PB-1800x750+1350</v>
      </c>
      <c r="B1080" s="87"/>
      <c r="C1080" s="87"/>
      <c r="D1080" s="30"/>
      <c r="E1080" s="30"/>
      <c r="F1080" s="19"/>
      <c r="G1080" s="30"/>
      <c r="H1080" s="19"/>
      <c r="I1080" s="19"/>
      <c r="J1080" s="19"/>
      <c r="K1080" s="19"/>
      <c r="L1080" s="19"/>
      <c r="M1080" s="19"/>
      <c r="N1080" s="19"/>
      <c r="O1080" s="19"/>
      <c r="P1080" s="19"/>
    </row>
    <row r="1081" spans="1:16" ht="14.25" customHeight="1" x14ac:dyDescent="0.2">
      <c r="A1081" s="45" t="s">
        <v>57</v>
      </c>
      <c r="B1081" s="45" t="s">
        <v>59</v>
      </c>
      <c r="C1081" s="45" t="s">
        <v>62</v>
      </c>
      <c r="D1081" s="19" t="s">
        <v>64</v>
      </c>
      <c r="E1081" s="19" t="s">
        <v>233</v>
      </c>
      <c r="F1081" s="19" t="s">
        <v>94</v>
      </c>
      <c r="G1081" s="45"/>
      <c r="H1081" s="19" t="s">
        <v>67</v>
      </c>
      <c r="I1081" s="19" t="s">
        <v>244</v>
      </c>
      <c r="J1081" s="19" t="s">
        <v>71</v>
      </c>
      <c r="K1081" s="19" t="s">
        <v>72</v>
      </c>
      <c r="L1081" s="19" t="s">
        <v>73</v>
      </c>
      <c r="M1081" s="19" t="s">
        <v>76</v>
      </c>
      <c r="N1081" s="19" t="s">
        <v>78</v>
      </c>
      <c r="O1081" s="19" t="s">
        <v>79</v>
      </c>
      <c r="P1081" s="19" t="s">
        <v>81</v>
      </c>
    </row>
    <row r="1082" spans="1:16" ht="14.25" customHeight="1" x14ac:dyDescent="0.2">
      <c r="A1082" s="75"/>
      <c r="B1082" s="75"/>
      <c r="C1082" s="76" t="s">
        <v>245</v>
      </c>
      <c r="D1082" s="21"/>
      <c r="E1082" s="21">
        <v>4.5</v>
      </c>
      <c r="F1082" s="23" t="str">
        <f>F1075</f>
        <v>12500</v>
      </c>
      <c r="G1082" s="77"/>
      <c r="H1082" s="21">
        <v>380</v>
      </c>
      <c r="I1082" s="23" t="str">
        <f t="shared" ref="I1082:J1082" si="680">I1075</f>
        <v>1500</v>
      </c>
      <c r="J1082" s="21">
        <f t="shared" si="680"/>
        <v>1000</v>
      </c>
      <c r="K1082" s="21">
        <v>585</v>
      </c>
      <c r="L1082" s="23" t="str">
        <f>L1075</f>
        <v>1500</v>
      </c>
      <c r="M1082" s="21"/>
      <c r="N1082" s="21"/>
      <c r="O1082" s="21">
        <f>O1075</f>
        <v>2</v>
      </c>
      <c r="P1082" s="21"/>
    </row>
    <row r="1083" spans="1:16" ht="14.25" customHeight="1" x14ac:dyDescent="0.2">
      <c r="A1083" s="45">
        <v>1</v>
      </c>
      <c r="B1083" s="45">
        <v>1.8</v>
      </c>
      <c r="C1083" s="45">
        <v>1.05</v>
      </c>
      <c r="D1083" s="19">
        <f>B1083*C1083</f>
        <v>1.8900000000000001</v>
      </c>
      <c r="E1083" s="19">
        <v>2.5</v>
      </c>
      <c r="F1083" s="19"/>
      <c r="G1083" s="78"/>
      <c r="H1083" s="19"/>
      <c r="I1083" s="19">
        <v>1</v>
      </c>
      <c r="J1083" s="19">
        <f>A1083</f>
        <v>1</v>
      </c>
      <c r="K1083" s="19">
        <f t="shared" ref="K1083:L1083" si="681">K1076</f>
        <v>0</v>
      </c>
      <c r="L1083" s="19">
        <f t="shared" si="681"/>
        <v>1</v>
      </c>
      <c r="M1083" s="19"/>
      <c r="N1083" s="19"/>
      <c r="O1083" s="19"/>
      <c r="P1083" s="19"/>
    </row>
    <row r="1084" spans="1:16" ht="14.25" customHeight="1" x14ac:dyDescent="0.2">
      <c r="A1084" s="78"/>
      <c r="B1084" s="78"/>
      <c r="C1084" s="78"/>
      <c r="D1084" s="26" t="str">
        <f t="shared" ref="D1084:E1084" si="682">D1035</f>
        <v>2200</v>
      </c>
      <c r="E1084" s="26" t="str">
        <f t="shared" si="682"/>
        <v>1000</v>
      </c>
      <c r="F1084" s="19">
        <f>F1077</f>
        <v>4</v>
      </c>
      <c r="G1084" s="45"/>
      <c r="H1084" s="19">
        <f>B1083*2</f>
        <v>3.6</v>
      </c>
      <c r="I1084" s="19"/>
      <c r="J1084" s="19"/>
      <c r="K1084" s="19"/>
      <c r="L1084" s="19"/>
      <c r="M1084" s="19"/>
      <c r="N1084" s="19"/>
      <c r="O1084" s="19"/>
      <c r="P1084" s="19"/>
    </row>
    <row r="1085" spans="1:16" ht="14.25" customHeight="1" x14ac:dyDescent="0.2">
      <c r="A1085" s="78"/>
      <c r="B1085" s="78"/>
      <c r="C1085" s="78"/>
      <c r="D1085" s="19">
        <f>D1083*D1084</f>
        <v>4158</v>
      </c>
      <c r="E1085" s="19">
        <f>E1084*E1082</f>
        <v>4500</v>
      </c>
      <c r="F1085" s="19">
        <f>F1082*F1084</f>
        <v>50000</v>
      </c>
      <c r="G1085" s="45"/>
      <c r="H1085" s="19">
        <f>H1082*H1084</f>
        <v>1368</v>
      </c>
      <c r="I1085" s="19">
        <f t="shared" ref="I1085:L1085" si="683">I1082*I1083</f>
        <v>1500</v>
      </c>
      <c r="J1085" s="19">
        <f t="shared" si="683"/>
        <v>1000</v>
      </c>
      <c r="K1085" s="19">
        <f t="shared" si="683"/>
        <v>0</v>
      </c>
      <c r="L1085" s="19">
        <f t="shared" si="683"/>
        <v>1500</v>
      </c>
      <c r="M1085" s="19">
        <f>SUM(D1085:L1085)</f>
        <v>64026</v>
      </c>
      <c r="N1085" s="19">
        <f>M1085/A1083</f>
        <v>64026</v>
      </c>
      <c r="O1085" s="19">
        <f>N1085*O1082</f>
        <v>128052</v>
      </c>
      <c r="P1085" s="19">
        <f>MROUND(O1085,100)</f>
        <v>128100</v>
      </c>
    </row>
    <row r="1086" spans="1:16" ht="14.25" customHeight="1" x14ac:dyDescent="0.15">
      <c r="A1086" s="115"/>
      <c r="B1086" s="87"/>
      <c r="C1086" s="87"/>
      <c r="D1086" s="30"/>
      <c r="E1086" s="30"/>
      <c r="F1086" s="75"/>
      <c r="G1086" s="75"/>
      <c r="H1086" s="30"/>
      <c r="I1086" s="30"/>
      <c r="J1086" s="30"/>
      <c r="K1086" s="30"/>
      <c r="L1086" s="30"/>
      <c r="M1086" s="30"/>
      <c r="N1086" s="30"/>
      <c r="O1086" s="30"/>
    </row>
    <row r="1087" spans="1:16" ht="14.25" customHeight="1" x14ac:dyDescent="0.15">
      <c r="A1087" s="109" t="str">
        <f>PRICELIST!I699</f>
        <v>CBLP-FR-PLM-1800x750+1350</v>
      </c>
      <c r="B1087" s="87"/>
      <c r="C1087" s="87"/>
      <c r="D1087" s="30"/>
      <c r="E1087" s="30"/>
      <c r="F1087" s="30"/>
      <c r="G1087" s="30"/>
      <c r="H1087" s="19"/>
      <c r="I1087" s="19"/>
      <c r="J1087" s="19"/>
      <c r="K1087" s="19"/>
      <c r="L1087" s="19"/>
      <c r="M1087" s="19"/>
      <c r="N1087" s="19"/>
      <c r="O1087" s="19"/>
      <c r="P1087" s="19"/>
    </row>
    <row r="1088" spans="1:16" ht="14.25" customHeight="1" x14ac:dyDescent="0.2">
      <c r="A1088" s="45" t="s">
        <v>57</v>
      </c>
      <c r="B1088" s="45" t="s">
        <v>59</v>
      </c>
      <c r="C1088" s="45" t="s">
        <v>62</v>
      </c>
      <c r="D1088" s="19" t="s">
        <v>64</v>
      </c>
      <c r="E1088" s="19" t="s">
        <v>233</v>
      </c>
      <c r="F1088" s="19" t="s">
        <v>94</v>
      </c>
      <c r="G1088" s="45"/>
      <c r="H1088" s="19" t="s">
        <v>67</v>
      </c>
      <c r="I1088" s="19" t="s">
        <v>244</v>
      </c>
      <c r="J1088" s="19" t="s">
        <v>71</v>
      </c>
      <c r="K1088" s="19" t="s">
        <v>72</v>
      </c>
      <c r="L1088" s="19" t="s">
        <v>73</v>
      </c>
      <c r="M1088" s="19" t="s">
        <v>76</v>
      </c>
      <c r="N1088" s="19" t="s">
        <v>78</v>
      </c>
      <c r="O1088" s="19" t="s">
        <v>79</v>
      </c>
      <c r="P1088" s="19" t="s">
        <v>81</v>
      </c>
    </row>
    <row r="1089" spans="1:16" ht="14.25" customHeight="1" x14ac:dyDescent="0.2">
      <c r="A1089" s="75"/>
      <c r="B1089" s="75"/>
      <c r="C1089" s="76" t="s">
        <v>245</v>
      </c>
      <c r="D1089" s="21"/>
      <c r="E1089" s="21">
        <v>4.5</v>
      </c>
      <c r="F1089" s="23" t="str">
        <f>F1082</f>
        <v>12500</v>
      </c>
      <c r="G1089" s="77"/>
      <c r="H1089" s="21">
        <v>380</v>
      </c>
      <c r="I1089" s="23" t="str">
        <f t="shared" ref="I1089:J1089" si="684">I1082</f>
        <v>1500</v>
      </c>
      <c r="J1089" s="21">
        <f t="shared" si="684"/>
        <v>1000</v>
      </c>
      <c r="K1089" s="21">
        <v>585</v>
      </c>
      <c r="L1089" s="23" t="str">
        <f>L1082</f>
        <v>1500</v>
      </c>
      <c r="M1089" s="21"/>
      <c r="N1089" s="21"/>
      <c r="O1089" s="21">
        <f>O1082</f>
        <v>2</v>
      </c>
      <c r="P1089" s="21"/>
    </row>
    <row r="1090" spans="1:16" ht="14.25" customHeight="1" x14ac:dyDescent="0.2">
      <c r="A1090" s="45">
        <v>1</v>
      </c>
      <c r="B1090" s="45">
        <v>1.8</v>
      </c>
      <c r="C1090" s="69">
        <v>1.05</v>
      </c>
      <c r="D1090" s="19">
        <f>B1090*C1090</f>
        <v>1.8900000000000001</v>
      </c>
      <c r="E1090" s="19">
        <v>2.5</v>
      </c>
      <c r="F1090" s="19"/>
      <c r="G1090" s="78"/>
      <c r="H1090" s="19"/>
      <c r="I1090" s="19">
        <v>1</v>
      </c>
      <c r="J1090" s="19">
        <f>A1090</f>
        <v>1</v>
      </c>
      <c r="K1090" s="19">
        <f t="shared" ref="K1090:L1090" si="685">K1083</f>
        <v>0</v>
      </c>
      <c r="L1090" s="19">
        <f t="shared" si="685"/>
        <v>1</v>
      </c>
      <c r="M1090" s="19"/>
      <c r="N1090" s="19"/>
      <c r="O1090" s="19"/>
      <c r="P1090" s="19"/>
    </row>
    <row r="1091" spans="1:16" ht="14.25" customHeight="1" x14ac:dyDescent="0.2">
      <c r="A1091" s="78"/>
      <c r="B1091" s="78"/>
      <c r="C1091" s="78"/>
      <c r="D1091" s="26" t="str">
        <f>D1042</f>
        <v>3000</v>
      </c>
      <c r="E1091" s="26" t="str">
        <f t="shared" ref="E1091:F1091" si="686">E1084</f>
        <v>1000</v>
      </c>
      <c r="F1091" s="19">
        <f t="shared" si="686"/>
        <v>4</v>
      </c>
      <c r="G1091" s="45"/>
      <c r="H1091" s="19">
        <f>B1090*2</f>
        <v>3.6</v>
      </c>
      <c r="I1091" s="19"/>
      <c r="J1091" s="19"/>
      <c r="K1091" s="19"/>
      <c r="L1091" s="19"/>
      <c r="M1091" s="19"/>
      <c r="N1091" s="19"/>
      <c r="O1091" s="19"/>
      <c r="P1091" s="19"/>
    </row>
    <row r="1092" spans="1:16" ht="14.25" customHeight="1" x14ac:dyDescent="0.2">
      <c r="A1092" s="78"/>
      <c r="B1092" s="78"/>
      <c r="C1092" s="78"/>
      <c r="D1092" s="19">
        <f>D1090*D1091</f>
        <v>5670</v>
      </c>
      <c r="E1092" s="19">
        <f>E1091*E1089</f>
        <v>4500</v>
      </c>
      <c r="F1092" s="19">
        <f>F1089*F1091</f>
        <v>50000</v>
      </c>
      <c r="G1092" s="45"/>
      <c r="H1092" s="19">
        <f>H1089*H1091</f>
        <v>1368</v>
      </c>
      <c r="I1092" s="19">
        <f t="shared" ref="I1092:L1092" si="687">I1089*I1090</f>
        <v>1500</v>
      </c>
      <c r="J1092" s="19">
        <f t="shared" si="687"/>
        <v>1000</v>
      </c>
      <c r="K1092" s="19">
        <f t="shared" si="687"/>
        <v>0</v>
      </c>
      <c r="L1092" s="19">
        <f t="shared" si="687"/>
        <v>1500</v>
      </c>
      <c r="M1092" s="19">
        <f>SUM(D1092:L1092)</f>
        <v>65538</v>
      </c>
      <c r="N1092" s="19">
        <f>M1092/A1090</f>
        <v>65538</v>
      </c>
      <c r="O1092" s="19">
        <f>N1092*O1089</f>
        <v>131076</v>
      </c>
      <c r="P1092" s="19">
        <f>MROUND(O1092,100)</f>
        <v>131100</v>
      </c>
    </row>
    <row r="1093" spans="1:16" ht="14.25" customHeight="1" x14ac:dyDescent="0.15">
      <c r="A1093" s="115"/>
      <c r="B1093" s="87"/>
      <c r="C1093" s="87"/>
      <c r="D1093" s="30"/>
      <c r="E1093" s="30"/>
      <c r="F1093" s="30"/>
      <c r="G1093" s="75"/>
      <c r="H1093" s="30"/>
      <c r="I1093" s="30"/>
      <c r="J1093" s="30"/>
      <c r="K1093" s="30"/>
      <c r="L1093" s="30"/>
      <c r="M1093" s="30"/>
      <c r="N1093" s="30"/>
      <c r="O1093" s="30"/>
    </row>
    <row r="1094" spans="1:16" ht="14.25" customHeight="1" x14ac:dyDescent="0.15">
      <c r="A1094" s="109" t="str">
        <f>PRICELIST!I700</f>
        <v>CBLP-FR-PoLM-1800x750+1350</v>
      </c>
      <c r="B1094" s="87"/>
      <c r="C1094" s="87"/>
      <c r="D1094" s="19"/>
      <c r="E1094" s="19"/>
      <c r="F1094" s="19"/>
      <c r="G1094" s="19"/>
      <c r="H1094" s="21"/>
      <c r="I1094" s="21"/>
      <c r="J1094" s="21"/>
      <c r="K1094" s="21"/>
      <c r="L1094" s="21"/>
      <c r="M1094" s="21"/>
      <c r="N1094" s="21"/>
      <c r="O1094" s="21"/>
      <c r="P1094" s="21"/>
    </row>
    <row r="1095" spans="1:16" ht="14.25" customHeight="1" x14ac:dyDescent="0.2">
      <c r="A1095" s="45" t="s">
        <v>57</v>
      </c>
      <c r="B1095" s="45" t="s">
        <v>59</v>
      </c>
      <c r="C1095" s="45" t="s">
        <v>62</v>
      </c>
      <c r="D1095" s="19" t="s">
        <v>64</v>
      </c>
      <c r="E1095" s="19" t="s">
        <v>233</v>
      </c>
      <c r="F1095" s="19" t="s">
        <v>94</v>
      </c>
      <c r="G1095" s="45"/>
      <c r="H1095" s="19" t="s">
        <v>67</v>
      </c>
      <c r="I1095" s="19" t="s">
        <v>244</v>
      </c>
      <c r="J1095" s="19" t="s">
        <v>71</v>
      </c>
      <c r="K1095" s="19" t="s">
        <v>72</v>
      </c>
      <c r="L1095" s="19" t="s">
        <v>73</v>
      </c>
      <c r="M1095" s="19" t="s">
        <v>76</v>
      </c>
      <c r="N1095" s="19" t="s">
        <v>78</v>
      </c>
      <c r="O1095" s="19" t="s">
        <v>79</v>
      </c>
      <c r="P1095" s="19" t="s">
        <v>81</v>
      </c>
    </row>
    <row r="1096" spans="1:16" ht="14.25" customHeight="1" x14ac:dyDescent="0.2">
      <c r="A1096" s="75"/>
      <c r="B1096" s="75"/>
      <c r="C1096" s="76" t="s">
        <v>245</v>
      </c>
      <c r="D1096" s="21"/>
      <c r="E1096" s="21">
        <v>4.5</v>
      </c>
      <c r="F1096" s="23" t="str">
        <f>F1089</f>
        <v>12500</v>
      </c>
      <c r="G1096" s="77"/>
      <c r="H1096" s="21">
        <v>380</v>
      </c>
      <c r="I1096" s="23" t="str">
        <f t="shared" ref="I1096:J1096" si="688">I1089</f>
        <v>1500</v>
      </c>
      <c r="J1096" s="21">
        <f t="shared" si="688"/>
        <v>1000</v>
      </c>
      <c r="K1096" s="21">
        <v>585</v>
      </c>
      <c r="L1096" s="23" t="str">
        <f>L1089</f>
        <v>1500</v>
      </c>
      <c r="M1096" s="21"/>
      <c r="N1096" s="21"/>
      <c r="O1096" s="21">
        <f>O1089</f>
        <v>2</v>
      </c>
      <c r="P1096" s="21"/>
    </row>
    <row r="1097" spans="1:16" ht="14.25" customHeight="1" x14ac:dyDescent="0.2">
      <c r="A1097" s="45">
        <v>1</v>
      </c>
      <c r="B1097" s="45">
        <v>1.8</v>
      </c>
      <c r="C1097" s="69">
        <v>1.05</v>
      </c>
      <c r="D1097" s="19">
        <f>B1097*C1097</f>
        <v>1.8900000000000001</v>
      </c>
      <c r="E1097" s="19">
        <v>2.5</v>
      </c>
      <c r="F1097" s="19"/>
      <c r="G1097" s="78"/>
      <c r="H1097" s="19"/>
      <c r="I1097" s="19">
        <v>1</v>
      </c>
      <c r="J1097" s="19">
        <f>A1097</f>
        <v>1</v>
      </c>
      <c r="K1097" s="19">
        <f t="shared" ref="K1097:L1097" si="689">K1090</f>
        <v>0</v>
      </c>
      <c r="L1097" s="19">
        <f t="shared" si="689"/>
        <v>1</v>
      </c>
      <c r="M1097" s="19"/>
      <c r="N1097" s="19"/>
      <c r="O1097" s="19"/>
      <c r="P1097" s="19"/>
    </row>
    <row r="1098" spans="1:16" ht="14.25" customHeight="1" x14ac:dyDescent="0.2">
      <c r="A1098" s="78"/>
      <c r="B1098" s="78"/>
      <c r="C1098" s="78"/>
      <c r="D1098" s="26" t="str">
        <f>D1049</f>
        <v>7500</v>
      </c>
      <c r="E1098" s="26" t="str">
        <f t="shared" ref="E1098:F1098" si="690">E1091</f>
        <v>1000</v>
      </c>
      <c r="F1098" s="19">
        <f t="shared" si="690"/>
        <v>4</v>
      </c>
      <c r="G1098" s="45"/>
      <c r="H1098" s="19">
        <f>B1097*2</f>
        <v>3.6</v>
      </c>
      <c r="I1098" s="19"/>
      <c r="J1098" s="19"/>
      <c r="K1098" s="19"/>
      <c r="L1098" s="19"/>
      <c r="M1098" s="19"/>
      <c r="N1098" s="19"/>
      <c r="O1098" s="19"/>
      <c r="P1098" s="19"/>
    </row>
    <row r="1099" spans="1:16" ht="14.25" customHeight="1" x14ac:dyDescent="0.2">
      <c r="A1099" s="78"/>
      <c r="B1099" s="78"/>
      <c r="C1099" s="78"/>
      <c r="D1099" s="19">
        <f>D1097*D1098</f>
        <v>14175.000000000002</v>
      </c>
      <c r="E1099" s="19">
        <f>E1098*E1096</f>
        <v>4500</v>
      </c>
      <c r="F1099" s="19">
        <f>F1096*F1098</f>
        <v>50000</v>
      </c>
      <c r="G1099" s="45"/>
      <c r="H1099" s="19">
        <f>H1096*H1098</f>
        <v>1368</v>
      </c>
      <c r="I1099" s="19">
        <f t="shared" ref="I1099:L1099" si="691">I1096*I1097</f>
        <v>1500</v>
      </c>
      <c r="J1099" s="19">
        <f t="shared" si="691"/>
        <v>1000</v>
      </c>
      <c r="K1099" s="19">
        <f t="shared" si="691"/>
        <v>0</v>
      </c>
      <c r="L1099" s="19">
        <f t="shared" si="691"/>
        <v>1500</v>
      </c>
      <c r="M1099" s="19">
        <f>SUM(D1099:L1099)</f>
        <v>74043</v>
      </c>
      <c r="N1099" s="19">
        <f>M1099/A1097</f>
        <v>74043</v>
      </c>
      <c r="O1099" s="19">
        <f>N1099*O1096</f>
        <v>148086</v>
      </c>
      <c r="P1099" s="19">
        <f>MROUND(O1099,100)</f>
        <v>148100</v>
      </c>
    </row>
    <row r="1100" spans="1:16" ht="14.25" customHeight="1" x14ac:dyDescent="0.15">
      <c r="A1100" s="115"/>
      <c r="B1100" s="87"/>
      <c r="C1100" s="87"/>
      <c r="D1100" s="30"/>
      <c r="E1100" s="30"/>
      <c r="F1100" s="30"/>
      <c r="G1100" s="75"/>
      <c r="H1100" s="30"/>
      <c r="I1100" s="30"/>
      <c r="J1100" s="30"/>
      <c r="K1100" s="30"/>
      <c r="L1100" s="30"/>
      <c r="M1100" s="30"/>
      <c r="N1100" s="30"/>
      <c r="O1100" s="30"/>
    </row>
    <row r="1101" spans="1:16" ht="14.25" customHeight="1" x14ac:dyDescent="0.15">
      <c r="A1101" s="109" t="str">
        <f>PRICELIST!I701</f>
        <v>CBLP-FR-LVM-1800x750+1350</v>
      </c>
      <c r="B1101" s="87"/>
      <c r="C1101" s="87"/>
      <c r="D1101" s="21"/>
      <c r="E1101" s="21"/>
      <c r="F1101" s="21"/>
      <c r="G1101" s="21"/>
      <c r="H1101" s="19"/>
      <c r="I1101" s="19"/>
      <c r="J1101" s="19"/>
      <c r="K1101" s="19"/>
      <c r="L1101" s="19"/>
      <c r="M1101" s="19"/>
      <c r="N1101" s="19"/>
      <c r="O1101" s="19"/>
      <c r="P1101" s="19"/>
    </row>
    <row r="1102" spans="1:16" ht="14.25" customHeight="1" x14ac:dyDescent="0.2">
      <c r="A1102" s="45" t="s">
        <v>57</v>
      </c>
      <c r="B1102" s="45" t="s">
        <v>59</v>
      </c>
      <c r="C1102" s="45" t="s">
        <v>62</v>
      </c>
      <c r="D1102" s="19" t="s">
        <v>64</v>
      </c>
      <c r="E1102" s="19" t="s">
        <v>233</v>
      </c>
      <c r="F1102" s="19" t="s">
        <v>94</v>
      </c>
      <c r="G1102" s="45"/>
      <c r="H1102" s="19" t="s">
        <v>67</v>
      </c>
      <c r="I1102" s="19" t="s">
        <v>244</v>
      </c>
      <c r="J1102" s="19" t="s">
        <v>71</v>
      </c>
      <c r="K1102" s="19" t="s">
        <v>72</v>
      </c>
      <c r="L1102" s="19" t="s">
        <v>73</v>
      </c>
      <c r="M1102" s="19" t="s">
        <v>76</v>
      </c>
      <c r="N1102" s="19" t="s">
        <v>78</v>
      </c>
      <c r="O1102" s="19" t="s">
        <v>79</v>
      </c>
      <c r="P1102" s="19" t="s">
        <v>81</v>
      </c>
    </row>
    <row r="1103" spans="1:16" ht="14.25" customHeight="1" x14ac:dyDescent="0.2">
      <c r="A1103" s="75"/>
      <c r="B1103" s="75"/>
      <c r="C1103" s="76" t="s">
        <v>245</v>
      </c>
      <c r="D1103" s="21"/>
      <c r="E1103" s="21">
        <v>4.5</v>
      </c>
      <c r="F1103" s="23" t="str">
        <f>F1096</f>
        <v>12500</v>
      </c>
      <c r="G1103" s="77"/>
      <c r="H1103" s="21">
        <v>380</v>
      </c>
      <c r="I1103" s="23" t="str">
        <f t="shared" ref="I1103:J1103" si="692">I1096</f>
        <v>1500</v>
      </c>
      <c r="J1103" s="21">
        <f t="shared" si="692"/>
        <v>1000</v>
      </c>
      <c r="K1103" s="21">
        <v>585</v>
      </c>
      <c r="L1103" s="23" t="str">
        <f>L1096</f>
        <v>1500</v>
      </c>
      <c r="M1103" s="21"/>
      <c r="N1103" s="21"/>
      <c r="O1103" s="21">
        <f>O1096</f>
        <v>2</v>
      </c>
      <c r="P1103" s="21"/>
    </row>
    <row r="1104" spans="1:16" ht="14.25" customHeight="1" x14ac:dyDescent="0.2">
      <c r="A1104" s="45">
        <v>1</v>
      </c>
      <c r="B1104" s="45">
        <v>1.8</v>
      </c>
      <c r="C1104" s="69">
        <v>1.05</v>
      </c>
      <c r="D1104" s="19">
        <f>B1104*C1104</f>
        <v>1.8900000000000001</v>
      </c>
      <c r="E1104" s="19">
        <v>2.5</v>
      </c>
      <c r="F1104" s="19"/>
      <c r="G1104" s="78"/>
      <c r="H1104" s="19"/>
      <c r="I1104" s="19">
        <v>1</v>
      </c>
      <c r="J1104" s="19">
        <f>A1104</f>
        <v>1</v>
      </c>
      <c r="K1104" s="19">
        <f t="shared" ref="K1104:L1104" si="693">K1097</f>
        <v>0</v>
      </c>
      <c r="L1104" s="19">
        <f t="shared" si="693"/>
        <v>1</v>
      </c>
      <c r="M1104" s="19"/>
      <c r="N1104" s="19"/>
      <c r="O1104" s="19"/>
      <c r="P1104" s="19"/>
    </row>
    <row r="1105" spans="1:16" ht="14.25" customHeight="1" x14ac:dyDescent="0.2">
      <c r="A1105" s="78"/>
      <c r="B1105" s="78"/>
      <c r="C1105" s="78"/>
      <c r="D1105" s="26" t="str">
        <f>D1056</f>
        <v>9500</v>
      </c>
      <c r="E1105" s="26" t="str">
        <f>E1063</f>
        <v>1500</v>
      </c>
      <c r="F1105" s="19">
        <f>F1098</f>
        <v>4</v>
      </c>
      <c r="G1105" s="45"/>
      <c r="H1105" s="19">
        <f>B1104*2</f>
        <v>3.6</v>
      </c>
      <c r="I1105" s="19"/>
      <c r="J1105" s="19"/>
      <c r="K1105" s="19"/>
      <c r="L1105" s="19"/>
      <c r="M1105" s="19"/>
      <c r="N1105" s="19"/>
      <c r="O1105" s="19"/>
      <c r="P1105" s="19"/>
    </row>
    <row r="1106" spans="1:16" ht="14.25" customHeight="1" x14ac:dyDescent="0.2">
      <c r="A1106" s="78"/>
      <c r="B1106" s="78"/>
      <c r="C1106" s="78"/>
      <c r="D1106" s="19">
        <f>D1104*D1105</f>
        <v>17955</v>
      </c>
      <c r="E1106" s="19">
        <f>E1105*E1103</f>
        <v>6750</v>
      </c>
      <c r="F1106" s="19">
        <f>F1103*F1105</f>
        <v>50000</v>
      </c>
      <c r="G1106" s="45"/>
      <c r="H1106" s="19">
        <f>H1103*H1105</f>
        <v>1368</v>
      </c>
      <c r="I1106" s="19">
        <f t="shared" ref="I1106:L1106" si="694">I1103*I1104</f>
        <v>1500</v>
      </c>
      <c r="J1106" s="19">
        <f t="shared" si="694"/>
        <v>1000</v>
      </c>
      <c r="K1106" s="19">
        <f t="shared" si="694"/>
        <v>0</v>
      </c>
      <c r="L1106" s="19">
        <f t="shared" si="694"/>
        <v>1500</v>
      </c>
      <c r="M1106" s="19">
        <f>SUM(D1106:L1106)</f>
        <v>80073</v>
      </c>
      <c r="N1106" s="19">
        <f>M1106/A1104</f>
        <v>80073</v>
      </c>
      <c r="O1106" s="19">
        <f>N1106*O1103</f>
        <v>160146</v>
      </c>
      <c r="P1106" s="19">
        <f>MROUND(O1106,100)</f>
        <v>160100</v>
      </c>
    </row>
    <row r="1107" spans="1:16" ht="14.25" customHeight="1" x14ac:dyDescent="0.15">
      <c r="A1107" s="115"/>
      <c r="B1107" s="87"/>
      <c r="C1107" s="87"/>
      <c r="D1107" s="30"/>
      <c r="E1107" s="30"/>
      <c r="F1107" s="30"/>
      <c r="G1107" s="75"/>
      <c r="H1107" s="30"/>
      <c r="I1107" s="30"/>
      <c r="J1107" s="30"/>
      <c r="K1107" s="30"/>
      <c r="L1107" s="30"/>
      <c r="M1107" s="30"/>
      <c r="N1107" s="30"/>
      <c r="O1107" s="30"/>
    </row>
    <row r="1108" spans="1:16" ht="14.25" customHeight="1" x14ac:dyDescent="0.15">
      <c r="A1108" s="109" t="str">
        <f>PRICELIST!I702</f>
        <v>CBLP-FR-LVP-1800x750+1350</v>
      </c>
      <c r="B1108" s="87"/>
      <c r="C1108" s="87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</row>
    <row r="1109" spans="1:16" ht="14.25" customHeight="1" x14ac:dyDescent="0.2">
      <c r="A1109" s="45" t="s">
        <v>57</v>
      </c>
      <c r="B1109" s="45" t="s">
        <v>59</v>
      </c>
      <c r="C1109" s="45" t="s">
        <v>62</v>
      </c>
      <c r="D1109" s="19" t="s">
        <v>64</v>
      </c>
      <c r="E1109" s="19" t="s">
        <v>233</v>
      </c>
      <c r="F1109" s="19" t="s">
        <v>94</v>
      </c>
      <c r="G1109" s="45"/>
      <c r="H1109" s="19" t="s">
        <v>67</v>
      </c>
      <c r="I1109" s="19" t="s">
        <v>244</v>
      </c>
      <c r="J1109" s="19" t="s">
        <v>71</v>
      </c>
      <c r="K1109" s="19" t="s">
        <v>72</v>
      </c>
      <c r="L1109" s="19" t="s">
        <v>73</v>
      </c>
      <c r="M1109" s="19" t="s">
        <v>76</v>
      </c>
      <c r="N1109" s="19" t="s">
        <v>78</v>
      </c>
      <c r="O1109" s="19" t="s">
        <v>79</v>
      </c>
      <c r="P1109" s="19" t="s">
        <v>81</v>
      </c>
    </row>
    <row r="1110" spans="1:16" ht="14.25" customHeight="1" x14ac:dyDescent="0.2">
      <c r="A1110" s="75"/>
      <c r="B1110" s="75"/>
      <c r="C1110" s="76" t="s">
        <v>245</v>
      </c>
      <c r="D1110" s="21"/>
      <c r="E1110" s="21">
        <v>4.5</v>
      </c>
      <c r="F1110" s="23" t="str">
        <f>F1103</f>
        <v>12500</v>
      </c>
      <c r="G1110" s="77"/>
      <c r="H1110" s="21">
        <v>380</v>
      </c>
      <c r="I1110" s="23" t="str">
        <f t="shared" ref="I1110:J1110" si="695">I1103</f>
        <v>1500</v>
      </c>
      <c r="J1110" s="21">
        <f t="shared" si="695"/>
        <v>1000</v>
      </c>
      <c r="K1110" s="21">
        <v>585</v>
      </c>
      <c r="L1110" s="23" t="str">
        <f>L1103</f>
        <v>1500</v>
      </c>
      <c r="M1110" s="21"/>
      <c r="N1110" s="21"/>
      <c r="O1110" s="21">
        <f>O1103</f>
        <v>2</v>
      </c>
      <c r="P1110" s="21"/>
    </row>
    <row r="1111" spans="1:16" ht="14.25" customHeight="1" x14ac:dyDescent="0.2">
      <c r="A1111" s="45">
        <v>1</v>
      </c>
      <c r="B1111" s="45">
        <v>1.8</v>
      </c>
      <c r="C1111" s="69">
        <v>1.05</v>
      </c>
      <c r="D1111" s="19">
        <f>B1111*C1111</f>
        <v>1.8900000000000001</v>
      </c>
      <c r="E1111" s="19">
        <v>2.5</v>
      </c>
      <c r="F1111" s="19"/>
      <c r="G1111" s="78"/>
      <c r="H1111" s="19"/>
      <c r="I1111" s="19">
        <v>1</v>
      </c>
      <c r="J1111" s="19">
        <f>A1111</f>
        <v>1</v>
      </c>
      <c r="K1111" s="19">
        <f t="shared" ref="K1111:L1111" si="696">K1104</f>
        <v>0</v>
      </c>
      <c r="L1111" s="19">
        <f t="shared" si="696"/>
        <v>1</v>
      </c>
      <c r="M1111" s="19"/>
      <c r="N1111" s="19"/>
      <c r="O1111" s="19"/>
      <c r="P1111" s="19"/>
    </row>
    <row r="1112" spans="1:16" ht="14.25" customHeight="1" x14ac:dyDescent="0.2">
      <c r="A1112" s="78"/>
      <c r="B1112" s="78"/>
      <c r="C1112" s="78"/>
      <c r="D1112" s="26" t="str">
        <f>D1063</f>
        <v>10500</v>
      </c>
      <c r="E1112" s="26" t="str">
        <f t="shared" ref="E1112:F1112" si="697">E1105</f>
        <v>1500</v>
      </c>
      <c r="F1112" s="19">
        <f t="shared" si="697"/>
        <v>4</v>
      </c>
      <c r="G1112" s="45"/>
      <c r="H1112" s="19">
        <f>B1111*2</f>
        <v>3.6</v>
      </c>
      <c r="I1112" s="19"/>
      <c r="J1112" s="19"/>
      <c r="K1112" s="19"/>
      <c r="L1112" s="19"/>
      <c r="M1112" s="19"/>
      <c r="N1112" s="19"/>
      <c r="O1112" s="19"/>
      <c r="P1112" s="19"/>
    </row>
    <row r="1113" spans="1:16" ht="14.25" customHeight="1" x14ac:dyDescent="0.2">
      <c r="A1113" s="78"/>
      <c r="B1113" s="78"/>
      <c r="C1113" s="78"/>
      <c r="D1113" s="19">
        <f>D1111*D1112</f>
        <v>19845</v>
      </c>
      <c r="E1113" s="19">
        <f>E1112*E1110</f>
        <v>6750</v>
      </c>
      <c r="F1113" s="19">
        <f>F1110*F1112</f>
        <v>50000</v>
      </c>
      <c r="G1113" s="45"/>
      <c r="H1113" s="19">
        <f>H1110*H1112</f>
        <v>1368</v>
      </c>
      <c r="I1113" s="19">
        <f t="shared" ref="I1113:L1113" si="698">I1110*I1111</f>
        <v>1500</v>
      </c>
      <c r="J1113" s="19">
        <f t="shared" si="698"/>
        <v>1000</v>
      </c>
      <c r="K1113" s="19">
        <f t="shared" si="698"/>
        <v>0</v>
      </c>
      <c r="L1113" s="19">
        <f t="shared" si="698"/>
        <v>1500</v>
      </c>
      <c r="M1113" s="19">
        <f>SUM(D1113:L1113)</f>
        <v>81963</v>
      </c>
      <c r="N1113" s="19">
        <f>M1113/A1111</f>
        <v>81963</v>
      </c>
      <c r="O1113" s="19">
        <f>N1113*O1110</f>
        <v>163926</v>
      </c>
      <c r="P1113" s="19">
        <f>MROUND(O1113,100)</f>
        <v>163900</v>
      </c>
    </row>
    <row r="1114" spans="1:16" ht="14.25" customHeight="1" x14ac:dyDescent="0.15">
      <c r="A1114" s="115"/>
      <c r="B1114" s="87"/>
      <c r="C1114" s="87"/>
      <c r="D1114" s="30"/>
      <c r="E1114" s="30"/>
      <c r="F1114" s="75"/>
      <c r="G1114" s="75"/>
      <c r="H1114" s="30"/>
      <c r="I1114" s="30"/>
      <c r="J1114" s="30"/>
      <c r="K1114" s="30"/>
      <c r="L1114" s="30"/>
      <c r="M1114" s="30"/>
      <c r="N1114" s="30"/>
      <c r="O1114" s="30"/>
    </row>
    <row r="1115" spans="1:16" ht="14.25" customHeight="1" x14ac:dyDescent="0.15">
      <c r="A1115" s="109" t="str">
        <f>PRICELIST!I703</f>
        <v>CBLP-FR-VNR-1800x750+1350</v>
      </c>
      <c r="B1115" s="87"/>
      <c r="C1115" s="87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</row>
    <row r="1116" spans="1:16" ht="14.25" customHeight="1" x14ac:dyDescent="0.2">
      <c r="A1116" s="45" t="s">
        <v>57</v>
      </c>
      <c r="B1116" s="45" t="s">
        <v>59</v>
      </c>
      <c r="C1116" s="45" t="s">
        <v>62</v>
      </c>
      <c r="D1116" s="19" t="s">
        <v>64</v>
      </c>
      <c r="E1116" s="19" t="s">
        <v>233</v>
      </c>
      <c r="F1116" s="19" t="s">
        <v>94</v>
      </c>
      <c r="G1116" s="45"/>
      <c r="H1116" s="19" t="s">
        <v>67</v>
      </c>
      <c r="I1116" s="19" t="s">
        <v>244</v>
      </c>
      <c r="J1116" s="19" t="s">
        <v>71</v>
      </c>
      <c r="K1116" s="19" t="s">
        <v>72</v>
      </c>
      <c r="L1116" s="19" t="s">
        <v>73</v>
      </c>
      <c r="M1116" s="19" t="s">
        <v>76</v>
      </c>
      <c r="N1116" s="19" t="s">
        <v>78</v>
      </c>
      <c r="O1116" s="19" t="s">
        <v>79</v>
      </c>
      <c r="P1116" s="19" t="s">
        <v>81</v>
      </c>
    </row>
    <row r="1117" spans="1:16" ht="14.25" customHeight="1" x14ac:dyDescent="0.2">
      <c r="A1117" s="75"/>
      <c r="B1117" s="75"/>
      <c r="C1117" s="76" t="s">
        <v>245</v>
      </c>
      <c r="D1117" s="21"/>
      <c r="E1117" s="21">
        <v>4.5</v>
      </c>
      <c r="F1117" s="23" t="str">
        <f>F1110</f>
        <v>12500</v>
      </c>
      <c r="G1117" s="77"/>
      <c r="H1117" s="21">
        <v>380</v>
      </c>
      <c r="I1117" s="23" t="str">
        <f t="shared" ref="I1117:J1117" si="699">I1110</f>
        <v>1500</v>
      </c>
      <c r="J1117" s="21">
        <f t="shared" si="699"/>
        <v>1000</v>
      </c>
      <c r="K1117" s="21">
        <v>585</v>
      </c>
      <c r="L1117" s="23" t="str">
        <f>L1110</f>
        <v>1500</v>
      </c>
      <c r="M1117" s="21"/>
      <c r="N1117" s="21"/>
      <c r="O1117" s="21">
        <f>O1110</f>
        <v>2</v>
      </c>
      <c r="P1117" s="21"/>
    </row>
    <row r="1118" spans="1:16" ht="14.25" customHeight="1" x14ac:dyDescent="0.2">
      <c r="A1118" s="45">
        <v>1</v>
      </c>
      <c r="B1118" s="45">
        <v>1.8</v>
      </c>
      <c r="C1118" s="69">
        <v>1.05</v>
      </c>
      <c r="D1118" s="19">
        <f>B1118*C1118</f>
        <v>1.8900000000000001</v>
      </c>
      <c r="E1118" s="19">
        <v>2.5</v>
      </c>
      <c r="F1118" s="19"/>
      <c r="G1118" s="78"/>
      <c r="H1118" s="19"/>
      <c r="I1118" s="19">
        <v>1</v>
      </c>
      <c r="J1118" s="19">
        <f>A1118</f>
        <v>1</v>
      </c>
      <c r="K1118" s="19">
        <f t="shared" ref="K1118:L1118" si="700">K1111</f>
        <v>0</v>
      </c>
      <c r="L1118" s="19">
        <f t="shared" si="700"/>
        <v>1</v>
      </c>
      <c r="M1118" s="19"/>
      <c r="N1118" s="19"/>
      <c r="O1118" s="19"/>
      <c r="P1118" s="19"/>
    </row>
    <row r="1119" spans="1:16" ht="14.25" customHeight="1" x14ac:dyDescent="0.2">
      <c r="A1119" s="78"/>
      <c r="B1119" s="78"/>
      <c r="C1119" s="78"/>
      <c r="D1119" s="26" t="str">
        <f>D1070</f>
        <v>30000</v>
      </c>
      <c r="E1119" s="26" t="str">
        <f t="shared" ref="E1119:F1119" si="701">E1112</f>
        <v>1500</v>
      </c>
      <c r="F1119" s="19">
        <f t="shared" si="701"/>
        <v>4</v>
      </c>
      <c r="G1119" s="45"/>
      <c r="H1119" s="19">
        <f>B1118*2</f>
        <v>3.6</v>
      </c>
      <c r="I1119" s="19"/>
      <c r="J1119" s="19"/>
      <c r="K1119" s="19"/>
      <c r="L1119" s="19"/>
      <c r="M1119" s="19"/>
      <c r="N1119" s="19"/>
      <c r="O1119" s="19"/>
      <c r="P1119" s="19"/>
    </row>
    <row r="1120" spans="1:16" ht="14.25" customHeight="1" x14ac:dyDescent="0.2">
      <c r="A1120" s="78"/>
      <c r="B1120" s="78"/>
      <c r="C1120" s="78"/>
      <c r="D1120" s="19">
        <f>D1118*D1119</f>
        <v>56700.000000000007</v>
      </c>
      <c r="E1120" s="19">
        <f>E1119*E1117</f>
        <v>6750</v>
      </c>
      <c r="F1120" s="19">
        <f>F1117*F1119</f>
        <v>50000</v>
      </c>
      <c r="G1120" s="45"/>
      <c r="H1120" s="19">
        <f>H1117*H1119</f>
        <v>1368</v>
      </c>
      <c r="I1120" s="19">
        <f t="shared" ref="I1120:L1120" si="702">I1117*I1118</f>
        <v>1500</v>
      </c>
      <c r="J1120" s="19">
        <f t="shared" si="702"/>
        <v>1000</v>
      </c>
      <c r="K1120" s="19">
        <f t="shared" si="702"/>
        <v>0</v>
      </c>
      <c r="L1120" s="19">
        <f t="shared" si="702"/>
        <v>1500</v>
      </c>
      <c r="M1120" s="19">
        <f>SUM(D1120:L1120)</f>
        <v>118818</v>
      </c>
      <c r="N1120" s="19">
        <f>M1120/A1118</f>
        <v>118818</v>
      </c>
      <c r="O1120" s="19">
        <f>N1120*O1117</f>
        <v>237636</v>
      </c>
      <c r="P1120" s="19">
        <f>MROUND(O1120,100)</f>
        <v>237600</v>
      </c>
    </row>
    <row r="1121" spans="1:16" ht="14.25" customHeight="1" x14ac:dyDescent="0.15">
      <c r="A1121" s="115"/>
      <c r="B1121" s="87"/>
      <c r="C1121" s="87"/>
      <c r="D1121" s="30"/>
      <c r="E1121" s="30"/>
      <c r="F1121" s="30"/>
      <c r="G1121" s="75"/>
      <c r="H1121" s="30"/>
      <c r="I1121" s="30"/>
      <c r="J1121" s="30"/>
      <c r="K1121" s="30"/>
      <c r="L1121" s="30"/>
      <c r="M1121" s="30"/>
      <c r="N1121" s="30"/>
      <c r="O1121" s="30"/>
    </row>
    <row r="1122" spans="1:16" ht="14.25" customHeight="1" x14ac:dyDescent="0.15">
      <c r="A1122" s="109" t="str">
        <f>PRICELIST!I704</f>
        <v>CBLP-FR-GL-1800x750+1350</v>
      </c>
      <c r="B1122" s="87"/>
      <c r="C1122" s="87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</row>
    <row r="1123" spans="1:16" ht="30" customHeight="1" x14ac:dyDescent="0.2">
      <c r="A1123" s="45" t="s">
        <v>57</v>
      </c>
      <c r="B1123" s="45" t="s">
        <v>59</v>
      </c>
      <c r="C1123" s="45" t="s">
        <v>62</v>
      </c>
      <c r="D1123" s="19" t="s">
        <v>64</v>
      </c>
      <c r="E1123" s="19" t="s">
        <v>233</v>
      </c>
      <c r="F1123" s="19" t="s">
        <v>94</v>
      </c>
      <c r="G1123" s="45"/>
      <c r="H1123" s="19" t="s">
        <v>67</v>
      </c>
      <c r="I1123" s="19" t="s">
        <v>244</v>
      </c>
      <c r="J1123" s="19" t="s">
        <v>71</v>
      </c>
      <c r="K1123" s="19" t="s">
        <v>72</v>
      </c>
      <c r="L1123" s="19" t="s">
        <v>73</v>
      </c>
      <c r="M1123" s="19" t="s">
        <v>76</v>
      </c>
      <c r="N1123" s="19" t="s">
        <v>78</v>
      </c>
      <c r="O1123" s="19" t="s">
        <v>79</v>
      </c>
      <c r="P1123" s="19" t="s">
        <v>81</v>
      </c>
    </row>
    <row r="1124" spans="1:16" ht="30" customHeight="1" x14ac:dyDescent="0.2">
      <c r="A1124" s="75"/>
      <c r="B1124" s="75"/>
      <c r="C1124" s="76" t="s">
        <v>245</v>
      </c>
      <c r="D1124" s="21"/>
      <c r="E1124" s="21">
        <v>4.5</v>
      </c>
      <c r="F1124" s="23" t="str">
        <f>F1117</f>
        <v>12500</v>
      </c>
      <c r="G1124" s="77"/>
      <c r="H1124" s="21">
        <v>380</v>
      </c>
      <c r="I1124" s="23" t="str">
        <f t="shared" ref="I1124:J1124" si="703">I1117</f>
        <v>1500</v>
      </c>
      <c r="J1124" s="21">
        <f t="shared" si="703"/>
        <v>1000</v>
      </c>
      <c r="K1124" s="21">
        <v>585</v>
      </c>
      <c r="L1124" s="23" t="str">
        <f>L1117</f>
        <v>1500</v>
      </c>
      <c r="M1124" s="21"/>
      <c r="N1124" s="21"/>
      <c r="O1124" s="21">
        <f>O1117</f>
        <v>2</v>
      </c>
      <c r="P1124" s="21"/>
    </row>
    <row r="1125" spans="1:16" ht="30" customHeight="1" x14ac:dyDescent="0.2">
      <c r="A1125" s="45">
        <v>1</v>
      </c>
      <c r="B1125" s="45">
        <v>1.8</v>
      </c>
      <c r="C1125" s="69">
        <v>1.05</v>
      </c>
      <c r="D1125" s="19">
        <f>B1125*C1125</f>
        <v>1.8900000000000001</v>
      </c>
      <c r="E1125" s="19">
        <v>2.5</v>
      </c>
      <c r="F1125" s="19"/>
      <c r="G1125" s="78"/>
      <c r="H1125" s="19"/>
      <c r="I1125" s="19">
        <v>1</v>
      </c>
      <c r="J1125" s="19">
        <f>A1125</f>
        <v>1</v>
      </c>
      <c r="K1125" s="19">
        <f t="shared" ref="K1125:L1125" si="704">K1118</f>
        <v>0</v>
      </c>
      <c r="L1125" s="19">
        <f t="shared" si="704"/>
        <v>1</v>
      </c>
      <c r="M1125" s="19"/>
      <c r="N1125" s="19"/>
      <c r="O1125" s="19"/>
      <c r="P1125" s="19"/>
    </row>
    <row r="1126" spans="1:16" ht="30" customHeight="1" x14ac:dyDescent="0.2">
      <c r="A1126" s="78"/>
      <c r="B1126" s="78"/>
      <c r="C1126" s="78"/>
      <c r="D1126" s="26" t="str">
        <f>D1077</f>
        <v>7500</v>
      </c>
      <c r="E1126" s="26" t="str">
        <f t="shared" ref="E1126:F1126" si="705">E1119</f>
        <v>1500</v>
      </c>
      <c r="F1126" s="19">
        <f t="shared" si="705"/>
        <v>4</v>
      </c>
      <c r="G1126" s="45"/>
      <c r="H1126" s="19">
        <f>B1125*2</f>
        <v>3.6</v>
      </c>
      <c r="I1126" s="19"/>
      <c r="J1126" s="19"/>
      <c r="K1126" s="19"/>
      <c r="L1126" s="19"/>
      <c r="M1126" s="19"/>
      <c r="N1126" s="19"/>
      <c r="O1126" s="19"/>
      <c r="P1126" s="19"/>
    </row>
    <row r="1127" spans="1:16" ht="30" customHeight="1" x14ac:dyDescent="0.2">
      <c r="A1127" s="78"/>
      <c r="B1127" s="78"/>
      <c r="C1127" s="78"/>
      <c r="D1127" s="19">
        <f>D1125*D1126</f>
        <v>14175.000000000002</v>
      </c>
      <c r="E1127" s="19">
        <f>E1126*E1124</f>
        <v>6750</v>
      </c>
      <c r="F1127" s="19">
        <f>F1124*F1126</f>
        <v>50000</v>
      </c>
      <c r="G1127" s="45"/>
      <c r="H1127" s="19">
        <f>H1124*H1126</f>
        <v>1368</v>
      </c>
      <c r="I1127" s="19">
        <f t="shared" ref="I1127:L1127" si="706">I1124*I1125</f>
        <v>1500</v>
      </c>
      <c r="J1127" s="19">
        <f t="shared" si="706"/>
        <v>1000</v>
      </c>
      <c r="K1127" s="19">
        <f t="shared" si="706"/>
        <v>0</v>
      </c>
      <c r="L1127" s="19">
        <f t="shared" si="706"/>
        <v>1500</v>
      </c>
      <c r="M1127" s="19">
        <f>SUM(D1127:L1127)</f>
        <v>76293</v>
      </c>
      <c r="N1127" s="19">
        <f>M1127/A1125</f>
        <v>76293</v>
      </c>
      <c r="O1127" s="19">
        <f>N1127*O1124</f>
        <v>152586</v>
      </c>
      <c r="P1127" s="19">
        <f>MROUND(O1127,100)</f>
        <v>152600</v>
      </c>
    </row>
    <row r="1128" spans="1:16" ht="30" customHeight="1" x14ac:dyDescent="0.15">
      <c r="A1128" s="115"/>
      <c r="B1128" s="87"/>
      <c r="C1128" s="87"/>
      <c r="D1128" s="75"/>
      <c r="E1128" s="30"/>
      <c r="F1128" s="30"/>
      <c r="G1128" s="75"/>
      <c r="H1128" s="30"/>
      <c r="I1128" s="30"/>
      <c r="J1128" s="30"/>
      <c r="K1128" s="30"/>
      <c r="L1128" s="30"/>
      <c r="M1128" s="30"/>
      <c r="N1128" s="30"/>
      <c r="O1128" s="30"/>
    </row>
    <row r="1129" spans="1:16" ht="30" customHeight="1" x14ac:dyDescent="0.15">
      <c r="A1129" s="109" t="str">
        <f>PRICELIST!I705</f>
        <v>CBLP-FR-PB-2100x900+1800</v>
      </c>
      <c r="B1129" s="87"/>
      <c r="C1129" s="87"/>
      <c r="D1129" s="30"/>
      <c r="E1129" s="30"/>
      <c r="F1129" s="21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</row>
    <row r="1130" spans="1:16" ht="14.25" customHeight="1" x14ac:dyDescent="0.2">
      <c r="A1130" s="45" t="s">
        <v>57</v>
      </c>
      <c r="B1130" s="45" t="s">
        <v>59</v>
      </c>
      <c r="C1130" s="45" t="s">
        <v>62</v>
      </c>
      <c r="D1130" s="19" t="s">
        <v>64</v>
      </c>
      <c r="E1130" s="19" t="s">
        <v>233</v>
      </c>
      <c r="F1130" s="19" t="s">
        <v>94</v>
      </c>
      <c r="G1130" s="45"/>
      <c r="H1130" s="19" t="s">
        <v>67</v>
      </c>
      <c r="I1130" s="19" t="s">
        <v>244</v>
      </c>
      <c r="J1130" s="19" t="s">
        <v>71</v>
      </c>
      <c r="K1130" s="19" t="s">
        <v>72</v>
      </c>
      <c r="L1130" s="19" t="s">
        <v>73</v>
      </c>
      <c r="M1130" s="19" t="s">
        <v>76</v>
      </c>
      <c r="N1130" s="19" t="s">
        <v>78</v>
      </c>
      <c r="O1130" s="19" t="s">
        <v>79</v>
      </c>
      <c r="P1130" s="19" t="s">
        <v>81</v>
      </c>
    </row>
    <row r="1131" spans="1:16" ht="14.25" customHeight="1" x14ac:dyDescent="0.2">
      <c r="A1131" s="75"/>
      <c r="B1131" s="75"/>
      <c r="C1131" s="76" t="s">
        <v>245</v>
      </c>
      <c r="D1131" s="21"/>
      <c r="E1131" s="21">
        <v>6</v>
      </c>
      <c r="F1131" s="23" t="str">
        <f>F1124</f>
        <v>12500</v>
      </c>
      <c r="G1131" s="77"/>
      <c r="H1131" s="21">
        <v>380</v>
      </c>
      <c r="I1131" s="23" t="str">
        <f t="shared" ref="I1131:J1131" si="707">I1124</f>
        <v>1500</v>
      </c>
      <c r="J1131" s="21">
        <f t="shared" si="707"/>
        <v>1000</v>
      </c>
      <c r="K1131" s="21">
        <v>585</v>
      </c>
      <c r="L1131" s="23" t="str">
        <f>L1124</f>
        <v>1500</v>
      </c>
      <c r="M1131" s="21"/>
      <c r="N1131" s="21"/>
      <c r="O1131" s="21">
        <f>O1124</f>
        <v>2</v>
      </c>
      <c r="P1131" s="21"/>
    </row>
    <row r="1132" spans="1:16" ht="14.25" customHeight="1" x14ac:dyDescent="0.2">
      <c r="A1132" s="45">
        <v>1</v>
      </c>
      <c r="B1132" s="45">
        <v>2.1</v>
      </c>
      <c r="C1132" s="45">
        <v>1.2</v>
      </c>
      <c r="D1132" s="19">
        <f>B1132*C1132</f>
        <v>2.52</v>
      </c>
      <c r="E1132" s="19">
        <v>2.5</v>
      </c>
      <c r="F1132" s="19"/>
      <c r="G1132" s="78"/>
      <c r="H1132" s="19"/>
      <c r="I1132" s="19">
        <v>1</v>
      </c>
      <c r="J1132" s="19">
        <f>A1132</f>
        <v>1</v>
      </c>
      <c r="K1132" s="19">
        <f t="shared" ref="K1132:L1132" si="708">K1125</f>
        <v>0</v>
      </c>
      <c r="L1132" s="19">
        <f t="shared" si="708"/>
        <v>1</v>
      </c>
      <c r="M1132" s="19"/>
      <c r="N1132" s="19"/>
      <c r="O1132" s="19"/>
      <c r="P1132" s="19"/>
    </row>
    <row r="1133" spans="1:16" ht="14.25" customHeight="1" x14ac:dyDescent="0.2">
      <c r="A1133" s="78"/>
      <c r="B1133" s="78"/>
      <c r="C1133" s="78"/>
      <c r="D1133" s="26" t="str">
        <f t="shared" ref="D1133:E1133" si="709">D1084</f>
        <v>2200</v>
      </c>
      <c r="E1133" s="26" t="str">
        <f t="shared" si="709"/>
        <v>1000</v>
      </c>
      <c r="F1133" s="19">
        <f>F1126</f>
        <v>4</v>
      </c>
      <c r="G1133" s="45"/>
      <c r="H1133" s="19">
        <f>B1132*2</f>
        <v>4.2</v>
      </c>
      <c r="I1133" s="19"/>
      <c r="J1133" s="19"/>
      <c r="K1133" s="19"/>
      <c r="L1133" s="19"/>
      <c r="M1133" s="19"/>
      <c r="N1133" s="19"/>
      <c r="O1133" s="19"/>
      <c r="P1133" s="19"/>
    </row>
    <row r="1134" spans="1:16" ht="14.25" customHeight="1" x14ac:dyDescent="0.2">
      <c r="A1134" s="78"/>
      <c r="B1134" s="78"/>
      <c r="C1134" s="78"/>
      <c r="D1134" s="19">
        <f>D1132*D1133</f>
        <v>5544</v>
      </c>
      <c r="E1134" s="19">
        <f>E1133*E1131</f>
        <v>6000</v>
      </c>
      <c r="F1134" s="19">
        <f>F1131*F1133</f>
        <v>50000</v>
      </c>
      <c r="G1134" s="45"/>
      <c r="H1134" s="19">
        <f>H1131*H1133</f>
        <v>1596</v>
      </c>
      <c r="I1134" s="19">
        <f t="shared" ref="I1134:L1134" si="710">I1131*I1132</f>
        <v>1500</v>
      </c>
      <c r="J1134" s="19">
        <f t="shared" si="710"/>
        <v>1000</v>
      </c>
      <c r="K1134" s="19">
        <f t="shared" si="710"/>
        <v>0</v>
      </c>
      <c r="L1134" s="19">
        <f t="shared" si="710"/>
        <v>1500</v>
      </c>
      <c r="M1134" s="19">
        <f>SUM(D1134:L1134)</f>
        <v>67140</v>
      </c>
      <c r="N1134" s="19">
        <f>M1134/A1132</f>
        <v>67140</v>
      </c>
      <c r="O1134" s="19">
        <f>N1134*O1131</f>
        <v>134280</v>
      </c>
      <c r="P1134" s="19">
        <f>MROUND(O1134,100)</f>
        <v>134300</v>
      </c>
    </row>
    <row r="1135" spans="1:16" ht="14.25" customHeight="1" x14ac:dyDescent="0.15">
      <c r="A1135" s="115"/>
      <c r="B1135" s="87"/>
      <c r="C1135" s="87"/>
      <c r="D1135" s="30"/>
      <c r="E1135" s="30"/>
      <c r="F1135" s="30"/>
      <c r="G1135" s="75"/>
      <c r="H1135" s="75"/>
      <c r="I1135" s="75"/>
      <c r="J1135" s="75"/>
      <c r="K1135" s="75"/>
      <c r="L1135" s="75"/>
      <c r="M1135" s="75"/>
      <c r="N1135" s="75"/>
      <c r="O1135" s="30"/>
      <c r="P1135" s="75"/>
    </row>
    <row r="1136" spans="1:16" ht="14.25" customHeight="1" x14ac:dyDescent="0.15">
      <c r="A1136" s="109" t="str">
        <f>PRICELIST!I706</f>
        <v>CBLP-FR-PLM-2100x900+1800</v>
      </c>
      <c r="B1136" s="87"/>
      <c r="C1136" s="87"/>
      <c r="D1136" s="30"/>
      <c r="E1136" s="30"/>
      <c r="F1136" s="19"/>
      <c r="G1136" s="19"/>
      <c r="H1136" s="19"/>
      <c r="I1136" s="19"/>
      <c r="J1136" s="19"/>
      <c r="K1136" s="19"/>
      <c r="L1136" s="19"/>
      <c r="M1136" s="19"/>
      <c r="N1136" s="19"/>
      <c r="O1136" s="30"/>
      <c r="P1136" s="19"/>
    </row>
    <row r="1137" spans="1:16" ht="14.25" customHeight="1" x14ac:dyDescent="0.2">
      <c r="A1137" s="45" t="s">
        <v>57</v>
      </c>
      <c r="B1137" s="45" t="s">
        <v>59</v>
      </c>
      <c r="C1137" s="45" t="s">
        <v>62</v>
      </c>
      <c r="D1137" s="19" t="s">
        <v>64</v>
      </c>
      <c r="E1137" s="19" t="s">
        <v>233</v>
      </c>
      <c r="F1137" s="19" t="s">
        <v>94</v>
      </c>
      <c r="G1137" s="45"/>
      <c r="H1137" s="19" t="s">
        <v>67</v>
      </c>
      <c r="I1137" s="19" t="s">
        <v>244</v>
      </c>
      <c r="J1137" s="19" t="s">
        <v>71</v>
      </c>
      <c r="K1137" s="19" t="s">
        <v>72</v>
      </c>
      <c r="L1137" s="19" t="s">
        <v>73</v>
      </c>
      <c r="M1137" s="19" t="s">
        <v>76</v>
      </c>
      <c r="N1137" s="19" t="s">
        <v>78</v>
      </c>
      <c r="O1137" s="19" t="s">
        <v>79</v>
      </c>
      <c r="P1137" s="19" t="s">
        <v>81</v>
      </c>
    </row>
    <row r="1138" spans="1:16" ht="14.25" customHeight="1" x14ac:dyDescent="0.2">
      <c r="A1138" s="75"/>
      <c r="B1138" s="75"/>
      <c r="C1138" s="76" t="s">
        <v>245</v>
      </c>
      <c r="D1138" s="21"/>
      <c r="E1138" s="21">
        <v>6</v>
      </c>
      <c r="F1138" s="23" t="str">
        <f>F1131</f>
        <v>12500</v>
      </c>
      <c r="G1138" s="77"/>
      <c r="H1138" s="21">
        <v>380</v>
      </c>
      <c r="I1138" s="23" t="str">
        <f t="shared" ref="I1138:J1138" si="711">I1131</f>
        <v>1500</v>
      </c>
      <c r="J1138" s="21">
        <f t="shared" si="711"/>
        <v>1000</v>
      </c>
      <c r="K1138" s="21">
        <v>585</v>
      </c>
      <c r="L1138" s="23" t="str">
        <f>L1131</f>
        <v>1500</v>
      </c>
      <c r="M1138" s="21"/>
      <c r="N1138" s="21"/>
      <c r="O1138" s="21">
        <f>O1131</f>
        <v>2</v>
      </c>
      <c r="P1138" s="21"/>
    </row>
    <row r="1139" spans="1:16" ht="14.25" customHeight="1" x14ac:dyDescent="0.2">
      <c r="A1139" s="45">
        <v>1</v>
      </c>
      <c r="B1139" s="45">
        <v>2.1</v>
      </c>
      <c r="C1139" s="45">
        <v>1.2</v>
      </c>
      <c r="D1139" s="19">
        <f>B1139*C1139</f>
        <v>2.52</v>
      </c>
      <c r="E1139" s="19">
        <v>2.5</v>
      </c>
      <c r="F1139" s="19"/>
      <c r="G1139" s="78"/>
      <c r="H1139" s="19"/>
      <c r="I1139" s="19">
        <v>1</v>
      </c>
      <c r="J1139" s="19">
        <f>A1139</f>
        <v>1</v>
      </c>
      <c r="K1139" s="19">
        <f t="shared" ref="K1139:L1139" si="712">K1132</f>
        <v>0</v>
      </c>
      <c r="L1139" s="19">
        <f t="shared" si="712"/>
        <v>1</v>
      </c>
      <c r="M1139" s="19"/>
      <c r="N1139" s="19"/>
      <c r="O1139" s="19"/>
      <c r="P1139" s="19"/>
    </row>
    <row r="1140" spans="1:16" ht="14.25" customHeight="1" x14ac:dyDescent="0.2">
      <c r="A1140" s="78"/>
      <c r="B1140" s="78"/>
      <c r="C1140" s="78"/>
      <c r="D1140" s="26" t="str">
        <f>D1091</f>
        <v>3000</v>
      </c>
      <c r="E1140" s="26" t="str">
        <f t="shared" ref="E1140:F1140" si="713">E1133</f>
        <v>1000</v>
      </c>
      <c r="F1140" s="19">
        <f t="shared" si="713"/>
        <v>4</v>
      </c>
      <c r="G1140" s="45"/>
      <c r="H1140" s="19">
        <f>B1139*2</f>
        <v>4.2</v>
      </c>
      <c r="I1140" s="19"/>
      <c r="J1140" s="19"/>
      <c r="K1140" s="19"/>
      <c r="L1140" s="19"/>
      <c r="M1140" s="19"/>
      <c r="N1140" s="19"/>
      <c r="O1140" s="19"/>
      <c r="P1140" s="19"/>
    </row>
    <row r="1141" spans="1:16" ht="14.25" customHeight="1" x14ac:dyDescent="0.2">
      <c r="A1141" s="78"/>
      <c r="B1141" s="78"/>
      <c r="C1141" s="78"/>
      <c r="D1141" s="19">
        <f>D1139*D1140</f>
        <v>7560</v>
      </c>
      <c r="E1141" s="19">
        <f>E1140*E1138</f>
        <v>6000</v>
      </c>
      <c r="F1141" s="19">
        <f>F1138*F1140</f>
        <v>50000</v>
      </c>
      <c r="G1141" s="45"/>
      <c r="H1141" s="19">
        <f>H1138*H1140</f>
        <v>1596</v>
      </c>
      <c r="I1141" s="19">
        <f t="shared" ref="I1141:L1141" si="714">I1138*I1139</f>
        <v>1500</v>
      </c>
      <c r="J1141" s="19">
        <f t="shared" si="714"/>
        <v>1000</v>
      </c>
      <c r="K1141" s="19">
        <f t="shared" si="714"/>
        <v>0</v>
      </c>
      <c r="L1141" s="19">
        <f t="shared" si="714"/>
        <v>1500</v>
      </c>
      <c r="M1141" s="19">
        <f>SUM(D1141:L1141)</f>
        <v>69156</v>
      </c>
      <c r="N1141" s="19">
        <f>M1141/A1139</f>
        <v>69156</v>
      </c>
      <c r="O1141" s="19">
        <f>N1141*O1138</f>
        <v>138312</v>
      </c>
      <c r="P1141" s="19">
        <f>MROUND(O1141,100)</f>
        <v>138300</v>
      </c>
    </row>
    <row r="1142" spans="1:16" ht="14.25" customHeight="1" x14ac:dyDescent="0.15">
      <c r="A1142" s="115"/>
      <c r="B1142" s="87"/>
      <c r="C1142" s="87"/>
      <c r="D1142" s="30"/>
      <c r="E1142" s="30"/>
      <c r="F1142" s="75"/>
      <c r="G1142" s="75"/>
      <c r="H1142" s="30"/>
      <c r="I1142" s="30"/>
      <c r="J1142" s="30"/>
      <c r="K1142" s="30"/>
      <c r="L1142" s="30"/>
      <c r="M1142" s="30"/>
      <c r="N1142" s="30"/>
      <c r="O1142" s="30"/>
    </row>
    <row r="1143" spans="1:16" ht="14.25" customHeight="1" x14ac:dyDescent="0.15">
      <c r="A1143" s="109" t="str">
        <f>PRICELIST!I707</f>
        <v>CBLP-FR-PoLM-2100x900+1800</v>
      </c>
      <c r="B1143" s="87"/>
      <c r="C1143" s="87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</row>
    <row r="1144" spans="1:16" ht="14.25" customHeight="1" x14ac:dyDescent="0.2">
      <c r="A1144" s="45" t="s">
        <v>57</v>
      </c>
      <c r="B1144" s="45" t="s">
        <v>59</v>
      </c>
      <c r="C1144" s="45" t="s">
        <v>62</v>
      </c>
      <c r="D1144" s="19" t="s">
        <v>64</v>
      </c>
      <c r="E1144" s="19" t="s">
        <v>233</v>
      </c>
      <c r="F1144" s="19" t="s">
        <v>94</v>
      </c>
      <c r="G1144" s="45"/>
      <c r="H1144" s="19" t="s">
        <v>67</v>
      </c>
      <c r="I1144" s="19" t="s">
        <v>244</v>
      </c>
      <c r="J1144" s="19" t="s">
        <v>71</v>
      </c>
      <c r="K1144" s="19" t="s">
        <v>72</v>
      </c>
      <c r="L1144" s="19" t="s">
        <v>73</v>
      </c>
      <c r="M1144" s="19" t="s">
        <v>76</v>
      </c>
      <c r="N1144" s="19" t="s">
        <v>78</v>
      </c>
      <c r="O1144" s="19" t="s">
        <v>79</v>
      </c>
      <c r="P1144" s="19" t="s">
        <v>81</v>
      </c>
    </row>
    <row r="1145" spans="1:16" ht="14.25" customHeight="1" x14ac:dyDescent="0.2">
      <c r="A1145" s="75"/>
      <c r="B1145" s="75"/>
      <c r="C1145" s="76" t="s">
        <v>245</v>
      </c>
      <c r="D1145" s="21"/>
      <c r="E1145" s="21">
        <v>6</v>
      </c>
      <c r="F1145" s="23" t="str">
        <f>F1138</f>
        <v>12500</v>
      </c>
      <c r="G1145" s="77"/>
      <c r="H1145" s="21">
        <v>380</v>
      </c>
      <c r="I1145" s="23" t="str">
        <f t="shared" ref="I1145:J1145" si="715">I1138</f>
        <v>1500</v>
      </c>
      <c r="J1145" s="21">
        <f t="shared" si="715"/>
        <v>1000</v>
      </c>
      <c r="K1145" s="21">
        <v>585</v>
      </c>
      <c r="L1145" s="23" t="str">
        <f>L1138</f>
        <v>1500</v>
      </c>
      <c r="M1145" s="21"/>
      <c r="N1145" s="21"/>
      <c r="O1145" s="21">
        <f>O1138</f>
        <v>2</v>
      </c>
      <c r="P1145" s="21"/>
    </row>
    <row r="1146" spans="1:16" ht="14.25" customHeight="1" x14ac:dyDescent="0.2">
      <c r="A1146" s="45">
        <v>1</v>
      </c>
      <c r="B1146" s="45">
        <v>2.1</v>
      </c>
      <c r="C1146" s="45">
        <v>1.2</v>
      </c>
      <c r="D1146" s="19">
        <f>B1146*C1146</f>
        <v>2.52</v>
      </c>
      <c r="E1146" s="19">
        <v>2.5</v>
      </c>
      <c r="F1146" s="19"/>
      <c r="G1146" s="78"/>
      <c r="H1146" s="19"/>
      <c r="I1146" s="19">
        <v>1</v>
      </c>
      <c r="J1146" s="19">
        <f>A1146</f>
        <v>1</v>
      </c>
      <c r="K1146" s="19">
        <f t="shared" ref="K1146:L1146" si="716">K1139</f>
        <v>0</v>
      </c>
      <c r="L1146" s="19">
        <f t="shared" si="716"/>
        <v>1</v>
      </c>
      <c r="M1146" s="19"/>
      <c r="N1146" s="19"/>
      <c r="O1146" s="19"/>
      <c r="P1146" s="19"/>
    </row>
    <row r="1147" spans="1:16" ht="14.25" customHeight="1" x14ac:dyDescent="0.2">
      <c r="A1147" s="78"/>
      <c r="B1147" s="78"/>
      <c r="C1147" s="78"/>
      <c r="D1147" s="26" t="str">
        <f>D1098</f>
        <v>7500</v>
      </c>
      <c r="E1147" s="26" t="str">
        <f t="shared" ref="E1147:F1147" si="717">E1140</f>
        <v>1000</v>
      </c>
      <c r="F1147" s="19">
        <f t="shared" si="717"/>
        <v>4</v>
      </c>
      <c r="G1147" s="45"/>
      <c r="H1147" s="19">
        <f>B1146*2</f>
        <v>4.2</v>
      </c>
      <c r="I1147" s="19"/>
      <c r="J1147" s="19"/>
      <c r="K1147" s="19"/>
      <c r="L1147" s="19"/>
      <c r="M1147" s="19"/>
      <c r="N1147" s="19"/>
      <c r="O1147" s="19"/>
      <c r="P1147" s="19"/>
    </row>
    <row r="1148" spans="1:16" ht="14.25" customHeight="1" x14ac:dyDescent="0.2">
      <c r="A1148" s="78"/>
      <c r="B1148" s="78"/>
      <c r="C1148" s="78"/>
      <c r="D1148" s="19">
        <f>D1146*D1147</f>
        <v>18900</v>
      </c>
      <c r="E1148" s="19">
        <f>E1147*E1145</f>
        <v>6000</v>
      </c>
      <c r="F1148" s="19">
        <f>F1145*F1147</f>
        <v>50000</v>
      </c>
      <c r="G1148" s="45"/>
      <c r="H1148" s="19">
        <f>H1145*H1147</f>
        <v>1596</v>
      </c>
      <c r="I1148" s="19">
        <f t="shared" ref="I1148:L1148" si="718">I1145*I1146</f>
        <v>1500</v>
      </c>
      <c r="J1148" s="19">
        <f t="shared" si="718"/>
        <v>1000</v>
      </c>
      <c r="K1148" s="19">
        <f t="shared" si="718"/>
        <v>0</v>
      </c>
      <c r="L1148" s="19">
        <f t="shared" si="718"/>
        <v>1500</v>
      </c>
      <c r="M1148" s="19">
        <f>SUM(D1148:L1148)</f>
        <v>80496</v>
      </c>
      <c r="N1148" s="19">
        <f>M1148/A1146</f>
        <v>80496</v>
      </c>
      <c r="O1148" s="19">
        <f>N1148*O1145</f>
        <v>160992</v>
      </c>
      <c r="P1148" s="19">
        <f>MROUND(O1148,100)</f>
        <v>161000</v>
      </c>
    </row>
    <row r="1149" spans="1:16" ht="14.25" customHeight="1" x14ac:dyDescent="0.15">
      <c r="A1149" s="115"/>
      <c r="B1149" s="87"/>
      <c r="C1149" s="87"/>
      <c r="D1149" s="30"/>
      <c r="E1149" s="30"/>
      <c r="F1149" s="30"/>
      <c r="G1149" s="75"/>
      <c r="H1149" s="30"/>
      <c r="I1149" s="30"/>
      <c r="J1149" s="30"/>
      <c r="K1149" s="30"/>
      <c r="L1149" s="30"/>
      <c r="M1149" s="30"/>
      <c r="N1149" s="30"/>
      <c r="O1149" s="30"/>
    </row>
    <row r="1150" spans="1:16" ht="14.25" customHeight="1" x14ac:dyDescent="0.15">
      <c r="A1150" s="109" t="str">
        <f>PRICELIST!I708</f>
        <v>CBLP-FR-LVM-2100x900+1800</v>
      </c>
      <c r="B1150" s="87"/>
      <c r="C1150" s="87"/>
      <c r="D1150" s="21"/>
      <c r="E1150" s="21"/>
      <c r="F1150" s="19"/>
      <c r="G1150" s="21"/>
      <c r="H1150" s="19"/>
      <c r="I1150" s="19"/>
      <c r="J1150" s="19"/>
      <c r="K1150" s="19"/>
      <c r="L1150" s="19"/>
      <c r="M1150" s="19"/>
      <c r="N1150" s="19"/>
      <c r="O1150" s="19"/>
      <c r="P1150" s="19"/>
    </row>
    <row r="1151" spans="1:16" ht="14.25" customHeight="1" x14ac:dyDescent="0.2">
      <c r="A1151" s="45" t="s">
        <v>57</v>
      </c>
      <c r="B1151" s="45" t="s">
        <v>59</v>
      </c>
      <c r="C1151" s="45" t="s">
        <v>62</v>
      </c>
      <c r="D1151" s="19" t="s">
        <v>64</v>
      </c>
      <c r="E1151" s="19" t="s">
        <v>233</v>
      </c>
      <c r="F1151" s="19" t="s">
        <v>94</v>
      </c>
      <c r="G1151" s="45"/>
      <c r="H1151" s="19" t="s">
        <v>67</v>
      </c>
      <c r="I1151" s="19" t="s">
        <v>244</v>
      </c>
      <c r="J1151" s="19" t="s">
        <v>71</v>
      </c>
      <c r="K1151" s="19" t="s">
        <v>72</v>
      </c>
      <c r="L1151" s="19" t="s">
        <v>73</v>
      </c>
      <c r="M1151" s="19" t="s">
        <v>76</v>
      </c>
      <c r="N1151" s="19" t="s">
        <v>78</v>
      </c>
      <c r="O1151" s="19" t="s">
        <v>79</v>
      </c>
      <c r="P1151" s="19" t="s">
        <v>81</v>
      </c>
    </row>
    <row r="1152" spans="1:16" ht="14.25" customHeight="1" x14ac:dyDescent="0.2">
      <c r="A1152" s="75"/>
      <c r="B1152" s="75"/>
      <c r="C1152" s="76" t="s">
        <v>245</v>
      </c>
      <c r="D1152" s="21"/>
      <c r="E1152" s="21">
        <v>6</v>
      </c>
      <c r="F1152" s="23" t="str">
        <f>F1145</f>
        <v>12500</v>
      </c>
      <c r="G1152" s="77"/>
      <c r="H1152" s="21">
        <v>380</v>
      </c>
      <c r="I1152" s="23" t="str">
        <f t="shared" ref="I1152:J1152" si="719">I1145</f>
        <v>1500</v>
      </c>
      <c r="J1152" s="21">
        <f t="shared" si="719"/>
        <v>1000</v>
      </c>
      <c r="K1152" s="21">
        <v>585</v>
      </c>
      <c r="L1152" s="23" t="str">
        <f>L1145</f>
        <v>1500</v>
      </c>
      <c r="M1152" s="21"/>
      <c r="N1152" s="21"/>
      <c r="O1152" s="21">
        <f>O1145</f>
        <v>2</v>
      </c>
      <c r="P1152" s="21"/>
    </row>
    <row r="1153" spans="1:16" ht="14.25" customHeight="1" x14ac:dyDescent="0.2">
      <c r="A1153" s="45">
        <v>1</v>
      </c>
      <c r="B1153" s="45">
        <v>2.1</v>
      </c>
      <c r="C1153" s="45">
        <v>1.2</v>
      </c>
      <c r="D1153" s="19">
        <f>B1153*C1153</f>
        <v>2.52</v>
      </c>
      <c r="E1153" s="19">
        <v>2.5</v>
      </c>
      <c r="F1153" s="19"/>
      <c r="G1153" s="78"/>
      <c r="H1153" s="19"/>
      <c r="I1153" s="19">
        <v>1</v>
      </c>
      <c r="J1153" s="19">
        <f>A1153</f>
        <v>1</v>
      </c>
      <c r="K1153" s="19">
        <f t="shared" ref="K1153:L1153" si="720">K1146</f>
        <v>0</v>
      </c>
      <c r="L1153" s="19">
        <f t="shared" si="720"/>
        <v>1</v>
      </c>
      <c r="M1153" s="19"/>
      <c r="N1153" s="19"/>
      <c r="O1153" s="19"/>
      <c r="P1153" s="19"/>
    </row>
    <row r="1154" spans="1:16" ht="14.25" customHeight="1" x14ac:dyDescent="0.2">
      <c r="A1154" s="78"/>
      <c r="B1154" s="78"/>
      <c r="C1154" s="78"/>
      <c r="D1154" s="26" t="str">
        <f>D1105</f>
        <v>9500</v>
      </c>
      <c r="E1154" s="26" t="str">
        <f>E1112</f>
        <v>1500</v>
      </c>
      <c r="F1154" s="19">
        <f>F1147</f>
        <v>4</v>
      </c>
      <c r="G1154" s="45"/>
      <c r="H1154" s="19">
        <f>B1153*2</f>
        <v>4.2</v>
      </c>
      <c r="I1154" s="19"/>
      <c r="J1154" s="19"/>
      <c r="K1154" s="19"/>
      <c r="L1154" s="19"/>
      <c r="M1154" s="19"/>
      <c r="N1154" s="19"/>
      <c r="O1154" s="19"/>
      <c r="P1154" s="19"/>
    </row>
    <row r="1155" spans="1:16" ht="14.25" customHeight="1" x14ac:dyDescent="0.2">
      <c r="A1155" s="78"/>
      <c r="B1155" s="78"/>
      <c r="C1155" s="78"/>
      <c r="D1155" s="19">
        <f>D1153*D1154</f>
        <v>23940</v>
      </c>
      <c r="E1155" s="19">
        <f>E1154*E1152</f>
        <v>9000</v>
      </c>
      <c r="F1155" s="19">
        <f>F1152*F1154</f>
        <v>50000</v>
      </c>
      <c r="G1155" s="45"/>
      <c r="H1155" s="19">
        <f>H1152*H1154</f>
        <v>1596</v>
      </c>
      <c r="I1155" s="19">
        <f t="shared" ref="I1155:L1155" si="721">I1152*I1153</f>
        <v>1500</v>
      </c>
      <c r="J1155" s="19">
        <f t="shared" si="721"/>
        <v>1000</v>
      </c>
      <c r="K1155" s="19">
        <f t="shared" si="721"/>
        <v>0</v>
      </c>
      <c r="L1155" s="19">
        <f t="shared" si="721"/>
        <v>1500</v>
      </c>
      <c r="M1155" s="19">
        <f>SUM(D1155:L1155)</f>
        <v>88536</v>
      </c>
      <c r="N1155" s="19">
        <f>M1155/A1153</f>
        <v>88536</v>
      </c>
      <c r="O1155" s="19">
        <f>N1155*O1152</f>
        <v>177072</v>
      </c>
      <c r="P1155" s="19">
        <f>MROUND(O1155,100)</f>
        <v>177100</v>
      </c>
    </row>
    <row r="1156" spans="1:16" ht="14.25" customHeight="1" x14ac:dyDescent="0.15">
      <c r="A1156" s="115"/>
      <c r="B1156" s="87"/>
      <c r="C1156" s="87"/>
      <c r="D1156" s="30"/>
      <c r="E1156" s="30"/>
      <c r="F1156" s="30"/>
      <c r="G1156" s="75"/>
      <c r="H1156" s="30"/>
      <c r="I1156" s="30"/>
      <c r="J1156" s="30"/>
      <c r="K1156" s="30"/>
      <c r="L1156" s="30"/>
      <c r="M1156" s="30"/>
      <c r="N1156" s="30"/>
      <c r="O1156" s="30"/>
    </row>
    <row r="1157" spans="1:16" ht="14.25" customHeight="1" x14ac:dyDescent="0.15">
      <c r="A1157" s="109" t="str">
        <f>PRICELIST!I709</f>
        <v>CBLP-FR-LVP-2100x900+1800</v>
      </c>
      <c r="B1157" s="87"/>
      <c r="C1157" s="87"/>
      <c r="D1157" s="19"/>
      <c r="E1157" s="19"/>
      <c r="F1157" s="21"/>
      <c r="G1157" s="19"/>
      <c r="H1157" s="21"/>
      <c r="I1157" s="21"/>
      <c r="J1157" s="21"/>
      <c r="K1157" s="21"/>
      <c r="L1157" s="21"/>
      <c r="M1157" s="21"/>
      <c r="N1157" s="21"/>
      <c r="O1157" s="21"/>
      <c r="P1157" s="21"/>
    </row>
    <row r="1158" spans="1:16" ht="14.25" customHeight="1" x14ac:dyDescent="0.2">
      <c r="A1158" s="45" t="s">
        <v>57</v>
      </c>
      <c r="B1158" s="45" t="s">
        <v>59</v>
      </c>
      <c r="C1158" s="45" t="s">
        <v>62</v>
      </c>
      <c r="D1158" s="19" t="s">
        <v>64</v>
      </c>
      <c r="E1158" s="19" t="s">
        <v>233</v>
      </c>
      <c r="F1158" s="19" t="s">
        <v>94</v>
      </c>
      <c r="G1158" s="45"/>
      <c r="H1158" s="19" t="s">
        <v>67</v>
      </c>
      <c r="I1158" s="19" t="s">
        <v>244</v>
      </c>
      <c r="J1158" s="19" t="s">
        <v>71</v>
      </c>
      <c r="K1158" s="19" t="s">
        <v>72</v>
      </c>
      <c r="L1158" s="19" t="s">
        <v>73</v>
      </c>
      <c r="M1158" s="19" t="s">
        <v>76</v>
      </c>
      <c r="N1158" s="19" t="s">
        <v>78</v>
      </c>
      <c r="O1158" s="19" t="s">
        <v>79</v>
      </c>
      <c r="P1158" s="19" t="s">
        <v>81</v>
      </c>
    </row>
    <row r="1159" spans="1:16" ht="14.25" customHeight="1" x14ac:dyDescent="0.2">
      <c r="A1159" s="75"/>
      <c r="B1159" s="75"/>
      <c r="C1159" s="76" t="s">
        <v>245</v>
      </c>
      <c r="D1159" s="21"/>
      <c r="E1159" s="21">
        <v>6</v>
      </c>
      <c r="F1159" s="23" t="str">
        <f>F1152</f>
        <v>12500</v>
      </c>
      <c r="G1159" s="77"/>
      <c r="H1159" s="21">
        <v>380</v>
      </c>
      <c r="I1159" s="23" t="str">
        <f t="shared" ref="I1159:J1159" si="722">I1152</f>
        <v>1500</v>
      </c>
      <c r="J1159" s="21">
        <f t="shared" si="722"/>
        <v>1000</v>
      </c>
      <c r="K1159" s="21">
        <v>585</v>
      </c>
      <c r="L1159" s="23" t="str">
        <f>L1152</f>
        <v>1500</v>
      </c>
      <c r="M1159" s="21"/>
      <c r="N1159" s="21"/>
      <c r="O1159" s="21">
        <f>O1152</f>
        <v>2</v>
      </c>
      <c r="P1159" s="21"/>
    </row>
    <row r="1160" spans="1:16" ht="14.25" customHeight="1" x14ac:dyDescent="0.2">
      <c r="A1160" s="45">
        <v>1</v>
      </c>
      <c r="B1160" s="45">
        <v>2.1</v>
      </c>
      <c r="C1160" s="45">
        <v>1.2</v>
      </c>
      <c r="D1160" s="19">
        <f>B1160*C1160</f>
        <v>2.52</v>
      </c>
      <c r="E1160" s="19">
        <v>2.5</v>
      </c>
      <c r="F1160" s="19"/>
      <c r="G1160" s="78"/>
      <c r="H1160" s="19"/>
      <c r="I1160" s="19">
        <v>1</v>
      </c>
      <c r="J1160" s="19">
        <f>A1160</f>
        <v>1</v>
      </c>
      <c r="K1160" s="19">
        <f t="shared" ref="K1160:L1160" si="723">K1153</f>
        <v>0</v>
      </c>
      <c r="L1160" s="19">
        <f t="shared" si="723"/>
        <v>1</v>
      </c>
      <c r="M1160" s="19"/>
      <c r="N1160" s="19"/>
      <c r="O1160" s="19"/>
      <c r="P1160" s="19"/>
    </row>
    <row r="1161" spans="1:16" ht="14.25" customHeight="1" x14ac:dyDescent="0.2">
      <c r="A1161" s="78"/>
      <c r="B1161" s="78"/>
      <c r="C1161" s="78"/>
      <c r="D1161" s="26" t="str">
        <f>D1112</f>
        <v>10500</v>
      </c>
      <c r="E1161" s="26" t="str">
        <f t="shared" ref="E1161:F1161" si="724">E1154</f>
        <v>1500</v>
      </c>
      <c r="F1161" s="19">
        <f t="shared" si="724"/>
        <v>4</v>
      </c>
      <c r="G1161" s="45"/>
      <c r="H1161" s="19">
        <f>B1160*2</f>
        <v>4.2</v>
      </c>
      <c r="I1161" s="19"/>
      <c r="J1161" s="19"/>
      <c r="K1161" s="19"/>
      <c r="L1161" s="19"/>
      <c r="M1161" s="19"/>
      <c r="N1161" s="19"/>
      <c r="O1161" s="19"/>
      <c r="P1161" s="19"/>
    </row>
    <row r="1162" spans="1:16" ht="14.25" customHeight="1" x14ac:dyDescent="0.2">
      <c r="A1162" s="78"/>
      <c r="B1162" s="78"/>
      <c r="C1162" s="78"/>
      <c r="D1162" s="19">
        <f>D1160*D1161</f>
        <v>26460</v>
      </c>
      <c r="E1162" s="19">
        <f>E1161*E1159</f>
        <v>9000</v>
      </c>
      <c r="F1162" s="19">
        <f>F1159*F1161</f>
        <v>50000</v>
      </c>
      <c r="G1162" s="45"/>
      <c r="H1162" s="19">
        <f>H1159*H1161</f>
        <v>1596</v>
      </c>
      <c r="I1162" s="19">
        <f t="shared" ref="I1162:L1162" si="725">I1159*I1160</f>
        <v>1500</v>
      </c>
      <c r="J1162" s="19">
        <f t="shared" si="725"/>
        <v>1000</v>
      </c>
      <c r="K1162" s="19">
        <f t="shared" si="725"/>
        <v>0</v>
      </c>
      <c r="L1162" s="19">
        <f t="shared" si="725"/>
        <v>1500</v>
      </c>
      <c r="M1162" s="19">
        <f>SUM(D1162:L1162)</f>
        <v>91056</v>
      </c>
      <c r="N1162" s="19">
        <f>M1162/A1160</f>
        <v>91056</v>
      </c>
      <c r="O1162" s="19">
        <f>N1162*O1159</f>
        <v>182112</v>
      </c>
      <c r="P1162" s="19">
        <f>MROUND(O1162,100)</f>
        <v>182100</v>
      </c>
    </row>
    <row r="1163" spans="1:16" ht="14.25" customHeight="1" x14ac:dyDescent="0.15">
      <c r="A1163" s="115"/>
      <c r="B1163" s="87"/>
      <c r="C1163" s="87"/>
      <c r="D1163" s="30"/>
      <c r="E1163" s="30"/>
      <c r="F1163" s="30"/>
      <c r="G1163" s="75"/>
      <c r="H1163" s="30"/>
      <c r="I1163" s="30"/>
      <c r="J1163" s="30"/>
      <c r="K1163" s="30"/>
      <c r="L1163" s="30"/>
      <c r="M1163" s="30"/>
      <c r="N1163" s="30"/>
      <c r="O1163" s="30"/>
    </row>
    <row r="1164" spans="1:16" ht="14.25" customHeight="1" x14ac:dyDescent="0.15">
      <c r="A1164" s="109" t="str">
        <f>PRICELIST!I710</f>
        <v>CBLP-FR-VNR-2100x900+1800</v>
      </c>
      <c r="B1164" s="87"/>
      <c r="C1164" s="87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</row>
    <row r="1165" spans="1:16" ht="14.25" customHeight="1" x14ac:dyDescent="0.2">
      <c r="A1165" s="45" t="s">
        <v>57</v>
      </c>
      <c r="B1165" s="45" t="s">
        <v>59</v>
      </c>
      <c r="C1165" s="45" t="s">
        <v>62</v>
      </c>
      <c r="D1165" s="19" t="s">
        <v>64</v>
      </c>
      <c r="E1165" s="19" t="s">
        <v>233</v>
      </c>
      <c r="F1165" s="19" t="s">
        <v>94</v>
      </c>
      <c r="G1165" s="45"/>
      <c r="H1165" s="19" t="s">
        <v>67</v>
      </c>
      <c r="I1165" s="19" t="s">
        <v>244</v>
      </c>
      <c r="J1165" s="19" t="s">
        <v>71</v>
      </c>
      <c r="K1165" s="19" t="s">
        <v>72</v>
      </c>
      <c r="L1165" s="19" t="s">
        <v>73</v>
      </c>
      <c r="M1165" s="19" t="s">
        <v>76</v>
      </c>
      <c r="N1165" s="19" t="s">
        <v>78</v>
      </c>
      <c r="O1165" s="19" t="s">
        <v>79</v>
      </c>
      <c r="P1165" s="19" t="s">
        <v>81</v>
      </c>
    </row>
    <row r="1166" spans="1:16" ht="14.25" customHeight="1" x14ac:dyDescent="0.2">
      <c r="A1166" s="75"/>
      <c r="B1166" s="75"/>
      <c r="C1166" s="76" t="s">
        <v>245</v>
      </c>
      <c r="D1166" s="21"/>
      <c r="E1166" s="21">
        <v>6</v>
      </c>
      <c r="F1166" s="23" t="str">
        <f>F1159</f>
        <v>12500</v>
      </c>
      <c r="G1166" s="77"/>
      <c r="H1166" s="21">
        <v>380</v>
      </c>
      <c r="I1166" s="23" t="str">
        <f t="shared" ref="I1166:J1166" si="726">I1159</f>
        <v>1500</v>
      </c>
      <c r="J1166" s="21">
        <f t="shared" si="726"/>
        <v>1000</v>
      </c>
      <c r="K1166" s="21">
        <v>585</v>
      </c>
      <c r="L1166" s="23" t="str">
        <f>L1159</f>
        <v>1500</v>
      </c>
      <c r="M1166" s="21"/>
      <c r="N1166" s="21"/>
      <c r="O1166" s="21">
        <f>O1159</f>
        <v>2</v>
      </c>
      <c r="P1166" s="21"/>
    </row>
    <row r="1167" spans="1:16" ht="14.25" customHeight="1" x14ac:dyDescent="0.2">
      <c r="A1167" s="45">
        <v>1</v>
      </c>
      <c r="B1167" s="45">
        <v>2.1</v>
      </c>
      <c r="C1167" s="45">
        <v>1.2</v>
      </c>
      <c r="D1167" s="19">
        <f>B1167*C1167</f>
        <v>2.52</v>
      </c>
      <c r="E1167" s="19">
        <v>2.5</v>
      </c>
      <c r="F1167" s="19"/>
      <c r="G1167" s="78"/>
      <c r="H1167" s="19"/>
      <c r="I1167" s="19">
        <v>1</v>
      </c>
      <c r="J1167" s="19">
        <f>A1167</f>
        <v>1</v>
      </c>
      <c r="K1167" s="19">
        <f t="shared" ref="K1167:L1167" si="727">K1160</f>
        <v>0</v>
      </c>
      <c r="L1167" s="19">
        <f t="shared" si="727"/>
        <v>1</v>
      </c>
      <c r="M1167" s="19"/>
      <c r="N1167" s="19"/>
      <c r="O1167" s="19"/>
      <c r="P1167" s="19"/>
    </row>
    <row r="1168" spans="1:16" ht="14.25" customHeight="1" x14ac:dyDescent="0.2">
      <c r="A1168" s="78"/>
      <c r="B1168" s="78"/>
      <c r="C1168" s="78"/>
      <c r="D1168" s="26" t="str">
        <f>D1119</f>
        <v>30000</v>
      </c>
      <c r="E1168" s="26" t="str">
        <f t="shared" ref="E1168:F1168" si="728">E1161</f>
        <v>1500</v>
      </c>
      <c r="F1168" s="19">
        <f t="shared" si="728"/>
        <v>4</v>
      </c>
      <c r="G1168" s="45"/>
      <c r="H1168" s="19">
        <f>B1167*2</f>
        <v>4.2</v>
      </c>
      <c r="I1168" s="19"/>
      <c r="J1168" s="19"/>
      <c r="K1168" s="19"/>
      <c r="L1168" s="19"/>
      <c r="M1168" s="19"/>
      <c r="N1168" s="19"/>
      <c r="O1168" s="19"/>
      <c r="P1168" s="19"/>
    </row>
    <row r="1169" spans="1:16" ht="14.25" customHeight="1" x14ac:dyDescent="0.2">
      <c r="A1169" s="78"/>
      <c r="B1169" s="78"/>
      <c r="C1169" s="78"/>
      <c r="D1169" s="19">
        <f>D1167*D1168</f>
        <v>75600</v>
      </c>
      <c r="E1169" s="19">
        <f>E1168*E1166</f>
        <v>9000</v>
      </c>
      <c r="F1169" s="19">
        <f>F1166*F1168</f>
        <v>50000</v>
      </c>
      <c r="G1169" s="45"/>
      <c r="H1169" s="19">
        <f>H1166*H1168</f>
        <v>1596</v>
      </c>
      <c r="I1169" s="19">
        <f t="shared" ref="I1169:L1169" si="729">I1166*I1167</f>
        <v>1500</v>
      </c>
      <c r="J1169" s="19">
        <f t="shared" si="729"/>
        <v>1000</v>
      </c>
      <c r="K1169" s="19">
        <f t="shared" si="729"/>
        <v>0</v>
      </c>
      <c r="L1169" s="19">
        <f t="shared" si="729"/>
        <v>1500</v>
      </c>
      <c r="M1169" s="19">
        <f>SUM(D1169:L1169)</f>
        <v>140196</v>
      </c>
      <c r="N1169" s="19">
        <f>M1169/A1167</f>
        <v>140196</v>
      </c>
      <c r="O1169" s="19">
        <f>N1169*O1166</f>
        <v>280392</v>
      </c>
      <c r="P1169" s="19">
        <f>MROUND(O1169,100)</f>
        <v>280400</v>
      </c>
    </row>
    <row r="1170" spans="1:16" ht="14.25" customHeight="1" x14ac:dyDescent="0.15">
      <c r="A1170" s="115"/>
      <c r="B1170" s="87"/>
      <c r="C1170" s="87"/>
      <c r="D1170" s="30"/>
      <c r="E1170" s="30"/>
      <c r="F1170" s="75"/>
      <c r="G1170" s="75"/>
      <c r="H1170" s="30"/>
      <c r="I1170" s="30"/>
      <c r="J1170" s="30"/>
      <c r="K1170" s="30"/>
      <c r="L1170" s="30"/>
      <c r="M1170" s="30"/>
      <c r="N1170" s="30"/>
      <c r="O1170" s="30"/>
    </row>
    <row r="1171" spans="1:16" ht="14.25" customHeight="1" x14ac:dyDescent="0.15">
      <c r="A1171" s="109" t="str">
        <f>PRICELIST!I711</f>
        <v>CBLP-FR-GL-2100x900+1800</v>
      </c>
      <c r="B1171" s="87"/>
      <c r="C1171" s="87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</row>
    <row r="1172" spans="1:16" ht="14.25" customHeight="1" x14ac:dyDescent="0.2">
      <c r="A1172" s="45" t="s">
        <v>57</v>
      </c>
      <c r="B1172" s="45" t="s">
        <v>59</v>
      </c>
      <c r="C1172" s="45" t="s">
        <v>62</v>
      </c>
      <c r="D1172" s="19" t="s">
        <v>64</v>
      </c>
      <c r="E1172" s="19" t="s">
        <v>233</v>
      </c>
      <c r="F1172" s="19" t="s">
        <v>94</v>
      </c>
      <c r="G1172" s="45"/>
      <c r="H1172" s="19" t="s">
        <v>67</v>
      </c>
      <c r="I1172" s="19" t="s">
        <v>244</v>
      </c>
      <c r="J1172" s="19" t="s">
        <v>71</v>
      </c>
      <c r="K1172" s="19" t="s">
        <v>72</v>
      </c>
      <c r="L1172" s="19" t="s">
        <v>73</v>
      </c>
      <c r="M1172" s="19" t="s">
        <v>76</v>
      </c>
      <c r="N1172" s="19" t="s">
        <v>78</v>
      </c>
      <c r="O1172" s="19" t="s">
        <v>79</v>
      </c>
      <c r="P1172" s="19" t="s">
        <v>81</v>
      </c>
    </row>
    <row r="1173" spans="1:16" ht="14.25" customHeight="1" x14ac:dyDescent="0.2">
      <c r="A1173" s="75"/>
      <c r="B1173" s="75"/>
      <c r="C1173" s="76" t="s">
        <v>245</v>
      </c>
      <c r="D1173" s="21"/>
      <c r="E1173" s="21">
        <v>6</v>
      </c>
      <c r="F1173" s="23" t="str">
        <f>F1166</f>
        <v>12500</v>
      </c>
      <c r="G1173" s="77"/>
      <c r="H1173" s="21">
        <v>380</v>
      </c>
      <c r="I1173" s="23" t="str">
        <f t="shared" ref="I1173:J1173" si="730">I1166</f>
        <v>1500</v>
      </c>
      <c r="J1173" s="21">
        <f t="shared" si="730"/>
        <v>1000</v>
      </c>
      <c r="K1173" s="21">
        <v>585</v>
      </c>
      <c r="L1173" s="23" t="str">
        <f>L1166</f>
        <v>1500</v>
      </c>
      <c r="M1173" s="21"/>
      <c r="N1173" s="21"/>
      <c r="O1173" s="21">
        <f>O1166</f>
        <v>2</v>
      </c>
      <c r="P1173" s="21"/>
    </row>
    <row r="1174" spans="1:16" ht="14.25" customHeight="1" x14ac:dyDescent="0.2">
      <c r="A1174" s="45">
        <v>1</v>
      </c>
      <c r="B1174" s="45">
        <v>2.1</v>
      </c>
      <c r="C1174" s="45">
        <v>1.2</v>
      </c>
      <c r="D1174" s="19">
        <f>B1174*C1174</f>
        <v>2.52</v>
      </c>
      <c r="E1174" s="19">
        <v>2.5</v>
      </c>
      <c r="F1174" s="19"/>
      <c r="G1174" s="78"/>
      <c r="H1174" s="19"/>
      <c r="I1174" s="19">
        <v>1</v>
      </c>
      <c r="J1174" s="19">
        <f>A1174</f>
        <v>1</v>
      </c>
      <c r="K1174" s="19">
        <f t="shared" ref="K1174:L1174" si="731">K1167</f>
        <v>0</v>
      </c>
      <c r="L1174" s="19">
        <f t="shared" si="731"/>
        <v>1</v>
      </c>
      <c r="M1174" s="19"/>
      <c r="N1174" s="19"/>
      <c r="O1174" s="19"/>
      <c r="P1174" s="19"/>
    </row>
    <row r="1175" spans="1:16" ht="14.25" customHeight="1" x14ac:dyDescent="0.2">
      <c r="A1175" s="78"/>
      <c r="B1175" s="78"/>
      <c r="C1175" s="78"/>
      <c r="D1175" s="26" t="str">
        <f>D1126</f>
        <v>7500</v>
      </c>
      <c r="E1175" s="26" t="str">
        <f t="shared" ref="E1175:F1175" si="732">E1168</f>
        <v>1500</v>
      </c>
      <c r="F1175" s="19">
        <f t="shared" si="732"/>
        <v>4</v>
      </c>
      <c r="G1175" s="45"/>
      <c r="H1175" s="19">
        <f>B1174*2</f>
        <v>4.2</v>
      </c>
      <c r="I1175" s="19"/>
      <c r="J1175" s="19"/>
      <c r="K1175" s="19"/>
      <c r="L1175" s="19"/>
      <c r="M1175" s="19"/>
      <c r="N1175" s="19"/>
      <c r="O1175" s="19"/>
      <c r="P1175" s="19"/>
    </row>
    <row r="1176" spans="1:16" ht="14.25" customHeight="1" x14ac:dyDescent="0.2">
      <c r="A1176" s="78"/>
      <c r="B1176" s="78"/>
      <c r="C1176" s="78"/>
      <c r="D1176" s="19">
        <f>D1174*D1175</f>
        <v>18900</v>
      </c>
      <c r="E1176" s="19">
        <f>E1175*E1173</f>
        <v>9000</v>
      </c>
      <c r="F1176" s="19">
        <f>F1173*F1175</f>
        <v>50000</v>
      </c>
      <c r="G1176" s="45"/>
      <c r="H1176" s="19">
        <f>H1173*H1175</f>
        <v>1596</v>
      </c>
      <c r="I1176" s="19">
        <f t="shared" ref="I1176:L1176" si="733">I1173*I1174</f>
        <v>1500</v>
      </c>
      <c r="J1176" s="19">
        <f t="shared" si="733"/>
        <v>1000</v>
      </c>
      <c r="K1176" s="19">
        <f t="shared" si="733"/>
        <v>0</v>
      </c>
      <c r="L1176" s="19">
        <f t="shared" si="733"/>
        <v>1500</v>
      </c>
      <c r="M1176" s="19">
        <f>SUM(D1176:L1176)</f>
        <v>83496</v>
      </c>
      <c r="N1176" s="19">
        <f>M1176/A1174</f>
        <v>83496</v>
      </c>
      <c r="O1176" s="19">
        <f>N1176*O1173</f>
        <v>166992</v>
      </c>
      <c r="P1176" s="19">
        <f>MROUND(O1176,100)</f>
        <v>167000</v>
      </c>
    </row>
    <row r="1177" spans="1:16" ht="14.25" customHeight="1" x14ac:dyDescent="0.15">
      <c r="A1177" s="115"/>
      <c r="B1177" s="87"/>
      <c r="C1177" s="87"/>
      <c r="D1177" s="75"/>
      <c r="E1177" s="30"/>
      <c r="F1177" s="30"/>
      <c r="G1177" s="75"/>
      <c r="H1177" s="30"/>
      <c r="I1177" s="30"/>
      <c r="J1177" s="30"/>
      <c r="K1177" s="30"/>
      <c r="L1177" s="30"/>
      <c r="M1177" s="30"/>
      <c r="N1177" s="30"/>
      <c r="O1177" s="30"/>
    </row>
    <row r="1178" spans="1:16" ht="14.25" customHeight="1" x14ac:dyDescent="0.15">
      <c r="A1178" s="109" t="str">
        <f>PRICELIST!I712</f>
        <v>CBLP-TB-PB-1500x600+X</v>
      </c>
      <c r="B1178" s="87"/>
      <c r="C1178" s="87"/>
      <c r="D1178" s="30"/>
      <c r="E1178" s="30"/>
      <c r="F1178" s="19"/>
      <c r="G1178" s="30"/>
      <c r="H1178" s="19"/>
      <c r="I1178" s="19"/>
      <c r="J1178" s="19"/>
      <c r="K1178" s="19"/>
      <c r="L1178" s="19"/>
      <c r="M1178" s="19"/>
      <c r="N1178" s="19"/>
      <c r="O1178" s="19"/>
      <c r="P1178" s="19"/>
    </row>
    <row r="1179" spans="1:16" ht="14.25" customHeight="1" x14ac:dyDescent="0.2">
      <c r="A1179" s="45" t="s">
        <v>57</v>
      </c>
      <c r="B1179" s="45" t="s">
        <v>59</v>
      </c>
      <c r="C1179" s="45" t="s">
        <v>62</v>
      </c>
      <c r="D1179" s="19" t="s">
        <v>64</v>
      </c>
      <c r="E1179" s="19"/>
      <c r="F1179" s="19" t="s">
        <v>94</v>
      </c>
      <c r="G1179" s="45"/>
      <c r="H1179" s="19" t="s">
        <v>67</v>
      </c>
      <c r="I1179" s="19" t="s">
        <v>244</v>
      </c>
      <c r="J1179" s="19" t="s">
        <v>71</v>
      </c>
      <c r="K1179" s="19" t="s">
        <v>72</v>
      </c>
      <c r="L1179" s="19" t="s">
        <v>73</v>
      </c>
      <c r="M1179" s="19" t="s">
        <v>76</v>
      </c>
      <c r="N1179" s="19" t="s">
        <v>78</v>
      </c>
      <c r="O1179" s="19" t="s">
        <v>79</v>
      </c>
      <c r="P1179" s="19" t="s">
        <v>81</v>
      </c>
    </row>
    <row r="1180" spans="1:16" ht="14.25" customHeight="1" x14ac:dyDescent="0.2">
      <c r="A1180" s="75"/>
      <c r="B1180" s="75"/>
      <c r="C1180" s="76" t="s">
        <v>245</v>
      </c>
      <c r="D1180" s="21"/>
      <c r="E1180" s="21"/>
      <c r="F1180" s="23" t="str">
        <f>F1173</f>
        <v>12500</v>
      </c>
      <c r="G1180" s="77"/>
      <c r="H1180" s="21">
        <v>380</v>
      </c>
      <c r="I1180" s="23" t="str">
        <f t="shared" ref="I1180:J1180" si="734">I1173</f>
        <v>1500</v>
      </c>
      <c r="J1180" s="21">
        <f t="shared" si="734"/>
        <v>1000</v>
      </c>
      <c r="K1180" s="21">
        <v>585</v>
      </c>
      <c r="L1180" s="23" t="str">
        <f>L1173</f>
        <v>1500</v>
      </c>
      <c r="M1180" s="21"/>
      <c r="N1180" s="21"/>
      <c r="O1180" s="21">
        <f>O1173</f>
        <v>2</v>
      </c>
      <c r="P1180" s="21"/>
    </row>
    <row r="1181" spans="1:16" ht="14.25" customHeight="1" x14ac:dyDescent="0.2">
      <c r="A1181" s="45">
        <v>1</v>
      </c>
      <c r="B1181" s="45">
        <v>1.5</v>
      </c>
      <c r="C1181" s="45">
        <f>0.6+0.3</f>
        <v>0.89999999999999991</v>
      </c>
      <c r="D1181" s="19">
        <f>B1181*C1181</f>
        <v>1.3499999999999999</v>
      </c>
      <c r="E1181" s="19"/>
      <c r="F1181" s="19"/>
      <c r="G1181" s="78"/>
      <c r="H1181" s="19"/>
      <c r="I1181" s="19">
        <v>1</v>
      </c>
      <c r="J1181" s="19">
        <f>A1181</f>
        <v>1</v>
      </c>
      <c r="K1181" s="19">
        <f t="shared" ref="K1181:L1181" si="735">K1174</f>
        <v>0</v>
      </c>
      <c r="L1181" s="19">
        <f t="shared" si="735"/>
        <v>1</v>
      </c>
      <c r="M1181" s="19"/>
      <c r="N1181" s="19"/>
      <c r="O1181" s="19"/>
      <c r="P1181" s="19"/>
    </row>
    <row r="1182" spans="1:16" ht="14.25" customHeight="1" x14ac:dyDescent="0.2">
      <c r="A1182" s="78"/>
      <c r="B1182" s="78"/>
      <c r="C1182" s="78"/>
      <c r="D1182" s="26" t="str">
        <f>D1133</f>
        <v>2200</v>
      </c>
      <c r="E1182" s="19"/>
      <c r="F1182" s="19">
        <f>F1175</f>
        <v>4</v>
      </c>
      <c r="G1182" s="45"/>
      <c r="H1182" s="19">
        <f>B1181*2</f>
        <v>3</v>
      </c>
      <c r="I1182" s="19"/>
      <c r="J1182" s="19"/>
      <c r="K1182" s="19"/>
      <c r="L1182" s="19"/>
      <c r="M1182" s="19"/>
      <c r="N1182" s="19"/>
      <c r="O1182" s="19"/>
      <c r="P1182" s="19"/>
    </row>
    <row r="1183" spans="1:16" ht="14.25" customHeight="1" x14ac:dyDescent="0.2">
      <c r="A1183" s="78"/>
      <c r="B1183" s="78"/>
      <c r="C1183" s="78"/>
      <c r="D1183" s="19">
        <f>D1181*D1182</f>
        <v>2969.9999999999995</v>
      </c>
      <c r="E1183" s="19"/>
      <c r="F1183" s="19">
        <f>F1180*F1182</f>
        <v>50000</v>
      </c>
      <c r="G1183" s="45"/>
      <c r="H1183" s="19">
        <f>H1180*H1182</f>
        <v>1140</v>
      </c>
      <c r="I1183" s="19">
        <f t="shared" ref="I1183:L1183" si="736">I1180*I1181</f>
        <v>1500</v>
      </c>
      <c r="J1183" s="19">
        <f t="shared" si="736"/>
        <v>1000</v>
      </c>
      <c r="K1183" s="19">
        <f t="shared" si="736"/>
        <v>0</v>
      </c>
      <c r="L1183" s="19">
        <f t="shared" si="736"/>
        <v>1500</v>
      </c>
      <c r="M1183" s="19">
        <f>SUM(D1183:L1183)</f>
        <v>58110</v>
      </c>
      <c r="N1183" s="19">
        <f>M1183/A1181</f>
        <v>58110</v>
      </c>
      <c r="O1183" s="19">
        <f>N1183*O1180</f>
        <v>116220</v>
      </c>
      <c r="P1183" s="19">
        <f>MROUND(O1183,100)</f>
        <v>116200</v>
      </c>
    </row>
    <row r="1184" spans="1:16" ht="14.25" customHeight="1" x14ac:dyDescent="0.15">
      <c r="A1184" s="115"/>
      <c r="B1184" s="87"/>
      <c r="C1184" s="87"/>
      <c r="D1184" s="30"/>
      <c r="E1184" s="30"/>
      <c r="F1184" s="30"/>
      <c r="G1184" s="75"/>
      <c r="H1184" s="30"/>
      <c r="I1184" s="30"/>
      <c r="J1184" s="30"/>
      <c r="K1184" s="30"/>
      <c r="L1184" s="30"/>
      <c r="M1184" s="30"/>
      <c r="N1184" s="30"/>
      <c r="O1184" s="30"/>
    </row>
    <row r="1185" spans="1:16" ht="14.25" customHeight="1" x14ac:dyDescent="0.15">
      <c r="A1185" s="109" t="str">
        <f>PRICELIST!I713</f>
        <v>CBLP-TB-PLM-1500x600+X</v>
      </c>
      <c r="B1185" s="87"/>
      <c r="C1185" s="87"/>
      <c r="D1185" s="30"/>
      <c r="E1185" s="30"/>
      <c r="F1185" s="21"/>
      <c r="G1185" s="30"/>
      <c r="H1185" s="19"/>
      <c r="I1185" s="19"/>
      <c r="J1185" s="19"/>
      <c r="K1185" s="19"/>
      <c r="L1185" s="19"/>
      <c r="M1185" s="19"/>
      <c r="N1185" s="19"/>
      <c r="O1185" s="19"/>
      <c r="P1185" s="19"/>
    </row>
    <row r="1186" spans="1:16" ht="14.25" customHeight="1" x14ac:dyDescent="0.2">
      <c r="A1186" s="45" t="s">
        <v>57</v>
      </c>
      <c r="B1186" s="45" t="s">
        <v>59</v>
      </c>
      <c r="C1186" s="45" t="s">
        <v>62</v>
      </c>
      <c r="D1186" s="19" t="s">
        <v>64</v>
      </c>
      <c r="E1186" s="19"/>
      <c r="F1186" s="19" t="s">
        <v>94</v>
      </c>
      <c r="G1186" s="45"/>
      <c r="H1186" s="19" t="s">
        <v>67</v>
      </c>
      <c r="I1186" s="19" t="s">
        <v>244</v>
      </c>
      <c r="J1186" s="19" t="s">
        <v>71</v>
      </c>
      <c r="K1186" s="19" t="s">
        <v>72</v>
      </c>
      <c r="L1186" s="19" t="s">
        <v>73</v>
      </c>
      <c r="M1186" s="19" t="s">
        <v>76</v>
      </c>
      <c r="N1186" s="19" t="s">
        <v>78</v>
      </c>
      <c r="O1186" s="19" t="s">
        <v>79</v>
      </c>
      <c r="P1186" s="19" t="s">
        <v>81</v>
      </c>
    </row>
    <row r="1187" spans="1:16" ht="14.25" customHeight="1" x14ac:dyDescent="0.2">
      <c r="A1187" s="75"/>
      <c r="B1187" s="75"/>
      <c r="C1187" s="76" t="s">
        <v>245</v>
      </c>
      <c r="D1187" s="21"/>
      <c r="E1187" s="21"/>
      <c r="F1187" s="23" t="str">
        <f>F1180</f>
        <v>12500</v>
      </c>
      <c r="G1187" s="77"/>
      <c r="H1187" s="21">
        <v>380</v>
      </c>
      <c r="I1187" s="23" t="str">
        <f t="shared" ref="I1187:J1187" si="737">I1180</f>
        <v>1500</v>
      </c>
      <c r="J1187" s="21">
        <f t="shared" si="737"/>
        <v>1000</v>
      </c>
      <c r="K1187" s="21">
        <v>585</v>
      </c>
      <c r="L1187" s="23" t="str">
        <f>L1180</f>
        <v>1500</v>
      </c>
      <c r="M1187" s="21"/>
      <c r="N1187" s="21"/>
      <c r="O1187" s="21">
        <f>O1180</f>
        <v>2</v>
      </c>
      <c r="P1187" s="21"/>
    </row>
    <row r="1188" spans="1:16" ht="14.25" customHeight="1" x14ac:dyDescent="0.2">
      <c r="A1188" s="45">
        <v>1</v>
      </c>
      <c r="B1188" s="45">
        <v>1.5</v>
      </c>
      <c r="C1188" s="45">
        <f>0.6+0.3</f>
        <v>0.89999999999999991</v>
      </c>
      <c r="D1188" s="19">
        <f>B1188*C1188</f>
        <v>1.3499999999999999</v>
      </c>
      <c r="E1188" s="19"/>
      <c r="F1188" s="19"/>
      <c r="G1188" s="78"/>
      <c r="H1188" s="19"/>
      <c r="I1188" s="19">
        <v>1</v>
      </c>
      <c r="J1188" s="19">
        <f>A1188</f>
        <v>1</v>
      </c>
      <c r="K1188" s="19">
        <f t="shared" ref="K1188:L1188" si="738">K1181</f>
        <v>0</v>
      </c>
      <c r="L1188" s="19">
        <f t="shared" si="738"/>
        <v>1</v>
      </c>
      <c r="M1188" s="19"/>
      <c r="N1188" s="19"/>
      <c r="O1188" s="19"/>
      <c r="P1188" s="19"/>
    </row>
    <row r="1189" spans="1:16" ht="14.25" customHeight="1" x14ac:dyDescent="0.2">
      <c r="A1189" s="78"/>
      <c r="B1189" s="78"/>
      <c r="C1189" s="78"/>
      <c r="D1189" s="26" t="str">
        <f>D1140</f>
        <v>3000</v>
      </c>
      <c r="E1189" s="19"/>
      <c r="F1189" s="19">
        <f>F1182</f>
        <v>4</v>
      </c>
      <c r="G1189" s="45"/>
      <c r="H1189" s="19">
        <f>B1188*2</f>
        <v>3</v>
      </c>
      <c r="I1189" s="19"/>
      <c r="J1189" s="19"/>
      <c r="K1189" s="19"/>
      <c r="L1189" s="19"/>
      <c r="M1189" s="19"/>
      <c r="N1189" s="19"/>
      <c r="O1189" s="19"/>
      <c r="P1189" s="19"/>
    </row>
    <row r="1190" spans="1:16" ht="14.25" customHeight="1" x14ac:dyDescent="0.2">
      <c r="A1190" s="78"/>
      <c r="B1190" s="78"/>
      <c r="C1190" s="78"/>
      <c r="D1190" s="19">
        <f>D1188*D1189</f>
        <v>4049.9999999999995</v>
      </c>
      <c r="E1190" s="19"/>
      <c r="F1190" s="19">
        <f>F1187*F1189</f>
        <v>50000</v>
      </c>
      <c r="G1190" s="45"/>
      <c r="H1190" s="19">
        <f>H1187*H1189</f>
        <v>1140</v>
      </c>
      <c r="I1190" s="19">
        <f t="shared" ref="I1190:L1190" si="739">I1187*I1188</f>
        <v>1500</v>
      </c>
      <c r="J1190" s="19">
        <f t="shared" si="739"/>
        <v>1000</v>
      </c>
      <c r="K1190" s="19">
        <f t="shared" si="739"/>
        <v>0</v>
      </c>
      <c r="L1190" s="19">
        <f t="shared" si="739"/>
        <v>1500</v>
      </c>
      <c r="M1190" s="19">
        <f>SUM(D1190:L1190)</f>
        <v>59190</v>
      </c>
      <c r="N1190" s="19">
        <f>M1190/A1188</f>
        <v>59190</v>
      </c>
      <c r="O1190" s="19">
        <f>N1190*O1187</f>
        <v>118380</v>
      </c>
      <c r="P1190" s="19">
        <f>MROUND(O1190,100)</f>
        <v>118400</v>
      </c>
    </row>
    <row r="1191" spans="1:16" ht="14.25" customHeight="1" x14ac:dyDescent="0.15">
      <c r="A1191" s="115"/>
      <c r="B1191" s="87"/>
      <c r="C1191" s="87"/>
      <c r="D1191" s="30"/>
      <c r="E1191" s="30"/>
      <c r="F1191" s="30"/>
      <c r="G1191" s="75"/>
      <c r="H1191" s="30"/>
      <c r="I1191" s="30"/>
      <c r="J1191" s="30"/>
      <c r="K1191" s="30"/>
      <c r="L1191" s="30"/>
      <c r="M1191" s="30"/>
      <c r="N1191" s="30"/>
      <c r="O1191" s="30"/>
    </row>
    <row r="1192" spans="1:16" ht="14.25" customHeight="1" x14ac:dyDescent="0.15">
      <c r="A1192" s="109" t="str">
        <f>PRICELIST!I714</f>
        <v>CBLP-TB-PoLM-1500x600+X</v>
      </c>
      <c r="B1192" s="87"/>
      <c r="C1192" s="87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</row>
    <row r="1193" spans="1:16" ht="14.25" customHeight="1" x14ac:dyDescent="0.2">
      <c r="A1193" s="45" t="s">
        <v>57</v>
      </c>
      <c r="B1193" s="45" t="s">
        <v>59</v>
      </c>
      <c r="C1193" s="45" t="s">
        <v>62</v>
      </c>
      <c r="D1193" s="19" t="s">
        <v>64</v>
      </c>
      <c r="E1193" s="19"/>
      <c r="F1193" s="19" t="s">
        <v>94</v>
      </c>
      <c r="G1193" s="45"/>
      <c r="H1193" s="19" t="s">
        <v>67</v>
      </c>
      <c r="I1193" s="19" t="s">
        <v>244</v>
      </c>
      <c r="J1193" s="19" t="s">
        <v>71</v>
      </c>
      <c r="K1193" s="19" t="s">
        <v>72</v>
      </c>
      <c r="L1193" s="19" t="s">
        <v>73</v>
      </c>
      <c r="M1193" s="19" t="s">
        <v>76</v>
      </c>
      <c r="N1193" s="19" t="s">
        <v>78</v>
      </c>
      <c r="O1193" s="19" t="s">
        <v>79</v>
      </c>
      <c r="P1193" s="19" t="s">
        <v>81</v>
      </c>
    </row>
    <row r="1194" spans="1:16" ht="14.25" customHeight="1" x14ac:dyDescent="0.2">
      <c r="A1194" s="75"/>
      <c r="B1194" s="75"/>
      <c r="C1194" s="76" t="s">
        <v>245</v>
      </c>
      <c r="D1194" s="21"/>
      <c r="E1194" s="21"/>
      <c r="F1194" s="23" t="str">
        <f>F1187</f>
        <v>12500</v>
      </c>
      <c r="G1194" s="77"/>
      <c r="H1194" s="21">
        <v>380</v>
      </c>
      <c r="I1194" s="23" t="str">
        <f t="shared" ref="I1194:J1194" si="740">I1187</f>
        <v>1500</v>
      </c>
      <c r="J1194" s="21">
        <f t="shared" si="740"/>
        <v>1000</v>
      </c>
      <c r="K1194" s="21">
        <v>585</v>
      </c>
      <c r="L1194" s="23" t="str">
        <f>L1187</f>
        <v>1500</v>
      </c>
      <c r="M1194" s="21"/>
      <c r="N1194" s="21"/>
      <c r="O1194" s="21">
        <f>O1187</f>
        <v>2</v>
      </c>
      <c r="P1194" s="21"/>
    </row>
    <row r="1195" spans="1:16" ht="14.25" customHeight="1" x14ac:dyDescent="0.2">
      <c r="A1195" s="45">
        <v>1</v>
      </c>
      <c r="B1195" s="45">
        <v>1.5</v>
      </c>
      <c r="C1195" s="45">
        <f>0.6+0.3</f>
        <v>0.89999999999999991</v>
      </c>
      <c r="D1195" s="19">
        <f>B1195*C1195</f>
        <v>1.3499999999999999</v>
      </c>
      <c r="E1195" s="19"/>
      <c r="F1195" s="19"/>
      <c r="G1195" s="78"/>
      <c r="H1195" s="19"/>
      <c r="I1195" s="19">
        <v>1</v>
      </c>
      <c r="J1195" s="19">
        <f>A1195</f>
        <v>1</v>
      </c>
      <c r="K1195" s="19">
        <f t="shared" ref="K1195:L1195" si="741">K1188</f>
        <v>0</v>
      </c>
      <c r="L1195" s="19">
        <f t="shared" si="741"/>
        <v>1</v>
      </c>
      <c r="M1195" s="19"/>
      <c r="N1195" s="19"/>
      <c r="O1195" s="19"/>
      <c r="P1195" s="19"/>
    </row>
    <row r="1196" spans="1:16" ht="14.25" customHeight="1" x14ac:dyDescent="0.2">
      <c r="A1196" s="78"/>
      <c r="B1196" s="78"/>
      <c r="C1196" s="78"/>
      <c r="D1196" s="26" t="str">
        <f>D1147</f>
        <v>7500</v>
      </c>
      <c r="E1196" s="19"/>
      <c r="F1196" s="19">
        <f>F1189</f>
        <v>4</v>
      </c>
      <c r="G1196" s="45"/>
      <c r="H1196" s="19">
        <f>B1195*2</f>
        <v>3</v>
      </c>
      <c r="I1196" s="19"/>
      <c r="J1196" s="19"/>
      <c r="K1196" s="19"/>
      <c r="L1196" s="19"/>
      <c r="M1196" s="19"/>
      <c r="N1196" s="19"/>
      <c r="O1196" s="19"/>
      <c r="P1196" s="19"/>
    </row>
    <row r="1197" spans="1:16" ht="14.25" customHeight="1" x14ac:dyDescent="0.2">
      <c r="A1197" s="78"/>
      <c r="B1197" s="78"/>
      <c r="C1197" s="78"/>
      <c r="D1197" s="19">
        <f>D1195*D1196</f>
        <v>10124.999999999998</v>
      </c>
      <c r="E1197" s="19"/>
      <c r="F1197" s="19">
        <f>F1194*F1196</f>
        <v>50000</v>
      </c>
      <c r="G1197" s="45"/>
      <c r="H1197" s="19">
        <f>H1194*H1196</f>
        <v>1140</v>
      </c>
      <c r="I1197" s="19">
        <f t="shared" ref="I1197:L1197" si="742">I1194*I1195</f>
        <v>1500</v>
      </c>
      <c r="J1197" s="19">
        <f t="shared" si="742"/>
        <v>1000</v>
      </c>
      <c r="K1197" s="19">
        <f t="shared" si="742"/>
        <v>0</v>
      </c>
      <c r="L1197" s="19">
        <f t="shared" si="742"/>
        <v>1500</v>
      </c>
      <c r="M1197" s="19">
        <f>SUM(D1197:L1197)</f>
        <v>65265</v>
      </c>
      <c r="N1197" s="19">
        <f>M1197/A1195</f>
        <v>65265</v>
      </c>
      <c r="O1197" s="19">
        <f>N1197*O1194</f>
        <v>130530</v>
      </c>
      <c r="P1197" s="19">
        <f>MROUND(O1197,100)</f>
        <v>130500</v>
      </c>
    </row>
    <row r="1198" spans="1:16" ht="14.25" customHeight="1" x14ac:dyDescent="0.15">
      <c r="A1198" s="115"/>
      <c r="B1198" s="87"/>
      <c r="C1198" s="87"/>
      <c r="D1198" s="30"/>
      <c r="E1198" s="30"/>
      <c r="F1198" s="75"/>
      <c r="G1198" s="75"/>
      <c r="H1198" s="75"/>
      <c r="I1198" s="75"/>
      <c r="J1198" s="75"/>
      <c r="K1198" s="75"/>
      <c r="L1198" s="75"/>
      <c r="M1198" s="75"/>
      <c r="N1198" s="75"/>
      <c r="O1198" s="30"/>
      <c r="P1198" s="75"/>
    </row>
    <row r="1199" spans="1:16" ht="14.25" customHeight="1" x14ac:dyDescent="0.15">
      <c r="A1199" s="109" t="str">
        <f>PRICELIST!I715</f>
        <v>CBLP-TB-LVM-1500x600+X</v>
      </c>
      <c r="B1199" s="87"/>
      <c r="C1199" s="87"/>
      <c r="D1199" s="21"/>
      <c r="E1199" s="21"/>
      <c r="F1199" s="21"/>
      <c r="G1199" s="21"/>
      <c r="H1199" s="21"/>
      <c r="I1199" s="21"/>
      <c r="J1199" s="21"/>
      <c r="K1199" s="21"/>
      <c r="L1199" s="21"/>
      <c r="M1199" s="21"/>
      <c r="N1199" s="21"/>
      <c r="O1199" s="21"/>
      <c r="P1199" s="21"/>
    </row>
    <row r="1200" spans="1:16" ht="14.25" customHeight="1" x14ac:dyDescent="0.2">
      <c r="A1200" s="45" t="s">
        <v>57</v>
      </c>
      <c r="B1200" s="45" t="s">
        <v>59</v>
      </c>
      <c r="C1200" s="45" t="s">
        <v>62</v>
      </c>
      <c r="D1200" s="19" t="s">
        <v>64</v>
      </c>
      <c r="E1200" s="19"/>
      <c r="F1200" s="19" t="s">
        <v>94</v>
      </c>
      <c r="G1200" s="45"/>
      <c r="H1200" s="19" t="s">
        <v>67</v>
      </c>
      <c r="I1200" s="19" t="s">
        <v>244</v>
      </c>
      <c r="J1200" s="19" t="s">
        <v>71</v>
      </c>
      <c r="K1200" s="19" t="s">
        <v>72</v>
      </c>
      <c r="L1200" s="19" t="s">
        <v>73</v>
      </c>
      <c r="M1200" s="19" t="s">
        <v>76</v>
      </c>
      <c r="N1200" s="19" t="s">
        <v>78</v>
      </c>
      <c r="O1200" s="19" t="s">
        <v>79</v>
      </c>
      <c r="P1200" s="19" t="s">
        <v>81</v>
      </c>
    </row>
    <row r="1201" spans="1:16" ht="14.25" customHeight="1" x14ac:dyDescent="0.2">
      <c r="A1201" s="75"/>
      <c r="B1201" s="75"/>
      <c r="C1201" s="76" t="s">
        <v>245</v>
      </c>
      <c r="D1201" s="21"/>
      <c r="E1201" s="21"/>
      <c r="F1201" s="23" t="str">
        <f>F1194</f>
        <v>12500</v>
      </c>
      <c r="G1201" s="77"/>
      <c r="H1201" s="21">
        <v>380</v>
      </c>
      <c r="I1201" s="23" t="str">
        <f t="shared" ref="I1201:J1201" si="743">I1194</f>
        <v>1500</v>
      </c>
      <c r="J1201" s="21">
        <f t="shared" si="743"/>
        <v>1000</v>
      </c>
      <c r="K1201" s="21">
        <v>585</v>
      </c>
      <c r="L1201" s="23" t="str">
        <f>L1194</f>
        <v>1500</v>
      </c>
      <c r="M1201" s="21"/>
      <c r="N1201" s="21"/>
      <c r="O1201" s="21">
        <f>O1194</f>
        <v>2</v>
      </c>
      <c r="P1201" s="21"/>
    </row>
    <row r="1202" spans="1:16" ht="14.25" customHeight="1" x14ac:dyDescent="0.2">
      <c r="A1202" s="45">
        <v>1</v>
      </c>
      <c r="B1202" s="45">
        <v>1.5</v>
      </c>
      <c r="C1202" s="45">
        <f>0.6+0.3</f>
        <v>0.89999999999999991</v>
      </c>
      <c r="D1202" s="19">
        <f>B1202*C1202</f>
        <v>1.3499999999999999</v>
      </c>
      <c r="E1202" s="19"/>
      <c r="F1202" s="19"/>
      <c r="G1202" s="78"/>
      <c r="H1202" s="19"/>
      <c r="I1202" s="19">
        <v>1</v>
      </c>
      <c r="J1202" s="19">
        <f>A1202</f>
        <v>1</v>
      </c>
      <c r="K1202" s="19">
        <f t="shared" ref="K1202:L1202" si="744">K1195</f>
        <v>0</v>
      </c>
      <c r="L1202" s="19">
        <f t="shared" si="744"/>
        <v>1</v>
      </c>
      <c r="M1202" s="19"/>
      <c r="N1202" s="19"/>
      <c r="O1202" s="19"/>
      <c r="P1202" s="19"/>
    </row>
    <row r="1203" spans="1:16" ht="14.25" customHeight="1" x14ac:dyDescent="0.2">
      <c r="A1203" s="78"/>
      <c r="B1203" s="78"/>
      <c r="C1203" s="78"/>
      <c r="D1203" s="26" t="str">
        <f>D1154</f>
        <v>9500</v>
      </c>
      <c r="E1203" s="19"/>
      <c r="F1203" s="19">
        <f>F1196</f>
        <v>4</v>
      </c>
      <c r="G1203" s="45"/>
      <c r="H1203" s="19">
        <f>B1202*2</f>
        <v>3</v>
      </c>
      <c r="I1203" s="19"/>
      <c r="J1203" s="19"/>
      <c r="K1203" s="19"/>
      <c r="L1203" s="19"/>
      <c r="M1203" s="19"/>
      <c r="N1203" s="19"/>
      <c r="O1203" s="19"/>
      <c r="P1203" s="19"/>
    </row>
    <row r="1204" spans="1:16" ht="14.25" customHeight="1" x14ac:dyDescent="0.2">
      <c r="A1204" s="78"/>
      <c r="B1204" s="78"/>
      <c r="C1204" s="78"/>
      <c r="D1204" s="19">
        <f>D1202*D1203</f>
        <v>12824.999999999998</v>
      </c>
      <c r="E1204" s="19"/>
      <c r="F1204" s="19">
        <f>F1201*F1203</f>
        <v>50000</v>
      </c>
      <c r="G1204" s="45"/>
      <c r="H1204" s="19">
        <f>H1201*H1203</f>
        <v>1140</v>
      </c>
      <c r="I1204" s="19">
        <f t="shared" ref="I1204:L1204" si="745">I1201*I1202</f>
        <v>1500</v>
      </c>
      <c r="J1204" s="19">
        <f t="shared" si="745"/>
        <v>1000</v>
      </c>
      <c r="K1204" s="19">
        <f t="shared" si="745"/>
        <v>0</v>
      </c>
      <c r="L1204" s="19">
        <f t="shared" si="745"/>
        <v>1500</v>
      </c>
      <c r="M1204" s="19">
        <f>SUM(D1204:L1204)</f>
        <v>67965</v>
      </c>
      <c r="N1204" s="19">
        <f>M1204/A1202</f>
        <v>67965</v>
      </c>
      <c r="O1204" s="19">
        <f>N1204*O1201</f>
        <v>135930</v>
      </c>
      <c r="P1204" s="19">
        <f>MROUND(O1204,100)</f>
        <v>135900</v>
      </c>
    </row>
    <row r="1205" spans="1:16" ht="14.25" customHeight="1" x14ac:dyDescent="0.15">
      <c r="A1205" s="115"/>
      <c r="B1205" s="87"/>
      <c r="C1205" s="87"/>
      <c r="D1205" s="30"/>
      <c r="E1205" s="30"/>
      <c r="F1205" s="30"/>
      <c r="G1205" s="75"/>
      <c r="H1205" s="30"/>
      <c r="I1205" s="30"/>
      <c r="J1205" s="30"/>
      <c r="K1205" s="30"/>
      <c r="L1205" s="30"/>
      <c r="M1205" s="30"/>
      <c r="N1205" s="30"/>
      <c r="O1205" s="30"/>
    </row>
    <row r="1206" spans="1:16" ht="14.25" customHeight="1" x14ac:dyDescent="0.15">
      <c r="A1206" s="109" t="str">
        <f>PRICELIST!I716</f>
        <v>CBLP-TB-LVP-1500x600+X</v>
      </c>
      <c r="B1206" s="87"/>
      <c r="C1206" s="87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</row>
    <row r="1207" spans="1:16" ht="14.25" customHeight="1" x14ac:dyDescent="0.2">
      <c r="A1207" s="45" t="s">
        <v>57</v>
      </c>
      <c r="B1207" s="45" t="s">
        <v>59</v>
      </c>
      <c r="C1207" s="45" t="s">
        <v>62</v>
      </c>
      <c r="D1207" s="19" t="s">
        <v>64</v>
      </c>
      <c r="E1207" s="19"/>
      <c r="F1207" s="19" t="s">
        <v>94</v>
      </c>
      <c r="G1207" s="45"/>
      <c r="H1207" s="19" t="s">
        <v>67</v>
      </c>
      <c r="I1207" s="19" t="s">
        <v>244</v>
      </c>
      <c r="J1207" s="19" t="s">
        <v>71</v>
      </c>
      <c r="K1207" s="19" t="s">
        <v>72</v>
      </c>
      <c r="L1207" s="19" t="s">
        <v>73</v>
      </c>
      <c r="M1207" s="19" t="s">
        <v>76</v>
      </c>
      <c r="N1207" s="19" t="s">
        <v>78</v>
      </c>
      <c r="O1207" s="19" t="s">
        <v>79</v>
      </c>
      <c r="P1207" s="19" t="s">
        <v>81</v>
      </c>
    </row>
    <row r="1208" spans="1:16" ht="14.25" customHeight="1" x14ac:dyDescent="0.2">
      <c r="A1208" s="75"/>
      <c r="B1208" s="75"/>
      <c r="C1208" s="76" t="s">
        <v>245</v>
      </c>
      <c r="D1208" s="21"/>
      <c r="E1208" s="21"/>
      <c r="F1208" s="23" t="str">
        <f>F1201</f>
        <v>12500</v>
      </c>
      <c r="G1208" s="77"/>
      <c r="H1208" s="21">
        <v>380</v>
      </c>
      <c r="I1208" s="23" t="str">
        <f t="shared" ref="I1208:J1208" si="746">I1201</f>
        <v>1500</v>
      </c>
      <c r="J1208" s="21">
        <f t="shared" si="746"/>
        <v>1000</v>
      </c>
      <c r="K1208" s="21">
        <v>585</v>
      </c>
      <c r="L1208" s="23" t="str">
        <f>L1201</f>
        <v>1500</v>
      </c>
      <c r="M1208" s="21"/>
      <c r="N1208" s="21"/>
      <c r="O1208" s="21">
        <f>O1201</f>
        <v>2</v>
      </c>
      <c r="P1208" s="21"/>
    </row>
    <row r="1209" spans="1:16" ht="14.25" customHeight="1" x14ac:dyDescent="0.2">
      <c r="A1209" s="45">
        <v>1</v>
      </c>
      <c r="B1209" s="45">
        <v>1.5</v>
      </c>
      <c r="C1209" s="45">
        <f>0.6+0.3</f>
        <v>0.89999999999999991</v>
      </c>
      <c r="D1209" s="19">
        <f>B1209*C1209</f>
        <v>1.3499999999999999</v>
      </c>
      <c r="E1209" s="19"/>
      <c r="F1209" s="19"/>
      <c r="G1209" s="78"/>
      <c r="H1209" s="19"/>
      <c r="I1209" s="19">
        <v>1</v>
      </c>
      <c r="J1209" s="19">
        <f>A1209</f>
        <v>1</v>
      </c>
      <c r="K1209" s="19">
        <f t="shared" ref="K1209:L1209" si="747">K1202</f>
        <v>0</v>
      </c>
      <c r="L1209" s="19">
        <f t="shared" si="747"/>
        <v>1</v>
      </c>
      <c r="M1209" s="19"/>
      <c r="N1209" s="19"/>
      <c r="O1209" s="19"/>
      <c r="P1209" s="19"/>
    </row>
    <row r="1210" spans="1:16" ht="14.25" customHeight="1" x14ac:dyDescent="0.2">
      <c r="A1210" s="78"/>
      <c r="B1210" s="78"/>
      <c r="C1210" s="78"/>
      <c r="D1210" s="26" t="str">
        <f>D1161</f>
        <v>10500</v>
      </c>
      <c r="E1210" s="19"/>
      <c r="F1210" s="19">
        <f>F1203</f>
        <v>4</v>
      </c>
      <c r="G1210" s="45"/>
      <c r="H1210" s="19">
        <f>B1209*2</f>
        <v>3</v>
      </c>
      <c r="I1210" s="19"/>
      <c r="J1210" s="19"/>
      <c r="K1210" s="19"/>
      <c r="L1210" s="19"/>
      <c r="M1210" s="19"/>
      <c r="N1210" s="19"/>
      <c r="O1210" s="19"/>
      <c r="P1210" s="19"/>
    </row>
    <row r="1211" spans="1:16" ht="14.25" customHeight="1" x14ac:dyDescent="0.2">
      <c r="A1211" s="78"/>
      <c r="B1211" s="78"/>
      <c r="C1211" s="78"/>
      <c r="D1211" s="19">
        <f>D1209*D1210</f>
        <v>14174.999999999998</v>
      </c>
      <c r="E1211" s="19"/>
      <c r="F1211" s="19">
        <f>F1208*F1210</f>
        <v>50000</v>
      </c>
      <c r="G1211" s="45"/>
      <c r="H1211" s="19">
        <f>H1208*H1210</f>
        <v>1140</v>
      </c>
      <c r="I1211" s="19">
        <f t="shared" ref="I1211:L1211" si="748">I1208*I1209</f>
        <v>1500</v>
      </c>
      <c r="J1211" s="19">
        <f t="shared" si="748"/>
        <v>1000</v>
      </c>
      <c r="K1211" s="19">
        <f t="shared" si="748"/>
        <v>0</v>
      </c>
      <c r="L1211" s="19">
        <f t="shared" si="748"/>
        <v>1500</v>
      </c>
      <c r="M1211" s="19">
        <f>SUM(D1211:L1211)</f>
        <v>69315</v>
      </c>
      <c r="N1211" s="19">
        <f>M1211/A1209</f>
        <v>69315</v>
      </c>
      <c r="O1211" s="19">
        <f>N1211*O1208</f>
        <v>138630</v>
      </c>
      <c r="P1211" s="19">
        <f>MROUND(O1211,100)</f>
        <v>138600</v>
      </c>
    </row>
    <row r="1212" spans="1:16" ht="14.25" customHeight="1" x14ac:dyDescent="0.15">
      <c r="A1212" s="115"/>
      <c r="B1212" s="87"/>
      <c r="C1212" s="87"/>
      <c r="D1212" s="30"/>
      <c r="E1212" s="30"/>
      <c r="F1212" s="30"/>
      <c r="G1212" s="75"/>
      <c r="H1212" s="30"/>
      <c r="I1212" s="30"/>
      <c r="J1212" s="30"/>
      <c r="K1212" s="30"/>
      <c r="L1212" s="30"/>
      <c r="M1212" s="30"/>
      <c r="N1212" s="30"/>
      <c r="O1212" s="30"/>
    </row>
    <row r="1213" spans="1:16" ht="14.25" customHeight="1" x14ac:dyDescent="0.15">
      <c r="A1213" s="109" t="str">
        <f>PRICELIST!I717</f>
        <v>CBLP-TB-VNR-1500x600+X</v>
      </c>
      <c r="B1213" s="87"/>
      <c r="C1213" s="87"/>
      <c r="D1213" s="19"/>
      <c r="E1213" s="19"/>
      <c r="F1213" s="21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</row>
    <row r="1214" spans="1:16" ht="14.25" customHeight="1" x14ac:dyDescent="0.2">
      <c r="A1214" s="45" t="s">
        <v>57</v>
      </c>
      <c r="B1214" s="45" t="s">
        <v>59</v>
      </c>
      <c r="C1214" s="45" t="s">
        <v>62</v>
      </c>
      <c r="D1214" s="19" t="s">
        <v>64</v>
      </c>
      <c r="E1214" s="19"/>
      <c r="F1214" s="19" t="s">
        <v>94</v>
      </c>
      <c r="G1214" s="45"/>
      <c r="H1214" s="19" t="s">
        <v>67</v>
      </c>
      <c r="I1214" s="19" t="s">
        <v>244</v>
      </c>
      <c r="J1214" s="19" t="s">
        <v>71</v>
      </c>
      <c r="K1214" s="19" t="s">
        <v>72</v>
      </c>
      <c r="L1214" s="19" t="s">
        <v>73</v>
      </c>
      <c r="M1214" s="19" t="s">
        <v>76</v>
      </c>
      <c r="N1214" s="19" t="s">
        <v>78</v>
      </c>
      <c r="O1214" s="19" t="s">
        <v>79</v>
      </c>
      <c r="P1214" s="19" t="s">
        <v>81</v>
      </c>
    </row>
    <row r="1215" spans="1:16" ht="14.25" customHeight="1" x14ac:dyDescent="0.2">
      <c r="A1215" s="75"/>
      <c r="B1215" s="75"/>
      <c r="C1215" s="76" t="s">
        <v>245</v>
      </c>
      <c r="D1215" s="21"/>
      <c r="E1215" s="21"/>
      <c r="F1215" s="23" t="str">
        <f>F1208</f>
        <v>12500</v>
      </c>
      <c r="G1215" s="77"/>
      <c r="H1215" s="21">
        <v>380</v>
      </c>
      <c r="I1215" s="23" t="str">
        <f t="shared" ref="I1215:J1215" si="749">I1208</f>
        <v>1500</v>
      </c>
      <c r="J1215" s="21">
        <f t="shared" si="749"/>
        <v>1000</v>
      </c>
      <c r="K1215" s="21">
        <v>585</v>
      </c>
      <c r="L1215" s="23" t="str">
        <f>L1208</f>
        <v>1500</v>
      </c>
      <c r="M1215" s="21"/>
      <c r="N1215" s="21"/>
      <c r="O1215" s="21">
        <f>O1208</f>
        <v>2</v>
      </c>
      <c r="P1215" s="21"/>
    </row>
    <row r="1216" spans="1:16" ht="14.25" customHeight="1" x14ac:dyDescent="0.2">
      <c r="A1216" s="45">
        <v>1</v>
      </c>
      <c r="B1216" s="45">
        <v>1.5</v>
      </c>
      <c r="C1216" s="45">
        <f>0.6+0.3</f>
        <v>0.89999999999999991</v>
      </c>
      <c r="D1216" s="19">
        <f>B1216*C1216</f>
        <v>1.3499999999999999</v>
      </c>
      <c r="E1216" s="19"/>
      <c r="F1216" s="19"/>
      <c r="G1216" s="78"/>
      <c r="H1216" s="19"/>
      <c r="I1216" s="19">
        <v>1</v>
      </c>
      <c r="J1216" s="19">
        <f>A1216</f>
        <v>1</v>
      </c>
      <c r="K1216" s="19">
        <f t="shared" ref="K1216:L1216" si="750">K1209</f>
        <v>0</v>
      </c>
      <c r="L1216" s="19">
        <f t="shared" si="750"/>
        <v>1</v>
      </c>
      <c r="M1216" s="19"/>
      <c r="N1216" s="19"/>
      <c r="O1216" s="19"/>
      <c r="P1216" s="19"/>
    </row>
    <row r="1217" spans="1:16" ht="14.25" customHeight="1" x14ac:dyDescent="0.2">
      <c r="A1217" s="78"/>
      <c r="B1217" s="78"/>
      <c r="C1217" s="78"/>
      <c r="D1217" s="26" t="str">
        <f>D1168</f>
        <v>30000</v>
      </c>
      <c r="E1217" s="19"/>
      <c r="F1217" s="19">
        <f>F1210</f>
        <v>4</v>
      </c>
      <c r="G1217" s="45"/>
      <c r="H1217" s="19">
        <f>B1216*2</f>
        <v>3</v>
      </c>
      <c r="I1217" s="19"/>
      <c r="J1217" s="19"/>
      <c r="K1217" s="19"/>
      <c r="L1217" s="19"/>
      <c r="M1217" s="19"/>
      <c r="N1217" s="19"/>
      <c r="O1217" s="19"/>
      <c r="P1217" s="19"/>
    </row>
    <row r="1218" spans="1:16" ht="14.25" customHeight="1" x14ac:dyDescent="0.2">
      <c r="A1218" s="78"/>
      <c r="B1218" s="78"/>
      <c r="C1218" s="78"/>
      <c r="D1218" s="19">
        <f>D1216*D1217</f>
        <v>40499.999999999993</v>
      </c>
      <c r="E1218" s="19"/>
      <c r="F1218" s="19">
        <f>F1215*F1217</f>
        <v>50000</v>
      </c>
      <c r="G1218" s="45"/>
      <c r="H1218" s="19">
        <f>H1215*H1217</f>
        <v>1140</v>
      </c>
      <c r="I1218" s="19">
        <f t="shared" ref="I1218:L1218" si="751">I1215*I1216</f>
        <v>1500</v>
      </c>
      <c r="J1218" s="19">
        <f t="shared" si="751"/>
        <v>1000</v>
      </c>
      <c r="K1218" s="19">
        <f t="shared" si="751"/>
        <v>0</v>
      </c>
      <c r="L1218" s="19">
        <f t="shared" si="751"/>
        <v>1500</v>
      </c>
      <c r="M1218" s="19">
        <f>SUM(D1218:L1218)</f>
        <v>95640</v>
      </c>
      <c r="N1218" s="19">
        <f>M1218/A1216</f>
        <v>95640</v>
      </c>
      <c r="O1218" s="19">
        <f>N1218*O1215</f>
        <v>191280</v>
      </c>
      <c r="P1218" s="19">
        <f>MROUND(O1218,100)</f>
        <v>191300</v>
      </c>
    </row>
    <row r="1219" spans="1:16" ht="14.25" customHeight="1" x14ac:dyDescent="0.15">
      <c r="A1219" s="115"/>
      <c r="B1219" s="87"/>
      <c r="C1219" s="87"/>
      <c r="D1219" s="30"/>
      <c r="E1219" s="30"/>
      <c r="F1219" s="30"/>
      <c r="G1219" s="75"/>
      <c r="H1219" s="30"/>
      <c r="I1219" s="30"/>
      <c r="J1219" s="30"/>
      <c r="K1219" s="30"/>
      <c r="L1219" s="30"/>
      <c r="M1219" s="30"/>
      <c r="N1219" s="30"/>
      <c r="O1219" s="30"/>
    </row>
    <row r="1220" spans="1:16" ht="14.25" customHeight="1" x14ac:dyDescent="0.15">
      <c r="A1220" s="109" t="str">
        <f>PRICELIST!I718</f>
        <v>CBLP-TB-GL-1500x600+X</v>
      </c>
      <c r="B1220" s="87"/>
      <c r="C1220" s="87"/>
      <c r="D1220" s="19"/>
      <c r="E1220" s="19"/>
      <c r="F1220" s="19"/>
      <c r="G1220" s="19"/>
      <c r="H1220" s="21"/>
      <c r="I1220" s="21"/>
      <c r="J1220" s="21"/>
      <c r="K1220" s="21"/>
      <c r="L1220" s="21"/>
      <c r="M1220" s="21"/>
      <c r="N1220" s="21"/>
      <c r="O1220" s="21"/>
      <c r="P1220" s="21"/>
    </row>
    <row r="1221" spans="1:16" ht="14.25" customHeight="1" x14ac:dyDescent="0.2">
      <c r="A1221" s="45" t="s">
        <v>57</v>
      </c>
      <c r="B1221" s="45" t="s">
        <v>59</v>
      </c>
      <c r="C1221" s="45" t="s">
        <v>62</v>
      </c>
      <c r="D1221" s="19" t="s">
        <v>64</v>
      </c>
      <c r="E1221" s="19"/>
      <c r="F1221" s="19" t="s">
        <v>94</v>
      </c>
      <c r="G1221" s="45"/>
      <c r="H1221" s="19" t="s">
        <v>67</v>
      </c>
      <c r="I1221" s="19" t="s">
        <v>244</v>
      </c>
      <c r="J1221" s="19" t="s">
        <v>71</v>
      </c>
      <c r="K1221" s="19" t="s">
        <v>72</v>
      </c>
      <c r="L1221" s="19" t="s">
        <v>73</v>
      </c>
      <c r="M1221" s="19" t="s">
        <v>76</v>
      </c>
      <c r="N1221" s="19" t="s">
        <v>78</v>
      </c>
      <c r="O1221" s="19" t="s">
        <v>79</v>
      </c>
      <c r="P1221" s="19" t="s">
        <v>81</v>
      </c>
    </row>
    <row r="1222" spans="1:16" ht="14.25" customHeight="1" x14ac:dyDescent="0.2">
      <c r="A1222" s="75"/>
      <c r="B1222" s="75"/>
      <c r="C1222" s="76" t="s">
        <v>245</v>
      </c>
      <c r="D1222" s="21"/>
      <c r="E1222" s="21"/>
      <c r="F1222" s="23" t="str">
        <f>F1215</f>
        <v>12500</v>
      </c>
      <c r="G1222" s="77"/>
      <c r="H1222" s="21">
        <v>380</v>
      </c>
      <c r="I1222" s="23" t="str">
        <f t="shared" ref="I1222:J1222" si="752">I1215</f>
        <v>1500</v>
      </c>
      <c r="J1222" s="21">
        <f t="shared" si="752"/>
        <v>1000</v>
      </c>
      <c r="K1222" s="21">
        <v>585</v>
      </c>
      <c r="L1222" s="23" t="str">
        <f>L1215</f>
        <v>1500</v>
      </c>
      <c r="M1222" s="21"/>
      <c r="N1222" s="21"/>
      <c r="O1222" s="21">
        <f>O1215</f>
        <v>2</v>
      </c>
      <c r="P1222" s="21"/>
    </row>
    <row r="1223" spans="1:16" ht="14.25" customHeight="1" x14ac:dyDescent="0.2">
      <c r="A1223" s="45">
        <v>1</v>
      </c>
      <c r="B1223" s="45">
        <v>1.5</v>
      </c>
      <c r="C1223" s="45">
        <f>0.6+0.3</f>
        <v>0.89999999999999991</v>
      </c>
      <c r="D1223" s="19">
        <f>B1223*C1223</f>
        <v>1.3499999999999999</v>
      </c>
      <c r="E1223" s="19"/>
      <c r="F1223" s="19"/>
      <c r="G1223" s="78"/>
      <c r="H1223" s="19"/>
      <c r="I1223" s="19">
        <v>1</v>
      </c>
      <c r="J1223" s="19">
        <f>A1223</f>
        <v>1</v>
      </c>
      <c r="K1223" s="19">
        <f t="shared" ref="K1223:L1223" si="753">K1216</f>
        <v>0</v>
      </c>
      <c r="L1223" s="19">
        <f t="shared" si="753"/>
        <v>1</v>
      </c>
      <c r="M1223" s="19"/>
      <c r="N1223" s="19"/>
      <c r="O1223" s="19"/>
      <c r="P1223" s="19"/>
    </row>
    <row r="1224" spans="1:16" ht="14.25" customHeight="1" x14ac:dyDescent="0.2">
      <c r="A1224" s="78"/>
      <c r="B1224" s="78"/>
      <c r="C1224" s="78"/>
      <c r="D1224" s="26" t="str">
        <f>D1175</f>
        <v>7500</v>
      </c>
      <c r="E1224" s="19"/>
      <c r="F1224" s="19">
        <f>F1217</f>
        <v>4</v>
      </c>
      <c r="G1224" s="45"/>
      <c r="H1224" s="19">
        <f>B1223*2</f>
        <v>3</v>
      </c>
      <c r="I1224" s="19"/>
      <c r="J1224" s="19"/>
      <c r="K1224" s="19"/>
      <c r="L1224" s="19"/>
      <c r="M1224" s="19"/>
      <c r="N1224" s="19"/>
      <c r="O1224" s="19"/>
      <c r="P1224" s="19"/>
    </row>
    <row r="1225" spans="1:16" ht="14.25" customHeight="1" x14ac:dyDescent="0.2">
      <c r="A1225" s="78"/>
      <c r="B1225" s="78"/>
      <c r="C1225" s="78"/>
      <c r="D1225" s="19">
        <f>D1223*D1224</f>
        <v>10124.999999999998</v>
      </c>
      <c r="E1225" s="19"/>
      <c r="F1225" s="19">
        <f>F1222*F1224</f>
        <v>50000</v>
      </c>
      <c r="G1225" s="45"/>
      <c r="H1225" s="19">
        <f>H1222*H1224</f>
        <v>1140</v>
      </c>
      <c r="I1225" s="19">
        <f t="shared" ref="I1225:L1225" si="754">I1222*I1223</f>
        <v>1500</v>
      </c>
      <c r="J1225" s="19">
        <f t="shared" si="754"/>
        <v>1000</v>
      </c>
      <c r="K1225" s="19">
        <f t="shared" si="754"/>
        <v>0</v>
      </c>
      <c r="L1225" s="19">
        <f t="shared" si="754"/>
        <v>1500</v>
      </c>
      <c r="M1225" s="19">
        <f>SUM(D1225:L1225)</f>
        <v>65265</v>
      </c>
      <c r="N1225" s="19">
        <f>M1225/A1223</f>
        <v>65265</v>
      </c>
      <c r="O1225" s="19">
        <f>N1225*O1222</f>
        <v>130530</v>
      </c>
      <c r="P1225" s="19">
        <f>MROUND(O1225,100)</f>
        <v>130500</v>
      </c>
    </row>
    <row r="1226" spans="1:16" ht="14.25" customHeight="1" x14ac:dyDescent="0.15">
      <c r="A1226" s="115"/>
      <c r="B1226" s="87"/>
      <c r="C1226" s="87"/>
      <c r="D1226" s="75"/>
      <c r="E1226" s="30"/>
      <c r="F1226" s="75"/>
      <c r="G1226" s="75"/>
      <c r="H1226" s="30"/>
      <c r="I1226" s="30"/>
      <c r="J1226" s="30"/>
      <c r="K1226" s="30"/>
      <c r="L1226" s="30"/>
      <c r="M1226" s="30"/>
      <c r="N1226" s="30"/>
      <c r="O1226" s="30"/>
    </row>
    <row r="1227" spans="1:16" ht="14.25" customHeight="1" x14ac:dyDescent="0.15">
      <c r="A1227" s="109" t="str">
        <f>PRICELIST!I719</f>
        <v>CBLP-TB-PB-1800x750+X</v>
      </c>
      <c r="B1227" s="87"/>
      <c r="C1227" s="87"/>
      <c r="D1227" s="30"/>
      <c r="E1227" s="30"/>
      <c r="F1227" s="30"/>
      <c r="G1227" s="30"/>
      <c r="H1227" s="19"/>
      <c r="I1227" s="19"/>
      <c r="J1227" s="19"/>
      <c r="K1227" s="19"/>
      <c r="L1227" s="19"/>
      <c r="M1227" s="19"/>
      <c r="N1227" s="19"/>
      <c r="O1227" s="19"/>
      <c r="P1227" s="19"/>
    </row>
    <row r="1228" spans="1:16" ht="14.25" customHeight="1" x14ac:dyDescent="0.2">
      <c r="A1228" s="45" t="s">
        <v>57</v>
      </c>
      <c r="B1228" s="45" t="s">
        <v>59</v>
      </c>
      <c r="C1228" s="45" t="s">
        <v>62</v>
      </c>
      <c r="D1228" s="19" t="s">
        <v>64</v>
      </c>
      <c r="E1228" s="19"/>
      <c r="F1228" s="19" t="s">
        <v>94</v>
      </c>
      <c r="G1228" s="45"/>
      <c r="H1228" s="19" t="s">
        <v>67</v>
      </c>
      <c r="I1228" s="19" t="s">
        <v>244</v>
      </c>
      <c r="J1228" s="19" t="s">
        <v>71</v>
      </c>
      <c r="K1228" s="19" t="s">
        <v>72</v>
      </c>
      <c r="L1228" s="19" t="s">
        <v>73</v>
      </c>
      <c r="M1228" s="19" t="s">
        <v>76</v>
      </c>
      <c r="N1228" s="19" t="s">
        <v>78</v>
      </c>
      <c r="O1228" s="19" t="s">
        <v>79</v>
      </c>
      <c r="P1228" s="19" t="s">
        <v>81</v>
      </c>
    </row>
    <row r="1229" spans="1:16" ht="14.25" customHeight="1" x14ac:dyDescent="0.2">
      <c r="A1229" s="75"/>
      <c r="B1229" s="75"/>
      <c r="C1229" s="76" t="s">
        <v>245</v>
      </c>
      <c r="D1229" s="21"/>
      <c r="E1229" s="21"/>
      <c r="F1229" s="23" t="str">
        <f>F1222</f>
        <v>12500</v>
      </c>
      <c r="G1229" s="77"/>
      <c r="H1229" s="21">
        <v>380</v>
      </c>
      <c r="I1229" s="23" t="str">
        <f t="shared" ref="I1229:J1229" si="755">I1222</f>
        <v>1500</v>
      </c>
      <c r="J1229" s="21">
        <f t="shared" si="755"/>
        <v>1000</v>
      </c>
      <c r="K1229" s="21">
        <v>585</v>
      </c>
      <c r="L1229" s="23" t="str">
        <f>L1222</f>
        <v>1500</v>
      </c>
      <c r="M1229" s="21"/>
      <c r="N1229" s="21"/>
      <c r="O1229" s="21">
        <f>O1222</f>
        <v>2</v>
      </c>
      <c r="P1229" s="21"/>
    </row>
    <row r="1230" spans="1:16" ht="14.25" customHeight="1" x14ac:dyDescent="0.2">
      <c r="A1230" s="45">
        <v>1</v>
      </c>
      <c r="B1230" s="45">
        <v>1.8</v>
      </c>
      <c r="C1230" s="45">
        <v>1.05</v>
      </c>
      <c r="D1230" s="19">
        <f>B1230*C1230</f>
        <v>1.8900000000000001</v>
      </c>
      <c r="E1230" s="19"/>
      <c r="F1230" s="19"/>
      <c r="G1230" s="78"/>
      <c r="H1230" s="19"/>
      <c r="I1230" s="19">
        <v>1</v>
      </c>
      <c r="J1230" s="19">
        <f>A1230</f>
        <v>1</v>
      </c>
      <c r="K1230" s="19">
        <f t="shared" ref="K1230:L1230" si="756">K1223</f>
        <v>0</v>
      </c>
      <c r="L1230" s="19">
        <f t="shared" si="756"/>
        <v>1</v>
      </c>
      <c r="M1230" s="19"/>
      <c r="N1230" s="19"/>
      <c r="O1230" s="19"/>
      <c r="P1230" s="19"/>
    </row>
    <row r="1231" spans="1:16" ht="14.25" customHeight="1" x14ac:dyDescent="0.2">
      <c r="A1231" s="78"/>
      <c r="B1231" s="78"/>
      <c r="C1231" s="78"/>
      <c r="D1231" s="26" t="str">
        <f>D1182</f>
        <v>2200</v>
      </c>
      <c r="E1231" s="19"/>
      <c r="F1231" s="19">
        <f>F1224</f>
        <v>4</v>
      </c>
      <c r="G1231" s="45"/>
      <c r="H1231" s="19">
        <f>B1230*2</f>
        <v>3.6</v>
      </c>
      <c r="I1231" s="19"/>
      <c r="J1231" s="19"/>
      <c r="K1231" s="19"/>
      <c r="L1231" s="19"/>
      <c r="M1231" s="19"/>
      <c r="N1231" s="19"/>
      <c r="O1231" s="19"/>
      <c r="P1231" s="19"/>
    </row>
    <row r="1232" spans="1:16" ht="14.25" customHeight="1" x14ac:dyDescent="0.2">
      <c r="A1232" s="78"/>
      <c r="B1232" s="78"/>
      <c r="C1232" s="78"/>
      <c r="D1232" s="19">
        <f>D1230*D1231</f>
        <v>4158</v>
      </c>
      <c r="E1232" s="19"/>
      <c r="F1232" s="19">
        <f>F1229*F1231</f>
        <v>50000</v>
      </c>
      <c r="G1232" s="45"/>
      <c r="H1232" s="19">
        <f>H1229*H1231</f>
        <v>1368</v>
      </c>
      <c r="I1232" s="19">
        <f t="shared" ref="I1232:L1232" si="757">I1229*I1230</f>
        <v>1500</v>
      </c>
      <c r="J1232" s="19">
        <f t="shared" si="757"/>
        <v>1000</v>
      </c>
      <c r="K1232" s="19">
        <f t="shared" si="757"/>
        <v>0</v>
      </c>
      <c r="L1232" s="19">
        <f t="shared" si="757"/>
        <v>1500</v>
      </c>
      <c r="M1232" s="19">
        <f>SUM(D1232:L1232)</f>
        <v>59526</v>
      </c>
      <c r="N1232" s="19">
        <f>M1232/A1230</f>
        <v>59526</v>
      </c>
      <c r="O1232" s="19">
        <f>N1232*O1229</f>
        <v>119052</v>
      </c>
      <c r="P1232" s="19">
        <f>MROUND(O1232,100)</f>
        <v>119100</v>
      </c>
    </row>
    <row r="1233" spans="1:16" ht="14.25" customHeight="1" x14ac:dyDescent="0.15">
      <c r="A1233" s="115"/>
      <c r="B1233" s="87"/>
      <c r="C1233" s="87"/>
      <c r="D1233" s="30"/>
      <c r="E1233" s="30"/>
      <c r="F1233" s="30"/>
      <c r="G1233" s="75"/>
      <c r="H1233" s="30"/>
      <c r="I1233" s="30"/>
      <c r="J1233" s="30"/>
      <c r="K1233" s="30"/>
      <c r="L1233" s="30"/>
      <c r="M1233" s="30"/>
      <c r="N1233" s="30"/>
      <c r="O1233" s="30"/>
    </row>
    <row r="1234" spans="1:16" ht="14.25" customHeight="1" x14ac:dyDescent="0.15">
      <c r="A1234" s="109" t="str">
        <f>PRICELIST!I720</f>
        <v>CBLP-TB-PLM-1800x750+X</v>
      </c>
      <c r="B1234" s="87"/>
      <c r="C1234" s="87"/>
      <c r="D1234" s="30"/>
      <c r="E1234" s="30"/>
      <c r="F1234" s="19"/>
      <c r="G1234" s="30"/>
      <c r="H1234" s="19"/>
      <c r="I1234" s="19"/>
      <c r="J1234" s="19"/>
      <c r="K1234" s="19"/>
      <c r="L1234" s="19"/>
      <c r="M1234" s="19"/>
      <c r="N1234" s="19"/>
      <c r="O1234" s="19"/>
      <c r="P1234" s="19"/>
    </row>
    <row r="1235" spans="1:16" ht="14.25" customHeight="1" x14ac:dyDescent="0.2">
      <c r="A1235" s="45" t="s">
        <v>57</v>
      </c>
      <c r="B1235" s="45" t="s">
        <v>59</v>
      </c>
      <c r="C1235" s="45" t="s">
        <v>62</v>
      </c>
      <c r="D1235" s="19" t="s">
        <v>64</v>
      </c>
      <c r="E1235" s="19"/>
      <c r="F1235" s="19" t="s">
        <v>94</v>
      </c>
      <c r="G1235" s="45"/>
      <c r="H1235" s="19" t="s">
        <v>67</v>
      </c>
      <c r="I1235" s="19" t="s">
        <v>244</v>
      </c>
      <c r="J1235" s="19" t="s">
        <v>71</v>
      </c>
      <c r="K1235" s="19" t="s">
        <v>72</v>
      </c>
      <c r="L1235" s="19" t="s">
        <v>73</v>
      </c>
      <c r="M1235" s="19" t="s">
        <v>76</v>
      </c>
      <c r="N1235" s="19" t="s">
        <v>78</v>
      </c>
      <c r="O1235" s="19" t="s">
        <v>79</v>
      </c>
      <c r="P1235" s="19" t="s">
        <v>81</v>
      </c>
    </row>
    <row r="1236" spans="1:16" ht="14.25" customHeight="1" x14ac:dyDescent="0.2">
      <c r="A1236" s="75"/>
      <c r="B1236" s="75"/>
      <c r="C1236" s="76" t="s">
        <v>245</v>
      </c>
      <c r="D1236" s="21"/>
      <c r="E1236" s="21"/>
      <c r="F1236" s="23" t="str">
        <f>F1229</f>
        <v>12500</v>
      </c>
      <c r="G1236" s="77"/>
      <c r="H1236" s="21">
        <v>380</v>
      </c>
      <c r="I1236" s="23" t="str">
        <f t="shared" ref="I1236:J1236" si="758">I1229</f>
        <v>1500</v>
      </c>
      <c r="J1236" s="21">
        <f t="shared" si="758"/>
        <v>1000</v>
      </c>
      <c r="K1236" s="21">
        <v>585</v>
      </c>
      <c r="L1236" s="23" t="str">
        <f>L1229</f>
        <v>1500</v>
      </c>
      <c r="M1236" s="21"/>
      <c r="N1236" s="21"/>
      <c r="O1236" s="21">
        <f>O1229</f>
        <v>2</v>
      </c>
      <c r="P1236" s="21"/>
    </row>
    <row r="1237" spans="1:16" ht="14.25" customHeight="1" x14ac:dyDescent="0.2">
      <c r="A1237" s="45">
        <v>1</v>
      </c>
      <c r="B1237" s="45">
        <v>1.8</v>
      </c>
      <c r="C1237" s="69">
        <v>1.05</v>
      </c>
      <c r="D1237" s="19">
        <f>B1237*C1237</f>
        <v>1.8900000000000001</v>
      </c>
      <c r="E1237" s="19"/>
      <c r="F1237" s="19"/>
      <c r="G1237" s="78"/>
      <c r="H1237" s="19"/>
      <c r="I1237" s="19">
        <v>1</v>
      </c>
      <c r="J1237" s="19">
        <f>A1237</f>
        <v>1</v>
      </c>
      <c r="K1237" s="19">
        <f t="shared" ref="K1237:L1237" si="759">K1230</f>
        <v>0</v>
      </c>
      <c r="L1237" s="19">
        <f t="shared" si="759"/>
        <v>1</v>
      </c>
      <c r="M1237" s="19"/>
      <c r="N1237" s="19"/>
      <c r="O1237" s="19"/>
      <c r="P1237" s="19"/>
    </row>
    <row r="1238" spans="1:16" ht="14.25" customHeight="1" x14ac:dyDescent="0.2">
      <c r="A1238" s="78"/>
      <c r="B1238" s="78"/>
      <c r="C1238" s="78"/>
      <c r="D1238" s="26" t="str">
        <f>D1189</f>
        <v>3000</v>
      </c>
      <c r="E1238" s="19"/>
      <c r="F1238" s="19">
        <f>F1231</f>
        <v>4</v>
      </c>
      <c r="G1238" s="45"/>
      <c r="H1238" s="19">
        <f>B1237*2</f>
        <v>3.6</v>
      </c>
      <c r="I1238" s="19"/>
      <c r="J1238" s="19"/>
      <c r="K1238" s="19"/>
      <c r="L1238" s="19"/>
      <c r="M1238" s="19"/>
      <c r="N1238" s="19"/>
      <c r="O1238" s="19"/>
      <c r="P1238" s="19"/>
    </row>
    <row r="1239" spans="1:16" ht="14.25" customHeight="1" x14ac:dyDescent="0.2">
      <c r="A1239" s="78"/>
      <c r="B1239" s="78"/>
      <c r="C1239" s="78"/>
      <c r="D1239" s="19">
        <f>D1237*D1238</f>
        <v>5670</v>
      </c>
      <c r="E1239" s="19"/>
      <c r="F1239" s="19">
        <f>F1236*F1238</f>
        <v>50000</v>
      </c>
      <c r="G1239" s="45"/>
      <c r="H1239" s="19">
        <f>H1236*H1238</f>
        <v>1368</v>
      </c>
      <c r="I1239" s="19">
        <f t="shared" ref="I1239:L1239" si="760">I1236*I1237</f>
        <v>1500</v>
      </c>
      <c r="J1239" s="19">
        <f t="shared" si="760"/>
        <v>1000</v>
      </c>
      <c r="K1239" s="19">
        <f t="shared" si="760"/>
        <v>0</v>
      </c>
      <c r="L1239" s="19">
        <f t="shared" si="760"/>
        <v>1500</v>
      </c>
      <c r="M1239" s="19">
        <f>SUM(D1239:L1239)</f>
        <v>61038</v>
      </c>
      <c r="N1239" s="19">
        <f>M1239/A1237</f>
        <v>61038</v>
      </c>
      <c r="O1239" s="19">
        <f>N1239*O1236</f>
        <v>122076</v>
      </c>
      <c r="P1239" s="19">
        <f>MROUND(O1239,100)</f>
        <v>122100</v>
      </c>
    </row>
    <row r="1240" spans="1:16" ht="14.25" customHeight="1" x14ac:dyDescent="0.15">
      <c r="A1240" s="115"/>
      <c r="B1240" s="87"/>
      <c r="C1240" s="87"/>
      <c r="D1240" s="30"/>
      <c r="E1240" s="30"/>
      <c r="F1240" s="30"/>
      <c r="G1240" s="75"/>
      <c r="H1240" s="30"/>
      <c r="I1240" s="30"/>
      <c r="J1240" s="30"/>
      <c r="K1240" s="30"/>
      <c r="L1240" s="30"/>
      <c r="M1240" s="30"/>
      <c r="N1240" s="30"/>
      <c r="O1240" s="30"/>
    </row>
    <row r="1241" spans="1:16" ht="14.25" customHeight="1" x14ac:dyDescent="0.15">
      <c r="A1241" s="109" t="str">
        <f>PRICELIST!I721</f>
        <v>CBLP-TB-PoLM-1800x750+X</v>
      </c>
      <c r="B1241" s="87"/>
      <c r="C1241" s="87"/>
      <c r="D1241" s="19"/>
      <c r="E1241" s="19"/>
      <c r="F1241" s="21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</row>
    <row r="1242" spans="1:16" ht="14.25" customHeight="1" x14ac:dyDescent="0.2">
      <c r="A1242" s="45" t="s">
        <v>57</v>
      </c>
      <c r="B1242" s="45" t="s">
        <v>59</v>
      </c>
      <c r="C1242" s="45" t="s">
        <v>62</v>
      </c>
      <c r="D1242" s="19" t="s">
        <v>64</v>
      </c>
      <c r="E1242" s="19"/>
      <c r="F1242" s="19" t="s">
        <v>94</v>
      </c>
      <c r="G1242" s="45"/>
      <c r="H1242" s="19" t="s">
        <v>67</v>
      </c>
      <c r="I1242" s="19" t="s">
        <v>244</v>
      </c>
      <c r="J1242" s="19" t="s">
        <v>71</v>
      </c>
      <c r="K1242" s="19" t="s">
        <v>72</v>
      </c>
      <c r="L1242" s="19" t="s">
        <v>73</v>
      </c>
      <c r="M1242" s="19" t="s">
        <v>76</v>
      </c>
      <c r="N1242" s="19" t="s">
        <v>78</v>
      </c>
      <c r="O1242" s="19" t="s">
        <v>79</v>
      </c>
      <c r="P1242" s="19" t="s">
        <v>81</v>
      </c>
    </row>
    <row r="1243" spans="1:16" ht="14.25" customHeight="1" x14ac:dyDescent="0.2">
      <c r="A1243" s="75"/>
      <c r="B1243" s="75"/>
      <c r="C1243" s="76" t="s">
        <v>245</v>
      </c>
      <c r="D1243" s="21"/>
      <c r="E1243" s="21"/>
      <c r="F1243" s="23" t="str">
        <f>F1236</f>
        <v>12500</v>
      </c>
      <c r="G1243" s="77"/>
      <c r="H1243" s="21">
        <v>380</v>
      </c>
      <c r="I1243" s="23" t="str">
        <f t="shared" ref="I1243:J1243" si="761">I1236</f>
        <v>1500</v>
      </c>
      <c r="J1243" s="21">
        <f t="shared" si="761"/>
        <v>1000</v>
      </c>
      <c r="K1243" s="21">
        <v>585</v>
      </c>
      <c r="L1243" s="23" t="str">
        <f>L1236</f>
        <v>1500</v>
      </c>
      <c r="M1243" s="21"/>
      <c r="N1243" s="21"/>
      <c r="O1243" s="21">
        <f>O1236</f>
        <v>2</v>
      </c>
      <c r="P1243" s="21"/>
    </row>
    <row r="1244" spans="1:16" ht="14.25" customHeight="1" x14ac:dyDescent="0.2">
      <c r="A1244" s="45">
        <v>1</v>
      </c>
      <c r="B1244" s="45">
        <v>1.8</v>
      </c>
      <c r="C1244" s="69">
        <v>1.05</v>
      </c>
      <c r="D1244" s="19">
        <f>B1244*C1244</f>
        <v>1.8900000000000001</v>
      </c>
      <c r="E1244" s="19"/>
      <c r="F1244" s="19"/>
      <c r="G1244" s="78"/>
      <c r="H1244" s="19"/>
      <c r="I1244" s="19">
        <v>1</v>
      </c>
      <c r="J1244" s="19">
        <f>A1244</f>
        <v>1</v>
      </c>
      <c r="K1244" s="19">
        <f t="shared" ref="K1244:L1244" si="762">K1237</f>
        <v>0</v>
      </c>
      <c r="L1244" s="19">
        <f t="shared" si="762"/>
        <v>1</v>
      </c>
      <c r="M1244" s="19"/>
      <c r="N1244" s="19"/>
      <c r="O1244" s="19"/>
      <c r="P1244" s="19"/>
    </row>
    <row r="1245" spans="1:16" ht="14.25" customHeight="1" x14ac:dyDescent="0.2">
      <c r="A1245" s="78"/>
      <c r="B1245" s="78"/>
      <c r="C1245" s="78"/>
      <c r="D1245" s="26" t="str">
        <f>D1196</f>
        <v>7500</v>
      </c>
      <c r="E1245" s="19"/>
      <c r="F1245" s="19">
        <f>F1238</f>
        <v>4</v>
      </c>
      <c r="G1245" s="45"/>
      <c r="H1245" s="19">
        <f>B1244*2</f>
        <v>3.6</v>
      </c>
      <c r="I1245" s="19"/>
      <c r="J1245" s="19"/>
      <c r="K1245" s="19"/>
      <c r="L1245" s="19"/>
      <c r="M1245" s="19"/>
      <c r="N1245" s="19"/>
      <c r="O1245" s="19"/>
      <c r="P1245" s="19"/>
    </row>
    <row r="1246" spans="1:16" ht="14.25" customHeight="1" x14ac:dyDescent="0.2">
      <c r="A1246" s="78"/>
      <c r="B1246" s="78"/>
      <c r="C1246" s="78"/>
      <c r="D1246" s="19">
        <f>D1244*D1245</f>
        <v>14175.000000000002</v>
      </c>
      <c r="E1246" s="19"/>
      <c r="F1246" s="19">
        <f>F1243*F1245</f>
        <v>50000</v>
      </c>
      <c r="G1246" s="45"/>
      <c r="H1246" s="19">
        <f>H1243*H1245</f>
        <v>1368</v>
      </c>
      <c r="I1246" s="19">
        <f t="shared" ref="I1246:L1246" si="763">I1243*I1244</f>
        <v>1500</v>
      </c>
      <c r="J1246" s="19">
        <f t="shared" si="763"/>
        <v>1000</v>
      </c>
      <c r="K1246" s="19">
        <f t="shared" si="763"/>
        <v>0</v>
      </c>
      <c r="L1246" s="19">
        <f t="shared" si="763"/>
        <v>1500</v>
      </c>
      <c r="M1246" s="19">
        <f>SUM(D1246:L1246)</f>
        <v>69543</v>
      </c>
      <c r="N1246" s="19">
        <f>M1246/A1244</f>
        <v>69543</v>
      </c>
      <c r="O1246" s="19">
        <f>N1246*O1243</f>
        <v>139086</v>
      </c>
      <c r="P1246" s="19">
        <f>MROUND(O1246,100)</f>
        <v>139100</v>
      </c>
    </row>
    <row r="1247" spans="1:16" ht="14.25" customHeight="1" x14ac:dyDescent="0.15">
      <c r="A1247" s="115"/>
      <c r="B1247" s="87"/>
      <c r="C1247" s="87"/>
      <c r="D1247" s="30"/>
      <c r="E1247" s="30"/>
      <c r="F1247" s="30"/>
      <c r="G1247" s="75"/>
      <c r="H1247" s="30"/>
      <c r="I1247" s="30"/>
      <c r="J1247" s="30"/>
      <c r="K1247" s="30"/>
      <c r="L1247" s="30"/>
      <c r="M1247" s="30"/>
      <c r="N1247" s="30"/>
      <c r="O1247" s="30"/>
    </row>
    <row r="1248" spans="1:16" ht="14.25" customHeight="1" x14ac:dyDescent="0.15">
      <c r="A1248" s="109" t="str">
        <f>PRICELIST!I722</f>
        <v>CBLP-TB-LVM-1800x750+X</v>
      </c>
      <c r="B1248" s="87"/>
      <c r="C1248" s="87"/>
      <c r="D1248" s="21"/>
      <c r="E1248" s="21"/>
      <c r="F1248" s="19"/>
      <c r="G1248" s="21"/>
      <c r="H1248" s="19"/>
      <c r="I1248" s="19"/>
      <c r="J1248" s="19"/>
      <c r="K1248" s="19"/>
      <c r="L1248" s="19"/>
      <c r="M1248" s="19"/>
      <c r="N1248" s="19"/>
      <c r="O1248" s="19"/>
      <c r="P1248" s="19"/>
    </row>
    <row r="1249" spans="1:16" ht="14.25" customHeight="1" x14ac:dyDescent="0.2">
      <c r="A1249" s="45" t="s">
        <v>57</v>
      </c>
      <c r="B1249" s="45" t="s">
        <v>59</v>
      </c>
      <c r="C1249" s="45" t="s">
        <v>62</v>
      </c>
      <c r="D1249" s="19" t="s">
        <v>64</v>
      </c>
      <c r="E1249" s="19"/>
      <c r="F1249" s="19" t="s">
        <v>94</v>
      </c>
      <c r="G1249" s="45"/>
      <c r="H1249" s="19" t="s">
        <v>67</v>
      </c>
      <c r="I1249" s="19" t="s">
        <v>244</v>
      </c>
      <c r="J1249" s="19" t="s">
        <v>71</v>
      </c>
      <c r="K1249" s="19" t="s">
        <v>72</v>
      </c>
      <c r="L1249" s="19" t="s">
        <v>73</v>
      </c>
      <c r="M1249" s="19" t="s">
        <v>76</v>
      </c>
      <c r="N1249" s="19" t="s">
        <v>78</v>
      </c>
      <c r="O1249" s="19" t="s">
        <v>79</v>
      </c>
      <c r="P1249" s="19" t="s">
        <v>81</v>
      </c>
    </row>
    <row r="1250" spans="1:16" ht="14.25" customHeight="1" x14ac:dyDescent="0.2">
      <c r="A1250" s="75"/>
      <c r="B1250" s="75"/>
      <c r="C1250" s="76" t="s">
        <v>245</v>
      </c>
      <c r="D1250" s="21"/>
      <c r="E1250" s="21"/>
      <c r="F1250" s="23" t="str">
        <f>F1243</f>
        <v>12500</v>
      </c>
      <c r="G1250" s="77"/>
      <c r="H1250" s="21">
        <v>380</v>
      </c>
      <c r="I1250" s="23" t="str">
        <f t="shared" ref="I1250:J1250" si="764">I1243</f>
        <v>1500</v>
      </c>
      <c r="J1250" s="21">
        <f t="shared" si="764"/>
        <v>1000</v>
      </c>
      <c r="K1250" s="21">
        <v>585</v>
      </c>
      <c r="L1250" s="23" t="str">
        <f>L1243</f>
        <v>1500</v>
      </c>
      <c r="M1250" s="21"/>
      <c r="N1250" s="21"/>
      <c r="O1250" s="21">
        <f>O1243</f>
        <v>2</v>
      </c>
      <c r="P1250" s="21"/>
    </row>
    <row r="1251" spans="1:16" ht="14.25" customHeight="1" x14ac:dyDescent="0.2">
      <c r="A1251" s="45">
        <v>1</v>
      </c>
      <c r="B1251" s="45">
        <v>1.8</v>
      </c>
      <c r="C1251" s="69">
        <v>1.05</v>
      </c>
      <c r="D1251" s="19">
        <f>B1251*C1251</f>
        <v>1.8900000000000001</v>
      </c>
      <c r="E1251" s="19"/>
      <c r="F1251" s="19"/>
      <c r="G1251" s="78"/>
      <c r="H1251" s="19"/>
      <c r="I1251" s="19">
        <v>1</v>
      </c>
      <c r="J1251" s="19">
        <f>A1251</f>
        <v>1</v>
      </c>
      <c r="K1251" s="19">
        <f t="shared" ref="K1251:L1251" si="765">K1244</f>
        <v>0</v>
      </c>
      <c r="L1251" s="19">
        <f t="shared" si="765"/>
        <v>1</v>
      </c>
      <c r="M1251" s="19"/>
      <c r="N1251" s="19"/>
      <c r="O1251" s="19"/>
      <c r="P1251" s="19"/>
    </row>
    <row r="1252" spans="1:16" ht="14.25" customHeight="1" x14ac:dyDescent="0.2">
      <c r="A1252" s="78"/>
      <c r="B1252" s="78"/>
      <c r="C1252" s="78"/>
      <c r="D1252" s="26" t="str">
        <f>D1203</f>
        <v>9500</v>
      </c>
      <c r="E1252" s="19"/>
      <c r="F1252" s="19">
        <f>F1245</f>
        <v>4</v>
      </c>
      <c r="G1252" s="45"/>
      <c r="H1252" s="19">
        <f>B1251*2</f>
        <v>3.6</v>
      </c>
      <c r="I1252" s="19"/>
      <c r="J1252" s="19"/>
      <c r="K1252" s="19"/>
      <c r="L1252" s="19"/>
      <c r="M1252" s="19"/>
      <c r="N1252" s="19"/>
      <c r="O1252" s="19"/>
      <c r="P1252" s="19"/>
    </row>
    <row r="1253" spans="1:16" ht="14.25" customHeight="1" x14ac:dyDescent="0.2">
      <c r="A1253" s="78"/>
      <c r="B1253" s="78"/>
      <c r="C1253" s="78"/>
      <c r="D1253" s="19">
        <f>D1251*D1252</f>
        <v>17955</v>
      </c>
      <c r="E1253" s="19"/>
      <c r="F1253" s="19">
        <f>F1250*F1252</f>
        <v>50000</v>
      </c>
      <c r="G1253" s="45"/>
      <c r="H1253" s="19">
        <f>H1250*H1252</f>
        <v>1368</v>
      </c>
      <c r="I1253" s="19">
        <f t="shared" ref="I1253:L1253" si="766">I1250*I1251</f>
        <v>1500</v>
      </c>
      <c r="J1253" s="19">
        <f t="shared" si="766"/>
        <v>1000</v>
      </c>
      <c r="K1253" s="19">
        <f t="shared" si="766"/>
        <v>0</v>
      </c>
      <c r="L1253" s="19">
        <f t="shared" si="766"/>
        <v>1500</v>
      </c>
      <c r="M1253" s="19">
        <f>SUM(D1253:L1253)</f>
        <v>73323</v>
      </c>
      <c r="N1253" s="19">
        <f>M1253/A1251</f>
        <v>73323</v>
      </c>
      <c r="O1253" s="19">
        <f>N1253*O1250</f>
        <v>146646</v>
      </c>
      <c r="P1253" s="19">
        <f>MROUND(O1253,100)</f>
        <v>146600</v>
      </c>
    </row>
    <row r="1254" spans="1:16" ht="14.25" customHeight="1" x14ac:dyDescent="0.15">
      <c r="A1254" s="115"/>
      <c r="B1254" s="87"/>
      <c r="C1254" s="87"/>
      <c r="D1254" s="30"/>
      <c r="E1254" s="30"/>
      <c r="F1254" s="75"/>
      <c r="G1254" s="75"/>
      <c r="H1254" s="30"/>
      <c r="I1254" s="30"/>
      <c r="J1254" s="30"/>
      <c r="K1254" s="30"/>
      <c r="L1254" s="30"/>
      <c r="M1254" s="30"/>
      <c r="N1254" s="30"/>
      <c r="O1254" s="30"/>
    </row>
    <row r="1255" spans="1:16" ht="14.25" customHeight="1" x14ac:dyDescent="0.15">
      <c r="A1255" s="109" t="str">
        <f>PRICELIST!I723</f>
        <v>CBLP-TB-LVP-1800x750+X</v>
      </c>
      <c r="B1255" s="87"/>
      <c r="C1255" s="87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</row>
    <row r="1256" spans="1:16" ht="14.25" customHeight="1" x14ac:dyDescent="0.2">
      <c r="A1256" s="45" t="s">
        <v>57</v>
      </c>
      <c r="B1256" s="45" t="s">
        <v>59</v>
      </c>
      <c r="C1256" s="45" t="s">
        <v>62</v>
      </c>
      <c r="D1256" s="19" t="s">
        <v>64</v>
      </c>
      <c r="E1256" s="19"/>
      <c r="F1256" s="19" t="s">
        <v>94</v>
      </c>
      <c r="G1256" s="45"/>
      <c r="H1256" s="19" t="s">
        <v>67</v>
      </c>
      <c r="I1256" s="19" t="s">
        <v>244</v>
      </c>
      <c r="J1256" s="19" t="s">
        <v>71</v>
      </c>
      <c r="K1256" s="19" t="s">
        <v>72</v>
      </c>
      <c r="L1256" s="19" t="s">
        <v>73</v>
      </c>
      <c r="M1256" s="19" t="s">
        <v>76</v>
      </c>
      <c r="N1256" s="19" t="s">
        <v>78</v>
      </c>
      <c r="O1256" s="19" t="s">
        <v>79</v>
      </c>
      <c r="P1256" s="19" t="s">
        <v>81</v>
      </c>
    </row>
    <row r="1257" spans="1:16" ht="14.25" customHeight="1" x14ac:dyDescent="0.2">
      <c r="A1257" s="75"/>
      <c r="B1257" s="75"/>
      <c r="C1257" s="76" t="s">
        <v>245</v>
      </c>
      <c r="D1257" s="21"/>
      <c r="E1257" s="21"/>
      <c r="F1257" s="23" t="str">
        <f>F1250</f>
        <v>12500</v>
      </c>
      <c r="G1257" s="77"/>
      <c r="H1257" s="21">
        <v>380</v>
      </c>
      <c r="I1257" s="23" t="str">
        <f t="shared" ref="I1257:J1257" si="767">I1250</f>
        <v>1500</v>
      </c>
      <c r="J1257" s="21">
        <f t="shared" si="767"/>
        <v>1000</v>
      </c>
      <c r="K1257" s="21">
        <v>585</v>
      </c>
      <c r="L1257" s="23" t="str">
        <f>L1250</f>
        <v>1500</v>
      </c>
      <c r="M1257" s="21"/>
      <c r="N1257" s="21"/>
      <c r="O1257" s="21">
        <f>O1250</f>
        <v>2</v>
      </c>
      <c r="P1257" s="21"/>
    </row>
    <row r="1258" spans="1:16" ht="14.25" customHeight="1" x14ac:dyDescent="0.2">
      <c r="A1258" s="45">
        <v>1</v>
      </c>
      <c r="B1258" s="45">
        <v>1.8</v>
      </c>
      <c r="C1258" s="69">
        <v>1.05</v>
      </c>
      <c r="D1258" s="19">
        <f>B1258*C1258</f>
        <v>1.8900000000000001</v>
      </c>
      <c r="E1258" s="19"/>
      <c r="F1258" s="19"/>
      <c r="G1258" s="78"/>
      <c r="H1258" s="19"/>
      <c r="I1258" s="19">
        <v>1</v>
      </c>
      <c r="J1258" s="19">
        <f>A1258</f>
        <v>1</v>
      </c>
      <c r="K1258" s="19">
        <f t="shared" ref="K1258:L1258" si="768">K1251</f>
        <v>0</v>
      </c>
      <c r="L1258" s="19">
        <f t="shared" si="768"/>
        <v>1</v>
      </c>
      <c r="M1258" s="19"/>
      <c r="N1258" s="19"/>
      <c r="O1258" s="19"/>
      <c r="P1258" s="19"/>
    </row>
    <row r="1259" spans="1:16" ht="14.25" customHeight="1" x14ac:dyDescent="0.2">
      <c r="A1259" s="78"/>
      <c r="B1259" s="78"/>
      <c r="C1259" s="78"/>
      <c r="D1259" s="26" t="str">
        <f>D1210</f>
        <v>10500</v>
      </c>
      <c r="E1259" s="19"/>
      <c r="F1259" s="19">
        <f>F1252</f>
        <v>4</v>
      </c>
      <c r="G1259" s="45"/>
      <c r="H1259" s="19">
        <f>B1258*2</f>
        <v>3.6</v>
      </c>
      <c r="I1259" s="19"/>
      <c r="J1259" s="19"/>
      <c r="K1259" s="19"/>
      <c r="L1259" s="19"/>
      <c r="M1259" s="19"/>
      <c r="N1259" s="19"/>
      <c r="O1259" s="19"/>
      <c r="P1259" s="19"/>
    </row>
    <row r="1260" spans="1:16" ht="14.25" customHeight="1" x14ac:dyDescent="0.2">
      <c r="A1260" s="78"/>
      <c r="B1260" s="78"/>
      <c r="C1260" s="78"/>
      <c r="D1260" s="19">
        <f>D1258*D1259</f>
        <v>19845</v>
      </c>
      <c r="E1260" s="19"/>
      <c r="F1260" s="19">
        <f>F1257*F1259</f>
        <v>50000</v>
      </c>
      <c r="G1260" s="45"/>
      <c r="H1260" s="19">
        <f>H1257*H1259</f>
        <v>1368</v>
      </c>
      <c r="I1260" s="19">
        <f t="shared" ref="I1260:L1260" si="769">I1257*I1258</f>
        <v>1500</v>
      </c>
      <c r="J1260" s="19">
        <f t="shared" si="769"/>
        <v>1000</v>
      </c>
      <c r="K1260" s="19">
        <f t="shared" si="769"/>
        <v>0</v>
      </c>
      <c r="L1260" s="19">
        <f t="shared" si="769"/>
        <v>1500</v>
      </c>
      <c r="M1260" s="19">
        <f>SUM(D1260:L1260)</f>
        <v>75213</v>
      </c>
      <c r="N1260" s="19">
        <f>M1260/A1258</f>
        <v>75213</v>
      </c>
      <c r="O1260" s="19">
        <f>N1260*O1257</f>
        <v>150426</v>
      </c>
      <c r="P1260" s="19">
        <f>MROUND(O1260,100)</f>
        <v>150400</v>
      </c>
    </row>
    <row r="1261" spans="1:16" ht="14.25" customHeight="1" x14ac:dyDescent="0.15">
      <c r="A1261" s="115"/>
      <c r="B1261" s="87"/>
      <c r="C1261" s="87"/>
      <c r="D1261" s="30"/>
      <c r="E1261" s="30"/>
      <c r="F1261" s="30"/>
      <c r="G1261" s="75"/>
      <c r="H1261" s="75"/>
      <c r="I1261" s="75"/>
      <c r="J1261" s="75"/>
      <c r="K1261" s="75"/>
      <c r="L1261" s="75"/>
      <c r="M1261" s="75"/>
      <c r="N1261" s="75"/>
      <c r="O1261" s="30"/>
      <c r="P1261" s="75"/>
    </row>
    <row r="1262" spans="1:16" ht="14.25" customHeight="1" x14ac:dyDescent="0.15">
      <c r="A1262" s="109" t="str">
        <f>PRICELIST!I724</f>
        <v>CBLP-TB-VNR-1800x750+X</v>
      </c>
      <c r="B1262" s="87"/>
      <c r="C1262" s="87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</row>
    <row r="1263" spans="1:16" ht="14.25" customHeight="1" x14ac:dyDescent="0.2">
      <c r="A1263" s="45" t="s">
        <v>57</v>
      </c>
      <c r="B1263" s="45" t="s">
        <v>59</v>
      </c>
      <c r="C1263" s="45" t="s">
        <v>62</v>
      </c>
      <c r="D1263" s="19" t="s">
        <v>64</v>
      </c>
      <c r="E1263" s="19"/>
      <c r="F1263" s="19" t="s">
        <v>94</v>
      </c>
      <c r="G1263" s="45"/>
      <c r="H1263" s="19" t="s">
        <v>67</v>
      </c>
      <c r="I1263" s="19" t="s">
        <v>244</v>
      </c>
      <c r="J1263" s="19" t="s">
        <v>71</v>
      </c>
      <c r="K1263" s="19" t="s">
        <v>72</v>
      </c>
      <c r="L1263" s="19" t="s">
        <v>73</v>
      </c>
      <c r="M1263" s="19" t="s">
        <v>76</v>
      </c>
      <c r="N1263" s="19" t="s">
        <v>78</v>
      </c>
      <c r="O1263" s="19" t="s">
        <v>79</v>
      </c>
      <c r="P1263" s="19" t="s">
        <v>81</v>
      </c>
    </row>
    <row r="1264" spans="1:16" ht="14.25" customHeight="1" x14ac:dyDescent="0.2">
      <c r="A1264" s="75"/>
      <c r="B1264" s="75"/>
      <c r="C1264" s="76" t="s">
        <v>245</v>
      </c>
      <c r="D1264" s="21"/>
      <c r="E1264" s="21"/>
      <c r="F1264" s="23" t="str">
        <f>F1257</f>
        <v>12500</v>
      </c>
      <c r="G1264" s="77"/>
      <c r="H1264" s="21">
        <v>380</v>
      </c>
      <c r="I1264" s="23" t="str">
        <f t="shared" ref="I1264:J1264" si="770">I1257</f>
        <v>1500</v>
      </c>
      <c r="J1264" s="21">
        <f t="shared" si="770"/>
        <v>1000</v>
      </c>
      <c r="K1264" s="21">
        <v>585</v>
      </c>
      <c r="L1264" s="23" t="str">
        <f>L1257</f>
        <v>1500</v>
      </c>
      <c r="M1264" s="21"/>
      <c r="N1264" s="21"/>
      <c r="O1264" s="21">
        <f>O1257</f>
        <v>2</v>
      </c>
      <c r="P1264" s="21"/>
    </row>
    <row r="1265" spans="1:16" ht="14.25" customHeight="1" x14ac:dyDescent="0.2">
      <c r="A1265" s="45">
        <v>1</v>
      </c>
      <c r="B1265" s="45">
        <v>1.8</v>
      </c>
      <c r="C1265" s="69">
        <v>1.05</v>
      </c>
      <c r="D1265" s="19">
        <f>B1265*C1265</f>
        <v>1.8900000000000001</v>
      </c>
      <c r="E1265" s="19"/>
      <c r="F1265" s="19"/>
      <c r="G1265" s="78"/>
      <c r="H1265" s="19"/>
      <c r="I1265" s="19">
        <v>1</v>
      </c>
      <c r="J1265" s="19">
        <f>A1265</f>
        <v>1</v>
      </c>
      <c r="K1265" s="19">
        <f t="shared" ref="K1265:L1265" si="771">K1258</f>
        <v>0</v>
      </c>
      <c r="L1265" s="19">
        <f t="shared" si="771"/>
        <v>1</v>
      </c>
      <c r="M1265" s="19"/>
      <c r="N1265" s="19"/>
      <c r="O1265" s="19"/>
      <c r="P1265" s="19"/>
    </row>
    <row r="1266" spans="1:16" ht="14.25" customHeight="1" x14ac:dyDescent="0.2">
      <c r="A1266" s="78"/>
      <c r="B1266" s="78"/>
      <c r="C1266" s="78"/>
      <c r="D1266" s="26" t="str">
        <f>D1217</f>
        <v>30000</v>
      </c>
      <c r="E1266" s="19"/>
      <c r="F1266" s="19">
        <f>F1259</f>
        <v>4</v>
      </c>
      <c r="G1266" s="45"/>
      <c r="H1266" s="19">
        <f>B1265*2</f>
        <v>3.6</v>
      </c>
      <c r="I1266" s="19"/>
      <c r="J1266" s="19"/>
      <c r="K1266" s="19"/>
      <c r="L1266" s="19"/>
      <c r="M1266" s="19"/>
      <c r="N1266" s="19"/>
      <c r="O1266" s="19"/>
      <c r="P1266" s="19"/>
    </row>
    <row r="1267" spans="1:16" ht="14.25" customHeight="1" x14ac:dyDescent="0.2">
      <c r="A1267" s="78"/>
      <c r="B1267" s="78"/>
      <c r="C1267" s="78"/>
      <c r="D1267" s="19">
        <f>D1265*D1266</f>
        <v>56700.000000000007</v>
      </c>
      <c r="E1267" s="19"/>
      <c r="F1267" s="19">
        <f>F1264*F1266</f>
        <v>50000</v>
      </c>
      <c r="G1267" s="45"/>
      <c r="H1267" s="19">
        <f>H1264*H1266</f>
        <v>1368</v>
      </c>
      <c r="I1267" s="19">
        <f t="shared" ref="I1267:L1267" si="772">I1264*I1265</f>
        <v>1500</v>
      </c>
      <c r="J1267" s="19">
        <f t="shared" si="772"/>
        <v>1000</v>
      </c>
      <c r="K1267" s="19">
        <f t="shared" si="772"/>
        <v>0</v>
      </c>
      <c r="L1267" s="19">
        <f t="shared" si="772"/>
        <v>1500</v>
      </c>
      <c r="M1267" s="19">
        <f>SUM(D1267:L1267)</f>
        <v>112068</v>
      </c>
      <c r="N1267" s="19">
        <f>M1267/A1265</f>
        <v>112068</v>
      </c>
      <c r="O1267" s="19">
        <f>N1267*O1264</f>
        <v>224136</v>
      </c>
      <c r="P1267" s="19">
        <f>MROUND(O1267,100)</f>
        <v>224100</v>
      </c>
    </row>
    <row r="1268" spans="1:16" ht="14.25" customHeight="1" x14ac:dyDescent="0.15">
      <c r="A1268" s="115"/>
      <c r="B1268" s="87"/>
      <c r="C1268" s="87"/>
      <c r="D1268" s="30"/>
      <c r="E1268" s="30"/>
      <c r="F1268" s="30"/>
      <c r="G1268" s="75"/>
      <c r="H1268" s="30"/>
      <c r="I1268" s="30"/>
      <c r="J1268" s="30"/>
      <c r="K1268" s="30"/>
      <c r="L1268" s="30"/>
      <c r="M1268" s="30"/>
      <c r="N1268" s="30"/>
      <c r="O1268" s="30"/>
    </row>
    <row r="1269" spans="1:16" ht="14.25" customHeight="1" x14ac:dyDescent="0.15">
      <c r="A1269" s="109" t="str">
        <f>PRICELIST!I725</f>
        <v>CBLP-TB-GL-1800x750+X</v>
      </c>
      <c r="B1269" s="87"/>
      <c r="C1269" s="87"/>
      <c r="D1269" s="19"/>
      <c r="E1269" s="19"/>
      <c r="F1269" s="21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</row>
    <row r="1270" spans="1:16" ht="14.25" customHeight="1" x14ac:dyDescent="0.2">
      <c r="A1270" s="45" t="s">
        <v>57</v>
      </c>
      <c r="B1270" s="45" t="s">
        <v>59</v>
      </c>
      <c r="C1270" s="45" t="s">
        <v>62</v>
      </c>
      <c r="D1270" s="19" t="s">
        <v>64</v>
      </c>
      <c r="E1270" s="19"/>
      <c r="F1270" s="19" t="s">
        <v>94</v>
      </c>
      <c r="G1270" s="45"/>
      <c r="H1270" s="19" t="s">
        <v>67</v>
      </c>
      <c r="I1270" s="19" t="s">
        <v>244</v>
      </c>
      <c r="J1270" s="19" t="s">
        <v>71</v>
      </c>
      <c r="K1270" s="19" t="s">
        <v>72</v>
      </c>
      <c r="L1270" s="19" t="s">
        <v>73</v>
      </c>
      <c r="M1270" s="19" t="s">
        <v>76</v>
      </c>
      <c r="N1270" s="19" t="s">
        <v>78</v>
      </c>
      <c r="O1270" s="19" t="s">
        <v>79</v>
      </c>
      <c r="P1270" s="19" t="s">
        <v>81</v>
      </c>
    </row>
    <row r="1271" spans="1:16" ht="14.25" customHeight="1" x14ac:dyDescent="0.2">
      <c r="A1271" s="75"/>
      <c r="B1271" s="75"/>
      <c r="C1271" s="76" t="s">
        <v>245</v>
      </c>
      <c r="D1271" s="21"/>
      <c r="E1271" s="21"/>
      <c r="F1271" s="23" t="str">
        <f>F1264</f>
        <v>12500</v>
      </c>
      <c r="G1271" s="77"/>
      <c r="H1271" s="21">
        <v>380</v>
      </c>
      <c r="I1271" s="23" t="str">
        <f t="shared" ref="I1271:J1271" si="773">I1264</f>
        <v>1500</v>
      </c>
      <c r="J1271" s="21">
        <f t="shared" si="773"/>
        <v>1000</v>
      </c>
      <c r="K1271" s="21">
        <v>585</v>
      </c>
      <c r="L1271" s="23" t="str">
        <f>L1264</f>
        <v>1500</v>
      </c>
      <c r="M1271" s="21"/>
      <c r="N1271" s="21"/>
      <c r="O1271" s="21">
        <f>O1264</f>
        <v>2</v>
      </c>
      <c r="P1271" s="21"/>
    </row>
    <row r="1272" spans="1:16" ht="14.25" customHeight="1" x14ac:dyDescent="0.2">
      <c r="A1272" s="45">
        <v>1</v>
      </c>
      <c r="B1272" s="45">
        <v>1.8</v>
      </c>
      <c r="C1272" s="69">
        <v>1.05</v>
      </c>
      <c r="D1272" s="19">
        <f>B1272*C1272</f>
        <v>1.8900000000000001</v>
      </c>
      <c r="E1272" s="19"/>
      <c r="F1272" s="19"/>
      <c r="G1272" s="78"/>
      <c r="H1272" s="19"/>
      <c r="I1272" s="19">
        <v>1</v>
      </c>
      <c r="J1272" s="19">
        <f>A1272</f>
        <v>1</v>
      </c>
      <c r="K1272" s="19">
        <f t="shared" ref="K1272:L1272" si="774">K1265</f>
        <v>0</v>
      </c>
      <c r="L1272" s="19">
        <f t="shared" si="774"/>
        <v>1</v>
      </c>
      <c r="M1272" s="19"/>
      <c r="N1272" s="19"/>
      <c r="O1272" s="19"/>
      <c r="P1272" s="19"/>
    </row>
    <row r="1273" spans="1:16" ht="14.25" customHeight="1" x14ac:dyDescent="0.2">
      <c r="A1273" s="78"/>
      <c r="B1273" s="78"/>
      <c r="C1273" s="78"/>
      <c r="D1273" s="26" t="str">
        <f>D1224</f>
        <v>7500</v>
      </c>
      <c r="E1273" s="19"/>
      <c r="F1273" s="19">
        <f>F1266</f>
        <v>4</v>
      </c>
      <c r="G1273" s="45"/>
      <c r="H1273" s="19">
        <f>B1272*2</f>
        <v>3.6</v>
      </c>
      <c r="I1273" s="19"/>
      <c r="J1273" s="19"/>
      <c r="K1273" s="19"/>
      <c r="L1273" s="19"/>
      <c r="M1273" s="19"/>
      <c r="N1273" s="19"/>
      <c r="O1273" s="19"/>
      <c r="P1273" s="19"/>
    </row>
    <row r="1274" spans="1:16" ht="14.25" customHeight="1" x14ac:dyDescent="0.2">
      <c r="A1274" s="78"/>
      <c r="B1274" s="78"/>
      <c r="C1274" s="78"/>
      <c r="D1274" s="19">
        <f>D1272*D1273</f>
        <v>14175.000000000002</v>
      </c>
      <c r="E1274" s="19"/>
      <c r="F1274" s="19">
        <f>F1271*F1273</f>
        <v>50000</v>
      </c>
      <c r="G1274" s="45"/>
      <c r="H1274" s="19">
        <f>H1271*H1273</f>
        <v>1368</v>
      </c>
      <c r="I1274" s="19">
        <f t="shared" ref="I1274:L1274" si="775">I1271*I1272</f>
        <v>1500</v>
      </c>
      <c r="J1274" s="19">
        <f t="shared" si="775"/>
        <v>1000</v>
      </c>
      <c r="K1274" s="19">
        <f t="shared" si="775"/>
        <v>0</v>
      </c>
      <c r="L1274" s="19">
        <f t="shared" si="775"/>
        <v>1500</v>
      </c>
      <c r="M1274" s="19">
        <f>SUM(D1274:L1274)</f>
        <v>69543</v>
      </c>
      <c r="N1274" s="19">
        <f>M1274/A1272</f>
        <v>69543</v>
      </c>
      <c r="O1274" s="19">
        <f>N1274*O1271</f>
        <v>139086</v>
      </c>
      <c r="P1274" s="19">
        <f>MROUND(O1274,100)</f>
        <v>139100</v>
      </c>
    </row>
    <row r="1275" spans="1:16" ht="14.25" customHeight="1" x14ac:dyDescent="0.15">
      <c r="A1275" s="115"/>
      <c r="B1275" s="87"/>
      <c r="C1275" s="87"/>
      <c r="D1275" s="75"/>
      <c r="E1275" s="30"/>
      <c r="F1275" s="30"/>
      <c r="G1275" s="75"/>
      <c r="H1275" s="30"/>
      <c r="I1275" s="30"/>
      <c r="J1275" s="30"/>
      <c r="K1275" s="30"/>
      <c r="L1275" s="30"/>
      <c r="M1275" s="30"/>
      <c r="N1275" s="30"/>
      <c r="O1275" s="30"/>
    </row>
    <row r="1276" spans="1:16" ht="14.25" customHeight="1" x14ac:dyDescent="0.15">
      <c r="A1276" s="109" t="str">
        <f>PRICELIST!I726</f>
        <v>CBLP-TB-PB-2100x900+X</v>
      </c>
      <c r="B1276" s="87"/>
      <c r="C1276" s="87"/>
      <c r="D1276" s="30"/>
      <c r="E1276" s="30"/>
      <c r="F1276" s="19"/>
      <c r="G1276" s="30"/>
      <c r="H1276" s="19"/>
      <c r="I1276" s="19"/>
      <c r="J1276" s="19"/>
      <c r="K1276" s="19"/>
      <c r="L1276" s="19"/>
      <c r="M1276" s="19"/>
      <c r="N1276" s="19"/>
      <c r="O1276" s="19"/>
      <c r="P1276" s="19"/>
    </row>
    <row r="1277" spans="1:16" ht="14.25" customHeight="1" x14ac:dyDescent="0.2">
      <c r="A1277" s="45" t="s">
        <v>57</v>
      </c>
      <c r="B1277" s="45" t="s">
        <v>59</v>
      </c>
      <c r="C1277" s="45" t="s">
        <v>62</v>
      </c>
      <c r="D1277" s="45" t="s">
        <v>64</v>
      </c>
      <c r="E1277" s="19"/>
      <c r="F1277" s="19" t="s">
        <v>94</v>
      </c>
      <c r="G1277" s="45"/>
      <c r="H1277" s="19" t="s">
        <v>67</v>
      </c>
      <c r="I1277" s="19" t="s">
        <v>244</v>
      </c>
      <c r="J1277" s="19" t="s">
        <v>71</v>
      </c>
      <c r="K1277" s="19" t="s">
        <v>72</v>
      </c>
      <c r="L1277" s="19" t="s">
        <v>73</v>
      </c>
      <c r="M1277" s="19" t="s">
        <v>76</v>
      </c>
      <c r="N1277" s="19" t="s">
        <v>78</v>
      </c>
      <c r="O1277" s="19" t="s">
        <v>79</v>
      </c>
      <c r="P1277" s="19" t="s">
        <v>81</v>
      </c>
    </row>
    <row r="1278" spans="1:16" ht="14.25" customHeight="1" x14ac:dyDescent="0.2">
      <c r="A1278" s="75"/>
      <c r="B1278" s="75"/>
      <c r="C1278" s="76" t="s">
        <v>245</v>
      </c>
      <c r="D1278" s="75"/>
      <c r="E1278" s="21"/>
      <c r="F1278" s="23" t="str">
        <f>F1271</f>
        <v>12500</v>
      </c>
      <c r="G1278" s="77"/>
      <c r="H1278" s="21">
        <v>380</v>
      </c>
      <c r="I1278" s="23" t="str">
        <f t="shared" ref="I1278:J1278" si="776">I1271</f>
        <v>1500</v>
      </c>
      <c r="J1278" s="21">
        <f t="shared" si="776"/>
        <v>1000</v>
      </c>
      <c r="K1278" s="21">
        <v>585</v>
      </c>
      <c r="L1278" s="23" t="str">
        <f>L1271</f>
        <v>1500</v>
      </c>
      <c r="M1278" s="21"/>
      <c r="N1278" s="21"/>
      <c r="O1278" s="21">
        <f>O1271</f>
        <v>2</v>
      </c>
      <c r="P1278" s="21"/>
    </row>
    <row r="1279" spans="1:16" ht="14.25" customHeight="1" x14ac:dyDescent="0.2">
      <c r="A1279" s="45">
        <v>1</v>
      </c>
      <c r="B1279" s="45">
        <v>2.1</v>
      </c>
      <c r="C1279" s="45">
        <v>1.2</v>
      </c>
      <c r="D1279" s="45">
        <f>B1279*C1279</f>
        <v>2.52</v>
      </c>
      <c r="E1279" s="19"/>
      <c r="F1279" s="19"/>
      <c r="G1279" s="78"/>
      <c r="H1279" s="19"/>
      <c r="I1279" s="19">
        <v>1</v>
      </c>
      <c r="J1279" s="19">
        <f>A1279</f>
        <v>1</v>
      </c>
      <c r="K1279" s="19">
        <f t="shared" ref="K1279:L1279" si="777">K1272</f>
        <v>0</v>
      </c>
      <c r="L1279" s="19">
        <f t="shared" si="777"/>
        <v>1</v>
      </c>
      <c r="M1279" s="19"/>
      <c r="N1279" s="19"/>
      <c r="O1279" s="19"/>
      <c r="P1279" s="19"/>
    </row>
    <row r="1280" spans="1:16" ht="14.25" customHeight="1" x14ac:dyDescent="0.2">
      <c r="A1280" s="78"/>
      <c r="B1280" s="78"/>
      <c r="C1280" s="78"/>
      <c r="D1280" s="82">
        <f>'MASTER DATA'!C1315</f>
        <v>0</v>
      </c>
      <c r="E1280" s="19"/>
      <c r="F1280" s="19">
        <f>F1273</f>
        <v>4</v>
      </c>
      <c r="G1280" s="45"/>
      <c r="H1280" s="19">
        <f>B1279*2</f>
        <v>4.2</v>
      </c>
      <c r="I1280" s="19"/>
      <c r="J1280" s="19"/>
      <c r="K1280" s="19"/>
      <c r="L1280" s="19"/>
      <c r="M1280" s="19"/>
      <c r="N1280" s="19"/>
      <c r="O1280" s="19"/>
      <c r="P1280" s="19"/>
    </row>
    <row r="1281" spans="1:16" ht="14.25" customHeight="1" x14ac:dyDescent="0.2">
      <c r="A1281" s="78"/>
      <c r="B1281" s="78"/>
      <c r="C1281" s="78"/>
      <c r="D1281" s="45">
        <f>D1279*D1280</f>
        <v>0</v>
      </c>
      <c r="E1281" s="19"/>
      <c r="F1281" s="19">
        <f>F1278*F1280</f>
        <v>50000</v>
      </c>
      <c r="G1281" s="45"/>
      <c r="H1281" s="19">
        <f>H1278*H1280</f>
        <v>1596</v>
      </c>
      <c r="I1281" s="19">
        <f t="shared" ref="I1281:L1281" si="778">I1278*I1279</f>
        <v>1500</v>
      </c>
      <c r="J1281" s="19">
        <f t="shared" si="778"/>
        <v>1000</v>
      </c>
      <c r="K1281" s="19">
        <f t="shared" si="778"/>
        <v>0</v>
      </c>
      <c r="L1281" s="19">
        <f t="shared" si="778"/>
        <v>1500</v>
      </c>
      <c r="M1281" s="19">
        <f>SUM(D1281:L1281)</f>
        <v>55596</v>
      </c>
      <c r="N1281" s="19">
        <f>M1281/A1279</f>
        <v>55596</v>
      </c>
      <c r="O1281" s="19">
        <f>N1281*O1278</f>
        <v>111192</v>
      </c>
      <c r="P1281" s="19">
        <f>MROUND(O1281,100)</f>
        <v>111200</v>
      </c>
    </row>
    <row r="1282" spans="1:16" ht="14.25" customHeight="1" x14ac:dyDescent="0.15">
      <c r="A1282" s="115"/>
      <c r="B1282" s="87"/>
      <c r="C1282" s="87"/>
      <c r="D1282" s="75"/>
      <c r="E1282" s="30"/>
      <c r="F1282" s="75"/>
      <c r="G1282" s="75"/>
      <c r="H1282" s="30"/>
      <c r="I1282" s="30"/>
      <c r="J1282" s="30"/>
      <c r="K1282" s="30"/>
      <c r="L1282" s="30"/>
      <c r="M1282" s="30"/>
      <c r="N1282" s="30"/>
      <c r="O1282" s="30"/>
    </row>
    <row r="1283" spans="1:16" ht="14.25" customHeight="1" x14ac:dyDescent="0.15">
      <c r="A1283" s="109" t="str">
        <f>PRICELIST!I727</f>
        <v>CBLP-TB-PLM-2100x900+X</v>
      </c>
      <c r="B1283" s="87"/>
      <c r="C1283" s="87"/>
      <c r="D1283" s="30"/>
      <c r="E1283" s="30"/>
      <c r="F1283" s="30"/>
      <c r="G1283" s="30"/>
      <c r="H1283" s="21"/>
      <c r="I1283" s="21"/>
      <c r="J1283" s="21"/>
      <c r="K1283" s="21"/>
      <c r="L1283" s="21"/>
      <c r="M1283" s="21"/>
      <c r="N1283" s="21"/>
      <c r="O1283" s="21"/>
      <c r="P1283" s="21"/>
    </row>
    <row r="1284" spans="1:16" ht="14.25" customHeight="1" x14ac:dyDescent="0.2">
      <c r="A1284" s="45" t="s">
        <v>57</v>
      </c>
      <c r="B1284" s="45" t="s">
        <v>59</v>
      </c>
      <c r="C1284" s="45" t="s">
        <v>62</v>
      </c>
      <c r="D1284" s="19" t="s">
        <v>64</v>
      </c>
      <c r="E1284" s="19"/>
      <c r="F1284" s="19" t="s">
        <v>94</v>
      </c>
      <c r="G1284" s="45"/>
      <c r="H1284" s="19" t="s">
        <v>67</v>
      </c>
      <c r="I1284" s="19" t="s">
        <v>244</v>
      </c>
      <c r="J1284" s="19" t="s">
        <v>71</v>
      </c>
      <c r="K1284" s="19" t="s">
        <v>72</v>
      </c>
      <c r="L1284" s="19" t="s">
        <v>73</v>
      </c>
      <c r="M1284" s="19" t="s">
        <v>76</v>
      </c>
      <c r="N1284" s="19" t="s">
        <v>78</v>
      </c>
      <c r="O1284" s="19" t="s">
        <v>79</v>
      </c>
      <c r="P1284" s="19" t="s">
        <v>81</v>
      </c>
    </row>
    <row r="1285" spans="1:16" ht="14.25" customHeight="1" x14ac:dyDescent="0.2">
      <c r="A1285" s="75"/>
      <c r="B1285" s="75"/>
      <c r="C1285" s="76" t="s">
        <v>245</v>
      </c>
      <c r="D1285" s="21"/>
      <c r="E1285" s="21"/>
      <c r="F1285" s="23" t="str">
        <f>F1278</f>
        <v>12500</v>
      </c>
      <c r="G1285" s="77"/>
      <c r="H1285" s="21">
        <v>380</v>
      </c>
      <c r="I1285" s="23" t="str">
        <f t="shared" ref="I1285:J1285" si="779">I1278</f>
        <v>1500</v>
      </c>
      <c r="J1285" s="21">
        <f t="shared" si="779"/>
        <v>1000</v>
      </c>
      <c r="K1285" s="21">
        <v>585</v>
      </c>
      <c r="L1285" s="23" t="str">
        <f>L1278</f>
        <v>1500</v>
      </c>
      <c r="M1285" s="21"/>
      <c r="N1285" s="21"/>
      <c r="O1285" s="21">
        <f>O1278</f>
        <v>2</v>
      </c>
      <c r="P1285" s="21"/>
    </row>
    <row r="1286" spans="1:16" ht="14.25" customHeight="1" x14ac:dyDescent="0.2">
      <c r="A1286" s="45">
        <v>1</v>
      </c>
      <c r="B1286" s="45">
        <v>2.1</v>
      </c>
      <c r="C1286" s="45">
        <v>1.2</v>
      </c>
      <c r="D1286" s="19">
        <f>B1286*C1286</f>
        <v>2.52</v>
      </c>
      <c r="E1286" s="19"/>
      <c r="F1286" s="19"/>
      <c r="G1286" s="78"/>
      <c r="H1286" s="19"/>
      <c r="I1286" s="19">
        <v>1</v>
      </c>
      <c r="J1286" s="19">
        <f>A1286</f>
        <v>1</v>
      </c>
      <c r="K1286" s="19">
        <f t="shared" ref="K1286:L1286" si="780">K1279</f>
        <v>0</v>
      </c>
      <c r="L1286" s="19">
        <f t="shared" si="780"/>
        <v>1</v>
      </c>
      <c r="M1286" s="19"/>
      <c r="N1286" s="19"/>
      <c r="O1286" s="19"/>
      <c r="P1286" s="19"/>
    </row>
    <row r="1287" spans="1:16" ht="14.25" customHeight="1" x14ac:dyDescent="0.2">
      <c r="A1287" s="78"/>
      <c r="B1287" s="78"/>
      <c r="C1287" s="78"/>
      <c r="D1287" s="26" t="str">
        <f>D1238</f>
        <v>3000</v>
      </c>
      <c r="E1287" s="19"/>
      <c r="F1287" s="19">
        <f>F1280</f>
        <v>4</v>
      </c>
      <c r="G1287" s="45"/>
      <c r="H1287" s="19">
        <f>B1286*2</f>
        <v>4.2</v>
      </c>
      <c r="I1287" s="19"/>
      <c r="J1287" s="19"/>
      <c r="K1287" s="19"/>
      <c r="L1287" s="19"/>
      <c r="M1287" s="19"/>
      <c r="N1287" s="19"/>
      <c r="O1287" s="19"/>
      <c r="P1287" s="19"/>
    </row>
    <row r="1288" spans="1:16" ht="14.25" customHeight="1" x14ac:dyDescent="0.2">
      <c r="A1288" s="78"/>
      <c r="B1288" s="78"/>
      <c r="C1288" s="78"/>
      <c r="D1288" s="19">
        <f>D1286*D1287</f>
        <v>7560</v>
      </c>
      <c r="E1288" s="19"/>
      <c r="F1288" s="19">
        <f>F1285*F1287</f>
        <v>50000</v>
      </c>
      <c r="G1288" s="45"/>
      <c r="H1288" s="19">
        <f>H1285*H1287</f>
        <v>1596</v>
      </c>
      <c r="I1288" s="19">
        <f t="shared" ref="I1288:L1288" si="781">I1285*I1286</f>
        <v>1500</v>
      </c>
      <c r="J1288" s="19">
        <f t="shared" si="781"/>
        <v>1000</v>
      </c>
      <c r="K1288" s="19">
        <f t="shared" si="781"/>
        <v>0</v>
      </c>
      <c r="L1288" s="19">
        <f t="shared" si="781"/>
        <v>1500</v>
      </c>
      <c r="M1288" s="19">
        <f>SUM(D1288:L1288)</f>
        <v>63156</v>
      </c>
      <c r="N1288" s="19">
        <f>M1288/A1286</f>
        <v>63156</v>
      </c>
      <c r="O1288" s="19">
        <f>N1288*O1285</f>
        <v>126312</v>
      </c>
      <c r="P1288" s="19">
        <f>MROUND(O1288,100)</f>
        <v>126300</v>
      </c>
    </row>
    <row r="1289" spans="1:16" ht="14.25" customHeight="1" x14ac:dyDescent="0.15">
      <c r="A1289" s="115"/>
      <c r="B1289" s="87"/>
      <c r="C1289" s="87"/>
      <c r="D1289" s="30"/>
      <c r="E1289" s="30"/>
      <c r="F1289" s="30"/>
      <c r="G1289" s="75"/>
      <c r="H1289" s="30"/>
      <c r="I1289" s="30"/>
      <c r="J1289" s="30"/>
      <c r="K1289" s="30"/>
      <c r="L1289" s="30"/>
      <c r="M1289" s="30"/>
      <c r="N1289" s="30"/>
      <c r="O1289" s="30"/>
    </row>
    <row r="1290" spans="1:16" ht="14.25" customHeight="1" x14ac:dyDescent="0.15">
      <c r="A1290" s="109" t="str">
        <f>PRICELIST!I728</f>
        <v>CBLP-TB-PoLM-2100x900+X</v>
      </c>
      <c r="B1290" s="87"/>
      <c r="C1290" s="87"/>
      <c r="D1290" s="30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19"/>
    </row>
    <row r="1291" spans="1:16" ht="14.25" customHeight="1" x14ac:dyDescent="0.2">
      <c r="A1291" s="45" t="s">
        <v>57</v>
      </c>
      <c r="B1291" s="45" t="s">
        <v>59</v>
      </c>
      <c r="C1291" s="45" t="s">
        <v>62</v>
      </c>
      <c r="D1291" s="19" t="s">
        <v>64</v>
      </c>
      <c r="E1291" s="19"/>
      <c r="F1291" s="19" t="s">
        <v>94</v>
      </c>
      <c r="G1291" s="45"/>
      <c r="H1291" s="19" t="s">
        <v>67</v>
      </c>
      <c r="I1291" s="19" t="s">
        <v>244</v>
      </c>
      <c r="J1291" s="19" t="s">
        <v>71</v>
      </c>
      <c r="K1291" s="19" t="s">
        <v>72</v>
      </c>
      <c r="L1291" s="19" t="s">
        <v>73</v>
      </c>
      <c r="M1291" s="19" t="s">
        <v>76</v>
      </c>
      <c r="N1291" s="19" t="s">
        <v>78</v>
      </c>
      <c r="O1291" s="19" t="s">
        <v>79</v>
      </c>
      <c r="P1291" s="19" t="s">
        <v>81</v>
      </c>
    </row>
    <row r="1292" spans="1:16" ht="14.25" customHeight="1" x14ac:dyDescent="0.2">
      <c r="A1292" s="75"/>
      <c r="B1292" s="75"/>
      <c r="C1292" s="76" t="s">
        <v>245</v>
      </c>
      <c r="D1292" s="21"/>
      <c r="E1292" s="21"/>
      <c r="F1292" s="23" t="str">
        <f>F1285</f>
        <v>12500</v>
      </c>
      <c r="G1292" s="77"/>
      <c r="H1292" s="21">
        <v>380</v>
      </c>
      <c r="I1292" s="23" t="str">
        <f t="shared" ref="I1292:J1292" si="782">I1285</f>
        <v>1500</v>
      </c>
      <c r="J1292" s="21">
        <f t="shared" si="782"/>
        <v>1000</v>
      </c>
      <c r="K1292" s="21">
        <v>585</v>
      </c>
      <c r="L1292" s="23" t="str">
        <f>L1285</f>
        <v>1500</v>
      </c>
      <c r="M1292" s="21"/>
      <c r="N1292" s="21"/>
      <c r="O1292" s="21">
        <f>O1285</f>
        <v>2</v>
      </c>
      <c r="P1292" s="21"/>
    </row>
    <row r="1293" spans="1:16" ht="14.25" customHeight="1" x14ac:dyDescent="0.2">
      <c r="A1293" s="45">
        <v>1</v>
      </c>
      <c r="B1293" s="45">
        <v>2.1</v>
      </c>
      <c r="C1293" s="45">
        <v>1.2</v>
      </c>
      <c r="D1293" s="19">
        <f>B1293*C1293</f>
        <v>2.52</v>
      </c>
      <c r="E1293" s="19"/>
      <c r="F1293" s="19"/>
      <c r="G1293" s="78"/>
      <c r="H1293" s="19"/>
      <c r="I1293" s="19">
        <v>1</v>
      </c>
      <c r="J1293" s="19">
        <f>A1293</f>
        <v>1</v>
      </c>
      <c r="K1293" s="19">
        <f t="shared" ref="K1293:L1293" si="783">K1286</f>
        <v>0</v>
      </c>
      <c r="L1293" s="19">
        <f t="shared" si="783"/>
        <v>1</v>
      </c>
      <c r="M1293" s="19"/>
      <c r="N1293" s="19"/>
      <c r="O1293" s="19"/>
      <c r="P1293" s="19"/>
    </row>
    <row r="1294" spans="1:16" ht="14.25" customHeight="1" x14ac:dyDescent="0.2">
      <c r="A1294" s="78"/>
      <c r="B1294" s="78"/>
      <c r="C1294" s="78"/>
      <c r="D1294" s="26" t="str">
        <f>D1245</f>
        <v>7500</v>
      </c>
      <c r="E1294" s="19"/>
      <c r="F1294" s="19">
        <f>F1287</f>
        <v>4</v>
      </c>
      <c r="G1294" s="45"/>
      <c r="H1294" s="19">
        <f>B1293*2</f>
        <v>4.2</v>
      </c>
      <c r="I1294" s="19"/>
      <c r="J1294" s="19"/>
      <c r="K1294" s="19"/>
      <c r="L1294" s="19"/>
      <c r="M1294" s="19"/>
      <c r="N1294" s="19"/>
      <c r="O1294" s="19"/>
      <c r="P1294" s="19"/>
    </row>
    <row r="1295" spans="1:16" ht="14.25" customHeight="1" x14ac:dyDescent="0.2">
      <c r="A1295" s="78"/>
      <c r="B1295" s="78"/>
      <c r="C1295" s="78"/>
      <c r="D1295" s="19">
        <f>D1293*D1294</f>
        <v>18900</v>
      </c>
      <c r="E1295" s="19"/>
      <c r="F1295" s="19">
        <f>F1292*F1294</f>
        <v>50000</v>
      </c>
      <c r="G1295" s="45"/>
      <c r="H1295" s="19">
        <f>H1292*H1294</f>
        <v>1596</v>
      </c>
      <c r="I1295" s="19">
        <f t="shared" ref="I1295:L1295" si="784">I1292*I1293</f>
        <v>1500</v>
      </c>
      <c r="J1295" s="19">
        <f t="shared" si="784"/>
        <v>1000</v>
      </c>
      <c r="K1295" s="19">
        <f t="shared" si="784"/>
        <v>0</v>
      </c>
      <c r="L1295" s="19">
        <f t="shared" si="784"/>
        <v>1500</v>
      </c>
      <c r="M1295" s="19">
        <f>SUM(D1295:L1295)</f>
        <v>74496</v>
      </c>
      <c r="N1295" s="19">
        <f>M1295/A1293</f>
        <v>74496</v>
      </c>
      <c r="O1295" s="19">
        <f>N1295*O1292</f>
        <v>148992</v>
      </c>
      <c r="P1295" s="19">
        <f>MROUND(O1295,100)</f>
        <v>149000</v>
      </c>
    </row>
    <row r="1296" spans="1:16" ht="14.25" customHeight="1" x14ac:dyDescent="0.15">
      <c r="A1296" s="115"/>
      <c r="B1296" s="87"/>
      <c r="C1296" s="87"/>
      <c r="D1296" s="30"/>
      <c r="E1296" s="30"/>
      <c r="F1296" s="30"/>
      <c r="G1296" s="75"/>
      <c r="H1296" s="30"/>
      <c r="I1296" s="30"/>
      <c r="J1296" s="30"/>
      <c r="K1296" s="30"/>
      <c r="L1296" s="30"/>
      <c r="M1296" s="30"/>
      <c r="N1296" s="30"/>
      <c r="O1296" s="30"/>
    </row>
    <row r="1297" spans="1:16" ht="14.25" customHeight="1" x14ac:dyDescent="0.15">
      <c r="A1297" s="109" t="str">
        <f>PRICELIST!I729</f>
        <v>CBLP-TB-LVM-2100x900+X</v>
      </c>
      <c r="B1297" s="87"/>
      <c r="C1297" s="87"/>
      <c r="D1297" s="19"/>
      <c r="E1297" s="21"/>
      <c r="F1297" s="21"/>
      <c r="G1297" s="21"/>
      <c r="H1297" s="19"/>
      <c r="I1297" s="19"/>
      <c r="J1297" s="19"/>
      <c r="K1297" s="19"/>
      <c r="L1297" s="19"/>
      <c r="M1297" s="19"/>
      <c r="N1297" s="19"/>
      <c r="O1297" s="19"/>
      <c r="P1297" s="19"/>
    </row>
    <row r="1298" spans="1:16" ht="14.25" customHeight="1" x14ac:dyDescent="0.2">
      <c r="A1298" s="45" t="s">
        <v>57</v>
      </c>
      <c r="B1298" s="45" t="s">
        <v>59</v>
      </c>
      <c r="C1298" s="45" t="s">
        <v>62</v>
      </c>
      <c r="D1298" s="19" t="s">
        <v>64</v>
      </c>
      <c r="E1298" s="19"/>
      <c r="F1298" s="19" t="s">
        <v>94</v>
      </c>
      <c r="G1298" s="45"/>
      <c r="H1298" s="19" t="s">
        <v>67</v>
      </c>
      <c r="I1298" s="19" t="s">
        <v>244</v>
      </c>
      <c r="J1298" s="19" t="s">
        <v>71</v>
      </c>
      <c r="K1298" s="19" t="s">
        <v>72</v>
      </c>
      <c r="L1298" s="19" t="s">
        <v>73</v>
      </c>
      <c r="M1298" s="19" t="s">
        <v>76</v>
      </c>
      <c r="N1298" s="19" t="s">
        <v>78</v>
      </c>
      <c r="O1298" s="19" t="s">
        <v>79</v>
      </c>
      <c r="P1298" s="19" t="s">
        <v>81</v>
      </c>
    </row>
    <row r="1299" spans="1:16" ht="14.25" customHeight="1" x14ac:dyDescent="0.2">
      <c r="A1299" s="75"/>
      <c r="B1299" s="75"/>
      <c r="C1299" s="76" t="s">
        <v>245</v>
      </c>
      <c r="D1299" s="21"/>
      <c r="E1299" s="21"/>
      <c r="F1299" s="23" t="str">
        <f>F1292</f>
        <v>12500</v>
      </c>
      <c r="G1299" s="77"/>
      <c r="H1299" s="21">
        <v>380</v>
      </c>
      <c r="I1299" s="23" t="str">
        <f t="shared" ref="I1299:J1299" si="785">I1292</f>
        <v>1500</v>
      </c>
      <c r="J1299" s="21">
        <f t="shared" si="785"/>
        <v>1000</v>
      </c>
      <c r="K1299" s="21">
        <v>585</v>
      </c>
      <c r="L1299" s="23" t="str">
        <f>L1292</f>
        <v>1500</v>
      </c>
      <c r="M1299" s="21"/>
      <c r="N1299" s="21"/>
      <c r="O1299" s="21">
        <f>O1292</f>
        <v>2</v>
      </c>
      <c r="P1299" s="21"/>
    </row>
    <row r="1300" spans="1:16" ht="14.25" customHeight="1" x14ac:dyDescent="0.2">
      <c r="A1300" s="45">
        <v>1</v>
      </c>
      <c r="B1300" s="45">
        <v>2.1</v>
      </c>
      <c r="C1300" s="45">
        <v>1.2</v>
      </c>
      <c r="D1300" s="19">
        <f>B1300*C1300</f>
        <v>2.52</v>
      </c>
      <c r="E1300" s="19"/>
      <c r="F1300" s="19"/>
      <c r="G1300" s="78"/>
      <c r="H1300" s="19"/>
      <c r="I1300" s="19">
        <v>1</v>
      </c>
      <c r="J1300" s="19">
        <f>A1300</f>
        <v>1</v>
      </c>
      <c r="K1300" s="19">
        <f t="shared" ref="K1300:L1300" si="786">K1293</f>
        <v>0</v>
      </c>
      <c r="L1300" s="19">
        <f t="shared" si="786"/>
        <v>1</v>
      </c>
      <c r="M1300" s="19"/>
      <c r="N1300" s="19"/>
      <c r="O1300" s="19"/>
      <c r="P1300" s="19"/>
    </row>
    <row r="1301" spans="1:16" ht="14.25" customHeight="1" x14ac:dyDescent="0.2">
      <c r="A1301" s="78"/>
      <c r="B1301" s="78"/>
      <c r="C1301" s="78"/>
      <c r="D1301" s="26" t="str">
        <f>D1252</f>
        <v>9500</v>
      </c>
      <c r="E1301" s="19"/>
      <c r="F1301" s="19">
        <f>F1294</f>
        <v>4</v>
      </c>
      <c r="G1301" s="45"/>
      <c r="H1301" s="19">
        <f>B1300*2</f>
        <v>4.2</v>
      </c>
      <c r="I1301" s="19"/>
      <c r="J1301" s="19"/>
      <c r="K1301" s="19"/>
      <c r="L1301" s="19"/>
      <c r="M1301" s="19"/>
      <c r="N1301" s="19"/>
      <c r="O1301" s="19"/>
      <c r="P1301" s="19"/>
    </row>
    <row r="1302" spans="1:16" ht="14.25" customHeight="1" x14ac:dyDescent="0.2">
      <c r="A1302" s="78"/>
      <c r="B1302" s="78"/>
      <c r="C1302" s="78"/>
      <c r="D1302" s="19">
        <f>D1300*D1301</f>
        <v>23940</v>
      </c>
      <c r="E1302" s="19"/>
      <c r="F1302" s="19">
        <f>F1299*F1301</f>
        <v>50000</v>
      </c>
      <c r="G1302" s="45"/>
      <c r="H1302" s="19">
        <f>H1299*H1301</f>
        <v>1596</v>
      </c>
      <c r="I1302" s="19">
        <f t="shared" ref="I1302:L1302" si="787">I1299*I1300</f>
        <v>1500</v>
      </c>
      <c r="J1302" s="19">
        <f t="shared" si="787"/>
        <v>1000</v>
      </c>
      <c r="K1302" s="19">
        <f t="shared" si="787"/>
        <v>0</v>
      </c>
      <c r="L1302" s="19">
        <f t="shared" si="787"/>
        <v>1500</v>
      </c>
      <c r="M1302" s="19">
        <f>SUM(D1302:L1302)</f>
        <v>79536</v>
      </c>
      <c r="N1302" s="19">
        <f>M1302/A1300</f>
        <v>79536</v>
      </c>
      <c r="O1302" s="19">
        <f>N1302*O1299</f>
        <v>159072</v>
      </c>
      <c r="P1302" s="19">
        <f>MROUND(O1302,100)</f>
        <v>159100</v>
      </c>
    </row>
    <row r="1303" spans="1:16" ht="14.25" customHeight="1" x14ac:dyDescent="0.15">
      <c r="A1303" s="115"/>
      <c r="B1303" s="87"/>
      <c r="C1303" s="87"/>
      <c r="D1303" s="30"/>
      <c r="E1303" s="30"/>
      <c r="F1303" s="30"/>
      <c r="G1303" s="75"/>
      <c r="H1303" s="30"/>
      <c r="I1303" s="30"/>
      <c r="J1303" s="30"/>
      <c r="K1303" s="30"/>
      <c r="L1303" s="30"/>
      <c r="M1303" s="30"/>
      <c r="N1303" s="30"/>
      <c r="O1303" s="30"/>
    </row>
    <row r="1304" spans="1:16" ht="14.25" customHeight="1" x14ac:dyDescent="0.15">
      <c r="A1304" s="109" t="str">
        <f>PRICELIST!I730</f>
        <v>CBLP-TB-LVP-2100x900+X</v>
      </c>
      <c r="B1304" s="87"/>
      <c r="C1304" s="87"/>
      <c r="D1304" s="21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19"/>
    </row>
    <row r="1305" spans="1:16" ht="14.25" customHeight="1" x14ac:dyDescent="0.2">
      <c r="A1305" s="45" t="s">
        <v>57</v>
      </c>
      <c r="B1305" s="45" t="s">
        <v>59</v>
      </c>
      <c r="C1305" s="45" t="s">
        <v>62</v>
      </c>
      <c r="D1305" s="19" t="s">
        <v>64</v>
      </c>
      <c r="E1305" s="19"/>
      <c r="F1305" s="19" t="s">
        <v>94</v>
      </c>
      <c r="G1305" s="45"/>
      <c r="H1305" s="19" t="s">
        <v>67</v>
      </c>
      <c r="I1305" s="19" t="s">
        <v>244</v>
      </c>
      <c r="J1305" s="19" t="s">
        <v>71</v>
      </c>
      <c r="K1305" s="19" t="s">
        <v>72</v>
      </c>
      <c r="L1305" s="19" t="s">
        <v>73</v>
      </c>
      <c r="M1305" s="19" t="s">
        <v>76</v>
      </c>
      <c r="N1305" s="19" t="s">
        <v>78</v>
      </c>
      <c r="O1305" s="19" t="s">
        <v>79</v>
      </c>
      <c r="P1305" s="19" t="s">
        <v>81</v>
      </c>
    </row>
    <row r="1306" spans="1:16" ht="14.25" customHeight="1" x14ac:dyDescent="0.2">
      <c r="A1306" s="75"/>
      <c r="B1306" s="75"/>
      <c r="C1306" s="76" t="s">
        <v>245</v>
      </c>
      <c r="D1306" s="21"/>
      <c r="E1306" s="21"/>
      <c r="F1306" s="23" t="str">
        <f>F1299</f>
        <v>12500</v>
      </c>
      <c r="G1306" s="77"/>
      <c r="H1306" s="21">
        <v>380</v>
      </c>
      <c r="I1306" s="23" t="str">
        <f t="shared" ref="I1306:J1306" si="788">I1299</f>
        <v>1500</v>
      </c>
      <c r="J1306" s="21">
        <f t="shared" si="788"/>
        <v>1000</v>
      </c>
      <c r="K1306" s="21">
        <v>585</v>
      </c>
      <c r="L1306" s="23" t="str">
        <f>L1299</f>
        <v>1500</v>
      </c>
      <c r="M1306" s="21"/>
      <c r="N1306" s="21"/>
      <c r="O1306" s="21">
        <f>O1299</f>
        <v>2</v>
      </c>
      <c r="P1306" s="21"/>
    </row>
    <row r="1307" spans="1:16" ht="14.25" customHeight="1" x14ac:dyDescent="0.2">
      <c r="A1307" s="45">
        <v>1</v>
      </c>
      <c r="B1307" s="45">
        <v>2.1</v>
      </c>
      <c r="C1307" s="45">
        <v>1.2</v>
      </c>
      <c r="D1307" s="19">
        <f>B1307*C1307</f>
        <v>2.52</v>
      </c>
      <c r="E1307" s="19"/>
      <c r="F1307" s="19"/>
      <c r="G1307" s="78"/>
      <c r="H1307" s="19"/>
      <c r="I1307" s="19">
        <v>1</v>
      </c>
      <c r="J1307" s="19">
        <f>A1307</f>
        <v>1</v>
      </c>
      <c r="K1307" s="19">
        <f t="shared" ref="K1307:L1307" si="789">K1300</f>
        <v>0</v>
      </c>
      <c r="L1307" s="19">
        <f t="shared" si="789"/>
        <v>1</v>
      </c>
      <c r="M1307" s="19"/>
      <c r="N1307" s="19"/>
      <c r="O1307" s="19"/>
      <c r="P1307" s="19"/>
    </row>
    <row r="1308" spans="1:16" ht="14.25" customHeight="1" x14ac:dyDescent="0.2">
      <c r="A1308" s="78"/>
      <c r="B1308" s="78"/>
      <c r="C1308" s="78"/>
      <c r="D1308" s="26" t="str">
        <f>D1259</f>
        <v>10500</v>
      </c>
      <c r="E1308" s="19"/>
      <c r="F1308" s="19">
        <f>F1301</f>
        <v>4</v>
      </c>
      <c r="G1308" s="45"/>
      <c r="H1308" s="19">
        <f>B1307*2</f>
        <v>4.2</v>
      </c>
      <c r="I1308" s="19"/>
      <c r="J1308" s="19"/>
      <c r="K1308" s="19"/>
      <c r="L1308" s="19"/>
      <c r="M1308" s="19"/>
      <c r="N1308" s="19"/>
      <c r="O1308" s="19"/>
      <c r="P1308" s="19"/>
    </row>
    <row r="1309" spans="1:16" ht="14.25" customHeight="1" x14ac:dyDescent="0.2">
      <c r="A1309" s="78"/>
      <c r="B1309" s="78"/>
      <c r="C1309" s="78"/>
      <c r="D1309" s="19">
        <f>D1307*D1308</f>
        <v>26460</v>
      </c>
      <c r="E1309" s="19"/>
      <c r="F1309" s="19">
        <f>F1306*F1308</f>
        <v>50000</v>
      </c>
      <c r="G1309" s="45"/>
      <c r="H1309" s="19">
        <f>H1306*H1308</f>
        <v>1596</v>
      </c>
      <c r="I1309" s="19">
        <f t="shared" ref="I1309:L1309" si="790">I1306*I1307</f>
        <v>1500</v>
      </c>
      <c r="J1309" s="19">
        <f t="shared" si="790"/>
        <v>1000</v>
      </c>
      <c r="K1309" s="19">
        <f t="shared" si="790"/>
        <v>0</v>
      </c>
      <c r="L1309" s="19">
        <f t="shared" si="790"/>
        <v>1500</v>
      </c>
      <c r="M1309" s="19">
        <f>SUM(D1309:L1309)</f>
        <v>82056</v>
      </c>
      <c r="N1309" s="19">
        <f>M1309/A1307</f>
        <v>82056</v>
      </c>
      <c r="O1309" s="19">
        <f>N1309*O1306</f>
        <v>164112</v>
      </c>
      <c r="P1309" s="19">
        <f>MROUND(O1309,100)</f>
        <v>164100</v>
      </c>
    </row>
    <row r="1310" spans="1:16" ht="14.25" customHeight="1" x14ac:dyDescent="0.15">
      <c r="A1310" s="115"/>
      <c r="B1310" s="87"/>
      <c r="C1310" s="87"/>
      <c r="D1310" s="30"/>
      <c r="E1310" s="30"/>
      <c r="F1310" s="75"/>
      <c r="G1310" s="75"/>
      <c r="H1310" s="30"/>
      <c r="I1310" s="30"/>
      <c r="J1310" s="30"/>
      <c r="K1310" s="30"/>
      <c r="L1310" s="30"/>
      <c r="M1310" s="30"/>
      <c r="N1310" s="30"/>
      <c r="O1310" s="30"/>
    </row>
    <row r="1311" spans="1:16" ht="14.25" customHeight="1" x14ac:dyDescent="0.15">
      <c r="A1311" s="109" t="str">
        <f>PRICELIST!I731</f>
        <v>CBLP-TB-VNR-2100x900+X</v>
      </c>
      <c r="B1311" s="87"/>
      <c r="C1311" s="87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</row>
    <row r="1312" spans="1:16" ht="14.25" customHeight="1" x14ac:dyDescent="0.2">
      <c r="A1312" s="45" t="s">
        <v>57</v>
      </c>
      <c r="B1312" s="45" t="s">
        <v>59</v>
      </c>
      <c r="C1312" s="45" t="s">
        <v>62</v>
      </c>
      <c r="D1312" s="19" t="s">
        <v>64</v>
      </c>
      <c r="E1312" s="19"/>
      <c r="F1312" s="19" t="s">
        <v>94</v>
      </c>
      <c r="G1312" s="45"/>
      <c r="H1312" s="19" t="s">
        <v>67</v>
      </c>
      <c r="I1312" s="19" t="s">
        <v>244</v>
      </c>
      <c r="J1312" s="19" t="s">
        <v>71</v>
      </c>
      <c r="K1312" s="19" t="s">
        <v>72</v>
      </c>
      <c r="L1312" s="19" t="s">
        <v>73</v>
      </c>
      <c r="M1312" s="19" t="s">
        <v>76</v>
      </c>
      <c r="N1312" s="19" t="s">
        <v>78</v>
      </c>
      <c r="O1312" s="19" t="s">
        <v>79</v>
      </c>
      <c r="P1312" s="19" t="s">
        <v>81</v>
      </c>
    </row>
    <row r="1313" spans="1:16" ht="14.25" customHeight="1" x14ac:dyDescent="0.2">
      <c r="A1313" s="75"/>
      <c r="B1313" s="75"/>
      <c r="C1313" s="76" t="s">
        <v>245</v>
      </c>
      <c r="D1313" s="21"/>
      <c r="E1313" s="21"/>
      <c r="F1313" s="23" t="str">
        <f>F1306</f>
        <v>12500</v>
      </c>
      <c r="G1313" s="77"/>
      <c r="H1313" s="21">
        <v>380</v>
      </c>
      <c r="I1313" s="23" t="str">
        <f t="shared" ref="I1313:J1313" si="791">I1306</f>
        <v>1500</v>
      </c>
      <c r="J1313" s="21">
        <f t="shared" si="791"/>
        <v>1000</v>
      </c>
      <c r="K1313" s="21">
        <v>585</v>
      </c>
      <c r="L1313" s="23" t="str">
        <f>L1306</f>
        <v>1500</v>
      </c>
      <c r="M1313" s="21"/>
      <c r="N1313" s="21"/>
      <c r="O1313" s="21">
        <f>O1306</f>
        <v>2</v>
      </c>
      <c r="P1313" s="21"/>
    </row>
    <row r="1314" spans="1:16" ht="14.25" customHeight="1" x14ac:dyDescent="0.2">
      <c r="A1314" s="45">
        <v>1</v>
      </c>
      <c r="B1314" s="45">
        <v>2.1</v>
      </c>
      <c r="C1314" s="45">
        <v>1.2</v>
      </c>
      <c r="D1314" s="19">
        <f>B1314*C1314</f>
        <v>2.52</v>
      </c>
      <c r="E1314" s="19"/>
      <c r="F1314" s="19"/>
      <c r="G1314" s="78"/>
      <c r="H1314" s="19"/>
      <c r="I1314" s="19">
        <v>1</v>
      </c>
      <c r="J1314" s="19">
        <f>A1314</f>
        <v>1</v>
      </c>
      <c r="K1314" s="19">
        <f t="shared" ref="K1314:L1314" si="792">K1307</f>
        <v>0</v>
      </c>
      <c r="L1314" s="19">
        <f t="shared" si="792"/>
        <v>1</v>
      </c>
      <c r="M1314" s="19"/>
      <c r="N1314" s="19"/>
      <c r="O1314" s="19"/>
      <c r="P1314" s="19"/>
    </row>
    <row r="1315" spans="1:16" ht="14.25" customHeight="1" x14ac:dyDescent="0.2">
      <c r="A1315" s="78"/>
      <c r="B1315" s="78"/>
      <c r="C1315" s="78"/>
      <c r="D1315" s="26" t="str">
        <f>D1266</f>
        <v>30000</v>
      </c>
      <c r="E1315" s="19"/>
      <c r="F1315" s="19">
        <f>F1308</f>
        <v>4</v>
      </c>
      <c r="G1315" s="45"/>
      <c r="H1315" s="19">
        <f>B1314*2</f>
        <v>4.2</v>
      </c>
      <c r="I1315" s="19"/>
      <c r="J1315" s="19"/>
      <c r="K1315" s="19"/>
      <c r="L1315" s="19"/>
      <c r="M1315" s="19"/>
      <c r="N1315" s="19"/>
      <c r="O1315" s="19"/>
      <c r="P1315" s="19"/>
    </row>
    <row r="1316" spans="1:16" ht="14.25" customHeight="1" x14ac:dyDescent="0.2">
      <c r="A1316" s="78"/>
      <c r="B1316" s="78"/>
      <c r="C1316" s="78"/>
      <c r="D1316" s="19">
        <f>D1314*D1315</f>
        <v>75600</v>
      </c>
      <c r="E1316" s="19"/>
      <c r="F1316" s="19">
        <f>F1313*F1315</f>
        <v>50000</v>
      </c>
      <c r="G1316" s="45"/>
      <c r="H1316" s="19">
        <f>H1313*H1315</f>
        <v>1596</v>
      </c>
      <c r="I1316" s="19">
        <f t="shared" ref="I1316:L1316" si="793">I1313*I1314</f>
        <v>1500</v>
      </c>
      <c r="J1316" s="19">
        <f t="shared" si="793"/>
        <v>1000</v>
      </c>
      <c r="K1316" s="19">
        <f t="shared" si="793"/>
        <v>0</v>
      </c>
      <c r="L1316" s="19">
        <f t="shared" si="793"/>
        <v>1500</v>
      </c>
      <c r="M1316" s="19">
        <f>SUM(D1316:L1316)</f>
        <v>131196</v>
      </c>
      <c r="N1316" s="19">
        <f>M1316/A1314</f>
        <v>131196</v>
      </c>
      <c r="O1316" s="19">
        <f>N1316*O1313</f>
        <v>262392</v>
      </c>
      <c r="P1316" s="19">
        <f>MROUND(O1316,100)</f>
        <v>262400</v>
      </c>
    </row>
    <row r="1317" spans="1:16" ht="14.25" customHeight="1" x14ac:dyDescent="0.15">
      <c r="A1317" s="115"/>
      <c r="B1317" s="87"/>
      <c r="C1317" s="87"/>
      <c r="D1317" s="30"/>
      <c r="E1317" s="30"/>
      <c r="F1317" s="30"/>
      <c r="G1317" s="75"/>
      <c r="H1317" s="30"/>
      <c r="I1317" s="30"/>
      <c r="J1317" s="30"/>
      <c r="K1317" s="30"/>
      <c r="L1317" s="30"/>
      <c r="M1317" s="30"/>
      <c r="N1317" s="30"/>
      <c r="O1317" s="30"/>
    </row>
    <row r="1318" spans="1:16" ht="14.25" customHeight="1" x14ac:dyDescent="0.15">
      <c r="A1318" s="109" t="str">
        <f>PRICELIST!I732</f>
        <v>CBLP-TB-GL-2100x900+X</v>
      </c>
      <c r="B1318" s="87"/>
      <c r="C1318" s="87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19"/>
    </row>
    <row r="1319" spans="1:16" ht="14.25" customHeight="1" x14ac:dyDescent="0.15">
      <c r="A1319" s="19" t="s">
        <v>57</v>
      </c>
      <c r="B1319" s="19" t="s">
        <v>59</v>
      </c>
      <c r="C1319" s="19" t="s">
        <v>62</v>
      </c>
      <c r="D1319" s="19" t="s">
        <v>64</v>
      </c>
      <c r="E1319" s="19"/>
      <c r="F1319" s="19" t="s">
        <v>94</v>
      </c>
      <c r="G1319" s="19"/>
      <c r="H1319" s="19" t="s">
        <v>67</v>
      </c>
      <c r="I1319" s="19" t="s">
        <v>244</v>
      </c>
      <c r="J1319" s="19" t="s">
        <v>71</v>
      </c>
      <c r="K1319" s="19" t="s">
        <v>72</v>
      </c>
      <c r="L1319" s="19" t="s">
        <v>73</v>
      </c>
      <c r="M1319" s="19" t="s">
        <v>76</v>
      </c>
      <c r="N1319" s="19" t="s">
        <v>78</v>
      </c>
      <c r="O1319" s="19" t="s">
        <v>79</v>
      </c>
      <c r="P1319" s="19" t="s">
        <v>81</v>
      </c>
    </row>
    <row r="1320" spans="1:16" ht="14.25" customHeight="1" x14ac:dyDescent="0.15">
      <c r="A1320" s="21"/>
      <c r="B1320" s="21"/>
      <c r="C1320" s="44" t="s">
        <v>245</v>
      </c>
      <c r="D1320" s="21"/>
      <c r="E1320" s="21"/>
      <c r="F1320" s="23" t="str">
        <f>F1313</f>
        <v>12500</v>
      </c>
      <c r="G1320" s="21"/>
      <c r="H1320" s="21">
        <v>380</v>
      </c>
      <c r="I1320" s="23" t="str">
        <f t="shared" ref="I1320:J1320" si="794">I1313</f>
        <v>1500</v>
      </c>
      <c r="J1320" s="21">
        <f t="shared" si="794"/>
        <v>1000</v>
      </c>
      <c r="K1320" s="21">
        <v>585</v>
      </c>
      <c r="L1320" s="23" t="str">
        <f>L1313</f>
        <v>1500</v>
      </c>
      <c r="M1320" s="21"/>
      <c r="N1320" s="21"/>
      <c r="O1320" s="21">
        <f>O1313</f>
        <v>2</v>
      </c>
      <c r="P1320" s="21"/>
    </row>
    <row r="1321" spans="1:16" ht="14.25" customHeight="1" x14ac:dyDescent="0.2">
      <c r="A1321" s="19">
        <v>1</v>
      </c>
      <c r="B1321" s="45">
        <v>2.1</v>
      </c>
      <c r="C1321" s="45">
        <v>1.2</v>
      </c>
      <c r="D1321" s="19">
        <f>B1321*C1321</f>
        <v>2.52</v>
      </c>
      <c r="E1321" s="19"/>
      <c r="F1321" s="19"/>
      <c r="G1321" s="19"/>
      <c r="H1321" s="19"/>
      <c r="I1321" s="19">
        <v>1</v>
      </c>
      <c r="J1321" s="19">
        <f>A1321</f>
        <v>1</v>
      </c>
      <c r="K1321" s="19">
        <f t="shared" ref="K1321:L1321" si="795">K1314</f>
        <v>0</v>
      </c>
      <c r="L1321" s="19">
        <f t="shared" si="795"/>
        <v>1</v>
      </c>
      <c r="M1321" s="19"/>
      <c r="N1321" s="19"/>
      <c r="O1321" s="19"/>
      <c r="P1321" s="19"/>
    </row>
    <row r="1322" spans="1:16" ht="14.25" customHeight="1" x14ac:dyDescent="0.15">
      <c r="A1322" s="19"/>
      <c r="B1322" s="19"/>
      <c r="C1322" s="19"/>
      <c r="D1322" s="26" t="str">
        <f>D1273</f>
        <v>7500</v>
      </c>
      <c r="E1322" s="19"/>
      <c r="F1322" s="19">
        <f>F1315</f>
        <v>4</v>
      </c>
      <c r="G1322" s="19"/>
      <c r="H1322" s="19">
        <f>B1321*2</f>
        <v>4.2</v>
      </c>
      <c r="I1322" s="19"/>
      <c r="J1322" s="19"/>
      <c r="K1322" s="19"/>
      <c r="L1322" s="19"/>
      <c r="M1322" s="19"/>
      <c r="N1322" s="19"/>
      <c r="O1322" s="19"/>
      <c r="P1322" s="19"/>
    </row>
    <row r="1323" spans="1:16" ht="14.25" customHeight="1" x14ac:dyDescent="0.15">
      <c r="A1323" s="19"/>
      <c r="B1323" s="19"/>
      <c r="C1323" s="19"/>
      <c r="D1323" s="19">
        <f>D1321*D1322</f>
        <v>18900</v>
      </c>
      <c r="E1323" s="19"/>
      <c r="F1323" s="19">
        <f>F1320*F1322</f>
        <v>50000</v>
      </c>
      <c r="G1323" s="19"/>
      <c r="H1323" s="19">
        <f>H1320*H1322</f>
        <v>1596</v>
      </c>
      <c r="I1323" s="19">
        <f t="shared" ref="I1323:L1323" si="796">I1320*I1321</f>
        <v>1500</v>
      </c>
      <c r="J1323" s="19">
        <f t="shared" si="796"/>
        <v>1000</v>
      </c>
      <c r="K1323" s="19">
        <f t="shared" si="796"/>
        <v>0</v>
      </c>
      <c r="L1323" s="19">
        <f t="shared" si="796"/>
        <v>1500</v>
      </c>
      <c r="M1323" s="19">
        <f>SUM(D1323:L1323)</f>
        <v>74496</v>
      </c>
      <c r="N1323" s="19">
        <f>M1323/A1321</f>
        <v>74496</v>
      </c>
      <c r="O1323" s="19">
        <f>N1323*O1320</f>
        <v>148992</v>
      </c>
      <c r="P1323" s="19">
        <f>MROUND(O1323,100)</f>
        <v>149000</v>
      </c>
    </row>
  </sheetData>
  <mergeCells count="377">
    <mergeCell ref="A1171:C1171"/>
    <mergeCell ref="A1142:C1142"/>
    <mergeCell ref="A1143:C1143"/>
    <mergeCell ref="A1149:C1149"/>
    <mergeCell ref="A1150:C1150"/>
    <mergeCell ref="A1156:C1156"/>
    <mergeCell ref="A1157:C1157"/>
    <mergeCell ref="A1163:C1163"/>
    <mergeCell ref="A1164:C1164"/>
    <mergeCell ref="A1170:C1170"/>
    <mergeCell ref="A933:C933"/>
    <mergeCell ref="A939:C939"/>
    <mergeCell ref="A940:C940"/>
    <mergeCell ref="A946:C946"/>
    <mergeCell ref="A947:C947"/>
    <mergeCell ref="A1128:C1128"/>
    <mergeCell ref="A1129:C1129"/>
    <mergeCell ref="A1135:C1135"/>
    <mergeCell ref="A1136:C1136"/>
    <mergeCell ref="A904:C904"/>
    <mergeCell ref="A905:C905"/>
    <mergeCell ref="A911:C911"/>
    <mergeCell ref="A912:C912"/>
    <mergeCell ref="A918:C918"/>
    <mergeCell ref="A919:C919"/>
    <mergeCell ref="A925:C925"/>
    <mergeCell ref="A926:C926"/>
    <mergeCell ref="A932:C932"/>
    <mergeCell ref="A814:C814"/>
    <mergeCell ref="A820:C820"/>
    <mergeCell ref="A821:C821"/>
    <mergeCell ref="A827:C827"/>
    <mergeCell ref="A828:C828"/>
    <mergeCell ref="A834:C834"/>
    <mergeCell ref="A835:C835"/>
    <mergeCell ref="A841:C841"/>
    <mergeCell ref="A842:C842"/>
    <mergeCell ref="A785:C785"/>
    <mergeCell ref="A786:C786"/>
    <mergeCell ref="A792:C792"/>
    <mergeCell ref="A793:C793"/>
    <mergeCell ref="A799:C799"/>
    <mergeCell ref="A800:C800"/>
    <mergeCell ref="A806:C806"/>
    <mergeCell ref="A807:C807"/>
    <mergeCell ref="A813:C813"/>
    <mergeCell ref="A751:C751"/>
    <mergeCell ref="A757:C757"/>
    <mergeCell ref="A758:C758"/>
    <mergeCell ref="A764:C764"/>
    <mergeCell ref="A765:C765"/>
    <mergeCell ref="A771:C771"/>
    <mergeCell ref="A772:C772"/>
    <mergeCell ref="A778:C778"/>
    <mergeCell ref="A779:C779"/>
    <mergeCell ref="A722:C722"/>
    <mergeCell ref="A723:C723"/>
    <mergeCell ref="A729:C729"/>
    <mergeCell ref="A730:C730"/>
    <mergeCell ref="A736:C736"/>
    <mergeCell ref="A737:C737"/>
    <mergeCell ref="A743:C743"/>
    <mergeCell ref="A744:C744"/>
    <mergeCell ref="A750:C750"/>
    <mergeCell ref="A688:C688"/>
    <mergeCell ref="A694:C694"/>
    <mergeCell ref="A695:C695"/>
    <mergeCell ref="A701:C701"/>
    <mergeCell ref="A702:C702"/>
    <mergeCell ref="A708:C708"/>
    <mergeCell ref="A709:C709"/>
    <mergeCell ref="A715:C715"/>
    <mergeCell ref="A716:C716"/>
    <mergeCell ref="A659:C659"/>
    <mergeCell ref="A660:C660"/>
    <mergeCell ref="A666:C666"/>
    <mergeCell ref="A667:C667"/>
    <mergeCell ref="A673:C673"/>
    <mergeCell ref="A674:C674"/>
    <mergeCell ref="A680:C680"/>
    <mergeCell ref="A681:C681"/>
    <mergeCell ref="A687:C687"/>
    <mergeCell ref="A1297:C1297"/>
    <mergeCell ref="A1303:C1303"/>
    <mergeCell ref="A1304:C1304"/>
    <mergeCell ref="A1310:C1310"/>
    <mergeCell ref="A1311:C1311"/>
    <mergeCell ref="A1317:C1317"/>
    <mergeCell ref="A1318:C1318"/>
    <mergeCell ref="A1275:C1275"/>
    <mergeCell ref="A1276:C1276"/>
    <mergeCell ref="A1282:C1282"/>
    <mergeCell ref="A1283:C1283"/>
    <mergeCell ref="A1289:C1289"/>
    <mergeCell ref="A1290:C1290"/>
    <mergeCell ref="A1296:C1296"/>
    <mergeCell ref="A1094:C1094"/>
    <mergeCell ref="A1100:C1100"/>
    <mergeCell ref="A1101:C1101"/>
    <mergeCell ref="A1107:C1107"/>
    <mergeCell ref="A1108:C1108"/>
    <mergeCell ref="A1114:C1114"/>
    <mergeCell ref="A1115:C1115"/>
    <mergeCell ref="A1121:C1121"/>
    <mergeCell ref="A1122:C1122"/>
    <mergeCell ref="A1254:C1254"/>
    <mergeCell ref="A1255:C1255"/>
    <mergeCell ref="A1261:C1261"/>
    <mergeCell ref="A1262:C1262"/>
    <mergeCell ref="A1268:C1268"/>
    <mergeCell ref="A1269:C1269"/>
    <mergeCell ref="A981:C981"/>
    <mergeCell ref="A982:C982"/>
    <mergeCell ref="A988:C988"/>
    <mergeCell ref="A989:C989"/>
    <mergeCell ref="A995:C995"/>
    <mergeCell ref="A996:C996"/>
    <mergeCell ref="A1002:C1002"/>
    <mergeCell ref="A1003:C1003"/>
    <mergeCell ref="A1009:C1009"/>
    <mergeCell ref="A1010:C1010"/>
    <mergeCell ref="A1016:C1016"/>
    <mergeCell ref="A1017:C1017"/>
    <mergeCell ref="A1023:C1023"/>
    <mergeCell ref="A1024:C1024"/>
    <mergeCell ref="A1030:C1030"/>
    <mergeCell ref="A1031:C1031"/>
    <mergeCell ref="A1037:C1037"/>
    <mergeCell ref="A1038:C1038"/>
    <mergeCell ref="A1220:C1220"/>
    <mergeCell ref="A1226:C1226"/>
    <mergeCell ref="A1227:C1227"/>
    <mergeCell ref="A1233:C1233"/>
    <mergeCell ref="A1234:C1234"/>
    <mergeCell ref="A1240:C1240"/>
    <mergeCell ref="A1241:C1241"/>
    <mergeCell ref="A1247:C1247"/>
    <mergeCell ref="A1248:C1248"/>
    <mergeCell ref="A1191:C1191"/>
    <mergeCell ref="A1192:C1192"/>
    <mergeCell ref="A1198:C1198"/>
    <mergeCell ref="A1199:C1199"/>
    <mergeCell ref="A1205:C1205"/>
    <mergeCell ref="A1206:C1206"/>
    <mergeCell ref="A1212:C1212"/>
    <mergeCell ref="A1213:C1213"/>
    <mergeCell ref="A1219:C1219"/>
    <mergeCell ref="A961:C961"/>
    <mergeCell ref="A967:C967"/>
    <mergeCell ref="A968:C968"/>
    <mergeCell ref="A974:C974"/>
    <mergeCell ref="A975:C975"/>
    <mergeCell ref="A1177:C1177"/>
    <mergeCell ref="A1178:C1178"/>
    <mergeCell ref="A1184:C1184"/>
    <mergeCell ref="A1185:C1185"/>
    <mergeCell ref="A1044:C1044"/>
    <mergeCell ref="A1045:C1045"/>
    <mergeCell ref="A1051:C1051"/>
    <mergeCell ref="A1052:C1052"/>
    <mergeCell ref="A1058:C1058"/>
    <mergeCell ref="A1059:C1059"/>
    <mergeCell ref="A1065:C1065"/>
    <mergeCell ref="A1066:C1066"/>
    <mergeCell ref="A1072:C1072"/>
    <mergeCell ref="A1073:C1073"/>
    <mergeCell ref="A1079:C1079"/>
    <mergeCell ref="A1080:C1080"/>
    <mergeCell ref="A1086:C1086"/>
    <mergeCell ref="A1087:C1087"/>
    <mergeCell ref="A1093:C1093"/>
    <mergeCell ref="A275:C275"/>
    <mergeCell ref="A281:C281"/>
    <mergeCell ref="A282:C282"/>
    <mergeCell ref="A288:C288"/>
    <mergeCell ref="A289:C289"/>
    <mergeCell ref="A295:C295"/>
    <mergeCell ref="A296:C296"/>
    <mergeCell ref="A953:C953"/>
    <mergeCell ref="A954:C954"/>
    <mergeCell ref="A400:C400"/>
    <mergeCell ref="A401:C401"/>
    <mergeCell ref="A407:C407"/>
    <mergeCell ref="A408:C408"/>
    <mergeCell ref="A414:C414"/>
    <mergeCell ref="A415:C415"/>
    <mergeCell ref="A421:C421"/>
    <mergeCell ref="A422:C422"/>
    <mergeCell ref="A428:C428"/>
    <mergeCell ref="A429:C429"/>
    <mergeCell ref="A435:C435"/>
    <mergeCell ref="A436:C436"/>
    <mergeCell ref="A449:C449"/>
    <mergeCell ref="A450:C450"/>
    <mergeCell ref="A652:C652"/>
    <mergeCell ref="A890:C890"/>
    <mergeCell ref="A891:C891"/>
    <mergeCell ref="A897:C897"/>
    <mergeCell ref="A898:C898"/>
    <mergeCell ref="A148:C148"/>
    <mergeCell ref="A149:C149"/>
    <mergeCell ref="A155:C155"/>
    <mergeCell ref="A156:C156"/>
    <mergeCell ref="A162:C162"/>
    <mergeCell ref="A163:C163"/>
    <mergeCell ref="A169:C169"/>
    <mergeCell ref="A170:C170"/>
    <mergeCell ref="A176:C176"/>
    <mergeCell ref="A177:C177"/>
    <mergeCell ref="A183:C183"/>
    <mergeCell ref="A184:C184"/>
    <mergeCell ref="A190:C190"/>
    <mergeCell ref="A191:C191"/>
    <mergeCell ref="A204:C204"/>
    <mergeCell ref="A205:C205"/>
    <mergeCell ref="A211:C211"/>
    <mergeCell ref="A212:C212"/>
    <mergeCell ref="A218:C218"/>
    <mergeCell ref="A219:C219"/>
    <mergeCell ref="A611:C611"/>
    <mergeCell ref="A617:C617"/>
    <mergeCell ref="A618:C618"/>
    <mergeCell ref="A624:C624"/>
    <mergeCell ref="A883:P883"/>
    <mergeCell ref="A884:C884"/>
    <mergeCell ref="A625:C625"/>
    <mergeCell ref="A631:C631"/>
    <mergeCell ref="A632:C632"/>
    <mergeCell ref="A638:C638"/>
    <mergeCell ref="A639:C639"/>
    <mergeCell ref="A645:C645"/>
    <mergeCell ref="A646:C646"/>
    <mergeCell ref="A848:C848"/>
    <mergeCell ref="A849:C849"/>
    <mergeCell ref="A855:C855"/>
    <mergeCell ref="A856:C856"/>
    <mergeCell ref="A862:C862"/>
    <mergeCell ref="A863:C863"/>
    <mergeCell ref="A869:C869"/>
    <mergeCell ref="A870:C870"/>
    <mergeCell ref="A876:C876"/>
    <mergeCell ref="A877:C877"/>
    <mergeCell ref="A653:C653"/>
    <mergeCell ref="A582:C582"/>
    <mergeCell ref="A583:C583"/>
    <mergeCell ref="A589:C589"/>
    <mergeCell ref="A590:C590"/>
    <mergeCell ref="A596:C596"/>
    <mergeCell ref="A597:C597"/>
    <mergeCell ref="A603:C603"/>
    <mergeCell ref="A604:C604"/>
    <mergeCell ref="A610:C610"/>
    <mergeCell ref="A548:C548"/>
    <mergeCell ref="A554:C554"/>
    <mergeCell ref="A555:C555"/>
    <mergeCell ref="A561:C561"/>
    <mergeCell ref="A562:C562"/>
    <mergeCell ref="A568:C568"/>
    <mergeCell ref="A569:C569"/>
    <mergeCell ref="A575:C575"/>
    <mergeCell ref="A576:C576"/>
    <mergeCell ref="A519:C519"/>
    <mergeCell ref="A520:C520"/>
    <mergeCell ref="A526:C526"/>
    <mergeCell ref="A527:C527"/>
    <mergeCell ref="A533:C533"/>
    <mergeCell ref="A534:C534"/>
    <mergeCell ref="A540:C540"/>
    <mergeCell ref="A541:C541"/>
    <mergeCell ref="A547:C547"/>
    <mergeCell ref="A485:C485"/>
    <mergeCell ref="A491:C491"/>
    <mergeCell ref="A492:C492"/>
    <mergeCell ref="A498:C498"/>
    <mergeCell ref="A499:C499"/>
    <mergeCell ref="A505:C505"/>
    <mergeCell ref="A506:C506"/>
    <mergeCell ref="A512:C512"/>
    <mergeCell ref="A513:C513"/>
    <mergeCell ref="A456:C456"/>
    <mergeCell ref="A457:C457"/>
    <mergeCell ref="A463:C463"/>
    <mergeCell ref="A464:C464"/>
    <mergeCell ref="A470:C470"/>
    <mergeCell ref="A471:C471"/>
    <mergeCell ref="A477:C477"/>
    <mergeCell ref="A478:C478"/>
    <mergeCell ref="A484:C484"/>
    <mergeCell ref="A366:C366"/>
    <mergeCell ref="A372:C372"/>
    <mergeCell ref="A442:P442"/>
    <mergeCell ref="A443:C443"/>
    <mergeCell ref="A373:C373"/>
    <mergeCell ref="A379:C379"/>
    <mergeCell ref="A380:C380"/>
    <mergeCell ref="A386:C386"/>
    <mergeCell ref="A387:C387"/>
    <mergeCell ref="A393:C393"/>
    <mergeCell ref="A394:C394"/>
    <mergeCell ref="A337:C337"/>
    <mergeCell ref="A338:C338"/>
    <mergeCell ref="A344:C344"/>
    <mergeCell ref="A345:C345"/>
    <mergeCell ref="A351:C351"/>
    <mergeCell ref="A352:C352"/>
    <mergeCell ref="A358:C358"/>
    <mergeCell ref="A359:C359"/>
    <mergeCell ref="A365:C365"/>
    <mergeCell ref="A303:C303"/>
    <mergeCell ref="A309:C309"/>
    <mergeCell ref="A310:C310"/>
    <mergeCell ref="A316:C316"/>
    <mergeCell ref="A317:C317"/>
    <mergeCell ref="A323:C323"/>
    <mergeCell ref="A324:C324"/>
    <mergeCell ref="A330:C330"/>
    <mergeCell ref="A331:C331"/>
    <mergeCell ref="A127:C127"/>
    <mergeCell ref="A128:C128"/>
    <mergeCell ref="A134:C134"/>
    <mergeCell ref="A135:C135"/>
    <mergeCell ref="A141:C141"/>
    <mergeCell ref="A142:C142"/>
    <mergeCell ref="A197:C197"/>
    <mergeCell ref="A198:C198"/>
    <mergeCell ref="A302:C302"/>
    <mergeCell ref="A225:C225"/>
    <mergeCell ref="A226:C226"/>
    <mergeCell ref="A232:C232"/>
    <mergeCell ref="A233:C233"/>
    <mergeCell ref="A239:C239"/>
    <mergeCell ref="A240:C240"/>
    <mergeCell ref="A246:C246"/>
    <mergeCell ref="A247:C247"/>
    <mergeCell ref="A253:C253"/>
    <mergeCell ref="A254:C254"/>
    <mergeCell ref="A260:C260"/>
    <mergeCell ref="A261:C261"/>
    <mergeCell ref="A267:C267"/>
    <mergeCell ref="A268:C268"/>
    <mergeCell ref="A274:C274"/>
    <mergeCell ref="A93:C93"/>
    <mergeCell ref="A99:C99"/>
    <mergeCell ref="A100:C100"/>
    <mergeCell ref="A106:C106"/>
    <mergeCell ref="A107:C107"/>
    <mergeCell ref="A113:C113"/>
    <mergeCell ref="A114:C114"/>
    <mergeCell ref="A120:C120"/>
    <mergeCell ref="A121:C121"/>
    <mergeCell ref="A64:C64"/>
    <mergeCell ref="A65:C65"/>
    <mergeCell ref="A71:C71"/>
    <mergeCell ref="A72:C72"/>
    <mergeCell ref="A78:C78"/>
    <mergeCell ref="A79:C79"/>
    <mergeCell ref="A85:C85"/>
    <mergeCell ref="A86:C86"/>
    <mergeCell ref="A92:C92"/>
    <mergeCell ref="A30:C30"/>
    <mergeCell ref="A36:C36"/>
    <mergeCell ref="A37:C37"/>
    <mergeCell ref="A43:C43"/>
    <mergeCell ref="A44:C44"/>
    <mergeCell ref="A50:C50"/>
    <mergeCell ref="A51:C51"/>
    <mergeCell ref="A57:C57"/>
    <mergeCell ref="A58:C58"/>
    <mergeCell ref="A1:P1"/>
    <mergeCell ref="A2:C2"/>
    <mergeCell ref="A8:C8"/>
    <mergeCell ref="A9:C9"/>
    <mergeCell ref="A15:C15"/>
    <mergeCell ref="A16:C16"/>
    <mergeCell ref="A22:C22"/>
    <mergeCell ref="A23:C23"/>
    <mergeCell ref="A29:C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PRICELIST</vt:lpstr>
      <vt:lpstr>MASTER DATA</vt:lpstr>
      <vt:lpstr>CALC FLX WST</vt:lpstr>
      <vt:lpstr>CALC STK WST</vt:lpstr>
      <vt:lpstr>CALC PANEL WST</vt:lpstr>
      <vt:lpstr>CALC ECO MEETING</vt:lpstr>
      <vt:lpstr>CALC LUX MEETING</vt:lpstr>
      <vt:lpstr>CALC CABINS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Burosys Furniture</cp:lastModifiedBy>
  <dcterms:modified xsi:type="dcterms:W3CDTF">2026-10-21T15:21:39Z</dcterms:modified>
</cp:coreProperties>
</file>